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設定" sheetId="2" state="visible" r:id="rId2"/>
    <sheet name="希望調査用紙" sheetId="3" state="visible" r:id="rId3"/>
    <sheet name="前年度名簿" sheetId="4" state="visible" r:id="rId4"/>
    <sheet name="希望入力" sheetId="5" state="visible" r:id="rId5"/>
    <sheet name="振り分け" sheetId="6" state="visible" r:id="rId6"/>
    <sheet name="新年度名簿" sheetId="7" state="visible" r:id="rId7"/>
    <sheet name="定員チェック" sheetId="8" state="visible" r:id="rId8"/>
    <sheet name="一覧名簿" sheetId="9" state="visible" r:id="rId9"/>
    <sheet name="クラブ①" sheetId="10" state="visible" r:id="rId10"/>
    <sheet name="クラブ②" sheetId="11" state="visible" r:id="rId11"/>
    <sheet name="クラブ③" sheetId="12" state="visible" r:id="rId12"/>
    <sheet name="クラブ④" sheetId="13" state="visible" r:id="rId13"/>
    <sheet name="クラブ⑤" sheetId="14" state="visible" r:id="rId14"/>
    <sheet name="クラブ⑥" sheetId="15" state="visible" r:id="rId15"/>
    <sheet name="クラブ⑦" sheetId="16" state="visible" r:id="rId16"/>
    <sheet name="クラブ⑧" sheetId="17" state="visible" r:id="rId17"/>
    <sheet name="クラブ⑨" sheetId="18" state="visible" r:id="rId18"/>
    <sheet name="クラブ⑩" sheetId="19" state="visible" r:id="rId19"/>
    <sheet name="クラブ⑪" sheetId="20" state="visible" r:id="rId20"/>
    <sheet name="クラブ⑫" sheetId="21" state="visible" r:id="rId21"/>
    <sheet name="クラブ⑬" sheetId="22" state="visible" r:id="rId22"/>
    <sheet name="クラブ⑭" sheetId="23" state="visible" r:id="rId23"/>
    <sheet name="クラブ⑮" sheetId="24" state="visible" r:id="rId24"/>
    <sheet name="クラブ⑯" sheetId="25" state="visible" r:id="rId25"/>
    <sheet name="クラブ⑰" sheetId="26" state="visible" r:id="rId26"/>
    <sheet name="クラブ⑱" sheetId="27" state="visible" r:id="rId27"/>
    <sheet name="クラブ⑲" sheetId="28" state="visible" r:id="rId28"/>
    <sheet name="クラブ⑳" sheetId="29" state="visible" r:id="rId29"/>
    <sheet name="計算用" sheetId="30" state="hidden" r:id="rId30"/>
  </sheets>
  <definedNames>
    <definedName name="_xlnm.Print_Area" localSheetId="2">'希望調査用紙'!$A$1:$I$27</definedName>
    <definedName name="_xlnm._FilterDatabase" localSheetId="5" hidden="1">'振り分け'!$A$6:$O$456</definedName>
    <definedName name="_xlnm.Print_Titles" localSheetId="5">'振り分け'!$6:$6</definedName>
    <definedName name="_xlnm.Print_Area" localSheetId="5">'振り分け'!$A$1:$O$456</definedName>
    <definedName name="_xlnm._FilterDatabase" localSheetId="6" hidden="1">'新年度名簿'!$A$1:$G$451</definedName>
    <definedName name="_xlnm.Print_Area" localSheetId="8">'一覧名簿'!$A$1:$T$111</definedName>
    <definedName name="_xlnm.Print_Area" localSheetId="9">'クラブ①'!$A$1:$O$54</definedName>
    <definedName name="_xlnm.Print_Area" localSheetId="10">'クラブ②'!$A$1:$O$54</definedName>
    <definedName name="_xlnm.Print_Area" localSheetId="11">'クラブ③'!$A$1:$O$54</definedName>
    <definedName name="_xlnm.Print_Area" localSheetId="12">'クラブ④'!$A$1:$O$54</definedName>
    <definedName name="_xlnm.Print_Area" localSheetId="13">'クラブ⑤'!$A$1:$O$54</definedName>
    <definedName name="_xlnm.Print_Area" localSheetId="14">'クラブ⑥'!$A$1:$O$54</definedName>
    <definedName name="_xlnm.Print_Area" localSheetId="15">'クラブ⑦'!$A$1:$O$54</definedName>
    <definedName name="_xlnm.Print_Area" localSheetId="16">'クラブ⑧'!$A$1:$O$54</definedName>
    <definedName name="_xlnm.Print_Area" localSheetId="17">'クラブ⑨'!$A$1:$O$54</definedName>
    <definedName name="_xlnm.Print_Area" localSheetId="18">'クラブ⑩'!$A$1:$O$54</definedName>
    <definedName name="_xlnm.Print_Area" localSheetId="19">'クラブ⑪'!$A$1:$O$54</definedName>
    <definedName name="_xlnm.Print_Area" localSheetId="20">'クラブ⑫'!$A$1:$O$54</definedName>
    <definedName name="_xlnm.Print_Area" localSheetId="21">'クラブ⑬'!$A$1:$O$54</definedName>
    <definedName name="_xlnm.Print_Area" localSheetId="22">'クラブ⑭'!$A$1:$O$54</definedName>
    <definedName name="_xlnm.Print_Area" localSheetId="23">'クラブ⑮'!$A$1:$O$54</definedName>
    <definedName name="_xlnm.Print_Area" localSheetId="24">'クラブ⑯'!$A$1:$O$54</definedName>
    <definedName name="_xlnm.Print_Area" localSheetId="25">'クラブ⑰'!$A$1:$O$54</definedName>
    <definedName name="_xlnm.Print_Area" localSheetId="26">'クラブ⑱'!$A$1:$O$54</definedName>
    <definedName name="_xlnm.Print_Area" localSheetId="27">'クラブ⑲'!$A$1:$O$54</definedName>
    <definedName name="_xlnm.Print_Area" localSheetId="28">'クラブ⑳'!$A$1:$O$54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2"/>
    </font>
    <font>
      <name val="游ゴシック"/>
      <sz val="11"/>
    </font>
    <font>
      <name val="游ゴシック"/>
      <b val="1"/>
      <sz val="14"/>
    </font>
    <font>
      <name val="游ゴシック"/>
      <b val="1"/>
      <sz val="11"/>
    </font>
    <font>
      <name val="游ゴシック"/>
      <color rgb="00808080"/>
      <sz val="9"/>
    </font>
    <font>
      <name val="游ゴシック"/>
      <b val="1"/>
      <sz val="10"/>
    </font>
    <font>
      <name val="游ゴシック"/>
      <b val="1"/>
      <color rgb="00C00000"/>
      <sz val="9"/>
    </font>
    <font>
      <name val="游ゴシック"/>
      <sz val="9"/>
    </font>
    <font>
      <name val="游ゴシック"/>
      <b val="1"/>
      <sz val="20"/>
    </font>
    <font>
      <name val="游ゴシック"/>
      <sz val="14"/>
    </font>
    <font>
      <name val="游ゴシック"/>
      <b val="1"/>
      <sz val="13"/>
    </font>
    <font>
      <name val="游ゴシック"/>
      <color rgb="00FFFFFF"/>
      <sz val="8"/>
    </font>
    <font>
      <name val="游ゴシック"/>
      <sz val="13"/>
    </font>
    <font>
      <name val="游ゴシック"/>
      <sz val="12"/>
    </font>
    <font>
      <name val="游ゴシック"/>
      <b val="1"/>
      <sz val="9"/>
    </font>
    <font>
      <name val="游ゴシック"/>
      <color rgb="00C00000"/>
      <sz val="9"/>
    </font>
    <font>
      <name val="游ゴシック"/>
      <b val="1"/>
      <color rgb="00FFFFFF"/>
      <sz val="11"/>
    </font>
    <font>
      <name val="游ゴシック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00000"/>
      </patternFill>
    </fill>
    <fill>
      <patternFill patternType="solid">
        <fgColor rgb="0000803C"/>
      </patternFill>
    </fill>
  </fills>
  <borders count="1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medium">
        <color rgb="00000000"/>
      </left>
      <right/>
      <top style="medium">
        <color rgb="00000000"/>
      </top>
      <bottom style="thin">
        <color rgb="00808080"/>
      </bottom>
    </border>
    <border>
      <left/>
      <right/>
      <top style="medium">
        <color rgb="00000000"/>
      </top>
      <bottom style="thin">
        <color rgb="00808080"/>
      </bottom>
    </border>
    <border>
      <left/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6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0" fontId="3" fillId="2" borderId="1" applyAlignment="1" applyProtection="1" pivotButton="0" quotePrefix="0" xfId="0">
      <alignment vertical="top" wrapText="1"/>
      <protection locked="0" hidden="0"/>
    </xf>
    <xf numFmtId="0" fontId="0" fillId="0" borderId="1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0" borderId="8" applyAlignment="1" pivotButton="0" quotePrefix="0" xfId="0">
      <alignment horizontal="right" vertical="center"/>
    </xf>
    <xf numFmtId="0" fontId="14" fillId="0" borderId="9" applyAlignment="1" pivotButton="0" quotePrefix="0" xfId="0">
      <alignment horizontal="left" vertical="center"/>
    </xf>
    <xf numFmtId="0" fontId="0" fillId="0" borderId="9" pivotButton="0" quotePrefix="0" xfId="0"/>
    <xf numFmtId="0" fontId="12" fillId="0" borderId="9" applyAlignment="1" pivotButton="0" quotePrefix="0" xfId="0">
      <alignment horizontal="right" vertical="center"/>
    </xf>
    <xf numFmtId="0" fontId="0" fillId="0" borderId="10" pivotButton="0" quotePrefix="0" xfId="0"/>
    <xf numFmtId="0" fontId="12" fillId="0" borderId="11" applyAlignment="1" pivotButton="0" quotePrefix="0" xfId="0">
      <alignment horizontal="right" vertical="center"/>
    </xf>
    <xf numFmtId="0" fontId="1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12" fillId="0" borderId="12" applyAlignment="1" pivotButton="0" quotePrefix="0" xfId="0">
      <alignment horizontal="right" vertical="center"/>
    </xf>
    <xf numFmtId="0" fontId="0" fillId="0" borderId="13" pivotButton="0" quotePrefix="0" xfId="0"/>
    <xf numFmtId="0" fontId="1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15" fillId="0" borderId="0" applyAlignment="1" pivotButton="0" quotePrefix="0" xfId="0">
      <alignment vertical="top" wrapText="1"/>
    </xf>
    <xf numFmtId="0" fontId="16" fillId="4" borderId="1" applyAlignment="1" pivotButton="0" quotePrefix="0" xfId="0">
      <alignment horizontal="center" vertical="center"/>
    </xf>
    <xf numFmtId="0" fontId="3" fillId="2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17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9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 hidden="0"/>
  </cellStyles>
  <dxfs count="17">
    <dxf>
      <font>
        <name val="游ゴシック"/>
        <b val="1"/>
        <color rgb="00000000"/>
      </font>
    </dxf>
    <dxf>
      <font>
        <name val="游ゴシック"/>
        <b val="1"/>
        <color rgb="00D00000"/>
      </font>
    </dxf>
    <dxf>
      <font>
        <name val="游ゴシック"/>
        <b val="1"/>
        <color rgb="000050D0"/>
      </font>
    </dxf>
    <dxf>
      <font>
        <name val="游ゴシック"/>
        <b val="1"/>
        <color rgb="00008A3E"/>
      </font>
    </dxf>
    <dxf>
      <font>
        <name val="游ゴシック"/>
        <b val="1"/>
        <color rgb="00BF8F00"/>
      </font>
    </dxf>
    <dxf>
      <font>
        <name val="游ゴシック"/>
        <b val="1"/>
        <color rgb="00E46C0A"/>
      </font>
    </dxf>
    <dxf>
      <font>
        <name val="游ゴシック"/>
        <b val="1"/>
        <color rgb="007030A0"/>
      </font>
    </dxf>
    <dxf>
      <font>
        <name val="游ゴシック"/>
        <b val="1"/>
        <color rgb="008B4513"/>
      </font>
    </dxf>
    <dxf>
      <fill>
        <patternFill patternType="solid">
          <fgColor rgb="FFF8CBAD"/>
          <bgColor rgb="FFF8CBAD"/>
        </patternFill>
      </fill>
    </dxf>
    <dxf>
      <font>
        <name val="游ゴシック"/>
        <b val="1"/>
        <color rgb="00FFFFFF"/>
      </font>
      <fill>
        <patternFill patternType="solid">
          <fgColor rgb="FFC00000"/>
          <bgColor rgb="FFC00000"/>
        </patternFill>
      </fill>
    </dxf>
    <dxf>
      <font>
        <name val="游ゴシック"/>
        <b val="1"/>
        <color rgb="00FFFFFF"/>
      </font>
      <fill>
        <patternFill patternType="solid">
          <fgColor rgb="FF00803C"/>
          <bgColor rgb="FF00803C"/>
        </patternFill>
      </fill>
    </dxf>
    <dxf>
      <fill>
        <patternFill patternType="solid">
          <fgColor rgb="FFD9D9D9"/>
          <bgColor rgb="FFD9D9D9"/>
        </patternFill>
      </fill>
    </dxf>
    <dxf>
      <font>
        <name val="游ゴシック"/>
        <b val="1"/>
        <color rgb="000000FF"/>
      </font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699"/>
          <bgColor rgb="FF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>
      <c r="B1" s="1" t="inlineStr">
        <is>
          <t>クラブ名簿作成ツール　使い方</t>
        </is>
      </c>
    </row>
    <row r="3">
      <c r="B3" s="2" t="inlineStr">
        <is>
          <t>■ 色のきまり</t>
        </is>
      </c>
    </row>
    <row r="4">
      <c r="B4" s="3" t="inlineStr">
        <is>
          <t>黄色いセル＝先生が入力する所です。それ以外のセルには数式が入っているので、保護しています（「校閲」→「シート保護の解除」で外せます。パスワードなし）。</t>
        </is>
      </c>
    </row>
    <row r="5">
      <c r="B5" s="3" t="inlineStr"/>
    </row>
    <row r="6">
      <c r="B6" s="2" t="inlineStr">
        <is>
          <t>■ 前年度（1〜3月）にすること</t>
        </is>
      </c>
    </row>
    <row r="7">
      <c r="B7" s="3" t="inlineStr">
        <is>
          <t>① 【設定】年度（新年度）、新年度の学年（6・5・4）、前年度の組・新年度の組、クラブの名前・定員・担当・活動場所を入力します。</t>
        </is>
      </c>
    </row>
    <row r="8">
      <c r="B8" s="3" t="inlineStr">
        <is>
          <t xml:space="preserve">　 ・クラブを増やす：空いている行に書きこむ　　減らす：行の中身を消す　　名前を変える：書きかえる</t>
        </is>
      </c>
    </row>
    <row r="9">
      <c r="B9" s="3" t="inlineStr">
        <is>
          <t>② 【前年度名簿】アンケートをとる学年（3〜5年）全員の「学年・組・番号・名前」を貼り付けます。学年は数字で入れます。</t>
        </is>
      </c>
    </row>
    <row r="10">
      <c r="B10" s="3" t="inlineStr">
        <is>
          <t xml:space="preserve">　 ・「定員」と「融通」（何人まで超えてよいか）、「上の学年から優先」（〇で有効）、希望調査用紙の注意書きも設定します。</t>
        </is>
      </c>
    </row>
    <row r="11">
      <c r="B11" s="3" t="inlineStr">
        <is>
          <t xml:space="preserve">　 ・【希望調査用紙】を印刷して配ります。クラブの番号は設定シートの No. です（配ったあとは順番を変えないでください）。</t>
        </is>
      </c>
    </row>
    <row r="12">
      <c r="B12" s="3" t="inlineStr">
        <is>
          <t>③ 【希望入力】前年度の学年・組・番号と、第1〜第3希望を入れます。</t>
        </is>
      </c>
    </row>
    <row r="13">
      <c r="B13" s="3" t="inlineStr">
        <is>
          <t xml:space="preserve">　 ・紙の場合：希望はクラブの「番号」を打つだけでかまいません。右側にクラブ名が出るので確認してください。</t>
        </is>
      </c>
    </row>
    <row r="14">
      <c r="B14" s="3" t="inlineStr">
        <is>
          <t xml:space="preserve">　 ・Formsの場合：結果の表から「学年〜第3希望」の6列をコピーし、A列の2行目に「値の貼り付け」をします。</t>
        </is>
      </c>
    </row>
    <row r="15">
      <c r="B15" s="3" t="inlineStr">
        <is>
          <t xml:space="preserve">　 ・「チェック」欄に「名簿にいない」「2回提出」などが出たら確認してください。2回提出は下の行（後から出したほう）が使われます。</t>
        </is>
      </c>
    </row>
    <row r="16">
      <c r="B16" s="3" t="inlineStr">
        <is>
          <t>④ 【振り分け】第1希望の人数が「定員＋融通」以内なら自動で決まります。超えたクラブを希望した子は「要調整」（赤）になります。</t>
        </is>
      </c>
    </row>
    <row r="17">
      <c r="B17" s="3" t="inlineStr">
        <is>
          <t xml:space="preserve">　 ・「上の学年から優先」が〇なら、6年→5年→4年の順に枠を埋め、入りきらない学年の子だけが要調整になります。</t>
        </is>
      </c>
    </row>
    <row r="18">
      <c r="B18" s="3" t="inlineStr">
        <is>
          <t xml:space="preserve">　 ・要調整の子の第2・第3希望が緑なら、そのクラブには空きがあります。色がなければ第1希望の子でいっぱいです。</t>
        </is>
      </c>
    </row>
    <row r="19">
      <c r="B19" s="3" t="inlineStr">
        <is>
          <t xml:space="preserve">　 ・見出しの▼で「第1希望」を絞りこむと、そのクラブを希望した子が6年→5年→4年の順に並びます（6年優先の目安にしてください）。</t>
        </is>
      </c>
    </row>
    <row r="20">
      <c r="B20" s="3" t="inlineStr">
        <is>
          <t xml:space="preserve">　 ・「第2希望の空き」「第3希望の空き」は、定員から「決定した人数」と「そのクラブを第1希望にしている要調整の子」を引いた数です。</t>
        </is>
      </c>
    </row>
    <row r="21">
      <c r="B21" s="3" t="inlineStr">
        <is>
          <t xml:space="preserve">　 ・決まったら、残る子にも移る子にも「先生の決定」欄へクラブを入れます（プルダウン）。未提出の子も同じです。</t>
        </is>
      </c>
    </row>
    <row r="22">
      <c r="B22" s="3" t="inlineStr">
        <is>
          <t xml:space="preserve">　 ・この段階では、名簿は前年度の組で表示され、タイトルに「（仮・前年度の組）」と出ます。</t>
        </is>
      </c>
    </row>
    <row r="23">
      <c r="B23" s="3" t="inlineStr"/>
    </row>
    <row r="24">
      <c r="B24" s="2" t="inlineStr">
        <is>
          <t>■ 新年度（4月）にすること</t>
        </is>
      </c>
    </row>
    <row r="25">
      <c r="B25" s="3" t="inlineStr">
        <is>
          <t>⑤ 【新年度名簿】新しい名簿（4〜6年）の「学年・組・番号・名前」を貼り付けます。前年度名簿と名前・学年で自動的につながります。</t>
        </is>
      </c>
    </row>
    <row r="26">
      <c r="B26" s="3" t="inlineStr">
        <is>
          <t xml:space="preserve">　 ・名前の空白（全角・半角）のちがいは自動で無視します。</t>
        </is>
      </c>
    </row>
    <row r="27">
      <c r="B27" s="3" t="inlineStr">
        <is>
          <t xml:space="preserve">　 ・「前年度名簿にいない」（赤）：転入生なら「クラブ（手入力）」欄にクラブを入れます。名前の字がちがう（髙／高など）ときは、どちらかの名簿の名前を直します。</t>
        </is>
      </c>
    </row>
    <row r="28">
      <c r="B28" s="3" t="inlineStr">
        <is>
          <t xml:space="preserve">　 ・「同姓同名あり」：自動でつなげられないので、「クラブ（手入力）」欄にクラブを入れてください。</t>
        </is>
      </c>
    </row>
    <row r="29">
      <c r="B29" s="3" t="inlineStr">
        <is>
          <t xml:space="preserve">　 ・振り分けシートで「転出」と出た子は、新年度名簿にいなかった子です（名前の字ちがいのこともあるので確認してください）。</t>
        </is>
      </c>
    </row>
    <row r="30">
      <c r="B30" s="3" t="inlineStr">
        <is>
          <t>⑥ 【定員チェック】「未提出」「要調整」「定員オーバー」「新年度名簿の要確認」が 0 になれば完成です。</t>
        </is>
      </c>
    </row>
    <row r="31">
      <c r="B31" s="3" t="inlineStr">
        <is>
          <t>⑦ 【一覧名簿】【クラブ①〜⑳】を印刷します。新しい組・番号で、6年→5年→4年、組順・番号順に並びます。</t>
        </is>
      </c>
    </row>
    <row r="32">
      <c r="B32" s="3" t="inlineStr">
        <is>
          <t xml:space="preserve">　 ・一覧名簿はA3横。上段（①〜⑩）が1ページ目、下段（⑪〜⑳）が2ページ目です。クラブが10以下なら1ページ目だけ印刷します。</t>
        </is>
      </c>
    </row>
    <row r="33">
      <c r="B33" s="3" t="inlineStr"/>
    </row>
    <row r="34">
      <c r="B34" s="2" t="inlineStr">
        <is>
          <t>■ Microsoft Forms の作り方（希望を集める場合）</t>
        </is>
      </c>
    </row>
    <row r="35">
      <c r="B35" s="3" t="inlineStr">
        <is>
          <t>質問を「1. 学年　2. 組　3. 番号　4. 第1希望　5. 第2希望　6. 第3希望」の順に作ります（学年・組・番号はアンケート時のもの）。</t>
        </is>
      </c>
    </row>
    <row r="36">
      <c r="B36" s="3" t="inlineStr">
        <is>
          <t>選択肢は設定シートと同じ書き方にしてください。Formsのデータは学校のMicrosoft 365に保存されます。使ってよいかは学校のルールを確認してください。</t>
        </is>
      </c>
    </row>
    <row r="37">
      <c r="B37" s="3" t="inlineStr"/>
    </row>
    <row r="38">
      <c r="B38" s="2" t="inlineStr">
        <is>
          <t>■ 上限</t>
        </is>
      </c>
    </row>
    <row r="39">
      <c r="B39" s="3" t="inlineStr">
        <is>
          <t>クラブ 20／1学年の組 8／前年度名簿・新年度名簿 各450人／希望入力 550行／1つのクラブ 50人</t>
        </is>
      </c>
    </row>
    <row r="40">
      <c r="B40" s="3" t="inlineStr"/>
    </row>
    <row r="41">
      <c r="B41" s="2" t="inlineStr">
        <is>
          <t>■ テストデータについて</t>
        </is>
      </c>
    </row>
    <row r="42">
      <c r="B42" s="3" t="inlineStr">
        <is>
          <t>名前はすべて架空です。新年度名簿まで入っているので、名簿は新しい組で表示されています。前年度の段階を試すときは、新年度名簿の黄色い所を消してください。</t>
        </is>
      </c>
    </row>
    <row r="43">
      <c r="B43" s="3" t="inlineStr">
        <is>
          <t>本番で使うときは、【前年度名簿】【希望入力】【新年度名簿】のデータと、【振り分け】の「先生の決定」欄を消してから使ってください。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3" customWidth="1" min="4" max="4"/>
    <col width="7" customWidth="1" min="5" max="5"/>
    <col width="7" customWidth="1" min="6" max="6"/>
    <col width="12" customWidth="1" min="7" max="7"/>
    <col width="8" customWidth="1" min="8" max="8"/>
    <col width="3" customWidth="1" min="9" max="9"/>
    <col width="7" customWidth="1" min="10" max="10"/>
    <col width="7" customWidth="1" min="11" max="11"/>
    <col width="12" customWidth="1" min="12" max="12"/>
    <col width="8" customWidth="1" min="13" max="13"/>
    <col width="3" customWidth="1" min="14" max="14"/>
    <col width="5" customWidth="1" min="15" max="15"/>
    <col width="18" customWidth="1" min="16" max="16"/>
    <col width="7" customWidth="1" min="17" max="17"/>
    <col width="7" customWidth="1" min="18" max="18"/>
    <col width="10" customWidth="1" min="19" max="19"/>
    <col width="16" customWidth="1" min="20" max="20"/>
    <col hidden="1" width="13" customWidth="1" min="25" max="25"/>
    <col hidden="1" width="13" customWidth="1" min="26" max="26"/>
  </cols>
  <sheetData>
    <row r="1">
      <c r="A1" s="4" t="inlineStr">
        <is>
          <t>設定（黄色いセルを入力してください）</t>
        </is>
      </c>
    </row>
    <row r="3">
      <c r="A3" s="5" t="inlineStr">
        <is>
          <t>年度</t>
        </is>
      </c>
      <c r="B3" s="6" t="inlineStr">
        <is>
          <t>令和9年度</t>
        </is>
      </c>
      <c r="C3" s="7" t="n"/>
      <c r="E3" s="8" t="inlineStr">
        <is>
          <t>← 名簿のタイトルに使う「新年度」</t>
        </is>
      </c>
    </row>
    <row r="4">
      <c r="A4" s="5" t="inlineStr">
        <is>
          <t>呼び名</t>
        </is>
      </c>
      <c r="B4" s="6" t="inlineStr">
        <is>
          <t>クラブ</t>
        </is>
      </c>
    </row>
    <row r="6">
      <c r="A6" s="5" t="inlineStr">
        <is>
          <t>学年の設定</t>
        </is>
      </c>
      <c r="E6" s="5" t="inlineStr">
        <is>
          <t>前年度の組（アンケート時）</t>
        </is>
      </c>
      <c r="J6" s="5" t="inlineStr">
        <is>
          <t>新年度の組</t>
        </is>
      </c>
      <c r="O6" s="5" t="inlineStr">
        <is>
          <t>クラブの設定（上から順に「クラブ①、②…」のシートに入ります）</t>
        </is>
      </c>
    </row>
    <row r="7">
      <c r="A7" s="9" t="inlineStr"/>
      <c r="B7" s="9" t="inlineStr">
        <is>
          <t>新年度</t>
        </is>
      </c>
      <c r="C7" s="9" t="inlineStr">
        <is>
          <t>前年度</t>
        </is>
      </c>
      <c r="E7" s="10" t="inlineStr">
        <is>
          <t>学年</t>
        </is>
      </c>
      <c r="F7" s="10" t="inlineStr">
        <is>
          <t>組</t>
        </is>
      </c>
      <c r="G7" s="10" t="inlineStr">
        <is>
          <t>名簿での表示</t>
        </is>
      </c>
      <c r="H7" s="10" t="inlineStr">
        <is>
          <t>色</t>
        </is>
      </c>
      <c r="J7" s="10" t="inlineStr">
        <is>
          <t>学年</t>
        </is>
      </c>
      <c r="K7" s="10" t="inlineStr">
        <is>
          <t>組</t>
        </is>
      </c>
      <c r="L7" s="10" t="inlineStr">
        <is>
          <t>名簿での表示</t>
        </is>
      </c>
      <c r="M7" s="10" t="inlineStr">
        <is>
          <t>色</t>
        </is>
      </c>
      <c r="O7" s="9" t="inlineStr">
        <is>
          <t>No.</t>
        </is>
      </c>
      <c r="P7" s="9" t="inlineStr">
        <is>
          <t>クラブ名</t>
        </is>
      </c>
      <c r="Q7" s="9" t="inlineStr">
        <is>
          <t>定員</t>
        </is>
      </c>
      <c r="R7" s="9" t="inlineStr">
        <is>
          <t>融通</t>
        </is>
      </c>
      <c r="S7" s="9" t="inlineStr">
        <is>
          <t>担当</t>
        </is>
      </c>
      <c r="T7" s="9" t="inlineStr">
        <is>
          <t>活動場所</t>
        </is>
      </c>
    </row>
    <row r="8">
      <c r="A8" s="11" t="inlineStr">
        <is>
          <t>上の学年</t>
        </is>
      </c>
      <c r="B8" s="12" t="n">
        <v>6</v>
      </c>
      <c r="C8" s="11">
        <f>IF(B8="","",B8-1)</f>
        <v/>
      </c>
      <c r="E8" s="11">
        <f>$C$8</f>
        <v/>
      </c>
      <c r="F8" s="12" t="inlineStr">
        <is>
          <t>松</t>
        </is>
      </c>
      <c r="G8" s="12">
        <f>IF(F8="","",E8&amp;F8)</f>
        <v/>
      </c>
      <c r="H8" s="12" t="inlineStr">
        <is>
          <t>緑</t>
        </is>
      </c>
      <c r="J8" s="11">
        <f>$B$8</f>
        <v/>
      </c>
      <c r="K8" s="12" t="inlineStr">
        <is>
          <t>松</t>
        </is>
      </c>
      <c r="L8" s="12">
        <f>IF(K8="","",J8&amp;K8)</f>
        <v/>
      </c>
      <c r="M8" s="12" t="inlineStr">
        <is>
          <t>緑</t>
        </is>
      </c>
      <c r="O8" s="11" t="n">
        <v>1</v>
      </c>
      <c r="P8" s="12" t="inlineStr">
        <is>
          <t>科学</t>
        </is>
      </c>
      <c r="Q8" s="12" t="n">
        <v>35</v>
      </c>
      <c r="R8" s="12" t="n">
        <v>2</v>
      </c>
      <c r="S8" s="12" t="inlineStr">
        <is>
          <t>3松</t>
        </is>
      </c>
      <c r="T8" s="12" t="inlineStr">
        <is>
          <t>理科室</t>
        </is>
      </c>
      <c r="Y8" s="8">
        <f>IF(F8="","",E8&amp;"-"&amp;F8)</f>
        <v/>
      </c>
      <c r="Z8" s="8">
        <f>IF(K8="","",J8&amp;"-"&amp;K8)</f>
        <v/>
      </c>
    </row>
    <row r="9">
      <c r="A9" s="11" t="inlineStr">
        <is>
          <t>中の学年</t>
        </is>
      </c>
      <c r="B9" s="12" t="n">
        <v>5</v>
      </c>
      <c r="C9" s="11">
        <f>IF(B9="","",B9-1)</f>
        <v/>
      </c>
      <c r="E9" s="11">
        <f>$C$8</f>
        <v/>
      </c>
      <c r="F9" s="12" t="inlineStr">
        <is>
          <t>竹</t>
        </is>
      </c>
      <c r="G9" s="12">
        <f>IF(F9="","",E9&amp;F9)</f>
        <v/>
      </c>
      <c r="H9" s="12" t="inlineStr">
        <is>
          <t>青</t>
        </is>
      </c>
      <c r="J9" s="11">
        <f>$B$8</f>
        <v/>
      </c>
      <c r="K9" s="12" t="inlineStr">
        <is>
          <t>竹</t>
        </is>
      </c>
      <c r="L9" s="12">
        <f>IF(K9="","",J9&amp;K9)</f>
        <v/>
      </c>
      <c r="M9" s="12" t="inlineStr">
        <is>
          <t>青</t>
        </is>
      </c>
      <c r="O9" s="11" t="n">
        <v>2</v>
      </c>
      <c r="P9" s="12" t="inlineStr">
        <is>
          <t>料理</t>
        </is>
      </c>
      <c r="Q9" s="12" t="n">
        <v>35</v>
      </c>
      <c r="R9" s="12" t="n">
        <v>2</v>
      </c>
      <c r="S9" s="12" t="inlineStr">
        <is>
          <t>5竹</t>
        </is>
      </c>
      <c r="T9" s="12" t="inlineStr">
        <is>
          <t>家庭科室</t>
        </is>
      </c>
      <c r="Y9" s="8">
        <f>IF(F9="","",E9&amp;"-"&amp;F9)</f>
        <v/>
      </c>
      <c r="Z9" s="8">
        <f>IF(K9="","",J9&amp;"-"&amp;K9)</f>
        <v/>
      </c>
    </row>
    <row r="10">
      <c r="A10" s="11" t="inlineStr">
        <is>
          <t>下の学年</t>
        </is>
      </c>
      <c r="B10" s="12" t="n">
        <v>4</v>
      </c>
      <c r="C10" s="11">
        <f>IF(B10="","",B10-1)</f>
        <v/>
      </c>
      <c r="E10" s="11">
        <f>$C$8</f>
        <v/>
      </c>
      <c r="F10" s="12" t="inlineStr">
        <is>
          <t>梅</t>
        </is>
      </c>
      <c r="G10" s="12">
        <f>IF(F10="","",E10&amp;F10)</f>
        <v/>
      </c>
      <c r="H10" s="12" t="inlineStr">
        <is>
          <t>赤</t>
        </is>
      </c>
      <c r="J10" s="11">
        <f>$B$8</f>
        <v/>
      </c>
      <c r="K10" s="12" t="inlineStr">
        <is>
          <t>梅</t>
        </is>
      </c>
      <c r="L10" s="12">
        <f>IF(K10="","",J10&amp;K10)</f>
        <v/>
      </c>
      <c r="M10" s="12" t="inlineStr">
        <is>
          <t>赤</t>
        </is>
      </c>
      <c r="O10" s="11" t="n">
        <v>3</v>
      </c>
      <c r="P10" s="12" t="inlineStr">
        <is>
          <t>手芸</t>
        </is>
      </c>
      <c r="Q10" s="12" t="n">
        <v>25</v>
      </c>
      <c r="R10" s="12" t="n">
        <v>0</v>
      </c>
      <c r="S10" s="12" t="inlineStr">
        <is>
          <t>4梅</t>
        </is>
      </c>
      <c r="T10" s="12" t="inlineStr">
        <is>
          <t>図工室</t>
        </is>
      </c>
      <c r="Y10" s="8">
        <f>IF(F10="","",E10&amp;"-"&amp;F10)</f>
        <v/>
      </c>
      <c r="Z10" s="8">
        <f>IF(K10="","",J10&amp;"-"&amp;K10)</f>
        <v/>
      </c>
    </row>
    <row r="11">
      <c r="E11" s="11">
        <f>$C$8</f>
        <v/>
      </c>
      <c r="F11" s="12" t="inlineStr">
        <is>
          <t>月</t>
        </is>
      </c>
      <c r="G11" s="12">
        <f>IF(F11="","",E11&amp;F11)</f>
        <v/>
      </c>
      <c r="H11" s="12" t="inlineStr">
        <is>
          <t>黄</t>
        </is>
      </c>
      <c r="J11" s="11">
        <f>$B$8</f>
        <v/>
      </c>
      <c r="K11" s="12" t="inlineStr">
        <is>
          <t>月</t>
        </is>
      </c>
      <c r="L11" s="12">
        <f>IF(K11="","",J11&amp;K11)</f>
        <v/>
      </c>
      <c r="M11" s="12" t="inlineStr">
        <is>
          <t>黄</t>
        </is>
      </c>
      <c r="O11" s="11" t="n">
        <v>4</v>
      </c>
      <c r="P11" s="12" t="inlineStr">
        <is>
          <t>イラスト</t>
        </is>
      </c>
      <c r="Q11" s="12" t="n">
        <v>35</v>
      </c>
      <c r="R11" s="12" t="n">
        <v>2</v>
      </c>
      <c r="S11" s="12" t="inlineStr">
        <is>
          <t>6月</t>
        </is>
      </c>
      <c r="T11" s="12" t="inlineStr">
        <is>
          <t>多目的室</t>
        </is>
      </c>
      <c r="Y11" s="8">
        <f>IF(F11="","",E11&amp;"-"&amp;F11)</f>
        <v/>
      </c>
      <c r="Z11" s="8">
        <f>IF(K11="","",J11&amp;"-"&amp;K11)</f>
        <v/>
      </c>
    </row>
    <row r="12">
      <c r="A12" s="8" t="inlineStr">
        <is>
          <t>※ 前年度の学年は自動で1つ下になります。</t>
        </is>
      </c>
      <c r="E12" s="11">
        <f>$C$8</f>
        <v/>
      </c>
      <c r="F12" s="12" t="n"/>
      <c r="G12" s="12">
        <f>IF(F12="","",E12&amp;F12)</f>
        <v/>
      </c>
      <c r="H12" s="12" t="n"/>
      <c r="J12" s="11">
        <f>$B$8</f>
        <v/>
      </c>
      <c r="K12" s="12" t="n"/>
      <c r="L12" s="12">
        <f>IF(K12="","",J12&amp;K12)</f>
        <v/>
      </c>
      <c r="M12" s="12" t="n"/>
      <c r="O12" s="11" t="n">
        <v>5</v>
      </c>
      <c r="P12" s="12" t="inlineStr">
        <is>
          <t>卓球</t>
        </is>
      </c>
      <c r="Q12" s="12" t="n">
        <v>30</v>
      </c>
      <c r="R12" s="12" t="n">
        <v>2</v>
      </c>
      <c r="S12" s="12" t="inlineStr">
        <is>
          <t>4松</t>
        </is>
      </c>
      <c r="T12" s="12" t="inlineStr">
        <is>
          <t>体育館ステージ</t>
        </is>
      </c>
      <c r="Y12" s="8">
        <f>IF(F12="","",E12&amp;"-"&amp;F12)</f>
        <v/>
      </c>
      <c r="Z12" s="8">
        <f>IF(K12="","",J12&amp;"-"&amp;K12)</f>
        <v/>
      </c>
    </row>
    <row r="13">
      <c r="E13" s="11">
        <f>$C$8</f>
        <v/>
      </c>
      <c r="F13" s="12" t="n"/>
      <c r="G13" s="12">
        <f>IF(F13="","",E13&amp;F13)</f>
        <v/>
      </c>
      <c r="H13" s="12" t="n"/>
      <c r="J13" s="11">
        <f>$B$8</f>
        <v/>
      </c>
      <c r="K13" s="12" t="n"/>
      <c r="L13" s="12">
        <f>IF(K13="","",J13&amp;K13)</f>
        <v/>
      </c>
      <c r="M13" s="12" t="n"/>
      <c r="O13" s="11" t="n">
        <v>6</v>
      </c>
      <c r="P13" s="12" t="inlineStr">
        <is>
          <t>バドミントン</t>
        </is>
      </c>
      <c r="Q13" s="12" t="n">
        <v>30</v>
      </c>
      <c r="R13" s="12" t="n">
        <v>2</v>
      </c>
      <c r="S13" s="12" t="inlineStr">
        <is>
          <t>6竹</t>
        </is>
      </c>
      <c r="T13" s="12" t="inlineStr">
        <is>
          <t>体育館</t>
        </is>
      </c>
      <c r="Y13" s="8">
        <f>IF(F13="","",E13&amp;"-"&amp;F13)</f>
        <v/>
      </c>
      <c r="Z13" s="8">
        <f>IF(K13="","",J13&amp;"-"&amp;K13)</f>
        <v/>
      </c>
    </row>
    <row r="14">
      <c r="A14" s="5" t="inlineStr">
        <is>
          <t>上の学年から優先</t>
        </is>
      </c>
      <c r="C14" s="13" t="inlineStr">
        <is>
          <t>〇</t>
        </is>
      </c>
      <c r="E14" s="11">
        <f>$C$8</f>
        <v/>
      </c>
      <c r="F14" s="12" t="n"/>
      <c r="G14" s="12">
        <f>IF(F14="","",E14&amp;F14)</f>
        <v/>
      </c>
      <c r="H14" s="12" t="n"/>
      <c r="J14" s="11">
        <f>$B$8</f>
        <v/>
      </c>
      <c r="K14" s="12" t="n"/>
      <c r="L14" s="12">
        <f>IF(K14="","",J14&amp;K14)</f>
        <v/>
      </c>
      <c r="M14" s="12" t="n"/>
      <c r="O14" s="11" t="n">
        <v>7</v>
      </c>
      <c r="P14" s="12" t="inlineStr">
        <is>
          <t>サッカー</t>
        </is>
      </c>
      <c r="Q14" s="12" t="n">
        <v>40</v>
      </c>
      <c r="R14" s="12" t="n">
        <v>3</v>
      </c>
      <c r="S14" s="12" t="inlineStr">
        <is>
          <t>5松</t>
        </is>
      </c>
      <c r="T14" s="12" t="inlineStr">
        <is>
          <t>運動場</t>
        </is>
      </c>
      <c r="Y14" s="8">
        <f>IF(F14="","",E14&amp;"-"&amp;F14)</f>
        <v/>
      </c>
      <c r="Z14" s="8">
        <f>IF(K14="","",J14&amp;"-"&amp;K14)</f>
        <v/>
      </c>
    </row>
    <row r="15">
      <c r="A15" s="14" t="inlineStr">
        <is>
          <t>（6年→5年→4年）</t>
        </is>
      </c>
      <c r="E15" s="11">
        <f>$C$8</f>
        <v/>
      </c>
      <c r="F15" s="12" t="n"/>
      <c r="G15" s="12">
        <f>IF(F15="","",E15&amp;F15)</f>
        <v/>
      </c>
      <c r="H15" s="12" t="n"/>
      <c r="J15" s="11">
        <f>$B$8</f>
        <v/>
      </c>
      <c r="K15" s="12" t="n"/>
      <c r="L15" s="12">
        <f>IF(K15="","",J15&amp;K15)</f>
        <v/>
      </c>
      <c r="M15" s="12" t="n"/>
      <c r="O15" s="11" t="n">
        <v>8</v>
      </c>
      <c r="P15" s="12" t="inlineStr">
        <is>
          <t>バスケットボール</t>
        </is>
      </c>
      <c r="Q15" s="12" t="n">
        <v>35</v>
      </c>
      <c r="R15" s="12" t="n">
        <v>2</v>
      </c>
      <c r="S15" s="12" t="inlineStr">
        <is>
          <t>6松</t>
        </is>
      </c>
      <c r="T15" s="12" t="inlineStr">
        <is>
          <t>体育館</t>
        </is>
      </c>
      <c r="Y15" s="8">
        <f>IF(F15="","",E15&amp;"-"&amp;F15)</f>
        <v/>
      </c>
      <c r="Z15" s="8">
        <f>IF(K15="","",J15&amp;"-"&amp;K15)</f>
        <v/>
      </c>
    </row>
    <row r="16">
      <c r="A16" s="8" t="inlineStr">
        <is>
          <t>※ 〇を入れると、上の学年から順に「定員＋融通」の枠を埋めます。空欄なら全学年まとめて判定します。</t>
        </is>
      </c>
      <c r="E16" s="11">
        <f>$C$9</f>
        <v/>
      </c>
      <c r="F16" s="12" t="inlineStr">
        <is>
          <t>松</t>
        </is>
      </c>
      <c r="G16" s="12">
        <f>IF(F16="","",E16&amp;F16)</f>
        <v/>
      </c>
      <c r="H16" s="12" t="inlineStr">
        <is>
          <t>緑</t>
        </is>
      </c>
      <c r="J16" s="11">
        <f>$B$9</f>
        <v/>
      </c>
      <c r="K16" s="12" t="inlineStr">
        <is>
          <t>松</t>
        </is>
      </c>
      <c r="L16" s="12">
        <f>IF(K16="","",J16&amp;K16)</f>
        <v/>
      </c>
      <c r="M16" s="12" t="inlineStr">
        <is>
          <t>緑</t>
        </is>
      </c>
      <c r="O16" s="11" t="n">
        <v>9</v>
      </c>
      <c r="P16" s="12" t="inlineStr">
        <is>
          <t>将棋囲碁</t>
        </is>
      </c>
      <c r="Q16" s="12" t="n">
        <v>25</v>
      </c>
      <c r="R16" s="12" t="n">
        <v>2</v>
      </c>
      <c r="S16" s="12" t="inlineStr">
        <is>
          <t>3竹</t>
        </is>
      </c>
      <c r="T16" s="12" t="inlineStr">
        <is>
          <t>会議室</t>
        </is>
      </c>
      <c r="Y16" s="8">
        <f>IF(F16="","",E16&amp;"-"&amp;F16)</f>
        <v/>
      </c>
      <c r="Z16" s="8">
        <f>IF(K16="","",J16&amp;"-"&amp;K16)</f>
        <v/>
      </c>
    </row>
    <row r="17">
      <c r="E17" s="11">
        <f>$C$9</f>
        <v/>
      </c>
      <c r="F17" s="12" t="inlineStr">
        <is>
          <t>竹</t>
        </is>
      </c>
      <c r="G17" s="12">
        <f>IF(F17="","",E17&amp;F17)</f>
        <v/>
      </c>
      <c r="H17" s="12" t="inlineStr">
        <is>
          <t>青</t>
        </is>
      </c>
      <c r="J17" s="11">
        <f>$B$9</f>
        <v/>
      </c>
      <c r="K17" s="12" t="inlineStr">
        <is>
          <t>竹</t>
        </is>
      </c>
      <c r="L17" s="12">
        <f>IF(K17="","",J17&amp;K17)</f>
        <v/>
      </c>
      <c r="M17" s="12" t="inlineStr">
        <is>
          <t>青</t>
        </is>
      </c>
      <c r="O17" s="11" t="n">
        <v>10</v>
      </c>
      <c r="P17" s="12" t="inlineStr">
        <is>
          <t>パソコン</t>
        </is>
      </c>
      <c r="Q17" s="12" t="n">
        <v>40</v>
      </c>
      <c r="R17" s="12" t="n">
        <v>2</v>
      </c>
      <c r="S17" s="12" t="inlineStr">
        <is>
          <t>5梅</t>
        </is>
      </c>
      <c r="T17" s="12" t="inlineStr">
        <is>
          <t>パソコン室</t>
        </is>
      </c>
      <c r="Y17" s="8">
        <f>IF(F17="","",E17&amp;"-"&amp;F17)</f>
        <v/>
      </c>
      <c r="Z17" s="8">
        <f>IF(K17="","",J17&amp;"-"&amp;K17)</f>
        <v/>
      </c>
    </row>
    <row r="18">
      <c r="A18" s="5" t="inlineStr">
        <is>
          <t>希望調査用紙の注意書き</t>
        </is>
      </c>
      <c r="E18" s="11">
        <f>$C$9</f>
        <v/>
      </c>
      <c r="F18" s="12" t="inlineStr">
        <is>
          <t>梅</t>
        </is>
      </c>
      <c r="G18" s="12">
        <f>IF(F18="","",E18&amp;F18)</f>
        <v/>
      </c>
      <c r="H18" s="12" t="inlineStr">
        <is>
          <t>赤</t>
        </is>
      </c>
      <c r="J18" s="11">
        <f>$B$9</f>
        <v/>
      </c>
      <c r="K18" s="12" t="inlineStr">
        <is>
          <t>梅</t>
        </is>
      </c>
      <c r="L18" s="12">
        <f>IF(K18="","",J18&amp;K18)</f>
        <v/>
      </c>
      <c r="M18" s="12" t="inlineStr">
        <is>
          <t>赤</t>
        </is>
      </c>
      <c r="O18" s="11" t="n">
        <v>11</v>
      </c>
      <c r="P18" s="12" t="inlineStr">
        <is>
          <t>音楽</t>
        </is>
      </c>
      <c r="Q18" s="12" t="n">
        <v>30</v>
      </c>
      <c r="R18" s="12" t="n">
        <v>2</v>
      </c>
      <c r="S18" s="12" t="inlineStr">
        <is>
          <t>4月</t>
        </is>
      </c>
      <c r="T18" s="12" t="inlineStr">
        <is>
          <t>音楽室</t>
        </is>
      </c>
      <c r="Y18" s="8">
        <f>IF(F18="","",E18&amp;"-"&amp;F18)</f>
        <v/>
      </c>
      <c r="Z18" s="8">
        <f>IF(K18="","",J18&amp;"-"&amp;K18)</f>
        <v/>
      </c>
    </row>
    <row r="19">
      <c r="A19" s="15" t="inlineStr">
        <is>
          <t>必ずしも第1希望が通るわけではありません。</t>
        </is>
      </c>
      <c r="B19" s="16" t="n"/>
      <c r="C19" s="16" t="n"/>
      <c r="E19" s="11">
        <f>$C$9</f>
        <v/>
      </c>
      <c r="F19" s="12" t="inlineStr">
        <is>
          <t>月</t>
        </is>
      </c>
      <c r="G19" s="12">
        <f>IF(F19="","",E19&amp;F19)</f>
        <v/>
      </c>
      <c r="H19" s="12" t="inlineStr">
        <is>
          <t>黄</t>
        </is>
      </c>
      <c r="J19" s="11">
        <f>$B$9</f>
        <v/>
      </c>
      <c r="K19" s="12" t="inlineStr">
        <is>
          <t>月</t>
        </is>
      </c>
      <c r="L19" s="12">
        <f>IF(K19="","",J19&amp;K19)</f>
        <v/>
      </c>
      <c r="M19" s="12" t="inlineStr">
        <is>
          <t>黄</t>
        </is>
      </c>
      <c r="O19" s="11" t="n">
        <v>12</v>
      </c>
      <c r="P19" s="12" t="inlineStr">
        <is>
          <t>室内ゲーム</t>
        </is>
      </c>
      <c r="Q19" s="12" t="n">
        <v>40</v>
      </c>
      <c r="R19" s="12" t="n">
        <v>2</v>
      </c>
      <c r="S19" s="12" t="inlineStr">
        <is>
          <t>6梅</t>
        </is>
      </c>
      <c r="T19" s="12" t="inlineStr">
        <is>
          <t>学習室</t>
        </is>
      </c>
      <c r="Y19" s="8">
        <f>IF(F19="","",E19&amp;"-"&amp;F19)</f>
        <v/>
      </c>
      <c r="Z19" s="8">
        <f>IF(K19="","",J19&amp;"-"&amp;K19)</f>
        <v/>
      </c>
    </row>
    <row r="20">
      <c r="A20" s="16" t="n"/>
      <c r="B20" s="16" t="n"/>
      <c r="C20" s="16" t="n"/>
      <c r="E20" s="11">
        <f>$C$9</f>
        <v/>
      </c>
      <c r="F20" s="12" t="n"/>
      <c r="G20" s="12">
        <f>IF(F20="","",E20&amp;F20)</f>
        <v/>
      </c>
      <c r="H20" s="12" t="n"/>
      <c r="J20" s="11">
        <f>$B$9</f>
        <v/>
      </c>
      <c r="K20" s="12" t="n"/>
      <c r="L20" s="12">
        <f>IF(K20="","",J20&amp;K20)</f>
        <v/>
      </c>
      <c r="M20" s="12" t="n"/>
      <c r="O20" s="11" t="n">
        <v>13</v>
      </c>
      <c r="P20" s="12" t="n"/>
      <c r="Q20" s="12" t="n"/>
      <c r="R20" s="12" t="n"/>
      <c r="S20" s="12" t="n"/>
      <c r="T20" s="12" t="n"/>
      <c r="Y20" s="8">
        <f>IF(F20="","",E20&amp;"-"&amp;F20)</f>
        <v/>
      </c>
      <c r="Z20" s="8">
        <f>IF(K20="","",J20&amp;"-"&amp;K20)</f>
        <v/>
      </c>
    </row>
    <row r="21">
      <c r="A21" s="16" t="n"/>
      <c r="B21" s="16" t="n"/>
      <c r="C21" s="16" t="n"/>
      <c r="E21" s="11">
        <f>$C$9</f>
        <v/>
      </c>
      <c r="F21" s="12" t="n"/>
      <c r="G21" s="12">
        <f>IF(F21="","",E21&amp;F21)</f>
        <v/>
      </c>
      <c r="H21" s="12" t="n"/>
      <c r="J21" s="11">
        <f>$B$9</f>
        <v/>
      </c>
      <c r="K21" s="12" t="n"/>
      <c r="L21" s="12">
        <f>IF(K21="","",J21&amp;K21)</f>
        <v/>
      </c>
      <c r="M21" s="12" t="n"/>
      <c r="O21" s="11" t="n">
        <v>14</v>
      </c>
      <c r="P21" s="12" t="n"/>
      <c r="Q21" s="12" t="n"/>
      <c r="R21" s="12" t="n"/>
      <c r="S21" s="12" t="n"/>
      <c r="T21" s="12" t="n"/>
      <c r="Y21" s="8">
        <f>IF(F21="","",E21&amp;"-"&amp;F21)</f>
        <v/>
      </c>
      <c r="Z21" s="8">
        <f>IF(K21="","",J21&amp;"-"&amp;K21)</f>
        <v/>
      </c>
    </row>
    <row r="22">
      <c r="A22" s="16" t="n"/>
      <c r="B22" s="16" t="n"/>
      <c r="C22" s="16" t="n"/>
      <c r="E22" s="11">
        <f>$C$9</f>
        <v/>
      </c>
      <c r="F22" s="12" t="n"/>
      <c r="G22" s="12">
        <f>IF(F22="","",E22&amp;F22)</f>
        <v/>
      </c>
      <c r="H22" s="12" t="n"/>
      <c r="J22" s="11">
        <f>$B$9</f>
        <v/>
      </c>
      <c r="K22" s="12" t="n"/>
      <c r="L22" s="12">
        <f>IF(K22="","",J22&amp;K22)</f>
        <v/>
      </c>
      <c r="M22" s="12" t="n"/>
      <c r="O22" s="11" t="n">
        <v>15</v>
      </c>
      <c r="P22" s="12" t="n"/>
      <c r="Q22" s="12" t="n"/>
      <c r="R22" s="12" t="n"/>
      <c r="S22" s="12" t="n"/>
      <c r="T22" s="12" t="n"/>
      <c r="Y22" s="8">
        <f>IF(F22="","",E22&amp;"-"&amp;F22)</f>
        <v/>
      </c>
      <c r="Z22" s="8">
        <f>IF(K22="","",J22&amp;"-"&amp;K22)</f>
        <v/>
      </c>
    </row>
    <row r="23">
      <c r="E23" s="11">
        <f>$C$9</f>
        <v/>
      </c>
      <c r="F23" s="12" t="n"/>
      <c r="G23" s="12">
        <f>IF(F23="","",E23&amp;F23)</f>
        <v/>
      </c>
      <c r="H23" s="12" t="n"/>
      <c r="J23" s="11">
        <f>$B$9</f>
        <v/>
      </c>
      <c r="K23" s="12" t="n"/>
      <c r="L23" s="12">
        <f>IF(K23="","",J23&amp;K23)</f>
        <v/>
      </c>
      <c r="M23" s="12" t="n"/>
      <c r="O23" s="11" t="n">
        <v>16</v>
      </c>
      <c r="P23" s="12" t="n"/>
      <c r="Q23" s="12" t="n"/>
      <c r="R23" s="12" t="n"/>
      <c r="S23" s="12" t="n"/>
      <c r="T23" s="12" t="n"/>
      <c r="Y23" s="8">
        <f>IF(F23="","",E23&amp;"-"&amp;F23)</f>
        <v/>
      </c>
      <c r="Z23" s="8">
        <f>IF(K23="","",J23&amp;"-"&amp;K23)</f>
        <v/>
      </c>
    </row>
    <row r="24">
      <c r="E24" s="11">
        <f>$C$10</f>
        <v/>
      </c>
      <c r="F24" s="12" t="inlineStr">
        <is>
          <t>松</t>
        </is>
      </c>
      <c r="G24" s="12">
        <f>IF(F24="","",E24&amp;F24)</f>
        <v/>
      </c>
      <c r="H24" s="12" t="inlineStr">
        <is>
          <t>緑</t>
        </is>
      </c>
      <c r="J24" s="11">
        <f>$B$10</f>
        <v/>
      </c>
      <c r="K24" s="12" t="inlineStr">
        <is>
          <t>松</t>
        </is>
      </c>
      <c r="L24" s="12">
        <f>IF(K24="","",J24&amp;K24)</f>
        <v/>
      </c>
      <c r="M24" s="12" t="inlineStr">
        <is>
          <t>緑</t>
        </is>
      </c>
      <c r="O24" s="11" t="n">
        <v>17</v>
      </c>
      <c r="P24" s="12" t="n"/>
      <c r="Q24" s="12" t="n"/>
      <c r="R24" s="12" t="n"/>
      <c r="S24" s="12" t="n"/>
      <c r="T24" s="12" t="n"/>
      <c r="Y24" s="8">
        <f>IF(F24="","",E24&amp;"-"&amp;F24)</f>
        <v/>
      </c>
      <c r="Z24" s="8">
        <f>IF(K24="","",J24&amp;"-"&amp;K24)</f>
        <v/>
      </c>
    </row>
    <row r="25">
      <c r="E25" s="11">
        <f>$C$10</f>
        <v/>
      </c>
      <c r="F25" s="12" t="inlineStr">
        <is>
          <t>竹</t>
        </is>
      </c>
      <c r="G25" s="12">
        <f>IF(F25="","",E25&amp;F25)</f>
        <v/>
      </c>
      <c r="H25" s="12" t="inlineStr">
        <is>
          <t>青</t>
        </is>
      </c>
      <c r="J25" s="11">
        <f>$B$10</f>
        <v/>
      </c>
      <c r="K25" s="12" t="inlineStr">
        <is>
          <t>竹</t>
        </is>
      </c>
      <c r="L25" s="12">
        <f>IF(K25="","",J25&amp;K25)</f>
        <v/>
      </c>
      <c r="M25" s="12" t="inlineStr">
        <is>
          <t>青</t>
        </is>
      </c>
      <c r="O25" s="11" t="n">
        <v>18</v>
      </c>
      <c r="P25" s="12" t="n"/>
      <c r="Q25" s="12" t="n"/>
      <c r="R25" s="12" t="n"/>
      <c r="S25" s="12" t="n"/>
      <c r="T25" s="12" t="n"/>
      <c r="Y25" s="8">
        <f>IF(F25="","",E25&amp;"-"&amp;F25)</f>
        <v/>
      </c>
      <c r="Z25" s="8">
        <f>IF(K25="","",J25&amp;"-"&amp;K25)</f>
        <v/>
      </c>
    </row>
    <row r="26">
      <c r="E26" s="11">
        <f>$C$10</f>
        <v/>
      </c>
      <c r="F26" s="12" t="inlineStr">
        <is>
          <t>梅</t>
        </is>
      </c>
      <c r="G26" s="12">
        <f>IF(F26="","",E26&amp;F26)</f>
        <v/>
      </c>
      <c r="H26" s="12" t="inlineStr">
        <is>
          <t>赤</t>
        </is>
      </c>
      <c r="J26" s="11">
        <f>$B$10</f>
        <v/>
      </c>
      <c r="K26" s="12" t="inlineStr">
        <is>
          <t>梅</t>
        </is>
      </c>
      <c r="L26" s="12">
        <f>IF(K26="","",J26&amp;K26)</f>
        <v/>
      </c>
      <c r="M26" s="12" t="inlineStr">
        <is>
          <t>赤</t>
        </is>
      </c>
      <c r="O26" s="11" t="n">
        <v>19</v>
      </c>
      <c r="P26" s="12" t="n"/>
      <c r="Q26" s="12" t="n"/>
      <c r="R26" s="12" t="n"/>
      <c r="S26" s="12" t="n"/>
      <c r="T26" s="12" t="n"/>
      <c r="Y26" s="8">
        <f>IF(F26="","",E26&amp;"-"&amp;F26)</f>
        <v/>
      </c>
      <c r="Z26" s="8">
        <f>IF(K26="","",J26&amp;"-"&amp;K26)</f>
        <v/>
      </c>
    </row>
    <row r="27">
      <c r="E27" s="11">
        <f>$C$10</f>
        <v/>
      </c>
      <c r="F27" s="12" t="inlineStr">
        <is>
          <t>月</t>
        </is>
      </c>
      <c r="G27" s="12">
        <f>IF(F27="","",E27&amp;F27)</f>
        <v/>
      </c>
      <c r="H27" s="12" t="inlineStr">
        <is>
          <t>黄</t>
        </is>
      </c>
      <c r="J27" s="11">
        <f>$B$10</f>
        <v/>
      </c>
      <c r="K27" s="12" t="inlineStr">
        <is>
          <t>月</t>
        </is>
      </c>
      <c r="L27" s="12">
        <f>IF(K27="","",J27&amp;K27)</f>
        <v/>
      </c>
      <c r="M27" s="12" t="inlineStr">
        <is>
          <t>黄</t>
        </is>
      </c>
      <c r="O27" s="11" t="n">
        <v>20</v>
      </c>
      <c r="P27" s="12" t="n"/>
      <c r="Q27" s="12" t="n"/>
      <c r="R27" s="12" t="n"/>
      <c r="S27" s="12" t="n"/>
      <c r="T27" s="12" t="n"/>
      <c r="Y27" s="8">
        <f>IF(F27="","",E27&amp;"-"&amp;F27)</f>
        <v/>
      </c>
      <c r="Z27" s="8">
        <f>IF(K27="","",J27&amp;"-"&amp;K27)</f>
        <v/>
      </c>
    </row>
    <row r="28">
      <c r="E28" s="11">
        <f>$C$10</f>
        <v/>
      </c>
      <c r="F28" s="12" t="n"/>
      <c r="G28" s="12">
        <f>IF(F28="","",E28&amp;F28)</f>
        <v/>
      </c>
      <c r="H28" s="12" t="n"/>
      <c r="J28" s="11">
        <f>$B$10</f>
        <v/>
      </c>
      <c r="K28" s="12" t="n"/>
      <c r="L28" s="12">
        <f>IF(K28="","",J28&amp;K28)</f>
        <v/>
      </c>
      <c r="M28" s="12" t="n"/>
      <c r="O28" s="8">
        <f>" 定員の合計："&amp;SUM(Q8:Q27)&amp;"人"</f>
        <v/>
      </c>
      <c r="Y28" s="8">
        <f>IF(F28="","",E28&amp;"-"&amp;F28)</f>
        <v/>
      </c>
      <c r="Z28" s="8">
        <f>IF(K28="","",J28&amp;"-"&amp;K28)</f>
        <v/>
      </c>
    </row>
    <row r="29">
      <c r="E29" s="11">
        <f>$C$10</f>
        <v/>
      </c>
      <c r="F29" s="12" t="n"/>
      <c r="G29" s="12">
        <f>IF(F29="","",E29&amp;F29)</f>
        <v/>
      </c>
      <c r="H29" s="12" t="n"/>
      <c r="J29" s="11">
        <f>$B$10</f>
        <v/>
      </c>
      <c r="K29" s="12" t="n"/>
      <c r="L29" s="12">
        <f>IF(K29="","",J29&amp;K29)</f>
        <v/>
      </c>
      <c r="M29" s="12" t="n"/>
      <c r="O29" s="8" t="inlineStr">
        <is>
          <t>※「融通」は、定員を何人まで超えてもよいかです（空欄は0人）。「定員＋融通」までなら自動で決定になります。</t>
        </is>
      </c>
      <c r="Y29" s="8">
        <f>IF(F29="","",E29&amp;"-"&amp;F29)</f>
        <v/>
      </c>
      <c r="Z29" s="8">
        <f>IF(K29="","",J29&amp;"-"&amp;K29)</f>
        <v/>
      </c>
    </row>
    <row r="30">
      <c r="E30" s="11">
        <f>$C$10</f>
        <v/>
      </c>
      <c r="F30" s="12" t="n"/>
      <c r="G30" s="12">
        <f>IF(F30="","",E30&amp;F30)</f>
        <v/>
      </c>
      <c r="H30" s="12" t="n"/>
      <c r="J30" s="11">
        <f>$B$10</f>
        <v/>
      </c>
      <c r="K30" s="12" t="n"/>
      <c r="L30" s="12">
        <f>IF(K30="","",J30&amp;K30)</f>
        <v/>
      </c>
      <c r="M30" s="12" t="n"/>
      <c r="O30" s="17" t="inlineStr">
        <is>
          <t>※ No. は希望調査用紙のクラブ番号です。用紙を配ったあとは、クラブの順番を入れかえないでください。</t>
        </is>
      </c>
      <c r="Y30" s="8">
        <f>IF(F30="","",E30&amp;"-"&amp;F30)</f>
        <v/>
      </c>
      <c r="Z30" s="8">
        <f>IF(K30="","",J30&amp;"-"&amp;K30)</f>
        <v/>
      </c>
    </row>
    <row r="31">
      <c r="E31" s="11">
        <f>$C$10</f>
        <v/>
      </c>
      <c r="F31" s="12" t="n"/>
      <c r="G31" s="12">
        <f>IF(F31="","",E31&amp;F31)</f>
        <v/>
      </c>
      <c r="H31" s="12" t="n"/>
      <c r="J31" s="11">
        <f>$B$10</f>
        <v/>
      </c>
      <c r="K31" s="12" t="n"/>
      <c r="L31" s="12">
        <f>IF(K31="","",J31&amp;K31)</f>
        <v/>
      </c>
      <c r="M31" s="12" t="n"/>
      <c r="Y31" s="8">
        <f>IF(F31="","",E31&amp;"-"&amp;F31)</f>
        <v/>
      </c>
      <c r="Z31" s="8">
        <f>IF(K31="","",J31&amp;"-"&amp;K31)</f>
        <v/>
      </c>
    </row>
    <row r="33">
      <c r="E33" s="8" t="inlineStr">
        <is>
          <t>※ 上から名簿の並び順です（学年ごとに8行）。「名簿での表示」は「5-1」などに書きかえてもかまいません。</t>
        </is>
      </c>
    </row>
    <row r="34">
      <c r="E34" s="8" t="inlineStr">
        <is>
          <t>※「色」はプルダウンで選びます。名簿の組の文字がその色になります（空欄なら黒）。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B3:C3"/>
    <mergeCell ref="A19:C22"/>
  </mergeCells>
  <conditionalFormatting sqref="F8:G31">
    <cfRule type="expression" priority="1" dxfId="0">
      <formula>$H8="黒"</formula>
    </cfRule>
    <cfRule type="expression" priority="2" dxfId="1">
      <formula>$H8="赤"</formula>
    </cfRule>
    <cfRule type="expression" priority="3" dxfId="2">
      <formula>$H8="青"</formula>
    </cfRule>
    <cfRule type="expression" priority="4" dxfId="3">
      <formula>$H8="緑"</formula>
    </cfRule>
    <cfRule type="expression" priority="5" dxfId="4">
      <formula>$H8="黄"</formula>
    </cfRule>
    <cfRule type="expression" priority="6" dxfId="5">
      <formula>$H8="橙"</formula>
    </cfRule>
    <cfRule type="expression" priority="7" dxfId="6">
      <formula>$H8="紫"</formula>
    </cfRule>
    <cfRule type="expression" priority="8" dxfId="7">
      <formula>$H8="茶"</formula>
    </cfRule>
  </conditionalFormatting>
  <conditionalFormatting sqref="K8:L31">
    <cfRule type="expression" priority="9" dxfId="0">
      <formula>$M8="黒"</formula>
    </cfRule>
    <cfRule type="expression" priority="10" dxfId="1">
      <formula>$M8="赤"</formula>
    </cfRule>
    <cfRule type="expression" priority="11" dxfId="2">
      <formula>$M8="青"</formula>
    </cfRule>
    <cfRule type="expression" priority="12" dxfId="3">
      <formula>$M8="緑"</formula>
    </cfRule>
    <cfRule type="expression" priority="13" dxfId="4">
      <formula>$M8="黄"</formula>
    </cfRule>
    <cfRule type="expression" priority="14" dxfId="5">
      <formula>$M8="橙"</formula>
    </cfRule>
    <cfRule type="expression" priority="15" dxfId="6">
      <formula>$M8="紫"</formula>
    </cfRule>
    <cfRule type="expression" priority="16" dxfId="7">
      <formula>$M8="茶"</formula>
    </cfRule>
  </conditionalFormatting>
  <conditionalFormatting sqref="P8:P27">
    <cfRule type="expression" priority="17" dxfId="8">
      <formula>AND(P8&lt;&gt;"",COUNTIF($P$8:$P$27,P8)&gt;1)</formula>
    </cfRule>
  </conditionalFormatting>
  <dataValidations count="5">
    <dataValidation sqref="H8:H31" showDropDown="0" showInputMessage="0" showErrorMessage="0" allowBlank="1" type="list">
      <formula1>"黒,赤,青,緑,黄,橙,紫,茶"</formula1>
    </dataValidation>
    <dataValidation sqref="M8:M31" showDropDown="0" showInputMessage="0" showErrorMessage="0" allowBlank="1" type="list">
      <formula1>"黒,赤,青,緑,黄,橙,紫,茶"</formula1>
    </dataValidation>
    <dataValidation sqref="Q8:Q27" showDropDown="0" showInputMessage="0" showErrorMessage="0" allowBlank="1" type="whole" operator="between">
      <formula1>0</formula1>
      <formula2>50</formula2>
    </dataValidation>
    <dataValidation sqref="R8:R27" showDropDown="0" showInputMessage="0" showErrorMessage="0" allowBlank="1" type="whole" operator="between">
      <formula1>0</formula1>
      <formula2>20</formula2>
    </dataValidation>
    <dataValidation sqref="C14" showDropDown="0" showInputMessage="0" showErrorMessage="0" allowBlank="1" type="list">
      <formula1>"〇"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22" customWidth="1" min="4" max="4"/>
    <col width="3" customWidth="1" min="5" max="5"/>
    <col width="9" customWidth="1" min="6" max="6"/>
    <col width="9" customWidth="1" min="7" max="7"/>
    <col width="22" customWidth="1" min="8" max="8"/>
    <col width="2" customWidth="1" min="9" max="9"/>
  </cols>
  <sheetData>
    <row r="1" ht="36" customHeight="1">
      <c r="B1" s="18">
        <f>設定!B3&amp;"　"&amp;設定!B4&amp;"希望調査"</f>
        <v/>
      </c>
      <c r="J1" s="19">
        <f>ROUNDUP(COUNTIF(設定!$P$8:$P$27,"?*")/2,0)</f>
        <v/>
      </c>
    </row>
    <row r="3" ht="32" customHeight="1">
      <c r="B3" s="20" t="inlineStr">
        <is>
          <t xml:space="preserve">　　　年　　　組　　　番　　名前（　　　　　　　　　　　　　　）</t>
        </is>
      </c>
    </row>
    <row r="5">
      <c r="B5" s="21">
        <f>設定!B4&amp;"一覧"</f>
        <v/>
      </c>
      <c r="C5" s="22" t="n"/>
      <c r="D5" s="22" t="n"/>
      <c r="E5" s="22" t="n"/>
      <c r="F5" s="22" t="n"/>
      <c r="G5" s="22" t="n"/>
      <c r="H5" s="23" t="n"/>
    </row>
    <row r="6" ht="24" customHeight="1">
      <c r="B6" s="24">
        <f>IF(1&gt;$J$1,"",1)</f>
        <v/>
      </c>
      <c r="C6" s="25">
        <f>IF(1&gt;$J$1,"","　"&amp;INDEX(設定!$P$8:$P$27,1))</f>
        <v/>
      </c>
      <c r="D6" s="26" t="n"/>
      <c r="E6" s="26" t="n"/>
      <c r="F6" s="27">
        <f>IF(1+$J$1&gt;COUNTIF(設定!$P$8:$P$27,"?*"),"",1+$J$1)</f>
        <v/>
      </c>
      <c r="G6" s="25">
        <f>IF(1+$J$1&gt;COUNTIF(設定!$P$8:$P$27,"?*"),"","　"&amp;INDEX(設定!$P$8:$P$27,1+$J$1))</f>
        <v/>
      </c>
      <c r="H6" s="28" t="n"/>
    </row>
    <row r="7" ht="24" customHeight="1">
      <c r="B7" s="24">
        <f>IF(2&gt;$J$1,"",2)</f>
        <v/>
      </c>
      <c r="C7" s="25">
        <f>IF(2&gt;$J$1,"","　"&amp;INDEX(設定!$P$8:$P$27,2))</f>
        <v/>
      </c>
      <c r="D7" s="26" t="n"/>
      <c r="E7" s="26" t="n"/>
      <c r="F7" s="27">
        <f>IF(2+$J$1&gt;COUNTIF(設定!$P$8:$P$27,"?*"),"",2+$J$1)</f>
        <v/>
      </c>
      <c r="G7" s="25">
        <f>IF(2+$J$1&gt;COUNTIF(設定!$P$8:$P$27,"?*"),"","　"&amp;INDEX(設定!$P$8:$P$27,2+$J$1))</f>
        <v/>
      </c>
      <c r="H7" s="28" t="n"/>
    </row>
    <row r="8" ht="24" customHeight="1">
      <c r="B8" s="24">
        <f>IF(3&gt;$J$1,"",3)</f>
        <v/>
      </c>
      <c r="C8" s="25">
        <f>IF(3&gt;$J$1,"","　"&amp;INDEX(設定!$P$8:$P$27,3))</f>
        <v/>
      </c>
      <c r="D8" s="26" t="n"/>
      <c r="E8" s="26" t="n"/>
      <c r="F8" s="27">
        <f>IF(3+$J$1&gt;COUNTIF(設定!$P$8:$P$27,"?*"),"",3+$J$1)</f>
        <v/>
      </c>
      <c r="G8" s="25">
        <f>IF(3+$J$1&gt;COUNTIF(設定!$P$8:$P$27,"?*"),"","　"&amp;INDEX(設定!$P$8:$P$27,3+$J$1))</f>
        <v/>
      </c>
      <c r="H8" s="28" t="n"/>
    </row>
    <row r="9" ht="24" customHeight="1">
      <c r="B9" s="24">
        <f>IF(4&gt;$J$1,"",4)</f>
        <v/>
      </c>
      <c r="C9" s="25">
        <f>IF(4&gt;$J$1,"","　"&amp;INDEX(設定!$P$8:$P$27,4))</f>
        <v/>
      </c>
      <c r="D9" s="26" t="n"/>
      <c r="E9" s="26" t="n"/>
      <c r="F9" s="27">
        <f>IF(4+$J$1&gt;COUNTIF(設定!$P$8:$P$27,"?*"),"",4+$J$1)</f>
        <v/>
      </c>
      <c r="G9" s="25">
        <f>IF(4+$J$1&gt;COUNTIF(設定!$P$8:$P$27,"?*"),"","　"&amp;INDEX(設定!$P$8:$P$27,4+$J$1))</f>
        <v/>
      </c>
      <c r="H9" s="28" t="n"/>
    </row>
    <row r="10" ht="24" customHeight="1">
      <c r="B10" s="24">
        <f>IF(5&gt;$J$1,"",5)</f>
        <v/>
      </c>
      <c r="C10" s="25">
        <f>IF(5&gt;$J$1,"","　"&amp;INDEX(設定!$P$8:$P$27,5))</f>
        <v/>
      </c>
      <c r="D10" s="26" t="n"/>
      <c r="E10" s="26" t="n"/>
      <c r="F10" s="27">
        <f>IF(5+$J$1&gt;COUNTIF(設定!$P$8:$P$27,"?*"),"",5+$J$1)</f>
        <v/>
      </c>
      <c r="G10" s="25">
        <f>IF(5+$J$1&gt;COUNTIF(設定!$P$8:$P$27,"?*"),"","　"&amp;INDEX(設定!$P$8:$P$27,5+$J$1))</f>
        <v/>
      </c>
      <c r="H10" s="28" t="n"/>
    </row>
    <row r="11" ht="24" customHeight="1">
      <c r="B11" s="24">
        <f>IF(6&gt;$J$1,"",6)</f>
        <v/>
      </c>
      <c r="C11" s="25">
        <f>IF(6&gt;$J$1,"","　"&amp;INDEX(設定!$P$8:$P$27,6))</f>
        <v/>
      </c>
      <c r="D11" s="26" t="n"/>
      <c r="E11" s="26" t="n"/>
      <c r="F11" s="27">
        <f>IF(6+$J$1&gt;COUNTIF(設定!$P$8:$P$27,"?*"),"",6+$J$1)</f>
        <v/>
      </c>
      <c r="G11" s="25">
        <f>IF(6+$J$1&gt;COUNTIF(設定!$P$8:$P$27,"?*"),"","　"&amp;INDEX(設定!$P$8:$P$27,6+$J$1))</f>
        <v/>
      </c>
      <c r="H11" s="28" t="n"/>
    </row>
    <row r="12" ht="24" customHeight="1">
      <c r="B12" s="24">
        <f>IF(7&gt;$J$1,"",7)</f>
        <v/>
      </c>
      <c r="C12" s="25">
        <f>IF(7&gt;$J$1,"","　"&amp;INDEX(設定!$P$8:$P$27,7))</f>
        <v/>
      </c>
      <c r="D12" s="26" t="n"/>
      <c r="E12" s="26" t="n"/>
      <c r="F12" s="27">
        <f>IF(7+$J$1&gt;COUNTIF(設定!$P$8:$P$27,"?*"),"",7+$J$1)</f>
        <v/>
      </c>
      <c r="G12" s="25">
        <f>IF(7+$J$1&gt;COUNTIF(設定!$P$8:$P$27,"?*"),"","　"&amp;INDEX(設定!$P$8:$P$27,7+$J$1))</f>
        <v/>
      </c>
      <c r="H12" s="28" t="n"/>
    </row>
    <row r="13" ht="24" customHeight="1">
      <c r="B13" s="24">
        <f>IF(8&gt;$J$1,"",8)</f>
        <v/>
      </c>
      <c r="C13" s="25">
        <f>IF(8&gt;$J$1,"","　"&amp;INDEX(設定!$P$8:$P$27,8))</f>
        <v/>
      </c>
      <c r="D13" s="26" t="n"/>
      <c r="E13" s="26" t="n"/>
      <c r="F13" s="27">
        <f>IF(8+$J$1&gt;COUNTIF(設定!$P$8:$P$27,"?*"),"",8+$J$1)</f>
        <v/>
      </c>
      <c r="G13" s="25">
        <f>IF(8+$J$1&gt;COUNTIF(設定!$P$8:$P$27,"?*"),"","　"&amp;INDEX(設定!$P$8:$P$27,8+$J$1))</f>
        <v/>
      </c>
      <c r="H13" s="28" t="n"/>
    </row>
    <row r="14" ht="24" customHeight="1">
      <c r="B14" s="24">
        <f>IF(9&gt;$J$1,"",9)</f>
        <v/>
      </c>
      <c r="C14" s="25">
        <f>IF(9&gt;$J$1,"","　"&amp;INDEX(設定!$P$8:$P$27,9))</f>
        <v/>
      </c>
      <c r="D14" s="26" t="n"/>
      <c r="E14" s="26" t="n"/>
      <c r="F14" s="27">
        <f>IF(9+$J$1&gt;COUNTIF(設定!$P$8:$P$27,"?*"),"",9+$J$1)</f>
        <v/>
      </c>
      <c r="G14" s="25">
        <f>IF(9+$J$1&gt;COUNTIF(設定!$P$8:$P$27,"?*"),"","　"&amp;INDEX(設定!$P$8:$P$27,9+$J$1))</f>
        <v/>
      </c>
      <c r="H14" s="28" t="n"/>
    </row>
    <row r="15" ht="24" customHeight="1">
      <c r="B15" s="29">
        <f>IF(10&gt;$J$1,"",10)</f>
        <v/>
      </c>
      <c r="C15" s="30">
        <f>IF(10&gt;$J$1,"","　"&amp;INDEX(設定!$P$8:$P$27,10))</f>
        <v/>
      </c>
      <c r="D15" s="31" t="n"/>
      <c r="E15" s="31" t="n"/>
      <c r="F15" s="32">
        <f>IF(10+$J$1&gt;COUNTIF(設定!$P$8:$P$27,"?*"),"",10+$J$1)</f>
        <v/>
      </c>
      <c r="G15" s="30">
        <f>IF(10+$J$1&gt;COUNTIF(設定!$P$8:$P$27,"?*"),"","　"&amp;INDEX(設定!$P$8:$P$27,10+$J$1))</f>
        <v/>
      </c>
      <c r="H15" s="33" t="n"/>
    </row>
    <row r="17">
      <c r="B17" s="34" t="inlineStr">
        <is>
          <t>希望</t>
        </is>
      </c>
    </row>
    <row r="18">
      <c r="B18" s="16" t="n"/>
      <c r="C18" s="35" t="inlineStr">
        <is>
          <t>番号</t>
        </is>
      </c>
      <c r="D18" s="35" t="inlineStr">
        <is>
          <t>クラブ名</t>
        </is>
      </c>
      <c r="E18" s="16" t="n"/>
      <c r="F18" s="16" t="n"/>
      <c r="G18" s="16" t="n"/>
      <c r="H18" s="16" t="n"/>
    </row>
    <row r="19" ht="42" customHeight="1">
      <c r="B19" s="36" t="inlineStr">
        <is>
          <t>第1希望</t>
        </is>
      </c>
      <c r="C19" s="37" t="n"/>
      <c r="D19" s="16" t="n"/>
      <c r="E19" s="16" t="n"/>
      <c r="F19" s="16" t="n"/>
      <c r="G19" s="16" t="n"/>
      <c r="H19" s="16" t="n"/>
    </row>
    <row r="20" ht="42" customHeight="1">
      <c r="B20" s="36" t="inlineStr">
        <is>
          <t>第2希望</t>
        </is>
      </c>
      <c r="C20" s="37" t="n"/>
      <c r="D20" s="16" t="n"/>
      <c r="E20" s="16" t="n"/>
      <c r="F20" s="16" t="n"/>
      <c r="G20" s="16" t="n"/>
      <c r="H20" s="16" t="n"/>
    </row>
    <row r="21" ht="42" customHeight="1">
      <c r="B21" s="36" t="inlineStr">
        <is>
          <t>第3希望</t>
        </is>
      </c>
      <c r="C21" s="37" t="n"/>
      <c r="D21" s="16" t="n"/>
      <c r="E21" s="16" t="n"/>
      <c r="F21" s="16" t="n"/>
      <c r="G21" s="16" t="n"/>
      <c r="H21" s="16" t="n"/>
    </row>
    <row r="24">
      <c r="B24" s="38">
        <f>IF(設定!A19="","","※ "&amp;設定!A19)</f>
        <v/>
      </c>
    </row>
    <row r="25"/>
    <row r="2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8">
    <mergeCell ref="G12:H12"/>
    <mergeCell ref="C6:D6"/>
    <mergeCell ref="D20:H20"/>
    <mergeCell ref="C15:D15"/>
    <mergeCell ref="G11:H11"/>
    <mergeCell ref="D19:H19"/>
    <mergeCell ref="C14:D14"/>
    <mergeCell ref="B24:H26"/>
    <mergeCell ref="G8:H8"/>
    <mergeCell ref="B5:H5"/>
    <mergeCell ref="D21:H21"/>
    <mergeCell ref="C10:D10"/>
    <mergeCell ref="G7:H7"/>
    <mergeCell ref="G10:H10"/>
    <mergeCell ref="G6:H6"/>
    <mergeCell ref="G13:H13"/>
    <mergeCell ref="C9:D9"/>
    <mergeCell ref="B3:H3"/>
    <mergeCell ref="C12:D12"/>
    <mergeCell ref="C11:D11"/>
    <mergeCell ref="G15:H15"/>
    <mergeCell ref="G14:H14"/>
    <mergeCell ref="D18:H18"/>
    <mergeCell ref="C8:D8"/>
    <mergeCell ref="C7:D7"/>
    <mergeCell ref="B1:H1"/>
    <mergeCell ref="C13:D13"/>
    <mergeCell ref="G9:H9"/>
  </mergeCells>
  <printOptions horizontalCentered="1"/>
  <pageMargins left="0.75" right="0.75" top="1" bottom="1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8" customWidth="1" min="4" max="4"/>
    <col width="3" customWidth="1" min="5" max="5"/>
    <col width="11" customWidth="1" min="6" max="6"/>
    <col width="10" customWidth="1" min="7" max="7"/>
    <col width="8" customWidth="1" min="8" max="8"/>
    <col width="18" customWidth="1" min="9" max="9"/>
    <col width="22" customWidth="1" min="10" max="10"/>
  </cols>
  <sheetData>
    <row r="1">
      <c r="A1" s="9" t="inlineStr">
        <is>
          <t>学年</t>
        </is>
      </c>
      <c r="B1" s="9" t="inlineStr">
        <is>
          <t>組</t>
        </is>
      </c>
      <c r="C1" s="9" t="inlineStr">
        <is>
          <t>番号</t>
        </is>
      </c>
      <c r="D1" s="9" t="inlineStr">
        <is>
          <t>名前</t>
        </is>
      </c>
      <c r="F1" s="39" t="inlineStr">
        <is>
          <t>キー</t>
        </is>
      </c>
      <c r="G1" s="39" t="inlineStr">
        <is>
          <t>並び順</t>
        </is>
      </c>
      <c r="H1" s="39" t="inlineStr">
        <is>
          <t>新学年</t>
        </is>
      </c>
      <c r="I1" s="39" t="inlineStr">
        <is>
          <t>名前キー</t>
        </is>
      </c>
      <c r="J1" s="39" t="inlineStr">
        <is>
          <t>チェック（自動）</t>
        </is>
      </c>
    </row>
    <row r="2">
      <c r="A2" s="40" t="n">
        <v>5</v>
      </c>
      <c r="B2" s="40" t="inlineStr">
        <is>
          <t>松</t>
        </is>
      </c>
      <c r="C2" s="40" t="n">
        <v>1</v>
      </c>
      <c r="D2" s="41" t="inlineStr">
        <is>
          <t>石井　柚葉</t>
        </is>
      </c>
      <c r="F2" s="8">
        <f>IF(D2="","",A2&amp;"-"&amp;B2&amp;"-"&amp;C2)</f>
        <v/>
      </c>
      <c r="G2" s="8">
        <f>IF(D2="","",IFERROR(MATCH(A2&amp;"-"&amp;B2,設定!$Y$8:$Y$31,0),99)*1000+C2+ROW()/1000000)</f>
        <v/>
      </c>
      <c r="H2" s="8">
        <f>IF(D2="","",A2+1)</f>
        <v/>
      </c>
      <c r="I2" s="8">
        <f>IF(D2="","",H2&amp;"|"&amp;SUBSTITUTE(SUBSTITUTE(D2," ",""),"　",""))</f>
        <v/>
      </c>
      <c r="J2" s="42">
        <f>IF(D2="","",IF(ISERROR(MATCH(A2&amp;"-"&amp;B2,設定!$Y$8:$Y$31,0)),"設定にない学年・組",IF(COUNTIF($F$2:$F$451,F2)&gt;1,"同じ学年・組・番号がいる",IF(COUNTIF($I$2:$I$451,I2)&gt;1,"同姓同名あり",""))))</f>
        <v/>
      </c>
    </row>
    <row r="3">
      <c r="A3" s="40" t="n">
        <v>5</v>
      </c>
      <c r="B3" s="40" t="inlineStr">
        <is>
          <t>松</t>
        </is>
      </c>
      <c r="C3" s="40" t="n">
        <v>2</v>
      </c>
      <c r="D3" s="41" t="inlineStr">
        <is>
          <t>金子　美月</t>
        </is>
      </c>
      <c r="F3" s="8">
        <f>IF(D3="","",A3&amp;"-"&amp;B3&amp;"-"&amp;C3)</f>
        <v/>
      </c>
      <c r="G3" s="8">
        <f>IF(D3="","",IFERROR(MATCH(A3&amp;"-"&amp;B3,設定!$Y$8:$Y$31,0),99)*1000+C3+ROW()/1000000)</f>
        <v/>
      </c>
      <c r="H3" s="8">
        <f>IF(D3="","",A3+1)</f>
        <v/>
      </c>
      <c r="I3" s="8">
        <f>IF(D3="","",H3&amp;"|"&amp;SUBSTITUTE(SUBSTITUTE(D3," ",""),"　",""))</f>
        <v/>
      </c>
      <c r="J3" s="42">
        <f>IF(D3="","",IF(ISERROR(MATCH(A3&amp;"-"&amp;B3,設定!$Y$8:$Y$31,0)),"設定にない学年・組",IF(COUNTIF($F$2:$F$451,F3)&gt;1,"同じ学年・組・番号がいる",IF(COUNTIF($I$2:$I$451,I3)&gt;1,"同姓同名あり",""))))</f>
        <v/>
      </c>
    </row>
    <row r="4">
      <c r="A4" s="40" t="n">
        <v>5</v>
      </c>
      <c r="B4" s="40" t="inlineStr">
        <is>
          <t>松</t>
        </is>
      </c>
      <c r="C4" s="40" t="n">
        <v>3</v>
      </c>
      <c r="D4" s="41" t="inlineStr">
        <is>
          <t>石井　莉子</t>
        </is>
      </c>
      <c r="F4" s="8">
        <f>IF(D4="","",A4&amp;"-"&amp;B4&amp;"-"&amp;C4)</f>
        <v/>
      </c>
      <c r="G4" s="8">
        <f>IF(D4="","",IFERROR(MATCH(A4&amp;"-"&amp;B4,設定!$Y$8:$Y$31,0),99)*1000+C4+ROW()/1000000)</f>
        <v/>
      </c>
      <c r="H4" s="8">
        <f>IF(D4="","",A4+1)</f>
        <v/>
      </c>
      <c r="I4" s="8">
        <f>IF(D4="","",H4&amp;"|"&amp;SUBSTITUTE(SUBSTITUTE(D4," ",""),"　",""))</f>
        <v/>
      </c>
      <c r="J4" s="42">
        <f>IF(D4="","",IF(ISERROR(MATCH(A4&amp;"-"&amp;B4,設定!$Y$8:$Y$31,0)),"設定にない学年・組",IF(COUNTIF($F$2:$F$451,F4)&gt;1,"同じ学年・組・番号がいる",IF(COUNTIF($I$2:$I$451,I4)&gt;1,"同姓同名あり",""))))</f>
        <v/>
      </c>
    </row>
    <row r="5">
      <c r="A5" s="40" t="n">
        <v>5</v>
      </c>
      <c r="B5" s="40" t="inlineStr">
        <is>
          <t>松</t>
        </is>
      </c>
      <c r="C5" s="40" t="n">
        <v>4</v>
      </c>
      <c r="D5" s="41" t="inlineStr">
        <is>
          <t>遠藤　優斗</t>
        </is>
      </c>
      <c r="F5" s="8">
        <f>IF(D5="","",A5&amp;"-"&amp;B5&amp;"-"&amp;C5)</f>
        <v/>
      </c>
      <c r="G5" s="8">
        <f>IF(D5="","",IFERROR(MATCH(A5&amp;"-"&amp;B5,設定!$Y$8:$Y$31,0),99)*1000+C5+ROW()/1000000)</f>
        <v/>
      </c>
      <c r="H5" s="8">
        <f>IF(D5="","",A5+1)</f>
        <v/>
      </c>
      <c r="I5" s="8">
        <f>IF(D5="","",H5&amp;"|"&amp;SUBSTITUTE(SUBSTITUTE(D5," ",""),"　",""))</f>
        <v/>
      </c>
      <c r="J5" s="42">
        <f>IF(D5="","",IF(ISERROR(MATCH(A5&amp;"-"&amp;B5,設定!$Y$8:$Y$31,0)),"設定にない学年・組",IF(COUNTIF($F$2:$F$451,F5)&gt;1,"同じ学年・組・番号がいる",IF(COUNTIF($I$2:$I$451,I5)&gt;1,"同姓同名あり",""))))</f>
        <v/>
      </c>
    </row>
    <row r="6">
      <c r="A6" s="40" t="n">
        <v>5</v>
      </c>
      <c r="B6" s="40" t="inlineStr">
        <is>
          <t>松</t>
        </is>
      </c>
      <c r="C6" s="40" t="n">
        <v>5</v>
      </c>
      <c r="D6" s="41" t="inlineStr">
        <is>
          <t>山田　莉子</t>
        </is>
      </c>
      <c r="F6" s="8">
        <f>IF(D6="","",A6&amp;"-"&amp;B6&amp;"-"&amp;C6)</f>
        <v/>
      </c>
      <c r="G6" s="8">
        <f>IF(D6="","",IFERROR(MATCH(A6&amp;"-"&amp;B6,設定!$Y$8:$Y$31,0),99)*1000+C6+ROW()/1000000)</f>
        <v/>
      </c>
      <c r="H6" s="8">
        <f>IF(D6="","",A6+1)</f>
        <v/>
      </c>
      <c r="I6" s="8">
        <f>IF(D6="","",H6&amp;"|"&amp;SUBSTITUTE(SUBSTITUTE(D6," ",""),"　",""))</f>
        <v/>
      </c>
      <c r="J6" s="42">
        <f>IF(D6="","",IF(ISERROR(MATCH(A6&amp;"-"&amp;B6,設定!$Y$8:$Y$31,0)),"設定にない学年・組",IF(COUNTIF($F$2:$F$451,F6)&gt;1,"同じ学年・組・番号がいる",IF(COUNTIF($I$2:$I$451,I6)&gt;1,"同姓同名あり",""))))</f>
        <v/>
      </c>
    </row>
    <row r="7">
      <c r="A7" s="40" t="n">
        <v>5</v>
      </c>
      <c r="B7" s="40" t="inlineStr">
        <is>
          <t>松</t>
        </is>
      </c>
      <c r="C7" s="40" t="n">
        <v>6</v>
      </c>
      <c r="D7" s="41" t="inlineStr">
        <is>
          <t>前田　大翔</t>
        </is>
      </c>
      <c r="F7" s="8">
        <f>IF(D7="","",A7&amp;"-"&amp;B7&amp;"-"&amp;C7)</f>
        <v/>
      </c>
      <c r="G7" s="8">
        <f>IF(D7="","",IFERROR(MATCH(A7&amp;"-"&amp;B7,設定!$Y$8:$Y$31,0),99)*1000+C7+ROW()/1000000)</f>
        <v/>
      </c>
      <c r="H7" s="8">
        <f>IF(D7="","",A7+1)</f>
        <v/>
      </c>
      <c r="I7" s="8">
        <f>IF(D7="","",H7&amp;"|"&amp;SUBSTITUTE(SUBSTITUTE(D7," ",""),"　",""))</f>
        <v/>
      </c>
      <c r="J7" s="42">
        <f>IF(D7="","",IF(ISERROR(MATCH(A7&amp;"-"&amp;B7,設定!$Y$8:$Y$31,0)),"設定にない学年・組",IF(COUNTIF($F$2:$F$451,F7)&gt;1,"同じ学年・組・番号がいる",IF(COUNTIF($I$2:$I$451,I7)&gt;1,"同姓同名あり",""))))</f>
        <v/>
      </c>
    </row>
    <row r="8">
      <c r="A8" s="40" t="n">
        <v>5</v>
      </c>
      <c r="B8" s="40" t="inlineStr">
        <is>
          <t>松</t>
        </is>
      </c>
      <c r="C8" s="40" t="n">
        <v>7</v>
      </c>
      <c r="D8" s="41" t="inlineStr">
        <is>
          <t>坂本　結翔</t>
        </is>
      </c>
      <c r="F8" s="8">
        <f>IF(D8="","",A8&amp;"-"&amp;B8&amp;"-"&amp;C8)</f>
        <v/>
      </c>
      <c r="G8" s="8">
        <f>IF(D8="","",IFERROR(MATCH(A8&amp;"-"&amp;B8,設定!$Y$8:$Y$31,0),99)*1000+C8+ROW()/1000000)</f>
        <v/>
      </c>
      <c r="H8" s="8">
        <f>IF(D8="","",A8+1)</f>
        <v/>
      </c>
      <c r="I8" s="8">
        <f>IF(D8="","",H8&amp;"|"&amp;SUBSTITUTE(SUBSTITUTE(D8," ",""),"　",""))</f>
        <v/>
      </c>
      <c r="J8" s="42">
        <f>IF(D8="","",IF(ISERROR(MATCH(A8&amp;"-"&amp;B8,設定!$Y$8:$Y$31,0)),"設定にない学年・組",IF(COUNTIF($F$2:$F$451,F8)&gt;1,"同じ学年・組・番号がいる",IF(COUNTIF($I$2:$I$451,I8)&gt;1,"同姓同名あり",""))))</f>
        <v/>
      </c>
    </row>
    <row r="9">
      <c r="A9" s="40" t="n">
        <v>5</v>
      </c>
      <c r="B9" s="40" t="inlineStr">
        <is>
          <t>松</t>
        </is>
      </c>
      <c r="C9" s="40" t="n">
        <v>8</v>
      </c>
      <c r="D9" s="41" t="inlineStr">
        <is>
          <t>山本　咲良</t>
        </is>
      </c>
      <c r="F9" s="8">
        <f>IF(D9="","",A9&amp;"-"&amp;B9&amp;"-"&amp;C9)</f>
        <v/>
      </c>
      <c r="G9" s="8">
        <f>IF(D9="","",IFERROR(MATCH(A9&amp;"-"&amp;B9,設定!$Y$8:$Y$31,0),99)*1000+C9+ROW()/1000000)</f>
        <v/>
      </c>
      <c r="H9" s="8">
        <f>IF(D9="","",A9+1)</f>
        <v/>
      </c>
      <c r="I9" s="8">
        <f>IF(D9="","",H9&amp;"|"&amp;SUBSTITUTE(SUBSTITUTE(D9," ",""),"　",""))</f>
        <v/>
      </c>
      <c r="J9" s="42">
        <f>IF(D9="","",IF(ISERROR(MATCH(A9&amp;"-"&amp;B9,設定!$Y$8:$Y$31,0)),"設定にない学年・組",IF(COUNTIF($F$2:$F$451,F9)&gt;1,"同じ学年・組・番号がいる",IF(COUNTIF($I$2:$I$451,I9)&gt;1,"同姓同名あり",""))))</f>
        <v/>
      </c>
    </row>
    <row r="10">
      <c r="A10" s="40" t="n">
        <v>5</v>
      </c>
      <c r="B10" s="40" t="inlineStr">
        <is>
          <t>松</t>
        </is>
      </c>
      <c r="C10" s="40" t="n">
        <v>9</v>
      </c>
      <c r="D10" s="41" t="inlineStr">
        <is>
          <t>清水　律</t>
        </is>
      </c>
      <c r="F10" s="8">
        <f>IF(D10="","",A10&amp;"-"&amp;B10&amp;"-"&amp;C10)</f>
        <v/>
      </c>
      <c r="G10" s="8">
        <f>IF(D10="","",IFERROR(MATCH(A10&amp;"-"&amp;B10,設定!$Y$8:$Y$31,0),99)*1000+C10+ROW()/1000000)</f>
        <v/>
      </c>
      <c r="H10" s="8">
        <f>IF(D10="","",A10+1)</f>
        <v/>
      </c>
      <c r="I10" s="8">
        <f>IF(D10="","",H10&amp;"|"&amp;SUBSTITUTE(SUBSTITUTE(D10," ",""),"　",""))</f>
        <v/>
      </c>
      <c r="J10" s="42">
        <f>IF(D10="","",IF(ISERROR(MATCH(A10&amp;"-"&amp;B10,設定!$Y$8:$Y$31,0)),"設定にない学年・組",IF(COUNTIF($F$2:$F$451,F10)&gt;1,"同じ学年・組・番号がいる",IF(COUNTIF($I$2:$I$451,I10)&gt;1,"同姓同名あり",""))))</f>
        <v/>
      </c>
    </row>
    <row r="11">
      <c r="A11" s="40" t="n">
        <v>5</v>
      </c>
      <c r="B11" s="40" t="inlineStr">
        <is>
          <t>松</t>
        </is>
      </c>
      <c r="C11" s="40" t="n">
        <v>10</v>
      </c>
      <c r="D11" s="41" t="inlineStr">
        <is>
          <t>渡辺　花音</t>
        </is>
      </c>
      <c r="F11" s="8">
        <f>IF(D11="","",A11&amp;"-"&amp;B11&amp;"-"&amp;C11)</f>
        <v/>
      </c>
      <c r="G11" s="8">
        <f>IF(D11="","",IFERROR(MATCH(A11&amp;"-"&amp;B11,設定!$Y$8:$Y$31,0),99)*1000+C11+ROW()/1000000)</f>
        <v/>
      </c>
      <c r="H11" s="8">
        <f>IF(D11="","",A11+1)</f>
        <v/>
      </c>
      <c r="I11" s="8">
        <f>IF(D11="","",H11&amp;"|"&amp;SUBSTITUTE(SUBSTITUTE(D11," ",""),"　",""))</f>
        <v/>
      </c>
      <c r="J11" s="42">
        <f>IF(D11="","",IF(ISERROR(MATCH(A11&amp;"-"&amp;B11,設定!$Y$8:$Y$31,0)),"設定にない学年・組",IF(COUNTIF($F$2:$F$451,F11)&gt;1,"同じ学年・組・番号がいる",IF(COUNTIF($I$2:$I$451,I11)&gt;1,"同姓同名あり",""))))</f>
        <v/>
      </c>
    </row>
    <row r="12">
      <c r="A12" s="40" t="n">
        <v>5</v>
      </c>
      <c r="B12" s="40" t="inlineStr">
        <is>
          <t>松</t>
        </is>
      </c>
      <c r="C12" s="40" t="n">
        <v>11</v>
      </c>
      <c r="D12" s="41" t="inlineStr">
        <is>
          <t>岡本　大翔</t>
        </is>
      </c>
      <c r="F12" s="8">
        <f>IF(D12="","",A12&amp;"-"&amp;B12&amp;"-"&amp;C12)</f>
        <v/>
      </c>
      <c r="G12" s="8">
        <f>IF(D12="","",IFERROR(MATCH(A12&amp;"-"&amp;B12,設定!$Y$8:$Y$31,0),99)*1000+C12+ROW()/1000000)</f>
        <v/>
      </c>
      <c r="H12" s="8">
        <f>IF(D12="","",A12+1)</f>
        <v/>
      </c>
      <c r="I12" s="8">
        <f>IF(D12="","",H12&amp;"|"&amp;SUBSTITUTE(SUBSTITUTE(D12," ",""),"　",""))</f>
        <v/>
      </c>
      <c r="J12" s="42">
        <f>IF(D12="","",IF(ISERROR(MATCH(A12&amp;"-"&amp;B12,設定!$Y$8:$Y$31,0)),"設定にない学年・組",IF(COUNTIF($F$2:$F$451,F12)&gt;1,"同じ学年・組・番号がいる",IF(COUNTIF($I$2:$I$451,I12)&gt;1,"同姓同名あり",""))))</f>
        <v/>
      </c>
    </row>
    <row r="13">
      <c r="A13" s="40" t="n">
        <v>5</v>
      </c>
      <c r="B13" s="40" t="inlineStr">
        <is>
          <t>松</t>
        </is>
      </c>
      <c r="C13" s="40" t="n">
        <v>12</v>
      </c>
      <c r="D13" s="41" t="inlineStr">
        <is>
          <t>高橋　真央</t>
        </is>
      </c>
      <c r="F13" s="8">
        <f>IF(D13="","",A13&amp;"-"&amp;B13&amp;"-"&amp;C13)</f>
        <v/>
      </c>
      <c r="G13" s="8">
        <f>IF(D13="","",IFERROR(MATCH(A13&amp;"-"&amp;B13,設定!$Y$8:$Y$31,0),99)*1000+C13+ROW()/1000000)</f>
        <v/>
      </c>
      <c r="H13" s="8">
        <f>IF(D13="","",A13+1)</f>
        <v/>
      </c>
      <c r="I13" s="8">
        <f>IF(D13="","",H13&amp;"|"&amp;SUBSTITUTE(SUBSTITUTE(D13," ",""),"　",""))</f>
        <v/>
      </c>
      <c r="J13" s="42">
        <f>IF(D13="","",IF(ISERROR(MATCH(A13&amp;"-"&amp;B13,設定!$Y$8:$Y$31,0)),"設定にない学年・組",IF(COUNTIF($F$2:$F$451,F13)&gt;1,"同じ学年・組・番号がいる",IF(COUNTIF($I$2:$I$451,I13)&gt;1,"同姓同名あり",""))))</f>
        <v/>
      </c>
    </row>
    <row r="14">
      <c r="A14" s="40" t="n">
        <v>5</v>
      </c>
      <c r="B14" s="40" t="inlineStr">
        <is>
          <t>松</t>
        </is>
      </c>
      <c r="C14" s="40" t="n">
        <v>13</v>
      </c>
      <c r="D14" s="41" t="inlineStr">
        <is>
          <t>石川　咲良</t>
        </is>
      </c>
      <c r="F14" s="8">
        <f>IF(D14="","",A14&amp;"-"&amp;B14&amp;"-"&amp;C14)</f>
        <v/>
      </c>
      <c r="G14" s="8">
        <f>IF(D14="","",IFERROR(MATCH(A14&amp;"-"&amp;B14,設定!$Y$8:$Y$31,0),99)*1000+C14+ROW()/1000000)</f>
        <v/>
      </c>
      <c r="H14" s="8">
        <f>IF(D14="","",A14+1)</f>
        <v/>
      </c>
      <c r="I14" s="8">
        <f>IF(D14="","",H14&amp;"|"&amp;SUBSTITUTE(SUBSTITUTE(D14," ",""),"　",""))</f>
        <v/>
      </c>
      <c r="J14" s="42">
        <f>IF(D14="","",IF(ISERROR(MATCH(A14&amp;"-"&amp;B14,設定!$Y$8:$Y$31,0)),"設定にない学年・組",IF(COUNTIF($F$2:$F$451,F14)&gt;1,"同じ学年・組・番号がいる",IF(COUNTIF($I$2:$I$451,I14)&gt;1,"同姓同名あり",""))))</f>
        <v/>
      </c>
    </row>
    <row r="15">
      <c r="A15" s="40" t="n">
        <v>5</v>
      </c>
      <c r="B15" s="40" t="inlineStr">
        <is>
          <t>松</t>
        </is>
      </c>
      <c r="C15" s="40" t="n">
        <v>14</v>
      </c>
      <c r="D15" s="41" t="inlineStr">
        <is>
          <t>太田　晴</t>
        </is>
      </c>
      <c r="F15" s="8">
        <f>IF(D15="","",A15&amp;"-"&amp;B15&amp;"-"&amp;C15)</f>
        <v/>
      </c>
      <c r="G15" s="8">
        <f>IF(D15="","",IFERROR(MATCH(A15&amp;"-"&amp;B15,設定!$Y$8:$Y$31,0),99)*1000+C15+ROW()/1000000)</f>
        <v/>
      </c>
      <c r="H15" s="8">
        <f>IF(D15="","",A15+1)</f>
        <v/>
      </c>
      <c r="I15" s="8">
        <f>IF(D15="","",H15&amp;"|"&amp;SUBSTITUTE(SUBSTITUTE(D15," ",""),"　",""))</f>
        <v/>
      </c>
      <c r="J15" s="42">
        <f>IF(D15="","",IF(ISERROR(MATCH(A15&amp;"-"&amp;B15,設定!$Y$8:$Y$31,0)),"設定にない学年・組",IF(COUNTIF($F$2:$F$451,F15)&gt;1,"同じ学年・組・番号がいる",IF(COUNTIF($I$2:$I$451,I15)&gt;1,"同姓同名あり",""))))</f>
        <v/>
      </c>
    </row>
    <row r="16">
      <c r="A16" s="40" t="n">
        <v>5</v>
      </c>
      <c r="B16" s="40" t="inlineStr">
        <is>
          <t>松</t>
        </is>
      </c>
      <c r="C16" s="40" t="n">
        <v>15</v>
      </c>
      <c r="D16" s="41" t="inlineStr">
        <is>
          <t>坂本　悠人</t>
        </is>
      </c>
      <c r="F16" s="8">
        <f>IF(D16="","",A16&amp;"-"&amp;B16&amp;"-"&amp;C16)</f>
        <v/>
      </c>
      <c r="G16" s="8">
        <f>IF(D16="","",IFERROR(MATCH(A16&amp;"-"&amp;B16,設定!$Y$8:$Y$31,0),99)*1000+C16+ROW()/1000000)</f>
        <v/>
      </c>
      <c r="H16" s="8">
        <f>IF(D16="","",A16+1)</f>
        <v/>
      </c>
      <c r="I16" s="8">
        <f>IF(D16="","",H16&amp;"|"&amp;SUBSTITUTE(SUBSTITUTE(D16," ",""),"　",""))</f>
        <v/>
      </c>
      <c r="J16" s="42">
        <f>IF(D16="","",IF(ISERROR(MATCH(A16&amp;"-"&amp;B16,設定!$Y$8:$Y$31,0)),"設定にない学年・組",IF(COUNTIF($F$2:$F$451,F16)&gt;1,"同じ学年・組・番号がいる",IF(COUNTIF($I$2:$I$451,I16)&gt;1,"同姓同名あり",""))))</f>
        <v/>
      </c>
    </row>
    <row r="17">
      <c r="A17" s="40" t="n">
        <v>5</v>
      </c>
      <c r="B17" s="40" t="inlineStr">
        <is>
          <t>松</t>
        </is>
      </c>
      <c r="C17" s="40" t="n">
        <v>16</v>
      </c>
      <c r="D17" s="41" t="inlineStr">
        <is>
          <t>吉田　さくら</t>
        </is>
      </c>
      <c r="F17" s="8">
        <f>IF(D17="","",A17&amp;"-"&amp;B17&amp;"-"&amp;C17)</f>
        <v/>
      </c>
      <c r="G17" s="8">
        <f>IF(D17="","",IFERROR(MATCH(A17&amp;"-"&amp;B17,設定!$Y$8:$Y$31,0),99)*1000+C17+ROW()/1000000)</f>
        <v/>
      </c>
      <c r="H17" s="8">
        <f>IF(D17="","",A17+1)</f>
        <v/>
      </c>
      <c r="I17" s="8">
        <f>IF(D17="","",H17&amp;"|"&amp;SUBSTITUTE(SUBSTITUTE(D17," ",""),"　",""))</f>
        <v/>
      </c>
      <c r="J17" s="42">
        <f>IF(D17="","",IF(ISERROR(MATCH(A17&amp;"-"&amp;B17,設定!$Y$8:$Y$31,0)),"設定にない学年・組",IF(COUNTIF($F$2:$F$451,F17)&gt;1,"同じ学年・組・番号がいる",IF(COUNTIF($I$2:$I$451,I17)&gt;1,"同姓同名あり",""))))</f>
        <v/>
      </c>
    </row>
    <row r="18">
      <c r="A18" s="40" t="n">
        <v>5</v>
      </c>
      <c r="B18" s="40" t="inlineStr">
        <is>
          <t>松</t>
        </is>
      </c>
      <c r="C18" s="40" t="n">
        <v>17</v>
      </c>
      <c r="D18" s="41" t="inlineStr">
        <is>
          <t>佐藤　彩花</t>
        </is>
      </c>
      <c r="F18" s="8">
        <f>IF(D18="","",A18&amp;"-"&amp;B18&amp;"-"&amp;C18)</f>
        <v/>
      </c>
      <c r="G18" s="8">
        <f>IF(D18="","",IFERROR(MATCH(A18&amp;"-"&amp;B18,設定!$Y$8:$Y$31,0),99)*1000+C18+ROW()/1000000)</f>
        <v/>
      </c>
      <c r="H18" s="8">
        <f>IF(D18="","",A18+1)</f>
        <v/>
      </c>
      <c r="I18" s="8">
        <f>IF(D18="","",H18&amp;"|"&amp;SUBSTITUTE(SUBSTITUTE(D18," ",""),"　",""))</f>
        <v/>
      </c>
      <c r="J18" s="42">
        <f>IF(D18="","",IF(ISERROR(MATCH(A18&amp;"-"&amp;B18,設定!$Y$8:$Y$31,0)),"設定にない学年・組",IF(COUNTIF($F$2:$F$451,F18)&gt;1,"同じ学年・組・番号がいる",IF(COUNTIF($I$2:$I$451,I18)&gt;1,"同姓同名あり",""))))</f>
        <v/>
      </c>
    </row>
    <row r="19">
      <c r="A19" s="40" t="n">
        <v>5</v>
      </c>
      <c r="B19" s="40" t="inlineStr">
        <is>
          <t>松</t>
        </is>
      </c>
      <c r="C19" s="40" t="n">
        <v>18</v>
      </c>
      <c r="D19" s="41" t="inlineStr">
        <is>
          <t>伊藤　蒼</t>
        </is>
      </c>
      <c r="F19" s="8">
        <f>IF(D19="","",A19&amp;"-"&amp;B19&amp;"-"&amp;C19)</f>
        <v/>
      </c>
      <c r="G19" s="8">
        <f>IF(D19="","",IFERROR(MATCH(A19&amp;"-"&amp;B19,設定!$Y$8:$Y$31,0),99)*1000+C19+ROW()/1000000)</f>
        <v/>
      </c>
      <c r="H19" s="8">
        <f>IF(D19="","",A19+1)</f>
        <v/>
      </c>
      <c r="I19" s="8">
        <f>IF(D19="","",H19&amp;"|"&amp;SUBSTITUTE(SUBSTITUTE(D19," ",""),"　",""))</f>
        <v/>
      </c>
      <c r="J19" s="42">
        <f>IF(D19="","",IF(ISERROR(MATCH(A19&amp;"-"&amp;B19,設定!$Y$8:$Y$31,0)),"設定にない学年・組",IF(COUNTIF($F$2:$F$451,F19)&gt;1,"同じ学年・組・番号がいる",IF(COUNTIF($I$2:$I$451,I19)&gt;1,"同姓同名あり",""))))</f>
        <v/>
      </c>
    </row>
    <row r="20">
      <c r="A20" s="40" t="n">
        <v>5</v>
      </c>
      <c r="B20" s="40" t="inlineStr">
        <is>
          <t>松</t>
        </is>
      </c>
      <c r="C20" s="40" t="n">
        <v>19</v>
      </c>
      <c r="D20" s="41" t="inlineStr">
        <is>
          <t>高橋　優斗</t>
        </is>
      </c>
      <c r="F20" s="8">
        <f>IF(D20="","",A20&amp;"-"&amp;B20&amp;"-"&amp;C20)</f>
        <v/>
      </c>
      <c r="G20" s="8">
        <f>IF(D20="","",IFERROR(MATCH(A20&amp;"-"&amp;B20,設定!$Y$8:$Y$31,0),99)*1000+C20+ROW()/1000000)</f>
        <v/>
      </c>
      <c r="H20" s="8">
        <f>IF(D20="","",A20+1)</f>
        <v/>
      </c>
      <c r="I20" s="8">
        <f>IF(D20="","",H20&amp;"|"&amp;SUBSTITUTE(SUBSTITUTE(D20," ",""),"　",""))</f>
        <v/>
      </c>
      <c r="J20" s="42">
        <f>IF(D20="","",IF(ISERROR(MATCH(A20&amp;"-"&amp;B20,設定!$Y$8:$Y$31,0)),"設定にない学年・組",IF(COUNTIF($F$2:$F$451,F20)&gt;1,"同じ学年・組・番号がいる",IF(COUNTIF($I$2:$I$451,I20)&gt;1,"同姓同名あり",""))))</f>
        <v/>
      </c>
    </row>
    <row r="21">
      <c r="A21" s="40" t="n">
        <v>5</v>
      </c>
      <c r="B21" s="40" t="inlineStr">
        <is>
          <t>松</t>
        </is>
      </c>
      <c r="C21" s="40" t="n">
        <v>20</v>
      </c>
      <c r="D21" s="41" t="inlineStr">
        <is>
          <t>井上　真央</t>
        </is>
      </c>
      <c r="F21" s="8">
        <f>IF(D21="","",A21&amp;"-"&amp;B21&amp;"-"&amp;C21)</f>
        <v/>
      </c>
      <c r="G21" s="8">
        <f>IF(D21="","",IFERROR(MATCH(A21&amp;"-"&amp;B21,設定!$Y$8:$Y$31,0),99)*1000+C21+ROW()/1000000)</f>
        <v/>
      </c>
      <c r="H21" s="8">
        <f>IF(D21="","",A21+1)</f>
        <v/>
      </c>
      <c r="I21" s="8">
        <f>IF(D21="","",H21&amp;"|"&amp;SUBSTITUTE(SUBSTITUTE(D21," ",""),"　",""))</f>
        <v/>
      </c>
      <c r="J21" s="42">
        <f>IF(D21="","",IF(ISERROR(MATCH(A21&amp;"-"&amp;B21,設定!$Y$8:$Y$31,0)),"設定にない学年・組",IF(COUNTIF($F$2:$F$451,F21)&gt;1,"同じ学年・組・番号がいる",IF(COUNTIF($I$2:$I$451,I21)&gt;1,"同姓同名あり",""))))</f>
        <v/>
      </c>
    </row>
    <row r="22">
      <c r="A22" s="40" t="n">
        <v>5</v>
      </c>
      <c r="B22" s="40" t="inlineStr">
        <is>
          <t>松</t>
        </is>
      </c>
      <c r="C22" s="40" t="n">
        <v>21</v>
      </c>
      <c r="D22" s="41" t="inlineStr">
        <is>
          <t>鈴木　美月</t>
        </is>
      </c>
      <c r="F22" s="8">
        <f>IF(D22="","",A22&amp;"-"&amp;B22&amp;"-"&amp;C22)</f>
        <v/>
      </c>
      <c r="G22" s="8">
        <f>IF(D22="","",IFERROR(MATCH(A22&amp;"-"&amp;B22,設定!$Y$8:$Y$31,0),99)*1000+C22+ROW()/1000000)</f>
        <v/>
      </c>
      <c r="H22" s="8">
        <f>IF(D22="","",A22+1)</f>
        <v/>
      </c>
      <c r="I22" s="8">
        <f>IF(D22="","",H22&amp;"|"&amp;SUBSTITUTE(SUBSTITUTE(D22," ",""),"　",""))</f>
        <v/>
      </c>
      <c r="J22" s="42">
        <f>IF(D22="","",IF(ISERROR(MATCH(A22&amp;"-"&amp;B22,設定!$Y$8:$Y$31,0)),"設定にない学年・組",IF(COUNTIF($F$2:$F$451,F22)&gt;1,"同じ学年・組・番号がいる",IF(COUNTIF($I$2:$I$451,I22)&gt;1,"同姓同名あり",""))))</f>
        <v/>
      </c>
    </row>
    <row r="23">
      <c r="A23" s="40" t="n">
        <v>5</v>
      </c>
      <c r="B23" s="40" t="inlineStr">
        <is>
          <t>松</t>
        </is>
      </c>
      <c r="C23" s="40" t="n">
        <v>22</v>
      </c>
      <c r="D23" s="41" t="inlineStr">
        <is>
          <t>山崎　咲良</t>
        </is>
      </c>
      <c r="F23" s="8">
        <f>IF(D23="","",A23&amp;"-"&amp;B23&amp;"-"&amp;C23)</f>
        <v/>
      </c>
      <c r="G23" s="8">
        <f>IF(D23="","",IFERROR(MATCH(A23&amp;"-"&amp;B23,設定!$Y$8:$Y$31,0),99)*1000+C23+ROW()/1000000)</f>
        <v/>
      </c>
      <c r="H23" s="8">
        <f>IF(D23="","",A23+1)</f>
        <v/>
      </c>
      <c r="I23" s="8">
        <f>IF(D23="","",H23&amp;"|"&amp;SUBSTITUTE(SUBSTITUTE(D23," ",""),"　",""))</f>
        <v/>
      </c>
      <c r="J23" s="42">
        <f>IF(D23="","",IF(ISERROR(MATCH(A23&amp;"-"&amp;B23,設定!$Y$8:$Y$31,0)),"設定にない学年・組",IF(COUNTIF($F$2:$F$451,F23)&gt;1,"同じ学年・組・番号がいる",IF(COUNTIF($I$2:$I$451,I23)&gt;1,"同姓同名あり",""))))</f>
        <v/>
      </c>
    </row>
    <row r="24">
      <c r="A24" s="40" t="n">
        <v>5</v>
      </c>
      <c r="B24" s="40" t="inlineStr">
        <is>
          <t>松</t>
        </is>
      </c>
      <c r="C24" s="40" t="n">
        <v>23</v>
      </c>
      <c r="D24" s="41" t="inlineStr">
        <is>
          <t>藤田　新</t>
        </is>
      </c>
      <c r="F24" s="8">
        <f>IF(D24="","",A24&amp;"-"&amp;B24&amp;"-"&amp;C24)</f>
        <v/>
      </c>
      <c r="G24" s="8">
        <f>IF(D24="","",IFERROR(MATCH(A24&amp;"-"&amp;B24,設定!$Y$8:$Y$31,0),99)*1000+C24+ROW()/1000000)</f>
        <v/>
      </c>
      <c r="H24" s="8">
        <f>IF(D24="","",A24+1)</f>
        <v/>
      </c>
      <c r="I24" s="8">
        <f>IF(D24="","",H24&amp;"|"&amp;SUBSTITUTE(SUBSTITUTE(D24," ",""),"　",""))</f>
        <v/>
      </c>
      <c r="J24" s="42">
        <f>IF(D24="","",IF(ISERROR(MATCH(A24&amp;"-"&amp;B24,設定!$Y$8:$Y$31,0)),"設定にない学年・組",IF(COUNTIF($F$2:$F$451,F24)&gt;1,"同じ学年・組・番号がいる",IF(COUNTIF($I$2:$I$451,I24)&gt;1,"同姓同名あり",""))))</f>
        <v/>
      </c>
    </row>
    <row r="25">
      <c r="A25" s="40" t="n">
        <v>5</v>
      </c>
      <c r="B25" s="40" t="inlineStr">
        <is>
          <t>松</t>
        </is>
      </c>
      <c r="C25" s="40" t="n">
        <v>24</v>
      </c>
      <c r="D25" s="41" t="inlineStr">
        <is>
          <t>福田　拓海</t>
        </is>
      </c>
      <c r="F25" s="8">
        <f>IF(D25="","",A25&amp;"-"&amp;B25&amp;"-"&amp;C25)</f>
        <v/>
      </c>
      <c r="G25" s="8">
        <f>IF(D25="","",IFERROR(MATCH(A25&amp;"-"&amp;B25,設定!$Y$8:$Y$31,0),99)*1000+C25+ROW()/1000000)</f>
        <v/>
      </c>
      <c r="H25" s="8">
        <f>IF(D25="","",A25+1)</f>
        <v/>
      </c>
      <c r="I25" s="8">
        <f>IF(D25="","",H25&amp;"|"&amp;SUBSTITUTE(SUBSTITUTE(D25," ",""),"　",""))</f>
        <v/>
      </c>
      <c r="J25" s="42">
        <f>IF(D25="","",IF(ISERROR(MATCH(A25&amp;"-"&amp;B25,設定!$Y$8:$Y$31,0)),"設定にない学年・組",IF(COUNTIF($F$2:$F$451,F25)&gt;1,"同じ学年・組・番号がいる",IF(COUNTIF($I$2:$I$451,I25)&gt;1,"同姓同名あり",""))))</f>
        <v/>
      </c>
    </row>
    <row r="26">
      <c r="A26" s="40" t="n">
        <v>5</v>
      </c>
      <c r="B26" s="40" t="inlineStr">
        <is>
          <t>松</t>
        </is>
      </c>
      <c r="C26" s="40" t="n">
        <v>25</v>
      </c>
      <c r="D26" s="41" t="inlineStr">
        <is>
          <t>岡田　蓮</t>
        </is>
      </c>
      <c r="F26" s="8">
        <f>IF(D26="","",A26&amp;"-"&amp;B26&amp;"-"&amp;C26)</f>
        <v/>
      </c>
      <c r="G26" s="8">
        <f>IF(D26="","",IFERROR(MATCH(A26&amp;"-"&amp;B26,設定!$Y$8:$Y$31,0),99)*1000+C26+ROW()/1000000)</f>
        <v/>
      </c>
      <c r="H26" s="8">
        <f>IF(D26="","",A26+1)</f>
        <v/>
      </c>
      <c r="I26" s="8">
        <f>IF(D26="","",H26&amp;"|"&amp;SUBSTITUTE(SUBSTITUTE(D26," ",""),"　",""))</f>
        <v/>
      </c>
      <c r="J26" s="42">
        <f>IF(D26="","",IF(ISERROR(MATCH(A26&amp;"-"&amp;B26,設定!$Y$8:$Y$31,0)),"設定にない学年・組",IF(COUNTIF($F$2:$F$451,F26)&gt;1,"同じ学年・組・番号がいる",IF(COUNTIF($I$2:$I$451,I26)&gt;1,"同姓同名あり",""))))</f>
        <v/>
      </c>
    </row>
    <row r="27">
      <c r="A27" s="40" t="n">
        <v>5</v>
      </c>
      <c r="B27" s="40" t="inlineStr">
        <is>
          <t>松</t>
        </is>
      </c>
      <c r="C27" s="40" t="n">
        <v>26</v>
      </c>
      <c r="D27" s="41" t="inlineStr">
        <is>
          <t>西村　大和</t>
        </is>
      </c>
      <c r="F27" s="8">
        <f>IF(D27="","",A27&amp;"-"&amp;B27&amp;"-"&amp;C27)</f>
        <v/>
      </c>
      <c r="G27" s="8">
        <f>IF(D27="","",IFERROR(MATCH(A27&amp;"-"&amp;B27,設定!$Y$8:$Y$31,0),99)*1000+C27+ROW()/1000000)</f>
        <v/>
      </c>
      <c r="H27" s="8">
        <f>IF(D27="","",A27+1)</f>
        <v/>
      </c>
      <c r="I27" s="8">
        <f>IF(D27="","",H27&amp;"|"&amp;SUBSTITUTE(SUBSTITUTE(D27," ",""),"　",""))</f>
        <v/>
      </c>
      <c r="J27" s="42">
        <f>IF(D27="","",IF(ISERROR(MATCH(A27&amp;"-"&amp;B27,設定!$Y$8:$Y$31,0)),"設定にない学年・組",IF(COUNTIF($F$2:$F$451,F27)&gt;1,"同じ学年・組・番号がいる",IF(COUNTIF($I$2:$I$451,I27)&gt;1,"同姓同名あり",""))))</f>
        <v/>
      </c>
    </row>
    <row r="28">
      <c r="A28" s="40" t="n">
        <v>5</v>
      </c>
      <c r="B28" s="40" t="inlineStr">
        <is>
          <t>松</t>
        </is>
      </c>
      <c r="C28" s="40" t="n">
        <v>27</v>
      </c>
      <c r="D28" s="41" t="inlineStr">
        <is>
          <t>小川　悠人</t>
        </is>
      </c>
      <c r="F28" s="8">
        <f>IF(D28="","",A28&amp;"-"&amp;B28&amp;"-"&amp;C28)</f>
        <v/>
      </c>
      <c r="G28" s="8">
        <f>IF(D28="","",IFERROR(MATCH(A28&amp;"-"&amp;B28,設定!$Y$8:$Y$31,0),99)*1000+C28+ROW()/1000000)</f>
        <v/>
      </c>
      <c r="H28" s="8">
        <f>IF(D28="","",A28+1)</f>
        <v/>
      </c>
      <c r="I28" s="8">
        <f>IF(D28="","",H28&amp;"|"&amp;SUBSTITUTE(SUBSTITUTE(D28," ",""),"　",""))</f>
        <v/>
      </c>
      <c r="J28" s="42">
        <f>IF(D28="","",IF(ISERROR(MATCH(A28&amp;"-"&amp;B28,設定!$Y$8:$Y$31,0)),"設定にない学年・組",IF(COUNTIF($F$2:$F$451,F28)&gt;1,"同じ学年・組・番号がいる",IF(COUNTIF($I$2:$I$451,I28)&gt;1,"同姓同名あり",""))))</f>
        <v/>
      </c>
    </row>
    <row r="29">
      <c r="A29" s="40" t="n">
        <v>5</v>
      </c>
      <c r="B29" s="40" t="inlineStr">
        <is>
          <t>松</t>
        </is>
      </c>
      <c r="C29" s="40" t="n">
        <v>28</v>
      </c>
      <c r="D29" s="41" t="inlineStr">
        <is>
          <t>林　澪</t>
        </is>
      </c>
      <c r="F29" s="8">
        <f>IF(D29="","",A29&amp;"-"&amp;B29&amp;"-"&amp;C29)</f>
        <v/>
      </c>
      <c r="G29" s="8">
        <f>IF(D29="","",IFERROR(MATCH(A29&amp;"-"&amp;B29,設定!$Y$8:$Y$31,0),99)*1000+C29+ROW()/1000000)</f>
        <v/>
      </c>
      <c r="H29" s="8">
        <f>IF(D29="","",A29+1)</f>
        <v/>
      </c>
      <c r="I29" s="8">
        <f>IF(D29="","",H29&amp;"|"&amp;SUBSTITUTE(SUBSTITUTE(D29," ",""),"　",""))</f>
        <v/>
      </c>
      <c r="J29" s="42">
        <f>IF(D29="","",IF(ISERROR(MATCH(A29&amp;"-"&amp;B29,設定!$Y$8:$Y$31,0)),"設定にない学年・組",IF(COUNTIF($F$2:$F$451,F29)&gt;1,"同じ学年・組・番号がいる",IF(COUNTIF($I$2:$I$451,I29)&gt;1,"同姓同名あり",""))))</f>
        <v/>
      </c>
    </row>
    <row r="30">
      <c r="A30" s="40" t="n">
        <v>5</v>
      </c>
      <c r="B30" s="40" t="inlineStr">
        <is>
          <t>松</t>
        </is>
      </c>
      <c r="C30" s="40" t="n">
        <v>29</v>
      </c>
      <c r="D30" s="41" t="inlineStr">
        <is>
          <t>近藤　大和</t>
        </is>
      </c>
      <c r="F30" s="8">
        <f>IF(D30="","",A30&amp;"-"&amp;B30&amp;"-"&amp;C30)</f>
        <v/>
      </c>
      <c r="G30" s="8">
        <f>IF(D30="","",IFERROR(MATCH(A30&amp;"-"&amp;B30,設定!$Y$8:$Y$31,0),99)*1000+C30+ROW()/1000000)</f>
        <v/>
      </c>
      <c r="H30" s="8">
        <f>IF(D30="","",A30+1)</f>
        <v/>
      </c>
      <c r="I30" s="8">
        <f>IF(D30="","",H30&amp;"|"&amp;SUBSTITUTE(SUBSTITUTE(D30," ",""),"　",""))</f>
        <v/>
      </c>
      <c r="J30" s="42">
        <f>IF(D30="","",IF(ISERROR(MATCH(A30&amp;"-"&amp;B30,設定!$Y$8:$Y$31,0)),"設定にない学年・組",IF(COUNTIF($F$2:$F$451,F30)&gt;1,"同じ学年・組・番号がいる",IF(COUNTIF($I$2:$I$451,I30)&gt;1,"同姓同名あり",""))))</f>
        <v/>
      </c>
    </row>
    <row r="31">
      <c r="A31" s="40" t="n">
        <v>5</v>
      </c>
      <c r="B31" s="40" t="inlineStr">
        <is>
          <t>松</t>
        </is>
      </c>
      <c r="C31" s="40" t="n">
        <v>30</v>
      </c>
      <c r="D31" s="41" t="inlineStr">
        <is>
          <t>中野　海斗</t>
        </is>
      </c>
      <c r="F31" s="8">
        <f>IF(D31="","",A31&amp;"-"&amp;B31&amp;"-"&amp;C31)</f>
        <v/>
      </c>
      <c r="G31" s="8">
        <f>IF(D31="","",IFERROR(MATCH(A31&amp;"-"&amp;B31,設定!$Y$8:$Y$31,0),99)*1000+C31+ROW()/1000000)</f>
        <v/>
      </c>
      <c r="H31" s="8">
        <f>IF(D31="","",A31+1)</f>
        <v/>
      </c>
      <c r="I31" s="8">
        <f>IF(D31="","",H31&amp;"|"&amp;SUBSTITUTE(SUBSTITUTE(D31," ",""),"　",""))</f>
        <v/>
      </c>
      <c r="J31" s="42">
        <f>IF(D31="","",IF(ISERROR(MATCH(A31&amp;"-"&amp;B31,設定!$Y$8:$Y$31,0)),"設定にない学年・組",IF(COUNTIF($F$2:$F$451,F31)&gt;1,"同じ学年・組・番号がいる",IF(COUNTIF($I$2:$I$451,I31)&gt;1,"同姓同名あり",""))))</f>
        <v/>
      </c>
    </row>
    <row r="32">
      <c r="A32" s="40" t="n">
        <v>5</v>
      </c>
      <c r="B32" s="40" t="inlineStr">
        <is>
          <t>竹</t>
        </is>
      </c>
      <c r="C32" s="40" t="n">
        <v>1</v>
      </c>
      <c r="D32" s="41" t="inlineStr">
        <is>
          <t>山崎　新</t>
        </is>
      </c>
      <c r="F32" s="8">
        <f>IF(D32="","",A32&amp;"-"&amp;B32&amp;"-"&amp;C32)</f>
        <v/>
      </c>
      <c r="G32" s="8">
        <f>IF(D32="","",IFERROR(MATCH(A32&amp;"-"&amp;B32,設定!$Y$8:$Y$31,0),99)*1000+C32+ROW()/1000000)</f>
        <v/>
      </c>
      <c r="H32" s="8">
        <f>IF(D32="","",A32+1)</f>
        <v/>
      </c>
      <c r="I32" s="8">
        <f>IF(D32="","",H32&amp;"|"&amp;SUBSTITUTE(SUBSTITUTE(D32," ",""),"　",""))</f>
        <v/>
      </c>
      <c r="J32" s="42">
        <f>IF(D32="","",IF(ISERROR(MATCH(A32&amp;"-"&amp;B32,設定!$Y$8:$Y$31,0)),"設定にない学年・組",IF(COUNTIF($F$2:$F$451,F32)&gt;1,"同じ学年・組・番号がいる",IF(COUNTIF($I$2:$I$451,I32)&gt;1,"同姓同名あり",""))))</f>
        <v/>
      </c>
    </row>
    <row r="33">
      <c r="A33" s="40" t="n">
        <v>5</v>
      </c>
      <c r="B33" s="40" t="inlineStr">
        <is>
          <t>竹</t>
        </is>
      </c>
      <c r="C33" s="40" t="n">
        <v>2</v>
      </c>
      <c r="D33" s="41" t="inlineStr">
        <is>
          <t>長谷川　拓海</t>
        </is>
      </c>
      <c r="F33" s="8">
        <f>IF(D33="","",A33&amp;"-"&amp;B33&amp;"-"&amp;C33)</f>
        <v/>
      </c>
      <c r="G33" s="8">
        <f>IF(D33="","",IFERROR(MATCH(A33&amp;"-"&amp;B33,設定!$Y$8:$Y$31,0),99)*1000+C33+ROW()/1000000)</f>
        <v/>
      </c>
      <c r="H33" s="8">
        <f>IF(D33="","",A33+1)</f>
        <v/>
      </c>
      <c r="I33" s="8">
        <f>IF(D33="","",H33&amp;"|"&amp;SUBSTITUTE(SUBSTITUTE(D33," ",""),"　",""))</f>
        <v/>
      </c>
      <c r="J33" s="42">
        <f>IF(D33="","",IF(ISERROR(MATCH(A33&amp;"-"&amp;B33,設定!$Y$8:$Y$31,0)),"設定にない学年・組",IF(COUNTIF($F$2:$F$451,F33)&gt;1,"同じ学年・組・番号がいる",IF(COUNTIF($I$2:$I$451,I33)&gt;1,"同姓同名あり",""))))</f>
        <v/>
      </c>
    </row>
    <row r="34">
      <c r="A34" s="40" t="n">
        <v>5</v>
      </c>
      <c r="B34" s="40" t="inlineStr">
        <is>
          <t>竹</t>
        </is>
      </c>
      <c r="C34" s="40" t="n">
        <v>3</v>
      </c>
      <c r="D34" s="41" t="inlineStr">
        <is>
          <t>鈴木　樹</t>
        </is>
      </c>
      <c r="F34" s="8">
        <f>IF(D34="","",A34&amp;"-"&amp;B34&amp;"-"&amp;C34)</f>
        <v/>
      </c>
      <c r="G34" s="8">
        <f>IF(D34="","",IFERROR(MATCH(A34&amp;"-"&amp;B34,設定!$Y$8:$Y$31,0),99)*1000+C34+ROW()/1000000)</f>
        <v/>
      </c>
      <c r="H34" s="8">
        <f>IF(D34="","",A34+1)</f>
        <v/>
      </c>
      <c r="I34" s="8">
        <f>IF(D34="","",H34&amp;"|"&amp;SUBSTITUTE(SUBSTITUTE(D34," ",""),"　",""))</f>
        <v/>
      </c>
      <c r="J34" s="42">
        <f>IF(D34="","",IF(ISERROR(MATCH(A34&amp;"-"&amp;B34,設定!$Y$8:$Y$31,0)),"設定にない学年・組",IF(COUNTIF($F$2:$F$451,F34)&gt;1,"同じ学年・組・番号がいる",IF(COUNTIF($I$2:$I$451,I34)&gt;1,"同姓同名あり",""))))</f>
        <v/>
      </c>
    </row>
    <row r="35">
      <c r="A35" s="40" t="n">
        <v>5</v>
      </c>
      <c r="B35" s="40" t="inlineStr">
        <is>
          <t>竹</t>
        </is>
      </c>
      <c r="C35" s="40" t="n">
        <v>4</v>
      </c>
      <c r="D35" s="41" t="inlineStr">
        <is>
          <t>村上　悠真</t>
        </is>
      </c>
      <c r="F35" s="8">
        <f>IF(D35="","",A35&amp;"-"&amp;B35&amp;"-"&amp;C35)</f>
        <v/>
      </c>
      <c r="G35" s="8">
        <f>IF(D35="","",IFERROR(MATCH(A35&amp;"-"&amp;B35,設定!$Y$8:$Y$31,0),99)*1000+C35+ROW()/1000000)</f>
        <v/>
      </c>
      <c r="H35" s="8">
        <f>IF(D35="","",A35+1)</f>
        <v/>
      </c>
      <c r="I35" s="8">
        <f>IF(D35="","",H35&amp;"|"&amp;SUBSTITUTE(SUBSTITUTE(D35," ",""),"　",""))</f>
        <v/>
      </c>
      <c r="J35" s="42">
        <f>IF(D35="","",IF(ISERROR(MATCH(A35&amp;"-"&amp;B35,設定!$Y$8:$Y$31,0)),"設定にない学年・組",IF(COUNTIF($F$2:$F$451,F35)&gt;1,"同じ学年・組・番号がいる",IF(COUNTIF($I$2:$I$451,I35)&gt;1,"同姓同名あり",""))))</f>
        <v/>
      </c>
    </row>
    <row r="36">
      <c r="A36" s="40" t="n">
        <v>5</v>
      </c>
      <c r="B36" s="40" t="inlineStr">
        <is>
          <t>竹</t>
        </is>
      </c>
      <c r="C36" s="40" t="n">
        <v>5</v>
      </c>
      <c r="D36" s="41" t="inlineStr">
        <is>
          <t>石川　悠真</t>
        </is>
      </c>
      <c r="F36" s="8">
        <f>IF(D36="","",A36&amp;"-"&amp;B36&amp;"-"&amp;C36)</f>
        <v/>
      </c>
      <c r="G36" s="8">
        <f>IF(D36="","",IFERROR(MATCH(A36&amp;"-"&amp;B36,設定!$Y$8:$Y$31,0),99)*1000+C36+ROW()/1000000)</f>
        <v/>
      </c>
      <c r="H36" s="8">
        <f>IF(D36="","",A36+1)</f>
        <v/>
      </c>
      <c r="I36" s="8">
        <f>IF(D36="","",H36&amp;"|"&amp;SUBSTITUTE(SUBSTITUTE(D36," ",""),"　",""))</f>
        <v/>
      </c>
      <c r="J36" s="42">
        <f>IF(D36="","",IF(ISERROR(MATCH(A36&amp;"-"&amp;B36,設定!$Y$8:$Y$31,0)),"設定にない学年・組",IF(COUNTIF($F$2:$F$451,F36)&gt;1,"同じ学年・組・番号がいる",IF(COUNTIF($I$2:$I$451,I36)&gt;1,"同姓同名あり",""))))</f>
        <v/>
      </c>
    </row>
    <row r="37">
      <c r="A37" s="40" t="n">
        <v>5</v>
      </c>
      <c r="B37" s="40" t="inlineStr">
        <is>
          <t>竹</t>
        </is>
      </c>
      <c r="C37" s="40" t="n">
        <v>6</v>
      </c>
      <c r="D37" s="41" t="inlineStr">
        <is>
          <t>斎藤　葵</t>
        </is>
      </c>
      <c r="F37" s="8">
        <f>IF(D37="","",A37&amp;"-"&amp;B37&amp;"-"&amp;C37)</f>
        <v/>
      </c>
      <c r="G37" s="8">
        <f>IF(D37="","",IFERROR(MATCH(A37&amp;"-"&amp;B37,設定!$Y$8:$Y$31,0),99)*1000+C37+ROW()/1000000)</f>
        <v/>
      </c>
      <c r="H37" s="8">
        <f>IF(D37="","",A37+1)</f>
        <v/>
      </c>
      <c r="I37" s="8">
        <f>IF(D37="","",H37&amp;"|"&amp;SUBSTITUTE(SUBSTITUTE(D37," ",""),"　",""))</f>
        <v/>
      </c>
      <c r="J37" s="42">
        <f>IF(D37="","",IF(ISERROR(MATCH(A37&amp;"-"&amp;B37,設定!$Y$8:$Y$31,0)),"設定にない学年・組",IF(COUNTIF($F$2:$F$451,F37)&gt;1,"同じ学年・組・番号がいる",IF(COUNTIF($I$2:$I$451,I37)&gt;1,"同姓同名あり",""))))</f>
        <v/>
      </c>
    </row>
    <row r="38">
      <c r="A38" s="40" t="n">
        <v>5</v>
      </c>
      <c r="B38" s="40" t="inlineStr">
        <is>
          <t>竹</t>
        </is>
      </c>
      <c r="C38" s="40" t="n">
        <v>7</v>
      </c>
      <c r="D38" s="41" t="inlineStr">
        <is>
          <t>伊藤　陽翔</t>
        </is>
      </c>
      <c r="F38" s="8">
        <f>IF(D38="","",A38&amp;"-"&amp;B38&amp;"-"&amp;C38)</f>
        <v/>
      </c>
      <c r="G38" s="8">
        <f>IF(D38="","",IFERROR(MATCH(A38&amp;"-"&amp;B38,設定!$Y$8:$Y$31,0),99)*1000+C38+ROW()/1000000)</f>
        <v/>
      </c>
      <c r="H38" s="8">
        <f>IF(D38="","",A38+1)</f>
        <v/>
      </c>
      <c r="I38" s="8">
        <f>IF(D38="","",H38&amp;"|"&amp;SUBSTITUTE(SUBSTITUTE(D38," ",""),"　",""))</f>
        <v/>
      </c>
      <c r="J38" s="42">
        <f>IF(D38="","",IF(ISERROR(MATCH(A38&amp;"-"&amp;B38,設定!$Y$8:$Y$31,0)),"設定にない学年・組",IF(COUNTIF($F$2:$F$451,F38)&gt;1,"同じ学年・組・番号がいる",IF(COUNTIF($I$2:$I$451,I38)&gt;1,"同姓同名あり",""))))</f>
        <v/>
      </c>
    </row>
    <row r="39">
      <c r="A39" s="40" t="n">
        <v>5</v>
      </c>
      <c r="B39" s="40" t="inlineStr">
        <is>
          <t>竹</t>
        </is>
      </c>
      <c r="C39" s="40" t="n">
        <v>8</v>
      </c>
      <c r="D39" s="41" t="inlineStr">
        <is>
          <t>藤井　蓮</t>
        </is>
      </c>
      <c r="F39" s="8">
        <f>IF(D39="","",A39&amp;"-"&amp;B39&amp;"-"&amp;C39)</f>
        <v/>
      </c>
      <c r="G39" s="8">
        <f>IF(D39="","",IFERROR(MATCH(A39&amp;"-"&amp;B39,設定!$Y$8:$Y$31,0),99)*1000+C39+ROW()/1000000)</f>
        <v/>
      </c>
      <c r="H39" s="8">
        <f>IF(D39="","",A39+1)</f>
        <v/>
      </c>
      <c r="I39" s="8">
        <f>IF(D39="","",H39&amp;"|"&amp;SUBSTITUTE(SUBSTITUTE(D39," ",""),"　",""))</f>
        <v/>
      </c>
      <c r="J39" s="42">
        <f>IF(D39="","",IF(ISERROR(MATCH(A39&amp;"-"&amp;B39,設定!$Y$8:$Y$31,0)),"設定にない学年・組",IF(COUNTIF($F$2:$F$451,F39)&gt;1,"同じ学年・組・番号がいる",IF(COUNTIF($I$2:$I$451,I39)&gt;1,"同姓同名あり",""))))</f>
        <v/>
      </c>
    </row>
    <row r="40">
      <c r="A40" s="40" t="n">
        <v>5</v>
      </c>
      <c r="B40" s="40" t="inlineStr">
        <is>
          <t>竹</t>
        </is>
      </c>
      <c r="C40" s="40" t="n">
        <v>9</v>
      </c>
      <c r="D40" s="41" t="inlineStr">
        <is>
          <t>山口　奏太</t>
        </is>
      </c>
      <c r="F40" s="8">
        <f>IF(D40="","",A40&amp;"-"&amp;B40&amp;"-"&amp;C40)</f>
        <v/>
      </c>
      <c r="G40" s="8">
        <f>IF(D40="","",IFERROR(MATCH(A40&amp;"-"&amp;B40,設定!$Y$8:$Y$31,0),99)*1000+C40+ROW()/1000000)</f>
        <v/>
      </c>
      <c r="H40" s="8">
        <f>IF(D40="","",A40+1)</f>
        <v/>
      </c>
      <c r="I40" s="8">
        <f>IF(D40="","",H40&amp;"|"&amp;SUBSTITUTE(SUBSTITUTE(D40," ",""),"　",""))</f>
        <v/>
      </c>
      <c r="J40" s="42">
        <f>IF(D40="","",IF(ISERROR(MATCH(A40&amp;"-"&amp;B40,設定!$Y$8:$Y$31,0)),"設定にない学年・組",IF(COUNTIF($F$2:$F$451,F40)&gt;1,"同じ学年・組・番号がいる",IF(COUNTIF($I$2:$I$451,I40)&gt;1,"同姓同名あり",""))))</f>
        <v/>
      </c>
    </row>
    <row r="41">
      <c r="A41" s="40" t="n">
        <v>5</v>
      </c>
      <c r="B41" s="40" t="inlineStr">
        <is>
          <t>竹</t>
        </is>
      </c>
      <c r="C41" s="40" t="n">
        <v>10</v>
      </c>
      <c r="D41" s="41" t="inlineStr">
        <is>
          <t>田中　心春</t>
        </is>
      </c>
      <c r="F41" s="8">
        <f>IF(D41="","",A41&amp;"-"&amp;B41&amp;"-"&amp;C41)</f>
        <v/>
      </c>
      <c r="G41" s="8">
        <f>IF(D41="","",IFERROR(MATCH(A41&amp;"-"&amp;B41,設定!$Y$8:$Y$31,0),99)*1000+C41+ROW()/1000000)</f>
        <v/>
      </c>
      <c r="H41" s="8">
        <f>IF(D41="","",A41+1)</f>
        <v/>
      </c>
      <c r="I41" s="8">
        <f>IF(D41="","",H41&amp;"|"&amp;SUBSTITUTE(SUBSTITUTE(D41," ",""),"　",""))</f>
        <v/>
      </c>
      <c r="J41" s="42">
        <f>IF(D41="","",IF(ISERROR(MATCH(A41&amp;"-"&amp;B41,設定!$Y$8:$Y$31,0)),"設定にない学年・組",IF(COUNTIF($F$2:$F$451,F41)&gt;1,"同じ学年・組・番号がいる",IF(COUNTIF($I$2:$I$451,I41)&gt;1,"同姓同名あり",""))))</f>
        <v/>
      </c>
    </row>
    <row r="42">
      <c r="A42" s="40" t="n">
        <v>5</v>
      </c>
      <c r="B42" s="40" t="inlineStr">
        <is>
          <t>竹</t>
        </is>
      </c>
      <c r="C42" s="40" t="n">
        <v>11</v>
      </c>
      <c r="D42" s="41" t="inlineStr">
        <is>
          <t>阿部　美咲</t>
        </is>
      </c>
      <c r="F42" s="8">
        <f>IF(D42="","",A42&amp;"-"&amp;B42&amp;"-"&amp;C42)</f>
        <v/>
      </c>
      <c r="G42" s="8">
        <f>IF(D42="","",IFERROR(MATCH(A42&amp;"-"&amp;B42,設定!$Y$8:$Y$31,0),99)*1000+C42+ROW()/1000000)</f>
        <v/>
      </c>
      <c r="H42" s="8">
        <f>IF(D42="","",A42+1)</f>
        <v/>
      </c>
      <c r="I42" s="8">
        <f>IF(D42="","",H42&amp;"|"&amp;SUBSTITUTE(SUBSTITUTE(D42," ",""),"　",""))</f>
        <v/>
      </c>
      <c r="J42" s="42">
        <f>IF(D42="","",IF(ISERROR(MATCH(A42&amp;"-"&amp;B42,設定!$Y$8:$Y$31,0)),"設定にない学年・組",IF(COUNTIF($F$2:$F$451,F42)&gt;1,"同じ学年・組・番号がいる",IF(COUNTIF($I$2:$I$451,I42)&gt;1,"同姓同名あり",""))))</f>
        <v/>
      </c>
    </row>
    <row r="43">
      <c r="A43" s="40" t="n">
        <v>5</v>
      </c>
      <c r="B43" s="40" t="inlineStr">
        <is>
          <t>竹</t>
        </is>
      </c>
      <c r="C43" s="40" t="n">
        <v>12</v>
      </c>
      <c r="D43" s="41" t="inlineStr">
        <is>
          <t>石川　澪</t>
        </is>
      </c>
      <c r="F43" s="8">
        <f>IF(D43="","",A43&amp;"-"&amp;B43&amp;"-"&amp;C43)</f>
        <v/>
      </c>
      <c r="G43" s="8">
        <f>IF(D43="","",IFERROR(MATCH(A43&amp;"-"&amp;B43,設定!$Y$8:$Y$31,0),99)*1000+C43+ROW()/1000000)</f>
        <v/>
      </c>
      <c r="H43" s="8">
        <f>IF(D43="","",A43+1)</f>
        <v/>
      </c>
      <c r="I43" s="8">
        <f>IF(D43="","",H43&amp;"|"&amp;SUBSTITUTE(SUBSTITUTE(D43," ",""),"　",""))</f>
        <v/>
      </c>
      <c r="J43" s="42">
        <f>IF(D43="","",IF(ISERROR(MATCH(A43&amp;"-"&amp;B43,設定!$Y$8:$Y$31,0)),"設定にない学年・組",IF(COUNTIF($F$2:$F$451,F43)&gt;1,"同じ学年・組・番号がいる",IF(COUNTIF($I$2:$I$451,I43)&gt;1,"同姓同名あり",""))))</f>
        <v/>
      </c>
    </row>
    <row r="44">
      <c r="A44" s="40" t="n">
        <v>5</v>
      </c>
      <c r="B44" s="40" t="inlineStr">
        <is>
          <t>竹</t>
        </is>
      </c>
      <c r="C44" s="40" t="n">
        <v>13</v>
      </c>
      <c r="D44" s="41" t="inlineStr">
        <is>
          <t>伊藤　千尋</t>
        </is>
      </c>
      <c r="F44" s="8">
        <f>IF(D44="","",A44&amp;"-"&amp;B44&amp;"-"&amp;C44)</f>
        <v/>
      </c>
      <c r="G44" s="8">
        <f>IF(D44="","",IFERROR(MATCH(A44&amp;"-"&amp;B44,設定!$Y$8:$Y$31,0),99)*1000+C44+ROW()/1000000)</f>
        <v/>
      </c>
      <c r="H44" s="8">
        <f>IF(D44="","",A44+1)</f>
        <v/>
      </c>
      <c r="I44" s="8">
        <f>IF(D44="","",H44&amp;"|"&amp;SUBSTITUTE(SUBSTITUTE(D44," ",""),"　",""))</f>
        <v/>
      </c>
      <c r="J44" s="42">
        <f>IF(D44="","",IF(ISERROR(MATCH(A44&amp;"-"&amp;B44,設定!$Y$8:$Y$31,0)),"設定にない学年・組",IF(COUNTIF($F$2:$F$451,F44)&gt;1,"同じ学年・組・番号がいる",IF(COUNTIF($I$2:$I$451,I44)&gt;1,"同姓同名あり",""))))</f>
        <v/>
      </c>
    </row>
    <row r="45">
      <c r="A45" s="40" t="n">
        <v>5</v>
      </c>
      <c r="B45" s="40" t="inlineStr">
        <is>
          <t>竹</t>
        </is>
      </c>
      <c r="C45" s="40" t="n">
        <v>14</v>
      </c>
      <c r="D45" s="41" t="inlineStr">
        <is>
          <t>福田　優斗</t>
        </is>
      </c>
      <c r="F45" s="8">
        <f>IF(D45="","",A45&amp;"-"&amp;B45&amp;"-"&amp;C45)</f>
        <v/>
      </c>
      <c r="G45" s="8">
        <f>IF(D45="","",IFERROR(MATCH(A45&amp;"-"&amp;B45,設定!$Y$8:$Y$31,0),99)*1000+C45+ROW()/1000000)</f>
        <v/>
      </c>
      <c r="H45" s="8">
        <f>IF(D45="","",A45+1)</f>
        <v/>
      </c>
      <c r="I45" s="8">
        <f>IF(D45="","",H45&amp;"|"&amp;SUBSTITUTE(SUBSTITUTE(D45," ",""),"　",""))</f>
        <v/>
      </c>
      <c r="J45" s="42">
        <f>IF(D45="","",IF(ISERROR(MATCH(A45&amp;"-"&amp;B45,設定!$Y$8:$Y$31,0)),"設定にない学年・組",IF(COUNTIF($F$2:$F$451,F45)&gt;1,"同じ学年・組・番号がいる",IF(COUNTIF($I$2:$I$451,I45)&gt;1,"同姓同名あり",""))))</f>
        <v/>
      </c>
    </row>
    <row r="46">
      <c r="A46" s="40" t="n">
        <v>5</v>
      </c>
      <c r="B46" s="40" t="inlineStr">
        <is>
          <t>竹</t>
        </is>
      </c>
      <c r="C46" s="40" t="n">
        <v>15</v>
      </c>
      <c r="D46" s="41" t="inlineStr">
        <is>
          <t>金子　一花</t>
        </is>
      </c>
      <c r="F46" s="8">
        <f>IF(D46="","",A46&amp;"-"&amp;B46&amp;"-"&amp;C46)</f>
        <v/>
      </c>
      <c r="G46" s="8">
        <f>IF(D46="","",IFERROR(MATCH(A46&amp;"-"&amp;B46,設定!$Y$8:$Y$31,0),99)*1000+C46+ROW()/1000000)</f>
        <v/>
      </c>
      <c r="H46" s="8">
        <f>IF(D46="","",A46+1)</f>
        <v/>
      </c>
      <c r="I46" s="8">
        <f>IF(D46="","",H46&amp;"|"&amp;SUBSTITUTE(SUBSTITUTE(D46," ",""),"　",""))</f>
        <v/>
      </c>
      <c r="J46" s="42">
        <f>IF(D46="","",IF(ISERROR(MATCH(A46&amp;"-"&amp;B46,設定!$Y$8:$Y$31,0)),"設定にない学年・組",IF(COUNTIF($F$2:$F$451,F46)&gt;1,"同じ学年・組・番号がいる",IF(COUNTIF($I$2:$I$451,I46)&gt;1,"同姓同名あり",""))))</f>
        <v/>
      </c>
    </row>
    <row r="47">
      <c r="A47" s="40" t="n">
        <v>5</v>
      </c>
      <c r="B47" s="40" t="inlineStr">
        <is>
          <t>竹</t>
        </is>
      </c>
      <c r="C47" s="40" t="n">
        <v>16</v>
      </c>
      <c r="D47" s="41" t="inlineStr">
        <is>
          <t>林　凛</t>
        </is>
      </c>
      <c r="F47" s="8">
        <f>IF(D47="","",A47&amp;"-"&amp;B47&amp;"-"&amp;C47)</f>
        <v/>
      </c>
      <c r="G47" s="8">
        <f>IF(D47="","",IFERROR(MATCH(A47&amp;"-"&amp;B47,設定!$Y$8:$Y$31,0),99)*1000+C47+ROW()/1000000)</f>
        <v/>
      </c>
      <c r="H47" s="8">
        <f>IF(D47="","",A47+1)</f>
        <v/>
      </c>
      <c r="I47" s="8">
        <f>IF(D47="","",H47&amp;"|"&amp;SUBSTITUTE(SUBSTITUTE(D47," ",""),"　",""))</f>
        <v/>
      </c>
      <c r="J47" s="42">
        <f>IF(D47="","",IF(ISERROR(MATCH(A47&amp;"-"&amp;B47,設定!$Y$8:$Y$31,0)),"設定にない学年・組",IF(COUNTIF($F$2:$F$451,F47)&gt;1,"同じ学年・組・番号がいる",IF(COUNTIF($I$2:$I$451,I47)&gt;1,"同姓同名あり",""))))</f>
        <v/>
      </c>
    </row>
    <row r="48">
      <c r="A48" s="40" t="n">
        <v>5</v>
      </c>
      <c r="B48" s="40" t="inlineStr">
        <is>
          <t>竹</t>
        </is>
      </c>
      <c r="C48" s="40" t="n">
        <v>17</v>
      </c>
      <c r="D48" s="41" t="inlineStr">
        <is>
          <t>渡辺　航</t>
        </is>
      </c>
      <c r="F48" s="8">
        <f>IF(D48="","",A48&amp;"-"&amp;B48&amp;"-"&amp;C48)</f>
        <v/>
      </c>
      <c r="G48" s="8">
        <f>IF(D48="","",IFERROR(MATCH(A48&amp;"-"&amp;B48,設定!$Y$8:$Y$31,0),99)*1000+C48+ROW()/1000000)</f>
        <v/>
      </c>
      <c r="H48" s="8">
        <f>IF(D48="","",A48+1)</f>
        <v/>
      </c>
      <c r="I48" s="8">
        <f>IF(D48="","",H48&amp;"|"&amp;SUBSTITUTE(SUBSTITUTE(D48," ",""),"　",""))</f>
        <v/>
      </c>
      <c r="J48" s="42">
        <f>IF(D48="","",IF(ISERROR(MATCH(A48&amp;"-"&amp;B48,設定!$Y$8:$Y$31,0)),"設定にない学年・組",IF(COUNTIF($F$2:$F$451,F48)&gt;1,"同じ学年・組・番号がいる",IF(COUNTIF($I$2:$I$451,I48)&gt;1,"同姓同名あり",""))))</f>
        <v/>
      </c>
    </row>
    <row r="49">
      <c r="A49" s="40" t="n">
        <v>5</v>
      </c>
      <c r="B49" s="40" t="inlineStr">
        <is>
          <t>竹</t>
        </is>
      </c>
      <c r="C49" s="40" t="n">
        <v>18</v>
      </c>
      <c r="D49" s="41" t="inlineStr">
        <is>
          <t>森　蓮</t>
        </is>
      </c>
      <c r="F49" s="8">
        <f>IF(D49="","",A49&amp;"-"&amp;B49&amp;"-"&amp;C49)</f>
        <v/>
      </c>
      <c r="G49" s="8">
        <f>IF(D49="","",IFERROR(MATCH(A49&amp;"-"&amp;B49,設定!$Y$8:$Y$31,0),99)*1000+C49+ROW()/1000000)</f>
        <v/>
      </c>
      <c r="H49" s="8">
        <f>IF(D49="","",A49+1)</f>
        <v/>
      </c>
      <c r="I49" s="8">
        <f>IF(D49="","",H49&amp;"|"&amp;SUBSTITUTE(SUBSTITUTE(D49," ",""),"　",""))</f>
        <v/>
      </c>
      <c r="J49" s="42">
        <f>IF(D49="","",IF(ISERROR(MATCH(A49&amp;"-"&amp;B49,設定!$Y$8:$Y$31,0)),"設定にない学年・組",IF(COUNTIF($F$2:$F$451,F49)&gt;1,"同じ学年・組・番号がいる",IF(COUNTIF($I$2:$I$451,I49)&gt;1,"同姓同名あり",""))))</f>
        <v/>
      </c>
    </row>
    <row r="50">
      <c r="A50" s="40" t="n">
        <v>5</v>
      </c>
      <c r="B50" s="40" t="inlineStr">
        <is>
          <t>竹</t>
        </is>
      </c>
      <c r="C50" s="40" t="n">
        <v>19</v>
      </c>
      <c r="D50" s="41" t="inlineStr">
        <is>
          <t>山下　陽太</t>
        </is>
      </c>
      <c r="F50" s="8">
        <f>IF(D50="","",A50&amp;"-"&amp;B50&amp;"-"&amp;C50)</f>
        <v/>
      </c>
      <c r="G50" s="8">
        <f>IF(D50="","",IFERROR(MATCH(A50&amp;"-"&amp;B50,設定!$Y$8:$Y$31,0),99)*1000+C50+ROW()/1000000)</f>
        <v/>
      </c>
      <c r="H50" s="8">
        <f>IF(D50="","",A50+1)</f>
        <v/>
      </c>
      <c r="I50" s="8">
        <f>IF(D50="","",H50&amp;"|"&amp;SUBSTITUTE(SUBSTITUTE(D50," ",""),"　",""))</f>
        <v/>
      </c>
      <c r="J50" s="42">
        <f>IF(D50="","",IF(ISERROR(MATCH(A50&amp;"-"&amp;B50,設定!$Y$8:$Y$31,0)),"設定にない学年・組",IF(COUNTIF($F$2:$F$451,F50)&gt;1,"同じ学年・組・番号がいる",IF(COUNTIF($I$2:$I$451,I50)&gt;1,"同姓同名あり",""))))</f>
        <v/>
      </c>
    </row>
    <row r="51">
      <c r="A51" s="40" t="n">
        <v>5</v>
      </c>
      <c r="B51" s="40" t="inlineStr">
        <is>
          <t>竹</t>
        </is>
      </c>
      <c r="C51" s="40" t="n">
        <v>20</v>
      </c>
      <c r="D51" s="41" t="inlineStr">
        <is>
          <t>小林　陸</t>
        </is>
      </c>
      <c r="F51" s="8">
        <f>IF(D51="","",A51&amp;"-"&amp;B51&amp;"-"&amp;C51)</f>
        <v/>
      </c>
      <c r="G51" s="8">
        <f>IF(D51="","",IFERROR(MATCH(A51&amp;"-"&amp;B51,設定!$Y$8:$Y$31,0),99)*1000+C51+ROW()/1000000)</f>
        <v/>
      </c>
      <c r="H51" s="8">
        <f>IF(D51="","",A51+1)</f>
        <v/>
      </c>
      <c r="I51" s="8">
        <f>IF(D51="","",H51&amp;"|"&amp;SUBSTITUTE(SUBSTITUTE(D51," ",""),"　",""))</f>
        <v/>
      </c>
      <c r="J51" s="42">
        <f>IF(D51="","",IF(ISERROR(MATCH(A51&amp;"-"&amp;B51,設定!$Y$8:$Y$31,0)),"設定にない学年・組",IF(COUNTIF($F$2:$F$451,F51)&gt;1,"同じ学年・組・番号がいる",IF(COUNTIF($I$2:$I$451,I51)&gt;1,"同姓同名あり",""))))</f>
        <v/>
      </c>
    </row>
    <row r="52">
      <c r="A52" s="40" t="n">
        <v>5</v>
      </c>
      <c r="B52" s="40" t="inlineStr">
        <is>
          <t>竹</t>
        </is>
      </c>
      <c r="C52" s="40" t="n">
        <v>21</v>
      </c>
      <c r="D52" s="41" t="inlineStr">
        <is>
          <t>中野　悠真</t>
        </is>
      </c>
      <c r="F52" s="8">
        <f>IF(D52="","",A52&amp;"-"&amp;B52&amp;"-"&amp;C52)</f>
        <v/>
      </c>
      <c r="G52" s="8">
        <f>IF(D52="","",IFERROR(MATCH(A52&amp;"-"&amp;B52,設定!$Y$8:$Y$31,0),99)*1000+C52+ROW()/1000000)</f>
        <v/>
      </c>
      <c r="H52" s="8">
        <f>IF(D52="","",A52+1)</f>
        <v/>
      </c>
      <c r="I52" s="8">
        <f>IF(D52="","",H52&amp;"|"&amp;SUBSTITUTE(SUBSTITUTE(D52," ",""),"　",""))</f>
        <v/>
      </c>
      <c r="J52" s="42">
        <f>IF(D52="","",IF(ISERROR(MATCH(A52&amp;"-"&amp;B52,設定!$Y$8:$Y$31,0)),"設定にない学年・組",IF(COUNTIF($F$2:$F$451,F52)&gt;1,"同じ学年・組・番号がいる",IF(COUNTIF($I$2:$I$451,I52)&gt;1,"同姓同名あり",""))))</f>
        <v/>
      </c>
    </row>
    <row r="53">
      <c r="A53" s="40" t="n">
        <v>5</v>
      </c>
      <c r="B53" s="40" t="inlineStr">
        <is>
          <t>竹</t>
        </is>
      </c>
      <c r="C53" s="40" t="n">
        <v>22</v>
      </c>
      <c r="D53" s="41" t="inlineStr">
        <is>
          <t>佐藤　蒼</t>
        </is>
      </c>
      <c r="F53" s="8">
        <f>IF(D53="","",A53&amp;"-"&amp;B53&amp;"-"&amp;C53)</f>
        <v/>
      </c>
      <c r="G53" s="8">
        <f>IF(D53="","",IFERROR(MATCH(A53&amp;"-"&amp;B53,設定!$Y$8:$Y$31,0),99)*1000+C53+ROW()/1000000)</f>
        <v/>
      </c>
      <c r="H53" s="8">
        <f>IF(D53="","",A53+1)</f>
        <v/>
      </c>
      <c r="I53" s="8">
        <f>IF(D53="","",H53&amp;"|"&amp;SUBSTITUTE(SUBSTITUTE(D53," ",""),"　",""))</f>
        <v/>
      </c>
      <c r="J53" s="42">
        <f>IF(D53="","",IF(ISERROR(MATCH(A53&amp;"-"&amp;B53,設定!$Y$8:$Y$31,0)),"設定にない学年・組",IF(COUNTIF($F$2:$F$451,F53)&gt;1,"同じ学年・組・番号がいる",IF(COUNTIF($I$2:$I$451,I53)&gt;1,"同姓同名あり",""))))</f>
        <v/>
      </c>
    </row>
    <row r="54">
      <c r="A54" s="40" t="n">
        <v>5</v>
      </c>
      <c r="B54" s="40" t="inlineStr">
        <is>
          <t>竹</t>
        </is>
      </c>
      <c r="C54" s="40" t="n">
        <v>23</v>
      </c>
      <c r="D54" s="41" t="inlineStr">
        <is>
          <t>小川　杏</t>
        </is>
      </c>
      <c r="F54" s="8">
        <f>IF(D54="","",A54&amp;"-"&amp;B54&amp;"-"&amp;C54)</f>
        <v/>
      </c>
      <c r="G54" s="8">
        <f>IF(D54="","",IFERROR(MATCH(A54&amp;"-"&amp;B54,設定!$Y$8:$Y$31,0),99)*1000+C54+ROW()/1000000)</f>
        <v/>
      </c>
      <c r="H54" s="8">
        <f>IF(D54="","",A54+1)</f>
        <v/>
      </c>
      <c r="I54" s="8">
        <f>IF(D54="","",H54&amp;"|"&amp;SUBSTITUTE(SUBSTITUTE(D54," ",""),"　",""))</f>
        <v/>
      </c>
      <c r="J54" s="42">
        <f>IF(D54="","",IF(ISERROR(MATCH(A54&amp;"-"&amp;B54,設定!$Y$8:$Y$31,0)),"設定にない学年・組",IF(COUNTIF($F$2:$F$451,F54)&gt;1,"同じ学年・組・番号がいる",IF(COUNTIF($I$2:$I$451,I54)&gt;1,"同姓同名あり",""))))</f>
        <v/>
      </c>
    </row>
    <row r="55">
      <c r="A55" s="40" t="n">
        <v>5</v>
      </c>
      <c r="B55" s="40" t="inlineStr">
        <is>
          <t>竹</t>
        </is>
      </c>
      <c r="C55" s="40" t="n">
        <v>24</v>
      </c>
      <c r="D55" s="41" t="inlineStr">
        <is>
          <t>山田　一花</t>
        </is>
      </c>
      <c r="F55" s="8">
        <f>IF(D55="","",A55&amp;"-"&amp;B55&amp;"-"&amp;C55)</f>
        <v/>
      </c>
      <c r="G55" s="8">
        <f>IF(D55="","",IFERROR(MATCH(A55&amp;"-"&amp;B55,設定!$Y$8:$Y$31,0),99)*1000+C55+ROW()/1000000)</f>
        <v/>
      </c>
      <c r="H55" s="8">
        <f>IF(D55="","",A55+1)</f>
        <v/>
      </c>
      <c r="I55" s="8">
        <f>IF(D55="","",H55&amp;"|"&amp;SUBSTITUTE(SUBSTITUTE(D55," ",""),"　",""))</f>
        <v/>
      </c>
      <c r="J55" s="42">
        <f>IF(D55="","",IF(ISERROR(MATCH(A55&amp;"-"&amp;B55,設定!$Y$8:$Y$31,0)),"設定にない学年・組",IF(COUNTIF($F$2:$F$451,F55)&gt;1,"同じ学年・組・番号がいる",IF(COUNTIF($I$2:$I$451,I55)&gt;1,"同姓同名あり",""))))</f>
        <v/>
      </c>
    </row>
    <row r="56">
      <c r="A56" s="40" t="n">
        <v>5</v>
      </c>
      <c r="B56" s="40" t="inlineStr">
        <is>
          <t>竹</t>
        </is>
      </c>
      <c r="C56" s="40" t="n">
        <v>25</v>
      </c>
      <c r="D56" s="41" t="inlineStr">
        <is>
          <t>近藤　優斗</t>
        </is>
      </c>
      <c r="F56" s="8">
        <f>IF(D56="","",A56&amp;"-"&amp;B56&amp;"-"&amp;C56)</f>
        <v/>
      </c>
      <c r="G56" s="8">
        <f>IF(D56="","",IFERROR(MATCH(A56&amp;"-"&amp;B56,設定!$Y$8:$Y$31,0),99)*1000+C56+ROW()/1000000)</f>
        <v/>
      </c>
      <c r="H56" s="8">
        <f>IF(D56="","",A56+1)</f>
        <v/>
      </c>
      <c r="I56" s="8">
        <f>IF(D56="","",H56&amp;"|"&amp;SUBSTITUTE(SUBSTITUTE(D56," ",""),"　",""))</f>
        <v/>
      </c>
      <c r="J56" s="42">
        <f>IF(D56="","",IF(ISERROR(MATCH(A56&amp;"-"&amp;B56,設定!$Y$8:$Y$31,0)),"設定にない学年・組",IF(COUNTIF($F$2:$F$451,F56)&gt;1,"同じ学年・組・番号がいる",IF(COUNTIF($I$2:$I$451,I56)&gt;1,"同姓同名あり",""))))</f>
        <v/>
      </c>
    </row>
    <row r="57">
      <c r="A57" s="40" t="n">
        <v>5</v>
      </c>
      <c r="B57" s="40" t="inlineStr">
        <is>
          <t>竹</t>
        </is>
      </c>
      <c r="C57" s="40" t="n">
        <v>26</v>
      </c>
      <c r="D57" s="41" t="inlineStr">
        <is>
          <t>佐々木　翼</t>
        </is>
      </c>
      <c r="F57" s="8">
        <f>IF(D57="","",A57&amp;"-"&amp;B57&amp;"-"&amp;C57)</f>
        <v/>
      </c>
      <c r="G57" s="8">
        <f>IF(D57="","",IFERROR(MATCH(A57&amp;"-"&amp;B57,設定!$Y$8:$Y$31,0),99)*1000+C57+ROW()/1000000)</f>
        <v/>
      </c>
      <c r="H57" s="8">
        <f>IF(D57="","",A57+1)</f>
        <v/>
      </c>
      <c r="I57" s="8">
        <f>IF(D57="","",H57&amp;"|"&amp;SUBSTITUTE(SUBSTITUTE(D57," ",""),"　",""))</f>
        <v/>
      </c>
      <c r="J57" s="42">
        <f>IF(D57="","",IF(ISERROR(MATCH(A57&amp;"-"&amp;B57,設定!$Y$8:$Y$31,0)),"設定にない学年・組",IF(COUNTIF($F$2:$F$451,F57)&gt;1,"同じ学年・組・番号がいる",IF(COUNTIF($I$2:$I$451,I57)&gt;1,"同姓同名あり",""))))</f>
        <v/>
      </c>
    </row>
    <row r="58">
      <c r="A58" s="40" t="n">
        <v>5</v>
      </c>
      <c r="B58" s="40" t="inlineStr">
        <is>
          <t>竹</t>
        </is>
      </c>
      <c r="C58" s="40" t="n">
        <v>27</v>
      </c>
      <c r="D58" s="41" t="inlineStr">
        <is>
          <t>金子　朝陽</t>
        </is>
      </c>
      <c r="F58" s="8">
        <f>IF(D58="","",A58&amp;"-"&amp;B58&amp;"-"&amp;C58)</f>
        <v/>
      </c>
      <c r="G58" s="8">
        <f>IF(D58="","",IFERROR(MATCH(A58&amp;"-"&amp;B58,設定!$Y$8:$Y$31,0),99)*1000+C58+ROW()/1000000)</f>
        <v/>
      </c>
      <c r="H58" s="8">
        <f>IF(D58="","",A58+1)</f>
        <v/>
      </c>
      <c r="I58" s="8">
        <f>IF(D58="","",H58&amp;"|"&amp;SUBSTITUTE(SUBSTITUTE(D58," ",""),"　",""))</f>
        <v/>
      </c>
      <c r="J58" s="42">
        <f>IF(D58="","",IF(ISERROR(MATCH(A58&amp;"-"&amp;B58,設定!$Y$8:$Y$31,0)),"設定にない学年・組",IF(COUNTIF($F$2:$F$451,F58)&gt;1,"同じ学年・組・番号がいる",IF(COUNTIF($I$2:$I$451,I58)&gt;1,"同姓同名あり",""))))</f>
        <v/>
      </c>
    </row>
    <row r="59">
      <c r="A59" s="40" t="n">
        <v>5</v>
      </c>
      <c r="B59" s="40" t="inlineStr">
        <is>
          <t>竹</t>
        </is>
      </c>
      <c r="C59" s="40" t="n">
        <v>28</v>
      </c>
      <c r="D59" s="41" t="inlineStr">
        <is>
          <t>山下　悠人</t>
        </is>
      </c>
      <c r="F59" s="8">
        <f>IF(D59="","",A59&amp;"-"&amp;B59&amp;"-"&amp;C59)</f>
        <v/>
      </c>
      <c r="G59" s="8">
        <f>IF(D59="","",IFERROR(MATCH(A59&amp;"-"&amp;B59,設定!$Y$8:$Y$31,0),99)*1000+C59+ROW()/1000000)</f>
        <v/>
      </c>
      <c r="H59" s="8">
        <f>IF(D59="","",A59+1)</f>
        <v/>
      </c>
      <c r="I59" s="8">
        <f>IF(D59="","",H59&amp;"|"&amp;SUBSTITUTE(SUBSTITUTE(D59," ",""),"　",""))</f>
        <v/>
      </c>
      <c r="J59" s="42">
        <f>IF(D59="","",IF(ISERROR(MATCH(A59&amp;"-"&amp;B59,設定!$Y$8:$Y$31,0)),"設定にない学年・組",IF(COUNTIF($F$2:$F$451,F59)&gt;1,"同じ学年・組・番号がいる",IF(COUNTIF($I$2:$I$451,I59)&gt;1,"同姓同名あり",""))))</f>
        <v/>
      </c>
    </row>
    <row r="60">
      <c r="A60" s="40" t="n">
        <v>5</v>
      </c>
      <c r="B60" s="40" t="inlineStr">
        <is>
          <t>竹</t>
        </is>
      </c>
      <c r="C60" s="40" t="n">
        <v>29</v>
      </c>
      <c r="D60" s="41" t="inlineStr">
        <is>
          <t>阿部　陽太</t>
        </is>
      </c>
      <c r="F60" s="8">
        <f>IF(D60="","",A60&amp;"-"&amp;B60&amp;"-"&amp;C60)</f>
        <v/>
      </c>
      <c r="G60" s="8">
        <f>IF(D60="","",IFERROR(MATCH(A60&amp;"-"&amp;B60,設定!$Y$8:$Y$31,0),99)*1000+C60+ROW()/1000000)</f>
        <v/>
      </c>
      <c r="H60" s="8">
        <f>IF(D60="","",A60+1)</f>
        <v/>
      </c>
      <c r="I60" s="8">
        <f>IF(D60="","",H60&amp;"|"&amp;SUBSTITUTE(SUBSTITUTE(D60," ",""),"　",""))</f>
        <v/>
      </c>
      <c r="J60" s="42">
        <f>IF(D60="","",IF(ISERROR(MATCH(A60&amp;"-"&amp;B60,設定!$Y$8:$Y$31,0)),"設定にない学年・組",IF(COUNTIF($F$2:$F$451,F60)&gt;1,"同じ学年・組・番号がいる",IF(COUNTIF($I$2:$I$451,I60)&gt;1,"同姓同名あり",""))))</f>
        <v/>
      </c>
    </row>
    <row r="61">
      <c r="A61" s="40" t="n">
        <v>5</v>
      </c>
      <c r="B61" s="40" t="inlineStr">
        <is>
          <t>竹</t>
        </is>
      </c>
      <c r="C61" s="40" t="n">
        <v>30</v>
      </c>
      <c r="D61" s="41" t="inlineStr">
        <is>
          <t>山口　蓮</t>
        </is>
      </c>
      <c r="F61" s="8">
        <f>IF(D61="","",A61&amp;"-"&amp;B61&amp;"-"&amp;C61)</f>
        <v/>
      </c>
      <c r="G61" s="8">
        <f>IF(D61="","",IFERROR(MATCH(A61&amp;"-"&amp;B61,設定!$Y$8:$Y$31,0),99)*1000+C61+ROW()/1000000)</f>
        <v/>
      </c>
      <c r="H61" s="8">
        <f>IF(D61="","",A61+1)</f>
        <v/>
      </c>
      <c r="I61" s="8">
        <f>IF(D61="","",H61&amp;"|"&amp;SUBSTITUTE(SUBSTITUTE(D61," ",""),"　",""))</f>
        <v/>
      </c>
      <c r="J61" s="42">
        <f>IF(D61="","",IF(ISERROR(MATCH(A61&amp;"-"&amp;B61,設定!$Y$8:$Y$31,0)),"設定にない学年・組",IF(COUNTIF($F$2:$F$451,F61)&gt;1,"同じ学年・組・番号がいる",IF(COUNTIF($I$2:$I$451,I61)&gt;1,"同姓同名あり",""))))</f>
        <v/>
      </c>
    </row>
    <row r="62">
      <c r="A62" s="40" t="n">
        <v>5</v>
      </c>
      <c r="B62" s="40" t="inlineStr">
        <is>
          <t>梅</t>
        </is>
      </c>
      <c r="C62" s="40" t="n">
        <v>1</v>
      </c>
      <c r="D62" s="41" t="inlineStr">
        <is>
          <t>林　楓</t>
        </is>
      </c>
      <c r="F62" s="8">
        <f>IF(D62="","",A62&amp;"-"&amp;B62&amp;"-"&amp;C62)</f>
        <v/>
      </c>
      <c r="G62" s="8">
        <f>IF(D62="","",IFERROR(MATCH(A62&amp;"-"&amp;B62,設定!$Y$8:$Y$31,0),99)*1000+C62+ROW()/1000000)</f>
        <v/>
      </c>
      <c r="H62" s="8">
        <f>IF(D62="","",A62+1)</f>
        <v/>
      </c>
      <c r="I62" s="8">
        <f>IF(D62="","",H62&amp;"|"&amp;SUBSTITUTE(SUBSTITUTE(D62," ",""),"　",""))</f>
        <v/>
      </c>
      <c r="J62" s="42">
        <f>IF(D62="","",IF(ISERROR(MATCH(A62&amp;"-"&amp;B62,設定!$Y$8:$Y$31,0)),"設定にない学年・組",IF(COUNTIF($F$2:$F$451,F62)&gt;1,"同じ学年・組・番号がいる",IF(COUNTIF($I$2:$I$451,I62)&gt;1,"同姓同名あり",""))))</f>
        <v/>
      </c>
    </row>
    <row r="63">
      <c r="A63" s="40" t="n">
        <v>5</v>
      </c>
      <c r="B63" s="40" t="inlineStr">
        <is>
          <t>梅</t>
        </is>
      </c>
      <c r="C63" s="40" t="n">
        <v>2</v>
      </c>
      <c r="D63" s="41" t="inlineStr">
        <is>
          <t>清水　陽翔</t>
        </is>
      </c>
      <c r="F63" s="8">
        <f>IF(D63="","",A63&amp;"-"&amp;B63&amp;"-"&amp;C63)</f>
        <v/>
      </c>
      <c r="G63" s="8">
        <f>IF(D63="","",IFERROR(MATCH(A63&amp;"-"&amp;B63,設定!$Y$8:$Y$31,0),99)*1000+C63+ROW()/1000000)</f>
        <v/>
      </c>
      <c r="H63" s="8">
        <f>IF(D63="","",A63+1)</f>
        <v/>
      </c>
      <c r="I63" s="8">
        <f>IF(D63="","",H63&amp;"|"&amp;SUBSTITUTE(SUBSTITUTE(D63," ",""),"　",""))</f>
        <v/>
      </c>
      <c r="J63" s="42">
        <f>IF(D63="","",IF(ISERROR(MATCH(A63&amp;"-"&amp;B63,設定!$Y$8:$Y$31,0)),"設定にない学年・組",IF(COUNTIF($F$2:$F$451,F63)&gt;1,"同じ学年・組・番号がいる",IF(COUNTIF($I$2:$I$451,I63)&gt;1,"同姓同名あり",""))))</f>
        <v/>
      </c>
    </row>
    <row r="64">
      <c r="A64" s="40" t="n">
        <v>5</v>
      </c>
      <c r="B64" s="40" t="inlineStr">
        <is>
          <t>梅</t>
        </is>
      </c>
      <c r="C64" s="40" t="n">
        <v>3</v>
      </c>
      <c r="D64" s="41" t="inlineStr">
        <is>
          <t>山口　結翔</t>
        </is>
      </c>
      <c r="F64" s="8">
        <f>IF(D64="","",A64&amp;"-"&amp;B64&amp;"-"&amp;C64)</f>
        <v/>
      </c>
      <c r="G64" s="8">
        <f>IF(D64="","",IFERROR(MATCH(A64&amp;"-"&amp;B64,設定!$Y$8:$Y$31,0),99)*1000+C64+ROW()/1000000)</f>
        <v/>
      </c>
      <c r="H64" s="8">
        <f>IF(D64="","",A64+1)</f>
        <v/>
      </c>
      <c r="I64" s="8">
        <f>IF(D64="","",H64&amp;"|"&amp;SUBSTITUTE(SUBSTITUTE(D64," ",""),"　",""))</f>
        <v/>
      </c>
      <c r="J64" s="42">
        <f>IF(D64="","",IF(ISERROR(MATCH(A64&amp;"-"&amp;B64,設定!$Y$8:$Y$31,0)),"設定にない学年・組",IF(COUNTIF($F$2:$F$451,F64)&gt;1,"同じ学年・組・番号がいる",IF(COUNTIF($I$2:$I$451,I64)&gt;1,"同姓同名あり",""))))</f>
        <v/>
      </c>
    </row>
    <row r="65">
      <c r="A65" s="40" t="n">
        <v>5</v>
      </c>
      <c r="B65" s="40" t="inlineStr">
        <is>
          <t>梅</t>
        </is>
      </c>
      <c r="C65" s="40" t="n">
        <v>4</v>
      </c>
      <c r="D65" s="41" t="inlineStr">
        <is>
          <t>石川　真央</t>
        </is>
      </c>
      <c r="F65" s="8">
        <f>IF(D65="","",A65&amp;"-"&amp;B65&amp;"-"&amp;C65)</f>
        <v/>
      </c>
      <c r="G65" s="8">
        <f>IF(D65="","",IFERROR(MATCH(A65&amp;"-"&amp;B65,設定!$Y$8:$Y$31,0),99)*1000+C65+ROW()/1000000)</f>
        <v/>
      </c>
      <c r="H65" s="8">
        <f>IF(D65="","",A65+1)</f>
        <v/>
      </c>
      <c r="I65" s="8">
        <f>IF(D65="","",H65&amp;"|"&amp;SUBSTITUTE(SUBSTITUTE(D65," ",""),"　",""))</f>
        <v/>
      </c>
      <c r="J65" s="42">
        <f>IF(D65="","",IF(ISERROR(MATCH(A65&amp;"-"&amp;B65,設定!$Y$8:$Y$31,0)),"設定にない学年・組",IF(COUNTIF($F$2:$F$451,F65)&gt;1,"同じ学年・組・番号がいる",IF(COUNTIF($I$2:$I$451,I65)&gt;1,"同姓同名あり",""))))</f>
        <v/>
      </c>
    </row>
    <row r="66">
      <c r="A66" s="40" t="n">
        <v>5</v>
      </c>
      <c r="B66" s="40" t="inlineStr">
        <is>
          <t>梅</t>
        </is>
      </c>
      <c r="C66" s="40" t="n">
        <v>5</v>
      </c>
      <c r="D66" s="41" t="inlineStr">
        <is>
          <t>太田　千尋</t>
        </is>
      </c>
      <c r="F66" s="8">
        <f>IF(D66="","",A66&amp;"-"&amp;B66&amp;"-"&amp;C66)</f>
        <v/>
      </c>
      <c r="G66" s="8">
        <f>IF(D66="","",IFERROR(MATCH(A66&amp;"-"&amp;B66,設定!$Y$8:$Y$31,0),99)*1000+C66+ROW()/1000000)</f>
        <v/>
      </c>
      <c r="H66" s="8">
        <f>IF(D66="","",A66+1)</f>
        <v/>
      </c>
      <c r="I66" s="8">
        <f>IF(D66="","",H66&amp;"|"&amp;SUBSTITUTE(SUBSTITUTE(D66," ",""),"　",""))</f>
        <v/>
      </c>
      <c r="J66" s="42">
        <f>IF(D66="","",IF(ISERROR(MATCH(A66&amp;"-"&amp;B66,設定!$Y$8:$Y$31,0)),"設定にない学年・組",IF(COUNTIF($F$2:$F$451,F66)&gt;1,"同じ学年・組・番号がいる",IF(COUNTIF($I$2:$I$451,I66)&gt;1,"同姓同名あり",""))))</f>
        <v/>
      </c>
    </row>
    <row r="67">
      <c r="A67" s="40" t="n">
        <v>5</v>
      </c>
      <c r="B67" s="40" t="inlineStr">
        <is>
          <t>梅</t>
        </is>
      </c>
      <c r="C67" s="40" t="n">
        <v>6</v>
      </c>
      <c r="D67" s="41" t="inlineStr">
        <is>
          <t>山本　湊</t>
        </is>
      </c>
      <c r="F67" s="8">
        <f>IF(D67="","",A67&amp;"-"&amp;B67&amp;"-"&amp;C67)</f>
        <v/>
      </c>
      <c r="G67" s="8">
        <f>IF(D67="","",IFERROR(MATCH(A67&amp;"-"&amp;B67,設定!$Y$8:$Y$31,0),99)*1000+C67+ROW()/1000000)</f>
        <v/>
      </c>
      <c r="H67" s="8">
        <f>IF(D67="","",A67+1)</f>
        <v/>
      </c>
      <c r="I67" s="8">
        <f>IF(D67="","",H67&amp;"|"&amp;SUBSTITUTE(SUBSTITUTE(D67," ",""),"　",""))</f>
        <v/>
      </c>
      <c r="J67" s="42">
        <f>IF(D67="","",IF(ISERROR(MATCH(A67&amp;"-"&amp;B67,設定!$Y$8:$Y$31,0)),"設定にない学年・組",IF(COUNTIF($F$2:$F$451,F67)&gt;1,"同じ学年・組・番号がいる",IF(COUNTIF($I$2:$I$451,I67)&gt;1,"同姓同名あり",""))))</f>
        <v/>
      </c>
    </row>
    <row r="68">
      <c r="A68" s="40" t="n">
        <v>5</v>
      </c>
      <c r="B68" s="40" t="inlineStr">
        <is>
          <t>梅</t>
        </is>
      </c>
      <c r="C68" s="40" t="n">
        <v>7</v>
      </c>
      <c r="D68" s="41" t="inlineStr">
        <is>
          <t>加藤　奏太</t>
        </is>
      </c>
      <c r="F68" s="8">
        <f>IF(D68="","",A68&amp;"-"&amp;B68&amp;"-"&amp;C68)</f>
        <v/>
      </c>
      <c r="G68" s="8">
        <f>IF(D68="","",IFERROR(MATCH(A68&amp;"-"&amp;B68,設定!$Y$8:$Y$31,0),99)*1000+C68+ROW()/1000000)</f>
        <v/>
      </c>
      <c r="H68" s="8">
        <f>IF(D68="","",A68+1)</f>
        <v/>
      </c>
      <c r="I68" s="8">
        <f>IF(D68="","",H68&amp;"|"&amp;SUBSTITUTE(SUBSTITUTE(D68," ",""),"　",""))</f>
        <v/>
      </c>
      <c r="J68" s="42">
        <f>IF(D68="","",IF(ISERROR(MATCH(A68&amp;"-"&amp;B68,設定!$Y$8:$Y$31,0)),"設定にない学年・組",IF(COUNTIF($F$2:$F$451,F68)&gt;1,"同じ学年・組・番号がいる",IF(COUNTIF($I$2:$I$451,I68)&gt;1,"同姓同名あり",""))))</f>
        <v/>
      </c>
    </row>
    <row r="69">
      <c r="A69" s="40" t="n">
        <v>5</v>
      </c>
      <c r="B69" s="40" t="inlineStr">
        <is>
          <t>梅</t>
        </is>
      </c>
      <c r="C69" s="40" t="n">
        <v>8</v>
      </c>
      <c r="D69" s="41" t="inlineStr">
        <is>
          <t>石井　海斗</t>
        </is>
      </c>
      <c r="F69" s="8">
        <f>IF(D69="","",A69&amp;"-"&amp;B69&amp;"-"&amp;C69)</f>
        <v/>
      </c>
      <c r="G69" s="8">
        <f>IF(D69="","",IFERROR(MATCH(A69&amp;"-"&amp;B69,設定!$Y$8:$Y$31,0),99)*1000+C69+ROW()/1000000)</f>
        <v/>
      </c>
      <c r="H69" s="8">
        <f>IF(D69="","",A69+1)</f>
        <v/>
      </c>
      <c r="I69" s="8">
        <f>IF(D69="","",H69&amp;"|"&amp;SUBSTITUTE(SUBSTITUTE(D69," ",""),"　",""))</f>
        <v/>
      </c>
      <c r="J69" s="42">
        <f>IF(D69="","",IF(ISERROR(MATCH(A69&amp;"-"&amp;B69,設定!$Y$8:$Y$31,0)),"設定にない学年・組",IF(COUNTIF($F$2:$F$451,F69)&gt;1,"同じ学年・組・番号がいる",IF(COUNTIF($I$2:$I$451,I69)&gt;1,"同姓同名あり",""))))</f>
        <v/>
      </c>
    </row>
    <row r="70">
      <c r="A70" s="40" t="n">
        <v>5</v>
      </c>
      <c r="B70" s="40" t="inlineStr">
        <is>
          <t>梅</t>
        </is>
      </c>
      <c r="C70" s="40" t="n">
        <v>9</v>
      </c>
      <c r="D70" s="41" t="inlineStr">
        <is>
          <t>佐藤　さくら</t>
        </is>
      </c>
      <c r="F70" s="8">
        <f>IF(D70="","",A70&amp;"-"&amp;B70&amp;"-"&amp;C70)</f>
        <v/>
      </c>
      <c r="G70" s="8">
        <f>IF(D70="","",IFERROR(MATCH(A70&amp;"-"&amp;B70,設定!$Y$8:$Y$31,0),99)*1000+C70+ROW()/1000000)</f>
        <v/>
      </c>
      <c r="H70" s="8">
        <f>IF(D70="","",A70+1)</f>
        <v/>
      </c>
      <c r="I70" s="8">
        <f>IF(D70="","",H70&amp;"|"&amp;SUBSTITUTE(SUBSTITUTE(D70," ",""),"　",""))</f>
        <v/>
      </c>
      <c r="J70" s="42">
        <f>IF(D70="","",IF(ISERROR(MATCH(A70&amp;"-"&amp;B70,設定!$Y$8:$Y$31,0)),"設定にない学年・組",IF(COUNTIF($F$2:$F$451,F70)&gt;1,"同じ学年・組・番号がいる",IF(COUNTIF($I$2:$I$451,I70)&gt;1,"同姓同名あり",""))))</f>
        <v/>
      </c>
    </row>
    <row r="71">
      <c r="A71" s="40" t="n">
        <v>5</v>
      </c>
      <c r="B71" s="40" t="inlineStr">
        <is>
          <t>梅</t>
        </is>
      </c>
      <c r="C71" s="40" t="n">
        <v>10</v>
      </c>
      <c r="D71" s="41" t="inlineStr">
        <is>
          <t>森　拓海</t>
        </is>
      </c>
      <c r="F71" s="8">
        <f>IF(D71="","",A71&amp;"-"&amp;B71&amp;"-"&amp;C71)</f>
        <v/>
      </c>
      <c r="G71" s="8">
        <f>IF(D71="","",IFERROR(MATCH(A71&amp;"-"&amp;B71,設定!$Y$8:$Y$31,0),99)*1000+C71+ROW()/1000000)</f>
        <v/>
      </c>
      <c r="H71" s="8">
        <f>IF(D71="","",A71+1)</f>
        <v/>
      </c>
      <c r="I71" s="8">
        <f>IF(D71="","",H71&amp;"|"&amp;SUBSTITUTE(SUBSTITUTE(D71," ",""),"　",""))</f>
        <v/>
      </c>
      <c r="J71" s="42">
        <f>IF(D71="","",IF(ISERROR(MATCH(A71&amp;"-"&amp;B71,設定!$Y$8:$Y$31,0)),"設定にない学年・組",IF(COUNTIF($F$2:$F$451,F71)&gt;1,"同じ学年・組・番号がいる",IF(COUNTIF($I$2:$I$451,I71)&gt;1,"同姓同名あり",""))))</f>
        <v/>
      </c>
    </row>
    <row r="72">
      <c r="A72" s="40" t="n">
        <v>5</v>
      </c>
      <c r="B72" s="40" t="inlineStr">
        <is>
          <t>梅</t>
        </is>
      </c>
      <c r="C72" s="40" t="n">
        <v>11</v>
      </c>
      <c r="D72" s="41" t="inlineStr">
        <is>
          <t>阿部　樹</t>
        </is>
      </c>
      <c r="F72" s="8">
        <f>IF(D72="","",A72&amp;"-"&amp;B72&amp;"-"&amp;C72)</f>
        <v/>
      </c>
      <c r="G72" s="8">
        <f>IF(D72="","",IFERROR(MATCH(A72&amp;"-"&amp;B72,設定!$Y$8:$Y$31,0),99)*1000+C72+ROW()/1000000)</f>
        <v/>
      </c>
      <c r="H72" s="8">
        <f>IF(D72="","",A72+1)</f>
        <v/>
      </c>
      <c r="I72" s="8">
        <f>IF(D72="","",H72&amp;"|"&amp;SUBSTITUTE(SUBSTITUTE(D72," ",""),"　",""))</f>
        <v/>
      </c>
      <c r="J72" s="42">
        <f>IF(D72="","",IF(ISERROR(MATCH(A72&amp;"-"&amp;B72,設定!$Y$8:$Y$31,0)),"設定にない学年・組",IF(COUNTIF($F$2:$F$451,F72)&gt;1,"同じ学年・組・番号がいる",IF(COUNTIF($I$2:$I$451,I72)&gt;1,"同姓同名あり",""))))</f>
        <v/>
      </c>
    </row>
    <row r="73">
      <c r="A73" s="40" t="n">
        <v>5</v>
      </c>
      <c r="B73" s="40" t="inlineStr">
        <is>
          <t>梅</t>
        </is>
      </c>
      <c r="C73" s="40" t="n">
        <v>12</v>
      </c>
      <c r="D73" s="41" t="inlineStr">
        <is>
          <t>伊藤　大和</t>
        </is>
      </c>
      <c r="F73" s="8">
        <f>IF(D73="","",A73&amp;"-"&amp;B73&amp;"-"&amp;C73)</f>
        <v/>
      </c>
      <c r="G73" s="8">
        <f>IF(D73="","",IFERROR(MATCH(A73&amp;"-"&amp;B73,設定!$Y$8:$Y$31,0),99)*1000+C73+ROW()/1000000)</f>
        <v/>
      </c>
      <c r="H73" s="8">
        <f>IF(D73="","",A73+1)</f>
        <v/>
      </c>
      <c r="I73" s="8">
        <f>IF(D73="","",H73&amp;"|"&amp;SUBSTITUTE(SUBSTITUTE(D73," ",""),"　",""))</f>
        <v/>
      </c>
      <c r="J73" s="42">
        <f>IF(D73="","",IF(ISERROR(MATCH(A73&amp;"-"&amp;B73,設定!$Y$8:$Y$31,0)),"設定にない学年・組",IF(COUNTIF($F$2:$F$451,F73)&gt;1,"同じ学年・組・番号がいる",IF(COUNTIF($I$2:$I$451,I73)&gt;1,"同姓同名あり",""))))</f>
        <v/>
      </c>
    </row>
    <row r="74">
      <c r="A74" s="40" t="n">
        <v>5</v>
      </c>
      <c r="B74" s="40" t="inlineStr">
        <is>
          <t>梅</t>
        </is>
      </c>
      <c r="C74" s="40" t="n">
        <v>13</v>
      </c>
      <c r="D74" s="41" t="inlineStr">
        <is>
          <t>山口　楓</t>
        </is>
      </c>
      <c r="F74" s="8">
        <f>IF(D74="","",A74&amp;"-"&amp;B74&amp;"-"&amp;C74)</f>
        <v/>
      </c>
      <c r="G74" s="8">
        <f>IF(D74="","",IFERROR(MATCH(A74&amp;"-"&amp;B74,設定!$Y$8:$Y$31,0),99)*1000+C74+ROW()/1000000)</f>
        <v/>
      </c>
      <c r="H74" s="8">
        <f>IF(D74="","",A74+1)</f>
        <v/>
      </c>
      <c r="I74" s="8">
        <f>IF(D74="","",H74&amp;"|"&amp;SUBSTITUTE(SUBSTITUTE(D74," ",""),"　",""))</f>
        <v/>
      </c>
      <c r="J74" s="42">
        <f>IF(D74="","",IF(ISERROR(MATCH(A74&amp;"-"&amp;B74,設定!$Y$8:$Y$31,0)),"設定にない学年・組",IF(COUNTIF($F$2:$F$451,F74)&gt;1,"同じ学年・組・番号がいる",IF(COUNTIF($I$2:$I$451,I74)&gt;1,"同姓同名あり",""))))</f>
        <v/>
      </c>
    </row>
    <row r="75">
      <c r="A75" s="40" t="n">
        <v>5</v>
      </c>
      <c r="B75" s="40" t="inlineStr">
        <is>
          <t>梅</t>
        </is>
      </c>
      <c r="C75" s="40" t="n">
        <v>14</v>
      </c>
      <c r="D75" s="41" t="inlineStr">
        <is>
          <t>福田　陸</t>
        </is>
      </c>
      <c r="F75" s="8">
        <f>IF(D75="","",A75&amp;"-"&amp;B75&amp;"-"&amp;C75)</f>
        <v/>
      </c>
      <c r="G75" s="8">
        <f>IF(D75="","",IFERROR(MATCH(A75&amp;"-"&amp;B75,設定!$Y$8:$Y$31,0),99)*1000+C75+ROW()/1000000)</f>
        <v/>
      </c>
      <c r="H75" s="8">
        <f>IF(D75="","",A75+1)</f>
        <v/>
      </c>
      <c r="I75" s="8">
        <f>IF(D75="","",H75&amp;"|"&amp;SUBSTITUTE(SUBSTITUTE(D75," ",""),"　",""))</f>
        <v/>
      </c>
      <c r="J75" s="42">
        <f>IF(D75="","",IF(ISERROR(MATCH(A75&amp;"-"&amp;B75,設定!$Y$8:$Y$31,0)),"設定にない学年・組",IF(COUNTIF($F$2:$F$451,F75)&gt;1,"同じ学年・組・番号がいる",IF(COUNTIF($I$2:$I$451,I75)&gt;1,"同姓同名あり",""))))</f>
        <v/>
      </c>
    </row>
    <row r="76">
      <c r="A76" s="40" t="n">
        <v>5</v>
      </c>
      <c r="B76" s="40" t="inlineStr">
        <is>
          <t>梅</t>
        </is>
      </c>
      <c r="C76" s="40" t="n">
        <v>15</v>
      </c>
      <c r="D76" s="41" t="inlineStr">
        <is>
          <t>佐藤　真央</t>
        </is>
      </c>
      <c r="F76" s="8">
        <f>IF(D76="","",A76&amp;"-"&amp;B76&amp;"-"&amp;C76)</f>
        <v/>
      </c>
      <c r="G76" s="8">
        <f>IF(D76="","",IFERROR(MATCH(A76&amp;"-"&amp;B76,設定!$Y$8:$Y$31,0),99)*1000+C76+ROW()/1000000)</f>
        <v/>
      </c>
      <c r="H76" s="8">
        <f>IF(D76="","",A76+1)</f>
        <v/>
      </c>
      <c r="I76" s="8">
        <f>IF(D76="","",H76&amp;"|"&amp;SUBSTITUTE(SUBSTITUTE(D76," ",""),"　",""))</f>
        <v/>
      </c>
      <c r="J76" s="42">
        <f>IF(D76="","",IF(ISERROR(MATCH(A76&amp;"-"&amp;B76,設定!$Y$8:$Y$31,0)),"設定にない学年・組",IF(COUNTIF($F$2:$F$451,F76)&gt;1,"同じ学年・組・番号がいる",IF(COUNTIF($I$2:$I$451,I76)&gt;1,"同姓同名あり",""))))</f>
        <v/>
      </c>
    </row>
    <row r="77">
      <c r="A77" s="40" t="n">
        <v>5</v>
      </c>
      <c r="B77" s="40" t="inlineStr">
        <is>
          <t>梅</t>
        </is>
      </c>
      <c r="C77" s="40" t="n">
        <v>16</v>
      </c>
      <c r="D77" s="41" t="inlineStr">
        <is>
          <t>橋本　芽依</t>
        </is>
      </c>
      <c r="F77" s="8">
        <f>IF(D77="","",A77&amp;"-"&amp;B77&amp;"-"&amp;C77)</f>
        <v/>
      </c>
      <c r="G77" s="8">
        <f>IF(D77="","",IFERROR(MATCH(A77&amp;"-"&amp;B77,設定!$Y$8:$Y$31,0),99)*1000+C77+ROW()/1000000)</f>
        <v/>
      </c>
      <c r="H77" s="8">
        <f>IF(D77="","",A77+1)</f>
        <v/>
      </c>
      <c r="I77" s="8">
        <f>IF(D77="","",H77&amp;"|"&amp;SUBSTITUTE(SUBSTITUTE(D77," ",""),"　",""))</f>
        <v/>
      </c>
      <c r="J77" s="42">
        <f>IF(D77="","",IF(ISERROR(MATCH(A77&amp;"-"&amp;B77,設定!$Y$8:$Y$31,0)),"設定にない学年・組",IF(COUNTIF($F$2:$F$451,F77)&gt;1,"同じ学年・組・番号がいる",IF(COUNTIF($I$2:$I$451,I77)&gt;1,"同姓同名あり",""))))</f>
        <v/>
      </c>
    </row>
    <row r="78">
      <c r="A78" s="40" t="n">
        <v>5</v>
      </c>
      <c r="B78" s="40" t="inlineStr">
        <is>
          <t>梅</t>
        </is>
      </c>
      <c r="C78" s="40" t="n">
        <v>17</v>
      </c>
      <c r="D78" s="41" t="inlineStr">
        <is>
          <t>坂本　美月</t>
        </is>
      </c>
      <c r="F78" s="8">
        <f>IF(D78="","",A78&amp;"-"&amp;B78&amp;"-"&amp;C78)</f>
        <v/>
      </c>
      <c r="G78" s="8">
        <f>IF(D78="","",IFERROR(MATCH(A78&amp;"-"&amp;B78,設定!$Y$8:$Y$31,0),99)*1000+C78+ROW()/1000000)</f>
        <v/>
      </c>
      <c r="H78" s="8">
        <f>IF(D78="","",A78+1)</f>
        <v/>
      </c>
      <c r="I78" s="8">
        <f>IF(D78="","",H78&amp;"|"&amp;SUBSTITUTE(SUBSTITUTE(D78," ",""),"　",""))</f>
        <v/>
      </c>
      <c r="J78" s="42">
        <f>IF(D78="","",IF(ISERROR(MATCH(A78&amp;"-"&amp;B78,設定!$Y$8:$Y$31,0)),"設定にない学年・組",IF(COUNTIF($F$2:$F$451,F78)&gt;1,"同じ学年・組・番号がいる",IF(COUNTIF($I$2:$I$451,I78)&gt;1,"同姓同名あり",""))))</f>
        <v/>
      </c>
    </row>
    <row r="79">
      <c r="A79" s="40" t="n">
        <v>5</v>
      </c>
      <c r="B79" s="40" t="inlineStr">
        <is>
          <t>梅</t>
        </is>
      </c>
      <c r="C79" s="40" t="n">
        <v>18</v>
      </c>
      <c r="D79" s="41" t="inlineStr">
        <is>
          <t>小林　楓</t>
        </is>
      </c>
      <c r="F79" s="8">
        <f>IF(D79="","",A79&amp;"-"&amp;B79&amp;"-"&amp;C79)</f>
        <v/>
      </c>
      <c r="G79" s="8">
        <f>IF(D79="","",IFERROR(MATCH(A79&amp;"-"&amp;B79,設定!$Y$8:$Y$31,0),99)*1000+C79+ROW()/1000000)</f>
        <v/>
      </c>
      <c r="H79" s="8">
        <f>IF(D79="","",A79+1)</f>
        <v/>
      </c>
      <c r="I79" s="8">
        <f>IF(D79="","",H79&amp;"|"&amp;SUBSTITUTE(SUBSTITUTE(D79," ",""),"　",""))</f>
        <v/>
      </c>
      <c r="J79" s="42">
        <f>IF(D79="","",IF(ISERROR(MATCH(A79&amp;"-"&amp;B79,設定!$Y$8:$Y$31,0)),"設定にない学年・組",IF(COUNTIF($F$2:$F$451,F79)&gt;1,"同じ学年・組・番号がいる",IF(COUNTIF($I$2:$I$451,I79)&gt;1,"同姓同名あり",""))))</f>
        <v/>
      </c>
    </row>
    <row r="80">
      <c r="A80" s="40" t="n">
        <v>5</v>
      </c>
      <c r="B80" s="40" t="inlineStr">
        <is>
          <t>梅</t>
        </is>
      </c>
      <c r="C80" s="40" t="n">
        <v>19</v>
      </c>
      <c r="D80" s="41" t="inlineStr">
        <is>
          <t>前田　千尋</t>
        </is>
      </c>
      <c r="F80" s="8">
        <f>IF(D80="","",A80&amp;"-"&amp;B80&amp;"-"&amp;C80)</f>
        <v/>
      </c>
      <c r="G80" s="8">
        <f>IF(D80="","",IFERROR(MATCH(A80&amp;"-"&amp;B80,設定!$Y$8:$Y$31,0),99)*1000+C80+ROW()/1000000)</f>
        <v/>
      </c>
      <c r="H80" s="8">
        <f>IF(D80="","",A80+1)</f>
        <v/>
      </c>
      <c r="I80" s="8">
        <f>IF(D80="","",H80&amp;"|"&amp;SUBSTITUTE(SUBSTITUTE(D80," ",""),"　",""))</f>
        <v/>
      </c>
      <c r="J80" s="42">
        <f>IF(D80="","",IF(ISERROR(MATCH(A80&amp;"-"&amp;B80,設定!$Y$8:$Y$31,0)),"設定にない学年・組",IF(COUNTIF($F$2:$F$451,F80)&gt;1,"同じ学年・組・番号がいる",IF(COUNTIF($I$2:$I$451,I80)&gt;1,"同姓同名あり",""))))</f>
        <v/>
      </c>
    </row>
    <row r="81">
      <c r="A81" s="40" t="n">
        <v>5</v>
      </c>
      <c r="B81" s="40" t="inlineStr">
        <is>
          <t>梅</t>
        </is>
      </c>
      <c r="C81" s="40" t="n">
        <v>20</v>
      </c>
      <c r="D81" s="41" t="inlineStr">
        <is>
          <t>小林　葵</t>
        </is>
      </c>
      <c r="F81" s="8">
        <f>IF(D81="","",A81&amp;"-"&amp;B81&amp;"-"&amp;C81)</f>
        <v/>
      </c>
      <c r="G81" s="8">
        <f>IF(D81="","",IFERROR(MATCH(A81&amp;"-"&amp;B81,設定!$Y$8:$Y$31,0),99)*1000+C81+ROW()/1000000)</f>
        <v/>
      </c>
      <c r="H81" s="8">
        <f>IF(D81="","",A81+1)</f>
        <v/>
      </c>
      <c r="I81" s="8">
        <f>IF(D81="","",H81&amp;"|"&amp;SUBSTITUTE(SUBSTITUTE(D81," ",""),"　",""))</f>
        <v/>
      </c>
      <c r="J81" s="42">
        <f>IF(D81="","",IF(ISERROR(MATCH(A81&amp;"-"&amp;B81,設定!$Y$8:$Y$31,0)),"設定にない学年・組",IF(COUNTIF($F$2:$F$451,F81)&gt;1,"同じ学年・組・番号がいる",IF(COUNTIF($I$2:$I$451,I81)&gt;1,"同姓同名あり",""))))</f>
        <v/>
      </c>
    </row>
    <row r="82">
      <c r="A82" s="40" t="n">
        <v>5</v>
      </c>
      <c r="B82" s="40" t="inlineStr">
        <is>
          <t>梅</t>
        </is>
      </c>
      <c r="C82" s="40" t="n">
        <v>21</v>
      </c>
      <c r="D82" s="41" t="inlineStr">
        <is>
          <t>山田　大翔</t>
        </is>
      </c>
      <c r="F82" s="8">
        <f>IF(D82="","",A82&amp;"-"&amp;B82&amp;"-"&amp;C82)</f>
        <v/>
      </c>
      <c r="G82" s="8">
        <f>IF(D82="","",IFERROR(MATCH(A82&amp;"-"&amp;B82,設定!$Y$8:$Y$31,0),99)*1000+C82+ROW()/1000000)</f>
        <v/>
      </c>
      <c r="H82" s="8">
        <f>IF(D82="","",A82+1)</f>
        <v/>
      </c>
      <c r="I82" s="8">
        <f>IF(D82="","",H82&amp;"|"&amp;SUBSTITUTE(SUBSTITUTE(D82," ",""),"　",""))</f>
        <v/>
      </c>
      <c r="J82" s="42">
        <f>IF(D82="","",IF(ISERROR(MATCH(A82&amp;"-"&amp;B82,設定!$Y$8:$Y$31,0)),"設定にない学年・組",IF(COUNTIF($F$2:$F$451,F82)&gt;1,"同じ学年・組・番号がいる",IF(COUNTIF($I$2:$I$451,I82)&gt;1,"同姓同名あり",""))))</f>
        <v/>
      </c>
    </row>
    <row r="83">
      <c r="A83" s="40" t="n">
        <v>5</v>
      </c>
      <c r="B83" s="40" t="inlineStr">
        <is>
          <t>梅</t>
        </is>
      </c>
      <c r="C83" s="40" t="n">
        <v>22</v>
      </c>
      <c r="D83" s="41" t="inlineStr">
        <is>
          <t>加藤　航</t>
        </is>
      </c>
      <c r="F83" s="8">
        <f>IF(D83="","",A83&amp;"-"&amp;B83&amp;"-"&amp;C83)</f>
        <v/>
      </c>
      <c r="G83" s="8">
        <f>IF(D83="","",IFERROR(MATCH(A83&amp;"-"&amp;B83,設定!$Y$8:$Y$31,0),99)*1000+C83+ROW()/1000000)</f>
        <v/>
      </c>
      <c r="H83" s="8">
        <f>IF(D83="","",A83+1)</f>
        <v/>
      </c>
      <c r="I83" s="8">
        <f>IF(D83="","",H83&amp;"|"&amp;SUBSTITUTE(SUBSTITUTE(D83," ",""),"　",""))</f>
        <v/>
      </c>
      <c r="J83" s="42">
        <f>IF(D83="","",IF(ISERROR(MATCH(A83&amp;"-"&amp;B83,設定!$Y$8:$Y$31,0)),"設定にない学年・組",IF(COUNTIF($F$2:$F$451,F83)&gt;1,"同じ学年・組・番号がいる",IF(COUNTIF($I$2:$I$451,I83)&gt;1,"同姓同名あり",""))))</f>
        <v/>
      </c>
    </row>
    <row r="84">
      <c r="A84" s="40" t="n">
        <v>5</v>
      </c>
      <c r="B84" s="40" t="inlineStr">
        <is>
          <t>梅</t>
        </is>
      </c>
      <c r="C84" s="40" t="n">
        <v>23</v>
      </c>
      <c r="D84" s="41" t="inlineStr">
        <is>
          <t>松本　さくら</t>
        </is>
      </c>
      <c r="F84" s="8">
        <f>IF(D84="","",A84&amp;"-"&amp;B84&amp;"-"&amp;C84)</f>
        <v/>
      </c>
      <c r="G84" s="8">
        <f>IF(D84="","",IFERROR(MATCH(A84&amp;"-"&amp;B84,設定!$Y$8:$Y$31,0),99)*1000+C84+ROW()/1000000)</f>
        <v/>
      </c>
      <c r="H84" s="8">
        <f>IF(D84="","",A84+1)</f>
        <v/>
      </c>
      <c r="I84" s="8">
        <f>IF(D84="","",H84&amp;"|"&amp;SUBSTITUTE(SUBSTITUTE(D84," ",""),"　",""))</f>
        <v/>
      </c>
      <c r="J84" s="42">
        <f>IF(D84="","",IF(ISERROR(MATCH(A84&amp;"-"&amp;B84,設定!$Y$8:$Y$31,0)),"設定にない学年・組",IF(COUNTIF($F$2:$F$451,F84)&gt;1,"同じ学年・組・番号がいる",IF(COUNTIF($I$2:$I$451,I84)&gt;1,"同姓同名あり",""))))</f>
        <v/>
      </c>
    </row>
    <row r="85">
      <c r="A85" s="40" t="n">
        <v>5</v>
      </c>
      <c r="B85" s="40" t="inlineStr">
        <is>
          <t>梅</t>
        </is>
      </c>
      <c r="C85" s="40" t="n">
        <v>24</v>
      </c>
      <c r="D85" s="41" t="inlineStr">
        <is>
          <t>井上　翼</t>
        </is>
      </c>
      <c r="F85" s="8">
        <f>IF(D85="","",A85&amp;"-"&amp;B85&amp;"-"&amp;C85)</f>
        <v/>
      </c>
      <c r="G85" s="8">
        <f>IF(D85="","",IFERROR(MATCH(A85&amp;"-"&amp;B85,設定!$Y$8:$Y$31,0),99)*1000+C85+ROW()/1000000)</f>
        <v/>
      </c>
      <c r="H85" s="8">
        <f>IF(D85="","",A85+1)</f>
        <v/>
      </c>
      <c r="I85" s="8">
        <f>IF(D85="","",H85&amp;"|"&amp;SUBSTITUTE(SUBSTITUTE(D85," ",""),"　",""))</f>
        <v/>
      </c>
      <c r="J85" s="42">
        <f>IF(D85="","",IF(ISERROR(MATCH(A85&amp;"-"&amp;B85,設定!$Y$8:$Y$31,0)),"設定にない学年・組",IF(COUNTIF($F$2:$F$451,F85)&gt;1,"同じ学年・組・番号がいる",IF(COUNTIF($I$2:$I$451,I85)&gt;1,"同姓同名あり",""))))</f>
        <v/>
      </c>
    </row>
    <row r="86">
      <c r="A86" s="40" t="n">
        <v>5</v>
      </c>
      <c r="B86" s="40" t="inlineStr">
        <is>
          <t>梅</t>
        </is>
      </c>
      <c r="C86" s="40" t="n">
        <v>25</v>
      </c>
      <c r="D86" s="41" t="inlineStr">
        <is>
          <t>佐々木　颯太</t>
        </is>
      </c>
      <c r="F86" s="8">
        <f>IF(D86="","",A86&amp;"-"&amp;B86&amp;"-"&amp;C86)</f>
        <v/>
      </c>
      <c r="G86" s="8">
        <f>IF(D86="","",IFERROR(MATCH(A86&amp;"-"&amp;B86,設定!$Y$8:$Y$31,0),99)*1000+C86+ROW()/1000000)</f>
        <v/>
      </c>
      <c r="H86" s="8">
        <f>IF(D86="","",A86+1)</f>
        <v/>
      </c>
      <c r="I86" s="8">
        <f>IF(D86="","",H86&amp;"|"&amp;SUBSTITUTE(SUBSTITUTE(D86," ",""),"　",""))</f>
        <v/>
      </c>
      <c r="J86" s="42">
        <f>IF(D86="","",IF(ISERROR(MATCH(A86&amp;"-"&amp;B86,設定!$Y$8:$Y$31,0)),"設定にない学年・組",IF(COUNTIF($F$2:$F$451,F86)&gt;1,"同じ学年・組・番号がいる",IF(COUNTIF($I$2:$I$451,I86)&gt;1,"同姓同名あり",""))))</f>
        <v/>
      </c>
    </row>
    <row r="87">
      <c r="A87" s="40" t="n">
        <v>5</v>
      </c>
      <c r="B87" s="40" t="inlineStr">
        <is>
          <t>梅</t>
        </is>
      </c>
      <c r="C87" s="40" t="n">
        <v>26</v>
      </c>
      <c r="D87" s="41" t="inlineStr">
        <is>
          <t>小野　大翔</t>
        </is>
      </c>
      <c r="F87" s="8">
        <f>IF(D87="","",A87&amp;"-"&amp;B87&amp;"-"&amp;C87)</f>
        <v/>
      </c>
      <c r="G87" s="8">
        <f>IF(D87="","",IFERROR(MATCH(A87&amp;"-"&amp;B87,設定!$Y$8:$Y$31,0),99)*1000+C87+ROW()/1000000)</f>
        <v/>
      </c>
      <c r="H87" s="8">
        <f>IF(D87="","",A87+1)</f>
        <v/>
      </c>
      <c r="I87" s="8">
        <f>IF(D87="","",H87&amp;"|"&amp;SUBSTITUTE(SUBSTITUTE(D87," ",""),"　",""))</f>
        <v/>
      </c>
      <c r="J87" s="42">
        <f>IF(D87="","",IF(ISERROR(MATCH(A87&amp;"-"&amp;B87,設定!$Y$8:$Y$31,0)),"設定にない学年・組",IF(COUNTIF($F$2:$F$451,F87)&gt;1,"同じ学年・組・番号がいる",IF(COUNTIF($I$2:$I$451,I87)&gt;1,"同姓同名あり",""))))</f>
        <v/>
      </c>
    </row>
    <row r="88">
      <c r="A88" s="40" t="n">
        <v>5</v>
      </c>
      <c r="B88" s="40" t="inlineStr">
        <is>
          <t>梅</t>
        </is>
      </c>
      <c r="C88" s="40" t="n">
        <v>27</v>
      </c>
      <c r="D88" s="41" t="inlineStr">
        <is>
          <t>藤井　葵</t>
        </is>
      </c>
      <c r="F88" s="8">
        <f>IF(D88="","",A88&amp;"-"&amp;B88&amp;"-"&amp;C88)</f>
        <v/>
      </c>
      <c r="G88" s="8">
        <f>IF(D88="","",IFERROR(MATCH(A88&amp;"-"&amp;B88,設定!$Y$8:$Y$31,0),99)*1000+C88+ROW()/1000000)</f>
        <v/>
      </c>
      <c r="H88" s="8">
        <f>IF(D88="","",A88+1)</f>
        <v/>
      </c>
      <c r="I88" s="8">
        <f>IF(D88="","",H88&amp;"|"&amp;SUBSTITUTE(SUBSTITUTE(D88," ",""),"　",""))</f>
        <v/>
      </c>
      <c r="J88" s="42">
        <f>IF(D88="","",IF(ISERROR(MATCH(A88&amp;"-"&amp;B88,設定!$Y$8:$Y$31,0)),"設定にない学年・組",IF(COUNTIF($F$2:$F$451,F88)&gt;1,"同じ学年・組・番号がいる",IF(COUNTIF($I$2:$I$451,I88)&gt;1,"同姓同名あり",""))))</f>
        <v/>
      </c>
    </row>
    <row r="89">
      <c r="A89" s="40" t="n">
        <v>5</v>
      </c>
      <c r="B89" s="40" t="inlineStr">
        <is>
          <t>梅</t>
        </is>
      </c>
      <c r="C89" s="40" t="n">
        <v>28</v>
      </c>
      <c r="D89" s="41" t="inlineStr">
        <is>
          <t>前田　真央</t>
        </is>
      </c>
      <c r="F89" s="8">
        <f>IF(D89="","",A89&amp;"-"&amp;B89&amp;"-"&amp;C89)</f>
        <v/>
      </c>
      <c r="G89" s="8">
        <f>IF(D89="","",IFERROR(MATCH(A89&amp;"-"&amp;B89,設定!$Y$8:$Y$31,0),99)*1000+C89+ROW()/1000000)</f>
        <v/>
      </c>
      <c r="H89" s="8">
        <f>IF(D89="","",A89+1)</f>
        <v/>
      </c>
      <c r="I89" s="8">
        <f>IF(D89="","",H89&amp;"|"&amp;SUBSTITUTE(SUBSTITUTE(D89," ",""),"　",""))</f>
        <v/>
      </c>
      <c r="J89" s="42">
        <f>IF(D89="","",IF(ISERROR(MATCH(A89&amp;"-"&amp;B89,設定!$Y$8:$Y$31,0)),"設定にない学年・組",IF(COUNTIF($F$2:$F$451,F89)&gt;1,"同じ学年・組・番号がいる",IF(COUNTIF($I$2:$I$451,I89)&gt;1,"同姓同名あり",""))))</f>
        <v/>
      </c>
    </row>
    <row r="90">
      <c r="A90" s="40" t="n">
        <v>5</v>
      </c>
      <c r="B90" s="40" t="inlineStr">
        <is>
          <t>梅</t>
        </is>
      </c>
      <c r="C90" s="40" t="n">
        <v>29</v>
      </c>
      <c r="D90" s="41" t="inlineStr">
        <is>
          <t>渡辺　澪</t>
        </is>
      </c>
      <c r="F90" s="8">
        <f>IF(D90="","",A90&amp;"-"&amp;B90&amp;"-"&amp;C90)</f>
        <v/>
      </c>
      <c r="G90" s="8">
        <f>IF(D90="","",IFERROR(MATCH(A90&amp;"-"&amp;B90,設定!$Y$8:$Y$31,0),99)*1000+C90+ROW()/1000000)</f>
        <v/>
      </c>
      <c r="H90" s="8">
        <f>IF(D90="","",A90+1)</f>
        <v/>
      </c>
      <c r="I90" s="8">
        <f>IF(D90="","",H90&amp;"|"&amp;SUBSTITUTE(SUBSTITUTE(D90," ",""),"　",""))</f>
        <v/>
      </c>
      <c r="J90" s="42">
        <f>IF(D90="","",IF(ISERROR(MATCH(A90&amp;"-"&amp;B90,設定!$Y$8:$Y$31,0)),"設定にない学年・組",IF(COUNTIF($F$2:$F$451,F90)&gt;1,"同じ学年・組・番号がいる",IF(COUNTIF($I$2:$I$451,I90)&gt;1,"同姓同名あり",""))))</f>
        <v/>
      </c>
    </row>
    <row r="91">
      <c r="A91" s="40" t="n">
        <v>5</v>
      </c>
      <c r="B91" s="40" t="inlineStr">
        <is>
          <t>梅</t>
        </is>
      </c>
      <c r="C91" s="40" t="n">
        <v>30</v>
      </c>
      <c r="D91" s="41" t="inlineStr">
        <is>
          <t>田中　悠真</t>
        </is>
      </c>
      <c r="F91" s="8">
        <f>IF(D91="","",A91&amp;"-"&amp;B91&amp;"-"&amp;C91)</f>
        <v/>
      </c>
      <c r="G91" s="8">
        <f>IF(D91="","",IFERROR(MATCH(A91&amp;"-"&amp;B91,設定!$Y$8:$Y$31,0),99)*1000+C91+ROW()/1000000)</f>
        <v/>
      </c>
      <c r="H91" s="8">
        <f>IF(D91="","",A91+1)</f>
        <v/>
      </c>
      <c r="I91" s="8">
        <f>IF(D91="","",H91&amp;"|"&amp;SUBSTITUTE(SUBSTITUTE(D91," ",""),"　",""))</f>
        <v/>
      </c>
      <c r="J91" s="42">
        <f>IF(D91="","",IF(ISERROR(MATCH(A91&amp;"-"&amp;B91,設定!$Y$8:$Y$31,0)),"設定にない学年・組",IF(COUNTIF($F$2:$F$451,F91)&gt;1,"同じ学年・組・番号がいる",IF(COUNTIF($I$2:$I$451,I91)&gt;1,"同姓同名あり",""))))</f>
        <v/>
      </c>
    </row>
    <row r="92">
      <c r="A92" s="40" t="n">
        <v>5</v>
      </c>
      <c r="B92" s="40" t="inlineStr">
        <is>
          <t>月</t>
        </is>
      </c>
      <c r="C92" s="40" t="n">
        <v>1</v>
      </c>
      <c r="D92" s="41" t="inlineStr">
        <is>
          <t>長谷川　海斗</t>
        </is>
      </c>
      <c r="F92" s="8">
        <f>IF(D92="","",A92&amp;"-"&amp;B92&amp;"-"&amp;C92)</f>
        <v/>
      </c>
      <c r="G92" s="8">
        <f>IF(D92="","",IFERROR(MATCH(A92&amp;"-"&amp;B92,設定!$Y$8:$Y$31,0),99)*1000+C92+ROW()/1000000)</f>
        <v/>
      </c>
      <c r="H92" s="8">
        <f>IF(D92="","",A92+1)</f>
        <v/>
      </c>
      <c r="I92" s="8">
        <f>IF(D92="","",H92&amp;"|"&amp;SUBSTITUTE(SUBSTITUTE(D92," ",""),"　",""))</f>
        <v/>
      </c>
      <c r="J92" s="42">
        <f>IF(D92="","",IF(ISERROR(MATCH(A92&amp;"-"&amp;B92,設定!$Y$8:$Y$31,0)),"設定にない学年・組",IF(COUNTIF($F$2:$F$451,F92)&gt;1,"同じ学年・組・番号がいる",IF(COUNTIF($I$2:$I$451,I92)&gt;1,"同姓同名あり",""))))</f>
        <v/>
      </c>
    </row>
    <row r="93">
      <c r="A93" s="40" t="n">
        <v>5</v>
      </c>
      <c r="B93" s="40" t="inlineStr">
        <is>
          <t>月</t>
        </is>
      </c>
      <c r="C93" s="40" t="n">
        <v>2</v>
      </c>
      <c r="D93" s="41" t="inlineStr">
        <is>
          <t>井上　晴</t>
        </is>
      </c>
      <c r="F93" s="8">
        <f>IF(D93="","",A93&amp;"-"&amp;B93&amp;"-"&amp;C93)</f>
        <v/>
      </c>
      <c r="G93" s="8">
        <f>IF(D93="","",IFERROR(MATCH(A93&amp;"-"&amp;B93,設定!$Y$8:$Y$31,0),99)*1000+C93+ROW()/1000000)</f>
        <v/>
      </c>
      <c r="H93" s="8">
        <f>IF(D93="","",A93+1)</f>
        <v/>
      </c>
      <c r="I93" s="8">
        <f>IF(D93="","",H93&amp;"|"&amp;SUBSTITUTE(SUBSTITUTE(D93," ",""),"　",""))</f>
        <v/>
      </c>
      <c r="J93" s="42">
        <f>IF(D93="","",IF(ISERROR(MATCH(A93&amp;"-"&amp;B93,設定!$Y$8:$Y$31,0)),"設定にない学年・組",IF(COUNTIF($F$2:$F$451,F93)&gt;1,"同じ学年・組・番号がいる",IF(COUNTIF($I$2:$I$451,I93)&gt;1,"同姓同名あり",""))))</f>
        <v/>
      </c>
    </row>
    <row r="94">
      <c r="A94" s="40" t="n">
        <v>5</v>
      </c>
      <c r="B94" s="40" t="inlineStr">
        <is>
          <t>月</t>
        </is>
      </c>
      <c r="C94" s="40" t="n">
        <v>3</v>
      </c>
      <c r="D94" s="41" t="inlineStr">
        <is>
          <t>中野　紬</t>
        </is>
      </c>
      <c r="F94" s="8">
        <f>IF(D94="","",A94&amp;"-"&amp;B94&amp;"-"&amp;C94)</f>
        <v/>
      </c>
      <c r="G94" s="8">
        <f>IF(D94="","",IFERROR(MATCH(A94&amp;"-"&amp;B94,設定!$Y$8:$Y$31,0),99)*1000+C94+ROW()/1000000)</f>
        <v/>
      </c>
      <c r="H94" s="8">
        <f>IF(D94="","",A94+1)</f>
        <v/>
      </c>
      <c r="I94" s="8">
        <f>IF(D94="","",H94&amp;"|"&amp;SUBSTITUTE(SUBSTITUTE(D94," ",""),"　",""))</f>
        <v/>
      </c>
      <c r="J94" s="42">
        <f>IF(D94="","",IF(ISERROR(MATCH(A94&amp;"-"&amp;B94,設定!$Y$8:$Y$31,0)),"設定にない学年・組",IF(COUNTIF($F$2:$F$451,F94)&gt;1,"同じ学年・組・番号がいる",IF(COUNTIF($I$2:$I$451,I94)&gt;1,"同姓同名あり",""))))</f>
        <v/>
      </c>
    </row>
    <row r="95">
      <c r="A95" s="40" t="n">
        <v>5</v>
      </c>
      <c r="B95" s="40" t="inlineStr">
        <is>
          <t>月</t>
        </is>
      </c>
      <c r="C95" s="40" t="n">
        <v>4</v>
      </c>
      <c r="D95" s="41" t="inlineStr">
        <is>
          <t>木村　澪</t>
        </is>
      </c>
      <c r="F95" s="8">
        <f>IF(D95="","",A95&amp;"-"&amp;B95&amp;"-"&amp;C95)</f>
        <v/>
      </c>
      <c r="G95" s="8">
        <f>IF(D95="","",IFERROR(MATCH(A95&amp;"-"&amp;B95,設定!$Y$8:$Y$31,0),99)*1000+C95+ROW()/1000000)</f>
        <v/>
      </c>
      <c r="H95" s="8">
        <f>IF(D95="","",A95+1)</f>
        <v/>
      </c>
      <c r="I95" s="8">
        <f>IF(D95="","",H95&amp;"|"&amp;SUBSTITUTE(SUBSTITUTE(D95," ",""),"　",""))</f>
        <v/>
      </c>
      <c r="J95" s="42">
        <f>IF(D95="","",IF(ISERROR(MATCH(A95&amp;"-"&amp;B95,設定!$Y$8:$Y$31,0)),"設定にない学年・組",IF(COUNTIF($F$2:$F$451,F95)&gt;1,"同じ学年・組・番号がいる",IF(COUNTIF($I$2:$I$451,I95)&gt;1,"同姓同名あり",""))))</f>
        <v/>
      </c>
    </row>
    <row r="96">
      <c r="A96" s="40" t="n">
        <v>5</v>
      </c>
      <c r="B96" s="40" t="inlineStr">
        <is>
          <t>月</t>
        </is>
      </c>
      <c r="C96" s="40" t="n">
        <v>5</v>
      </c>
      <c r="D96" s="41" t="inlineStr">
        <is>
          <t>青木　杏</t>
        </is>
      </c>
      <c r="F96" s="8">
        <f>IF(D96="","",A96&amp;"-"&amp;B96&amp;"-"&amp;C96)</f>
        <v/>
      </c>
      <c r="G96" s="8">
        <f>IF(D96="","",IFERROR(MATCH(A96&amp;"-"&amp;B96,設定!$Y$8:$Y$31,0),99)*1000+C96+ROW()/1000000)</f>
        <v/>
      </c>
      <c r="H96" s="8">
        <f>IF(D96="","",A96+1)</f>
        <v/>
      </c>
      <c r="I96" s="8">
        <f>IF(D96="","",H96&amp;"|"&amp;SUBSTITUTE(SUBSTITUTE(D96," ",""),"　",""))</f>
        <v/>
      </c>
      <c r="J96" s="42">
        <f>IF(D96="","",IF(ISERROR(MATCH(A96&amp;"-"&amp;B96,設定!$Y$8:$Y$31,0)),"設定にない学年・組",IF(COUNTIF($F$2:$F$451,F96)&gt;1,"同じ学年・組・番号がいる",IF(COUNTIF($I$2:$I$451,I96)&gt;1,"同姓同名あり",""))))</f>
        <v/>
      </c>
    </row>
    <row r="97">
      <c r="A97" s="40" t="n">
        <v>5</v>
      </c>
      <c r="B97" s="40" t="inlineStr">
        <is>
          <t>月</t>
        </is>
      </c>
      <c r="C97" s="40" t="n">
        <v>6</v>
      </c>
      <c r="D97" s="41" t="inlineStr">
        <is>
          <t>斎藤　彩花</t>
        </is>
      </c>
      <c r="F97" s="8">
        <f>IF(D97="","",A97&amp;"-"&amp;B97&amp;"-"&amp;C97)</f>
        <v/>
      </c>
      <c r="G97" s="8">
        <f>IF(D97="","",IFERROR(MATCH(A97&amp;"-"&amp;B97,設定!$Y$8:$Y$31,0),99)*1000+C97+ROW()/1000000)</f>
        <v/>
      </c>
      <c r="H97" s="8">
        <f>IF(D97="","",A97+1)</f>
        <v/>
      </c>
      <c r="I97" s="8">
        <f>IF(D97="","",H97&amp;"|"&amp;SUBSTITUTE(SUBSTITUTE(D97," ",""),"　",""))</f>
        <v/>
      </c>
      <c r="J97" s="42">
        <f>IF(D97="","",IF(ISERROR(MATCH(A97&amp;"-"&amp;B97,設定!$Y$8:$Y$31,0)),"設定にない学年・組",IF(COUNTIF($F$2:$F$451,F97)&gt;1,"同じ学年・組・番号がいる",IF(COUNTIF($I$2:$I$451,I97)&gt;1,"同姓同名あり",""))))</f>
        <v/>
      </c>
    </row>
    <row r="98">
      <c r="A98" s="40" t="n">
        <v>5</v>
      </c>
      <c r="B98" s="40" t="inlineStr">
        <is>
          <t>月</t>
        </is>
      </c>
      <c r="C98" s="40" t="n">
        <v>7</v>
      </c>
      <c r="D98" s="41" t="inlineStr">
        <is>
          <t>山田　翼</t>
        </is>
      </c>
      <c r="F98" s="8">
        <f>IF(D98="","",A98&amp;"-"&amp;B98&amp;"-"&amp;C98)</f>
        <v/>
      </c>
      <c r="G98" s="8">
        <f>IF(D98="","",IFERROR(MATCH(A98&amp;"-"&amp;B98,設定!$Y$8:$Y$31,0),99)*1000+C98+ROW()/1000000)</f>
        <v/>
      </c>
      <c r="H98" s="8">
        <f>IF(D98="","",A98+1)</f>
        <v/>
      </c>
      <c r="I98" s="8">
        <f>IF(D98="","",H98&amp;"|"&amp;SUBSTITUTE(SUBSTITUTE(D98," ",""),"　",""))</f>
        <v/>
      </c>
      <c r="J98" s="42">
        <f>IF(D98="","",IF(ISERROR(MATCH(A98&amp;"-"&amp;B98,設定!$Y$8:$Y$31,0)),"設定にない学年・組",IF(COUNTIF($F$2:$F$451,F98)&gt;1,"同じ学年・組・番号がいる",IF(COUNTIF($I$2:$I$451,I98)&gt;1,"同姓同名あり",""))))</f>
        <v/>
      </c>
    </row>
    <row r="99">
      <c r="A99" s="40" t="n">
        <v>5</v>
      </c>
      <c r="B99" s="40" t="inlineStr">
        <is>
          <t>月</t>
        </is>
      </c>
      <c r="C99" s="40" t="n">
        <v>8</v>
      </c>
      <c r="D99" s="41" t="inlineStr">
        <is>
          <t>伊藤　朝陽</t>
        </is>
      </c>
      <c r="F99" s="8">
        <f>IF(D99="","",A99&amp;"-"&amp;B99&amp;"-"&amp;C99)</f>
        <v/>
      </c>
      <c r="G99" s="8">
        <f>IF(D99="","",IFERROR(MATCH(A99&amp;"-"&amp;B99,設定!$Y$8:$Y$31,0),99)*1000+C99+ROW()/1000000)</f>
        <v/>
      </c>
      <c r="H99" s="8">
        <f>IF(D99="","",A99+1)</f>
        <v/>
      </c>
      <c r="I99" s="8">
        <f>IF(D99="","",H99&amp;"|"&amp;SUBSTITUTE(SUBSTITUTE(D99," ",""),"　",""))</f>
        <v/>
      </c>
      <c r="J99" s="42">
        <f>IF(D99="","",IF(ISERROR(MATCH(A99&amp;"-"&amp;B99,設定!$Y$8:$Y$31,0)),"設定にない学年・組",IF(COUNTIF($F$2:$F$451,F99)&gt;1,"同じ学年・組・番号がいる",IF(COUNTIF($I$2:$I$451,I99)&gt;1,"同姓同名あり",""))))</f>
        <v/>
      </c>
    </row>
    <row r="100">
      <c r="A100" s="40" t="n">
        <v>5</v>
      </c>
      <c r="B100" s="40" t="inlineStr">
        <is>
          <t>月</t>
        </is>
      </c>
      <c r="C100" s="40" t="n">
        <v>9</v>
      </c>
      <c r="D100" s="41" t="inlineStr">
        <is>
          <t>松本　心春</t>
        </is>
      </c>
      <c r="F100" s="8">
        <f>IF(D100="","",A100&amp;"-"&amp;B100&amp;"-"&amp;C100)</f>
        <v/>
      </c>
      <c r="G100" s="8">
        <f>IF(D100="","",IFERROR(MATCH(A100&amp;"-"&amp;B100,設定!$Y$8:$Y$31,0),99)*1000+C100+ROW()/1000000)</f>
        <v/>
      </c>
      <c r="H100" s="8">
        <f>IF(D100="","",A100+1)</f>
        <v/>
      </c>
      <c r="I100" s="8">
        <f>IF(D100="","",H100&amp;"|"&amp;SUBSTITUTE(SUBSTITUTE(D100," ",""),"　",""))</f>
        <v/>
      </c>
      <c r="J100" s="42">
        <f>IF(D100="","",IF(ISERROR(MATCH(A100&amp;"-"&amp;B100,設定!$Y$8:$Y$31,0)),"設定にない学年・組",IF(COUNTIF($F$2:$F$451,F100)&gt;1,"同じ学年・組・番号がいる",IF(COUNTIF($I$2:$I$451,I100)&gt;1,"同姓同名あり",""))))</f>
        <v/>
      </c>
    </row>
    <row r="101">
      <c r="A101" s="40" t="n">
        <v>5</v>
      </c>
      <c r="B101" s="40" t="inlineStr">
        <is>
          <t>月</t>
        </is>
      </c>
      <c r="C101" s="40" t="n">
        <v>10</v>
      </c>
      <c r="D101" s="41" t="inlineStr">
        <is>
          <t>近藤　悠人</t>
        </is>
      </c>
      <c r="F101" s="8">
        <f>IF(D101="","",A101&amp;"-"&amp;B101&amp;"-"&amp;C101)</f>
        <v/>
      </c>
      <c r="G101" s="8">
        <f>IF(D101="","",IFERROR(MATCH(A101&amp;"-"&amp;B101,設定!$Y$8:$Y$31,0),99)*1000+C101+ROW()/1000000)</f>
        <v/>
      </c>
      <c r="H101" s="8">
        <f>IF(D101="","",A101+1)</f>
        <v/>
      </c>
      <c r="I101" s="8">
        <f>IF(D101="","",H101&amp;"|"&amp;SUBSTITUTE(SUBSTITUTE(D101," ",""),"　",""))</f>
        <v/>
      </c>
      <c r="J101" s="42">
        <f>IF(D101="","",IF(ISERROR(MATCH(A101&amp;"-"&amp;B101,設定!$Y$8:$Y$31,0)),"設定にない学年・組",IF(COUNTIF($F$2:$F$451,F101)&gt;1,"同じ学年・組・番号がいる",IF(COUNTIF($I$2:$I$451,I101)&gt;1,"同姓同名あり",""))))</f>
        <v/>
      </c>
    </row>
    <row r="102">
      <c r="A102" s="40" t="n">
        <v>5</v>
      </c>
      <c r="B102" s="40" t="inlineStr">
        <is>
          <t>月</t>
        </is>
      </c>
      <c r="C102" s="40" t="n">
        <v>11</v>
      </c>
      <c r="D102" s="41" t="inlineStr">
        <is>
          <t>坂本　さくら</t>
        </is>
      </c>
      <c r="F102" s="8">
        <f>IF(D102="","",A102&amp;"-"&amp;B102&amp;"-"&amp;C102)</f>
        <v/>
      </c>
      <c r="G102" s="8">
        <f>IF(D102="","",IFERROR(MATCH(A102&amp;"-"&amp;B102,設定!$Y$8:$Y$31,0),99)*1000+C102+ROW()/1000000)</f>
        <v/>
      </c>
      <c r="H102" s="8">
        <f>IF(D102="","",A102+1)</f>
        <v/>
      </c>
      <c r="I102" s="8">
        <f>IF(D102="","",H102&amp;"|"&amp;SUBSTITUTE(SUBSTITUTE(D102," ",""),"　",""))</f>
        <v/>
      </c>
      <c r="J102" s="42">
        <f>IF(D102="","",IF(ISERROR(MATCH(A102&amp;"-"&amp;B102,設定!$Y$8:$Y$31,0)),"設定にない学年・組",IF(COUNTIF($F$2:$F$451,F102)&gt;1,"同じ学年・組・番号がいる",IF(COUNTIF($I$2:$I$451,I102)&gt;1,"同姓同名あり",""))))</f>
        <v/>
      </c>
    </row>
    <row r="103">
      <c r="A103" s="40" t="n">
        <v>5</v>
      </c>
      <c r="B103" s="40" t="inlineStr">
        <is>
          <t>月</t>
        </is>
      </c>
      <c r="C103" s="40" t="n">
        <v>12</v>
      </c>
      <c r="D103" s="41" t="inlineStr">
        <is>
          <t>伊藤　健太</t>
        </is>
      </c>
      <c r="F103" s="8">
        <f>IF(D103="","",A103&amp;"-"&amp;B103&amp;"-"&amp;C103)</f>
        <v/>
      </c>
      <c r="G103" s="8">
        <f>IF(D103="","",IFERROR(MATCH(A103&amp;"-"&amp;B103,設定!$Y$8:$Y$31,0),99)*1000+C103+ROW()/1000000)</f>
        <v/>
      </c>
      <c r="H103" s="8">
        <f>IF(D103="","",A103+1)</f>
        <v/>
      </c>
      <c r="I103" s="8">
        <f>IF(D103="","",H103&amp;"|"&amp;SUBSTITUTE(SUBSTITUTE(D103," ",""),"　",""))</f>
        <v/>
      </c>
      <c r="J103" s="42">
        <f>IF(D103="","",IF(ISERROR(MATCH(A103&amp;"-"&amp;B103,設定!$Y$8:$Y$31,0)),"設定にない学年・組",IF(COUNTIF($F$2:$F$451,F103)&gt;1,"同じ学年・組・番号がいる",IF(COUNTIF($I$2:$I$451,I103)&gt;1,"同姓同名あり",""))))</f>
        <v/>
      </c>
    </row>
    <row r="104">
      <c r="A104" s="40" t="n">
        <v>5</v>
      </c>
      <c r="B104" s="40" t="inlineStr">
        <is>
          <t>月</t>
        </is>
      </c>
      <c r="C104" s="40" t="n">
        <v>13</v>
      </c>
      <c r="D104" s="41" t="inlineStr">
        <is>
          <t>小野　陽翔</t>
        </is>
      </c>
      <c r="F104" s="8">
        <f>IF(D104="","",A104&amp;"-"&amp;B104&amp;"-"&amp;C104)</f>
        <v/>
      </c>
      <c r="G104" s="8">
        <f>IF(D104="","",IFERROR(MATCH(A104&amp;"-"&amp;B104,設定!$Y$8:$Y$31,0),99)*1000+C104+ROW()/1000000)</f>
        <v/>
      </c>
      <c r="H104" s="8">
        <f>IF(D104="","",A104+1)</f>
        <v/>
      </c>
      <c r="I104" s="8">
        <f>IF(D104="","",H104&amp;"|"&amp;SUBSTITUTE(SUBSTITUTE(D104," ",""),"　",""))</f>
        <v/>
      </c>
      <c r="J104" s="42">
        <f>IF(D104="","",IF(ISERROR(MATCH(A104&amp;"-"&amp;B104,設定!$Y$8:$Y$31,0)),"設定にない学年・組",IF(COUNTIF($F$2:$F$451,F104)&gt;1,"同じ学年・組・番号がいる",IF(COUNTIF($I$2:$I$451,I104)&gt;1,"同姓同名あり",""))))</f>
        <v/>
      </c>
    </row>
    <row r="105">
      <c r="A105" s="40" t="n">
        <v>5</v>
      </c>
      <c r="B105" s="40" t="inlineStr">
        <is>
          <t>月</t>
        </is>
      </c>
      <c r="C105" s="40" t="n">
        <v>14</v>
      </c>
      <c r="D105" s="41" t="inlineStr">
        <is>
          <t>山下　咲良</t>
        </is>
      </c>
      <c r="F105" s="8">
        <f>IF(D105="","",A105&amp;"-"&amp;B105&amp;"-"&amp;C105)</f>
        <v/>
      </c>
      <c r="G105" s="8">
        <f>IF(D105="","",IFERROR(MATCH(A105&amp;"-"&amp;B105,設定!$Y$8:$Y$31,0),99)*1000+C105+ROW()/1000000)</f>
        <v/>
      </c>
      <c r="H105" s="8">
        <f>IF(D105="","",A105+1)</f>
        <v/>
      </c>
      <c r="I105" s="8">
        <f>IF(D105="","",H105&amp;"|"&amp;SUBSTITUTE(SUBSTITUTE(D105," ",""),"　",""))</f>
        <v/>
      </c>
      <c r="J105" s="42">
        <f>IF(D105="","",IF(ISERROR(MATCH(A105&amp;"-"&amp;B105,設定!$Y$8:$Y$31,0)),"設定にない学年・組",IF(COUNTIF($F$2:$F$451,F105)&gt;1,"同じ学年・組・番号がいる",IF(COUNTIF($I$2:$I$451,I105)&gt;1,"同姓同名あり",""))))</f>
        <v/>
      </c>
    </row>
    <row r="106">
      <c r="A106" s="40" t="n">
        <v>5</v>
      </c>
      <c r="B106" s="40" t="inlineStr">
        <is>
          <t>月</t>
        </is>
      </c>
      <c r="C106" s="40" t="n">
        <v>15</v>
      </c>
      <c r="D106" s="41" t="inlineStr">
        <is>
          <t>井上　蒼</t>
        </is>
      </c>
      <c r="F106" s="8">
        <f>IF(D106="","",A106&amp;"-"&amp;B106&amp;"-"&amp;C106)</f>
        <v/>
      </c>
      <c r="G106" s="8">
        <f>IF(D106="","",IFERROR(MATCH(A106&amp;"-"&amp;B106,設定!$Y$8:$Y$31,0),99)*1000+C106+ROW()/1000000)</f>
        <v/>
      </c>
      <c r="H106" s="8">
        <f>IF(D106="","",A106+1)</f>
        <v/>
      </c>
      <c r="I106" s="8">
        <f>IF(D106="","",H106&amp;"|"&amp;SUBSTITUTE(SUBSTITUTE(D106," ",""),"　",""))</f>
        <v/>
      </c>
      <c r="J106" s="42">
        <f>IF(D106="","",IF(ISERROR(MATCH(A106&amp;"-"&amp;B106,設定!$Y$8:$Y$31,0)),"設定にない学年・組",IF(COUNTIF($F$2:$F$451,F106)&gt;1,"同じ学年・組・番号がいる",IF(COUNTIF($I$2:$I$451,I106)&gt;1,"同姓同名あり",""))))</f>
        <v/>
      </c>
    </row>
    <row r="107">
      <c r="A107" s="40" t="n">
        <v>5</v>
      </c>
      <c r="B107" s="40" t="inlineStr">
        <is>
          <t>月</t>
        </is>
      </c>
      <c r="C107" s="40" t="n">
        <v>16</v>
      </c>
      <c r="D107" s="41" t="inlineStr">
        <is>
          <t>高橋　結翔</t>
        </is>
      </c>
      <c r="F107" s="8">
        <f>IF(D107="","",A107&amp;"-"&amp;B107&amp;"-"&amp;C107)</f>
        <v/>
      </c>
      <c r="G107" s="8">
        <f>IF(D107="","",IFERROR(MATCH(A107&amp;"-"&amp;B107,設定!$Y$8:$Y$31,0),99)*1000+C107+ROW()/1000000)</f>
        <v/>
      </c>
      <c r="H107" s="8">
        <f>IF(D107="","",A107+1)</f>
        <v/>
      </c>
      <c r="I107" s="8">
        <f>IF(D107="","",H107&amp;"|"&amp;SUBSTITUTE(SUBSTITUTE(D107," ",""),"　",""))</f>
        <v/>
      </c>
      <c r="J107" s="42">
        <f>IF(D107="","",IF(ISERROR(MATCH(A107&amp;"-"&amp;B107,設定!$Y$8:$Y$31,0)),"設定にない学年・組",IF(COUNTIF($F$2:$F$451,F107)&gt;1,"同じ学年・組・番号がいる",IF(COUNTIF($I$2:$I$451,I107)&gt;1,"同姓同名あり",""))))</f>
        <v/>
      </c>
    </row>
    <row r="108">
      <c r="A108" s="40" t="n">
        <v>5</v>
      </c>
      <c r="B108" s="40" t="inlineStr">
        <is>
          <t>月</t>
        </is>
      </c>
      <c r="C108" s="40" t="n">
        <v>17</v>
      </c>
      <c r="D108" s="41" t="inlineStr">
        <is>
          <t>斎藤　芽依</t>
        </is>
      </c>
      <c r="F108" s="8">
        <f>IF(D108="","",A108&amp;"-"&amp;B108&amp;"-"&amp;C108)</f>
        <v/>
      </c>
      <c r="G108" s="8">
        <f>IF(D108="","",IFERROR(MATCH(A108&amp;"-"&amp;B108,設定!$Y$8:$Y$31,0),99)*1000+C108+ROW()/1000000)</f>
        <v/>
      </c>
      <c r="H108" s="8">
        <f>IF(D108="","",A108+1)</f>
        <v/>
      </c>
      <c r="I108" s="8">
        <f>IF(D108="","",H108&amp;"|"&amp;SUBSTITUTE(SUBSTITUTE(D108," ",""),"　",""))</f>
        <v/>
      </c>
      <c r="J108" s="42">
        <f>IF(D108="","",IF(ISERROR(MATCH(A108&amp;"-"&amp;B108,設定!$Y$8:$Y$31,0)),"設定にない学年・組",IF(COUNTIF($F$2:$F$451,F108)&gt;1,"同じ学年・組・番号がいる",IF(COUNTIF($I$2:$I$451,I108)&gt;1,"同姓同名あり",""))))</f>
        <v/>
      </c>
    </row>
    <row r="109">
      <c r="A109" s="40" t="n">
        <v>5</v>
      </c>
      <c r="B109" s="40" t="inlineStr">
        <is>
          <t>月</t>
        </is>
      </c>
      <c r="C109" s="40" t="n">
        <v>18</v>
      </c>
      <c r="D109" s="41" t="inlineStr">
        <is>
          <t>藤田　千尋</t>
        </is>
      </c>
      <c r="F109" s="8">
        <f>IF(D109="","",A109&amp;"-"&amp;B109&amp;"-"&amp;C109)</f>
        <v/>
      </c>
      <c r="G109" s="8">
        <f>IF(D109="","",IFERROR(MATCH(A109&amp;"-"&amp;B109,設定!$Y$8:$Y$31,0),99)*1000+C109+ROW()/1000000)</f>
        <v/>
      </c>
      <c r="H109" s="8">
        <f>IF(D109="","",A109+1)</f>
        <v/>
      </c>
      <c r="I109" s="8">
        <f>IF(D109="","",H109&amp;"|"&amp;SUBSTITUTE(SUBSTITUTE(D109," ",""),"　",""))</f>
        <v/>
      </c>
      <c r="J109" s="42">
        <f>IF(D109="","",IF(ISERROR(MATCH(A109&amp;"-"&amp;B109,設定!$Y$8:$Y$31,0)),"設定にない学年・組",IF(COUNTIF($F$2:$F$451,F109)&gt;1,"同じ学年・組・番号がいる",IF(COUNTIF($I$2:$I$451,I109)&gt;1,"同姓同名あり",""))))</f>
        <v/>
      </c>
    </row>
    <row r="110">
      <c r="A110" s="40" t="n">
        <v>5</v>
      </c>
      <c r="B110" s="40" t="inlineStr">
        <is>
          <t>月</t>
        </is>
      </c>
      <c r="C110" s="40" t="n">
        <v>19</v>
      </c>
      <c r="D110" s="41" t="inlineStr">
        <is>
          <t>小林　大和</t>
        </is>
      </c>
      <c r="F110" s="8">
        <f>IF(D110="","",A110&amp;"-"&amp;B110&amp;"-"&amp;C110)</f>
        <v/>
      </c>
      <c r="G110" s="8">
        <f>IF(D110="","",IFERROR(MATCH(A110&amp;"-"&amp;B110,設定!$Y$8:$Y$31,0),99)*1000+C110+ROW()/1000000)</f>
        <v/>
      </c>
      <c r="H110" s="8">
        <f>IF(D110="","",A110+1)</f>
        <v/>
      </c>
      <c r="I110" s="8">
        <f>IF(D110="","",H110&amp;"|"&amp;SUBSTITUTE(SUBSTITUTE(D110," ",""),"　",""))</f>
        <v/>
      </c>
      <c r="J110" s="42">
        <f>IF(D110="","",IF(ISERROR(MATCH(A110&amp;"-"&amp;B110,設定!$Y$8:$Y$31,0)),"設定にない学年・組",IF(COUNTIF($F$2:$F$451,F110)&gt;1,"同じ学年・組・番号がいる",IF(COUNTIF($I$2:$I$451,I110)&gt;1,"同姓同名あり",""))))</f>
        <v/>
      </c>
    </row>
    <row r="111">
      <c r="A111" s="40" t="n">
        <v>5</v>
      </c>
      <c r="B111" s="40" t="inlineStr">
        <is>
          <t>月</t>
        </is>
      </c>
      <c r="C111" s="40" t="n">
        <v>20</v>
      </c>
      <c r="D111" s="41" t="inlineStr">
        <is>
          <t>橋本　朝陽</t>
        </is>
      </c>
      <c r="F111" s="8">
        <f>IF(D111="","",A111&amp;"-"&amp;B111&amp;"-"&amp;C111)</f>
        <v/>
      </c>
      <c r="G111" s="8">
        <f>IF(D111="","",IFERROR(MATCH(A111&amp;"-"&amp;B111,設定!$Y$8:$Y$31,0),99)*1000+C111+ROW()/1000000)</f>
        <v/>
      </c>
      <c r="H111" s="8">
        <f>IF(D111="","",A111+1)</f>
        <v/>
      </c>
      <c r="I111" s="8">
        <f>IF(D111="","",H111&amp;"|"&amp;SUBSTITUTE(SUBSTITUTE(D111," ",""),"　",""))</f>
        <v/>
      </c>
      <c r="J111" s="42">
        <f>IF(D111="","",IF(ISERROR(MATCH(A111&amp;"-"&amp;B111,設定!$Y$8:$Y$31,0)),"設定にない学年・組",IF(COUNTIF($F$2:$F$451,F111)&gt;1,"同じ学年・組・番号がいる",IF(COUNTIF($I$2:$I$451,I111)&gt;1,"同姓同名あり",""))))</f>
        <v/>
      </c>
    </row>
    <row r="112">
      <c r="A112" s="40" t="n">
        <v>5</v>
      </c>
      <c r="B112" s="40" t="inlineStr">
        <is>
          <t>月</t>
        </is>
      </c>
      <c r="C112" s="40" t="n">
        <v>21</v>
      </c>
      <c r="D112" s="41" t="inlineStr">
        <is>
          <t>石井　凛</t>
        </is>
      </c>
      <c r="F112" s="8">
        <f>IF(D112="","",A112&amp;"-"&amp;B112&amp;"-"&amp;C112)</f>
        <v/>
      </c>
      <c r="G112" s="8">
        <f>IF(D112="","",IFERROR(MATCH(A112&amp;"-"&amp;B112,設定!$Y$8:$Y$31,0),99)*1000+C112+ROW()/1000000)</f>
        <v/>
      </c>
      <c r="H112" s="8">
        <f>IF(D112="","",A112+1)</f>
        <v/>
      </c>
      <c r="I112" s="8">
        <f>IF(D112="","",H112&amp;"|"&amp;SUBSTITUTE(SUBSTITUTE(D112," ",""),"　",""))</f>
        <v/>
      </c>
      <c r="J112" s="42">
        <f>IF(D112="","",IF(ISERROR(MATCH(A112&amp;"-"&amp;B112,設定!$Y$8:$Y$31,0)),"設定にない学年・組",IF(COUNTIF($F$2:$F$451,F112)&gt;1,"同じ学年・組・番号がいる",IF(COUNTIF($I$2:$I$451,I112)&gt;1,"同姓同名あり",""))))</f>
        <v/>
      </c>
    </row>
    <row r="113">
      <c r="A113" s="40" t="n">
        <v>5</v>
      </c>
      <c r="B113" s="40" t="inlineStr">
        <is>
          <t>月</t>
        </is>
      </c>
      <c r="C113" s="40" t="n">
        <v>22</v>
      </c>
      <c r="D113" s="41" t="inlineStr">
        <is>
          <t>西村　翼</t>
        </is>
      </c>
      <c r="F113" s="8">
        <f>IF(D113="","",A113&amp;"-"&amp;B113&amp;"-"&amp;C113)</f>
        <v/>
      </c>
      <c r="G113" s="8">
        <f>IF(D113="","",IFERROR(MATCH(A113&amp;"-"&amp;B113,設定!$Y$8:$Y$31,0),99)*1000+C113+ROW()/1000000)</f>
        <v/>
      </c>
      <c r="H113" s="8">
        <f>IF(D113="","",A113+1)</f>
        <v/>
      </c>
      <c r="I113" s="8">
        <f>IF(D113="","",H113&amp;"|"&amp;SUBSTITUTE(SUBSTITUTE(D113," ",""),"　",""))</f>
        <v/>
      </c>
      <c r="J113" s="42">
        <f>IF(D113="","",IF(ISERROR(MATCH(A113&amp;"-"&amp;B113,設定!$Y$8:$Y$31,0)),"設定にない学年・組",IF(COUNTIF($F$2:$F$451,F113)&gt;1,"同じ学年・組・番号がいる",IF(COUNTIF($I$2:$I$451,I113)&gt;1,"同姓同名あり",""))))</f>
        <v/>
      </c>
    </row>
    <row r="114">
      <c r="A114" s="40" t="n">
        <v>5</v>
      </c>
      <c r="B114" s="40" t="inlineStr">
        <is>
          <t>月</t>
        </is>
      </c>
      <c r="C114" s="40" t="n">
        <v>23</v>
      </c>
      <c r="D114" s="41" t="inlineStr">
        <is>
          <t>岡本　彩花</t>
        </is>
      </c>
      <c r="F114" s="8">
        <f>IF(D114="","",A114&amp;"-"&amp;B114&amp;"-"&amp;C114)</f>
        <v/>
      </c>
      <c r="G114" s="8">
        <f>IF(D114="","",IFERROR(MATCH(A114&amp;"-"&amp;B114,設定!$Y$8:$Y$31,0),99)*1000+C114+ROW()/1000000)</f>
        <v/>
      </c>
      <c r="H114" s="8">
        <f>IF(D114="","",A114+1)</f>
        <v/>
      </c>
      <c r="I114" s="8">
        <f>IF(D114="","",H114&amp;"|"&amp;SUBSTITUTE(SUBSTITUTE(D114," ",""),"　",""))</f>
        <v/>
      </c>
      <c r="J114" s="42">
        <f>IF(D114="","",IF(ISERROR(MATCH(A114&amp;"-"&amp;B114,設定!$Y$8:$Y$31,0)),"設定にない学年・組",IF(COUNTIF($F$2:$F$451,F114)&gt;1,"同じ学年・組・番号がいる",IF(COUNTIF($I$2:$I$451,I114)&gt;1,"同姓同名あり",""))))</f>
        <v/>
      </c>
    </row>
    <row r="115">
      <c r="A115" s="40" t="n">
        <v>5</v>
      </c>
      <c r="B115" s="40" t="inlineStr">
        <is>
          <t>月</t>
        </is>
      </c>
      <c r="C115" s="40" t="n">
        <v>24</v>
      </c>
      <c r="D115" s="41" t="inlineStr">
        <is>
          <t>遠藤　朝陽</t>
        </is>
      </c>
      <c r="F115" s="8">
        <f>IF(D115="","",A115&amp;"-"&amp;B115&amp;"-"&amp;C115)</f>
        <v/>
      </c>
      <c r="G115" s="8">
        <f>IF(D115="","",IFERROR(MATCH(A115&amp;"-"&amp;B115,設定!$Y$8:$Y$31,0),99)*1000+C115+ROW()/1000000)</f>
        <v/>
      </c>
      <c r="H115" s="8">
        <f>IF(D115="","",A115+1)</f>
        <v/>
      </c>
      <c r="I115" s="8">
        <f>IF(D115="","",H115&amp;"|"&amp;SUBSTITUTE(SUBSTITUTE(D115," ",""),"　",""))</f>
        <v/>
      </c>
      <c r="J115" s="42">
        <f>IF(D115="","",IF(ISERROR(MATCH(A115&amp;"-"&amp;B115,設定!$Y$8:$Y$31,0)),"設定にない学年・組",IF(COUNTIF($F$2:$F$451,F115)&gt;1,"同じ学年・組・番号がいる",IF(COUNTIF($I$2:$I$451,I115)&gt;1,"同姓同名あり",""))))</f>
        <v/>
      </c>
    </row>
    <row r="116">
      <c r="A116" s="40" t="n">
        <v>5</v>
      </c>
      <c r="B116" s="40" t="inlineStr">
        <is>
          <t>月</t>
        </is>
      </c>
      <c r="C116" s="40" t="n">
        <v>25</v>
      </c>
      <c r="D116" s="41" t="inlineStr">
        <is>
          <t>遠藤　湊</t>
        </is>
      </c>
      <c r="F116" s="8">
        <f>IF(D116="","",A116&amp;"-"&amp;B116&amp;"-"&amp;C116)</f>
        <v/>
      </c>
      <c r="G116" s="8">
        <f>IF(D116="","",IFERROR(MATCH(A116&amp;"-"&amp;B116,設定!$Y$8:$Y$31,0),99)*1000+C116+ROW()/1000000)</f>
        <v/>
      </c>
      <c r="H116" s="8">
        <f>IF(D116="","",A116+1)</f>
        <v/>
      </c>
      <c r="I116" s="8">
        <f>IF(D116="","",H116&amp;"|"&amp;SUBSTITUTE(SUBSTITUTE(D116," ",""),"　",""))</f>
        <v/>
      </c>
      <c r="J116" s="42">
        <f>IF(D116="","",IF(ISERROR(MATCH(A116&amp;"-"&amp;B116,設定!$Y$8:$Y$31,0)),"設定にない学年・組",IF(COUNTIF($F$2:$F$451,F116)&gt;1,"同じ学年・組・番号がいる",IF(COUNTIF($I$2:$I$451,I116)&gt;1,"同姓同名あり",""))))</f>
        <v/>
      </c>
    </row>
    <row r="117">
      <c r="A117" s="40" t="n">
        <v>5</v>
      </c>
      <c r="B117" s="40" t="inlineStr">
        <is>
          <t>月</t>
        </is>
      </c>
      <c r="C117" s="40" t="n">
        <v>26</v>
      </c>
      <c r="D117" s="41" t="inlineStr">
        <is>
          <t>鈴木　心春</t>
        </is>
      </c>
      <c r="F117" s="8">
        <f>IF(D117="","",A117&amp;"-"&amp;B117&amp;"-"&amp;C117)</f>
        <v/>
      </c>
      <c r="G117" s="8">
        <f>IF(D117="","",IFERROR(MATCH(A117&amp;"-"&amp;B117,設定!$Y$8:$Y$31,0),99)*1000+C117+ROW()/1000000)</f>
        <v/>
      </c>
      <c r="H117" s="8">
        <f>IF(D117="","",A117+1)</f>
        <v/>
      </c>
      <c r="I117" s="8">
        <f>IF(D117="","",H117&amp;"|"&amp;SUBSTITUTE(SUBSTITUTE(D117," ",""),"　",""))</f>
        <v/>
      </c>
      <c r="J117" s="42">
        <f>IF(D117="","",IF(ISERROR(MATCH(A117&amp;"-"&amp;B117,設定!$Y$8:$Y$31,0)),"設定にない学年・組",IF(COUNTIF($F$2:$F$451,F117)&gt;1,"同じ学年・組・番号がいる",IF(COUNTIF($I$2:$I$451,I117)&gt;1,"同姓同名あり",""))))</f>
        <v/>
      </c>
    </row>
    <row r="118">
      <c r="A118" s="40" t="n">
        <v>5</v>
      </c>
      <c r="B118" s="40" t="inlineStr">
        <is>
          <t>月</t>
        </is>
      </c>
      <c r="C118" s="40" t="n">
        <v>27</v>
      </c>
      <c r="D118" s="41" t="inlineStr">
        <is>
          <t>池田　琴音</t>
        </is>
      </c>
      <c r="F118" s="8">
        <f>IF(D118="","",A118&amp;"-"&amp;B118&amp;"-"&amp;C118)</f>
        <v/>
      </c>
      <c r="G118" s="8">
        <f>IF(D118="","",IFERROR(MATCH(A118&amp;"-"&amp;B118,設定!$Y$8:$Y$31,0),99)*1000+C118+ROW()/1000000)</f>
        <v/>
      </c>
      <c r="H118" s="8">
        <f>IF(D118="","",A118+1)</f>
        <v/>
      </c>
      <c r="I118" s="8">
        <f>IF(D118="","",H118&amp;"|"&amp;SUBSTITUTE(SUBSTITUTE(D118," ",""),"　",""))</f>
        <v/>
      </c>
      <c r="J118" s="42">
        <f>IF(D118="","",IF(ISERROR(MATCH(A118&amp;"-"&amp;B118,設定!$Y$8:$Y$31,0)),"設定にない学年・組",IF(COUNTIF($F$2:$F$451,F118)&gt;1,"同じ学年・組・番号がいる",IF(COUNTIF($I$2:$I$451,I118)&gt;1,"同姓同名あり",""))))</f>
        <v/>
      </c>
    </row>
    <row r="119">
      <c r="A119" s="40" t="n">
        <v>5</v>
      </c>
      <c r="B119" s="40" t="inlineStr">
        <is>
          <t>月</t>
        </is>
      </c>
      <c r="C119" s="40" t="n">
        <v>28</v>
      </c>
      <c r="D119" s="41" t="inlineStr">
        <is>
          <t>清水　湊</t>
        </is>
      </c>
      <c r="F119" s="8">
        <f>IF(D119="","",A119&amp;"-"&amp;B119&amp;"-"&amp;C119)</f>
        <v/>
      </c>
      <c r="G119" s="8">
        <f>IF(D119="","",IFERROR(MATCH(A119&amp;"-"&amp;B119,設定!$Y$8:$Y$31,0),99)*1000+C119+ROW()/1000000)</f>
        <v/>
      </c>
      <c r="H119" s="8">
        <f>IF(D119="","",A119+1)</f>
        <v/>
      </c>
      <c r="I119" s="8">
        <f>IF(D119="","",H119&amp;"|"&amp;SUBSTITUTE(SUBSTITUTE(D119," ",""),"　",""))</f>
        <v/>
      </c>
      <c r="J119" s="42">
        <f>IF(D119="","",IF(ISERROR(MATCH(A119&amp;"-"&amp;B119,設定!$Y$8:$Y$31,0)),"設定にない学年・組",IF(COUNTIF($F$2:$F$451,F119)&gt;1,"同じ学年・組・番号がいる",IF(COUNTIF($I$2:$I$451,I119)&gt;1,"同姓同名あり",""))))</f>
        <v/>
      </c>
    </row>
    <row r="120">
      <c r="A120" s="40" t="n">
        <v>5</v>
      </c>
      <c r="B120" s="40" t="inlineStr">
        <is>
          <t>月</t>
        </is>
      </c>
      <c r="C120" s="40" t="n">
        <v>29</v>
      </c>
      <c r="D120" s="41" t="inlineStr">
        <is>
          <t>鈴木　真央</t>
        </is>
      </c>
      <c r="F120" s="8">
        <f>IF(D120="","",A120&amp;"-"&amp;B120&amp;"-"&amp;C120)</f>
        <v/>
      </c>
      <c r="G120" s="8">
        <f>IF(D120="","",IFERROR(MATCH(A120&amp;"-"&amp;B120,設定!$Y$8:$Y$31,0),99)*1000+C120+ROW()/1000000)</f>
        <v/>
      </c>
      <c r="H120" s="8">
        <f>IF(D120="","",A120+1)</f>
        <v/>
      </c>
      <c r="I120" s="8">
        <f>IF(D120="","",H120&amp;"|"&amp;SUBSTITUTE(SUBSTITUTE(D120," ",""),"　",""))</f>
        <v/>
      </c>
      <c r="J120" s="42">
        <f>IF(D120="","",IF(ISERROR(MATCH(A120&amp;"-"&amp;B120,設定!$Y$8:$Y$31,0)),"設定にない学年・組",IF(COUNTIF($F$2:$F$451,F120)&gt;1,"同じ学年・組・番号がいる",IF(COUNTIF($I$2:$I$451,I120)&gt;1,"同姓同名あり",""))))</f>
        <v/>
      </c>
    </row>
    <row r="121">
      <c r="A121" s="40" t="n">
        <v>5</v>
      </c>
      <c r="B121" s="40" t="inlineStr">
        <is>
          <t>月</t>
        </is>
      </c>
      <c r="C121" s="40" t="n">
        <v>30</v>
      </c>
      <c r="D121" s="41" t="inlineStr">
        <is>
          <t>福田　樹</t>
        </is>
      </c>
      <c r="F121" s="8">
        <f>IF(D121="","",A121&amp;"-"&amp;B121&amp;"-"&amp;C121)</f>
        <v/>
      </c>
      <c r="G121" s="8">
        <f>IF(D121="","",IFERROR(MATCH(A121&amp;"-"&amp;B121,設定!$Y$8:$Y$31,0),99)*1000+C121+ROW()/1000000)</f>
        <v/>
      </c>
      <c r="H121" s="8">
        <f>IF(D121="","",A121+1)</f>
        <v/>
      </c>
      <c r="I121" s="8">
        <f>IF(D121="","",H121&amp;"|"&amp;SUBSTITUTE(SUBSTITUTE(D121," ",""),"　",""))</f>
        <v/>
      </c>
      <c r="J121" s="42">
        <f>IF(D121="","",IF(ISERROR(MATCH(A121&amp;"-"&amp;B121,設定!$Y$8:$Y$31,0)),"設定にない学年・組",IF(COUNTIF($F$2:$F$451,F121)&gt;1,"同じ学年・組・番号がいる",IF(COUNTIF($I$2:$I$451,I121)&gt;1,"同姓同名あり",""))))</f>
        <v/>
      </c>
    </row>
    <row r="122">
      <c r="A122" s="40" t="n">
        <v>4</v>
      </c>
      <c r="B122" s="40" t="inlineStr">
        <is>
          <t>松</t>
        </is>
      </c>
      <c r="C122" s="40" t="n">
        <v>1</v>
      </c>
      <c r="D122" s="41" t="inlineStr">
        <is>
          <t>前田　樹</t>
        </is>
      </c>
      <c r="F122" s="8">
        <f>IF(D122="","",A122&amp;"-"&amp;B122&amp;"-"&amp;C122)</f>
        <v/>
      </c>
      <c r="G122" s="8">
        <f>IF(D122="","",IFERROR(MATCH(A122&amp;"-"&amp;B122,設定!$Y$8:$Y$31,0),99)*1000+C122+ROW()/1000000)</f>
        <v/>
      </c>
      <c r="H122" s="8">
        <f>IF(D122="","",A122+1)</f>
        <v/>
      </c>
      <c r="I122" s="8">
        <f>IF(D122="","",H122&amp;"|"&amp;SUBSTITUTE(SUBSTITUTE(D122," ",""),"　",""))</f>
        <v/>
      </c>
      <c r="J122" s="42">
        <f>IF(D122="","",IF(ISERROR(MATCH(A122&amp;"-"&amp;B122,設定!$Y$8:$Y$31,0)),"設定にない学年・組",IF(COUNTIF($F$2:$F$451,F122)&gt;1,"同じ学年・組・番号がいる",IF(COUNTIF($I$2:$I$451,I122)&gt;1,"同姓同名あり",""))))</f>
        <v/>
      </c>
    </row>
    <row r="123">
      <c r="A123" s="40" t="n">
        <v>4</v>
      </c>
      <c r="B123" s="40" t="inlineStr">
        <is>
          <t>松</t>
        </is>
      </c>
      <c r="C123" s="40" t="n">
        <v>2</v>
      </c>
      <c r="D123" s="41" t="inlineStr">
        <is>
          <t>原田　航</t>
        </is>
      </c>
      <c r="F123" s="8">
        <f>IF(D123="","",A123&amp;"-"&amp;B123&amp;"-"&amp;C123)</f>
        <v/>
      </c>
      <c r="G123" s="8">
        <f>IF(D123="","",IFERROR(MATCH(A123&amp;"-"&amp;B123,設定!$Y$8:$Y$31,0),99)*1000+C123+ROW()/1000000)</f>
        <v/>
      </c>
      <c r="H123" s="8">
        <f>IF(D123="","",A123+1)</f>
        <v/>
      </c>
      <c r="I123" s="8">
        <f>IF(D123="","",H123&amp;"|"&amp;SUBSTITUTE(SUBSTITUTE(D123," ",""),"　",""))</f>
        <v/>
      </c>
      <c r="J123" s="42">
        <f>IF(D123="","",IF(ISERROR(MATCH(A123&amp;"-"&amp;B123,設定!$Y$8:$Y$31,0)),"設定にない学年・組",IF(COUNTIF($F$2:$F$451,F123)&gt;1,"同じ学年・組・番号がいる",IF(COUNTIF($I$2:$I$451,I123)&gt;1,"同姓同名あり",""))))</f>
        <v/>
      </c>
    </row>
    <row r="124">
      <c r="A124" s="40" t="n">
        <v>4</v>
      </c>
      <c r="B124" s="40" t="inlineStr">
        <is>
          <t>松</t>
        </is>
      </c>
      <c r="C124" s="40" t="n">
        <v>3</v>
      </c>
      <c r="D124" s="41" t="inlineStr">
        <is>
          <t>山崎　朝陽</t>
        </is>
      </c>
      <c r="F124" s="8">
        <f>IF(D124="","",A124&amp;"-"&amp;B124&amp;"-"&amp;C124)</f>
        <v/>
      </c>
      <c r="G124" s="8">
        <f>IF(D124="","",IFERROR(MATCH(A124&amp;"-"&amp;B124,設定!$Y$8:$Y$31,0),99)*1000+C124+ROW()/1000000)</f>
        <v/>
      </c>
      <c r="H124" s="8">
        <f>IF(D124="","",A124+1)</f>
        <v/>
      </c>
      <c r="I124" s="8">
        <f>IF(D124="","",H124&amp;"|"&amp;SUBSTITUTE(SUBSTITUTE(D124," ",""),"　",""))</f>
        <v/>
      </c>
      <c r="J124" s="42">
        <f>IF(D124="","",IF(ISERROR(MATCH(A124&amp;"-"&amp;B124,設定!$Y$8:$Y$31,0)),"設定にない学年・組",IF(COUNTIF($F$2:$F$451,F124)&gt;1,"同じ学年・組・番号がいる",IF(COUNTIF($I$2:$I$451,I124)&gt;1,"同姓同名あり",""))))</f>
        <v/>
      </c>
    </row>
    <row r="125">
      <c r="A125" s="40" t="n">
        <v>4</v>
      </c>
      <c r="B125" s="40" t="inlineStr">
        <is>
          <t>松</t>
        </is>
      </c>
      <c r="C125" s="40" t="n">
        <v>4</v>
      </c>
      <c r="D125" s="41" t="inlineStr">
        <is>
          <t>伊藤　樹</t>
        </is>
      </c>
      <c r="F125" s="8">
        <f>IF(D125="","",A125&amp;"-"&amp;B125&amp;"-"&amp;C125)</f>
        <v/>
      </c>
      <c r="G125" s="8">
        <f>IF(D125="","",IFERROR(MATCH(A125&amp;"-"&amp;B125,設定!$Y$8:$Y$31,0),99)*1000+C125+ROW()/1000000)</f>
        <v/>
      </c>
      <c r="H125" s="8">
        <f>IF(D125="","",A125+1)</f>
        <v/>
      </c>
      <c r="I125" s="8">
        <f>IF(D125="","",H125&amp;"|"&amp;SUBSTITUTE(SUBSTITUTE(D125," ",""),"　",""))</f>
        <v/>
      </c>
      <c r="J125" s="42">
        <f>IF(D125="","",IF(ISERROR(MATCH(A125&amp;"-"&amp;B125,設定!$Y$8:$Y$31,0)),"設定にない学年・組",IF(COUNTIF($F$2:$F$451,F125)&gt;1,"同じ学年・組・番号がいる",IF(COUNTIF($I$2:$I$451,I125)&gt;1,"同姓同名あり",""))))</f>
        <v/>
      </c>
    </row>
    <row r="126">
      <c r="A126" s="40" t="n">
        <v>4</v>
      </c>
      <c r="B126" s="40" t="inlineStr">
        <is>
          <t>松</t>
        </is>
      </c>
      <c r="C126" s="40" t="n">
        <v>5</v>
      </c>
      <c r="D126" s="41" t="inlineStr">
        <is>
          <t>石井　花音</t>
        </is>
      </c>
      <c r="F126" s="8">
        <f>IF(D126="","",A126&amp;"-"&amp;B126&amp;"-"&amp;C126)</f>
        <v/>
      </c>
      <c r="G126" s="8">
        <f>IF(D126="","",IFERROR(MATCH(A126&amp;"-"&amp;B126,設定!$Y$8:$Y$31,0),99)*1000+C126+ROW()/1000000)</f>
        <v/>
      </c>
      <c r="H126" s="8">
        <f>IF(D126="","",A126+1)</f>
        <v/>
      </c>
      <c r="I126" s="8">
        <f>IF(D126="","",H126&amp;"|"&amp;SUBSTITUTE(SUBSTITUTE(D126," ",""),"　",""))</f>
        <v/>
      </c>
      <c r="J126" s="42">
        <f>IF(D126="","",IF(ISERROR(MATCH(A126&amp;"-"&amp;B126,設定!$Y$8:$Y$31,0)),"設定にない学年・組",IF(COUNTIF($F$2:$F$451,F126)&gt;1,"同じ学年・組・番号がいる",IF(COUNTIF($I$2:$I$451,I126)&gt;1,"同姓同名あり",""))))</f>
        <v/>
      </c>
    </row>
    <row r="127">
      <c r="A127" s="40" t="n">
        <v>4</v>
      </c>
      <c r="B127" s="40" t="inlineStr">
        <is>
          <t>松</t>
        </is>
      </c>
      <c r="C127" s="40" t="n">
        <v>6</v>
      </c>
      <c r="D127" s="41" t="inlineStr">
        <is>
          <t>橋本　晴</t>
        </is>
      </c>
      <c r="F127" s="8">
        <f>IF(D127="","",A127&amp;"-"&amp;B127&amp;"-"&amp;C127)</f>
        <v/>
      </c>
      <c r="G127" s="8">
        <f>IF(D127="","",IFERROR(MATCH(A127&amp;"-"&amp;B127,設定!$Y$8:$Y$31,0),99)*1000+C127+ROW()/1000000)</f>
        <v/>
      </c>
      <c r="H127" s="8">
        <f>IF(D127="","",A127+1)</f>
        <v/>
      </c>
      <c r="I127" s="8">
        <f>IF(D127="","",H127&amp;"|"&amp;SUBSTITUTE(SUBSTITUTE(D127," ",""),"　",""))</f>
        <v/>
      </c>
      <c r="J127" s="42">
        <f>IF(D127="","",IF(ISERROR(MATCH(A127&amp;"-"&amp;B127,設定!$Y$8:$Y$31,0)),"設定にない学年・組",IF(COUNTIF($F$2:$F$451,F127)&gt;1,"同じ学年・組・番号がいる",IF(COUNTIF($I$2:$I$451,I127)&gt;1,"同姓同名あり",""))))</f>
        <v/>
      </c>
    </row>
    <row r="128">
      <c r="A128" s="40" t="n">
        <v>4</v>
      </c>
      <c r="B128" s="40" t="inlineStr">
        <is>
          <t>松</t>
        </is>
      </c>
      <c r="C128" s="40" t="n">
        <v>7</v>
      </c>
      <c r="D128" s="41" t="inlineStr">
        <is>
          <t>高橋　晴</t>
        </is>
      </c>
      <c r="F128" s="8">
        <f>IF(D128="","",A128&amp;"-"&amp;B128&amp;"-"&amp;C128)</f>
        <v/>
      </c>
      <c r="G128" s="8">
        <f>IF(D128="","",IFERROR(MATCH(A128&amp;"-"&amp;B128,設定!$Y$8:$Y$31,0),99)*1000+C128+ROW()/1000000)</f>
        <v/>
      </c>
      <c r="H128" s="8">
        <f>IF(D128="","",A128+1)</f>
        <v/>
      </c>
      <c r="I128" s="8">
        <f>IF(D128="","",H128&amp;"|"&amp;SUBSTITUTE(SUBSTITUTE(D128," ",""),"　",""))</f>
        <v/>
      </c>
      <c r="J128" s="42">
        <f>IF(D128="","",IF(ISERROR(MATCH(A128&amp;"-"&amp;B128,設定!$Y$8:$Y$31,0)),"設定にない学年・組",IF(COUNTIF($F$2:$F$451,F128)&gt;1,"同じ学年・組・番号がいる",IF(COUNTIF($I$2:$I$451,I128)&gt;1,"同姓同名あり",""))))</f>
        <v/>
      </c>
    </row>
    <row r="129">
      <c r="A129" s="40" t="n">
        <v>4</v>
      </c>
      <c r="B129" s="40" t="inlineStr">
        <is>
          <t>松</t>
        </is>
      </c>
      <c r="C129" s="40" t="n">
        <v>8</v>
      </c>
      <c r="D129" s="41" t="inlineStr">
        <is>
          <t>小野　美咲</t>
        </is>
      </c>
      <c r="F129" s="8">
        <f>IF(D129="","",A129&amp;"-"&amp;B129&amp;"-"&amp;C129)</f>
        <v/>
      </c>
      <c r="G129" s="8">
        <f>IF(D129="","",IFERROR(MATCH(A129&amp;"-"&amp;B129,設定!$Y$8:$Y$31,0),99)*1000+C129+ROW()/1000000)</f>
        <v/>
      </c>
      <c r="H129" s="8">
        <f>IF(D129="","",A129+1)</f>
        <v/>
      </c>
      <c r="I129" s="8">
        <f>IF(D129="","",H129&amp;"|"&amp;SUBSTITUTE(SUBSTITUTE(D129," ",""),"　",""))</f>
        <v/>
      </c>
      <c r="J129" s="42">
        <f>IF(D129="","",IF(ISERROR(MATCH(A129&amp;"-"&amp;B129,設定!$Y$8:$Y$31,0)),"設定にない学年・組",IF(COUNTIF($F$2:$F$451,F129)&gt;1,"同じ学年・組・番号がいる",IF(COUNTIF($I$2:$I$451,I129)&gt;1,"同姓同名あり",""))))</f>
        <v/>
      </c>
    </row>
    <row r="130">
      <c r="A130" s="40" t="n">
        <v>4</v>
      </c>
      <c r="B130" s="40" t="inlineStr">
        <is>
          <t>松</t>
        </is>
      </c>
      <c r="C130" s="40" t="n">
        <v>9</v>
      </c>
      <c r="D130" s="41" t="inlineStr">
        <is>
          <t>小林　凛</t>
        </is>
      </c>
      <c r="F130" s="8">
        <f>IF(D130="","",A130&amp;"-"&amp;B130&amp;"-"&amp;C130)</f>
        <v/>
      </c>
      <c r="G130" s="8">
        <f>IF(D130="","",IFERROR(MATCH(A130&amp;"-"&amp;B130,設定!$Y$8:$Y$31,0),99)*1000+C130+ROW()/1000000)</f>
        <v/>
      </c>
      <c r="H130" s="8">
        <f>IF(D130="","",A130+1)</f>
        <v/>
      </c>
      <c r="I130" s="8">
        <f>IF(D130="","",H130&amp;"|"&amp;SUBSTITUTE(SUBSTITUTE(D130," ",""),"　",""))</f>
        <v/>
      </c>
      <c r="J130" s="42">
        <f>IF(D130="","",IF(ISERROR(MATCH(A130&amp;"-"&amp;B130,設定!$Y$8:$Y$31,0)),"設定にない学年・組",IF(COUNTIF($F$2:$F$451,F130)&gt;1,"同じ学年・組・番号がいる",IF(COUNTIF($I$2:$I$451,I130)&gt;1,"同姓同名あり",""))))</f>
        <v/>
      </c>
    </row>
    <row r="131">
      <c r="A131" s="40" t="n">
        <v>4</v>
      </c>
      <c r="B131" s="40" t="inlineStr">
        <is>
          <t>松</t>
        </is>
      </c>
      <c r="C131" s="40" t="n">
        <v>10</v>
      </c>
      <c r="D131" s="41" t="inlineStr">
        <is>
          <t>池田　大和</t>
        </is>
      </c>
      <c r="F131" s="8">
        <f>IF(D131="","",A131&amp;"-"&amp;B131&amp;"-"&amp;C131)</f>
        <v/>
      </c>
      <c r="G131" s="8">
        <f>IF(D131="","",IFERROR(MATCH(A131&amp;"-"&amp;B131,設定!$Y$8:$Y$31,0),99)*1000+C131+ROW()/1000000)</f>
        <v/>
      </c>
      <c r="H131" s="8">
        <f>IF(D131="","",A131+1)</f>
        <v/>
      </c>
      <c r="I131" s="8">
        <f>IF(D131="","",H131&amp;"|"&amp;SUBSTITUTE(SUBSTITUTE(D131," ",""),"　",""))</f>
        <v/>
      </c>
      <c r="J131" s="42">
        <f>IF(D131="","",IF(ISERROR(MATCH(A131&amp;"-"&amp;B131,設定!$Y$8:$Y$31,0)),"設定にない学年・組",IF(COUNTIF($F$2:$F$451,F131)&gt;1,"同じ学年・組・番号がいる",IF(COUNTIF($I$2:$I$451,I131)&gt;1,"同姓同名あり",""))))</f>
        <v/>
      </c>
    </row>
    <row r="132">
      <c r="A132" s="40" t="n">
        <v>4</v>
      </c>
      <c r="B132" s="40" t="inlineStr">
        <is>
          <t>松</t>
        </is>
      </c>
      <c r="C132" s="40" t="n">
        <v>11</v>
      </c>
      <c r="D132" s="41" t="inlineStr">
        <is>
          <t>藤井　心春</t>
        </is>
      </c>
      <c r="F132" s="8">
        <f>IF(D132="","",A132&amp;"-"&amp;B132&amp;"-"&amp;C132)</f>
        <v/>
      </c>
      <c r="G132" s="8">
        <f>IF(D132="","",IFERROR(MATCH(A132&amp;"-"&amp;B132,設定!$Y$8:$Y$31,0),99)*1000+C132+ROW()/1000000)</f>
        <v/>
      </c>
      <c r="H132" s="8">
        <f>IF(D132="","",A132+1)</f>
        <v/>
      </c>
      <c r="I132" s="8">
        <f>IF(D132="","",H132&amp;"|"&amp;SUBSTITUTE(SUBSTITUTE(D132," ",""),"　",""))</f>
        <v/>
      </c>
      <c r="J132" s="42">
        <f>IF(D132="","",IF(ISERROR(MATCH(A132&amp;"-"&amp;B132,設定!$Y$8:$Y$31,0)),"設定にない学年・組",IF(COUNTIF($F$2:$F$451,F132)&gt;1,"同じ学年・組・番号がいる",IF(COUNTIF($I$2:$I$451,I132)&gt;1,"同姓同名あり",""))))</f>
        <v/>
      </c>
    </row>
    <row r="133">
      <c r="A133" s="40" t="n">
        <v>4</v>
      </c>
      <c r="B133" s="40" t="inlineStr">
        <is>
          <t>松</t>
        </is>
      </c>
      <c r="C133" s="40" t="n">
        <v>12</v>
      </c>
      <c r="D133" s="41" t="inlineStr">
        <is>
          <t>伊藤　澪</t>
        </is>
      </c>
      <c r="F133" s="8">
        <f>IF(D133="","",A133&amp;"-"&amp;B133&amp;"-"&amp;C133)</f>
        <v/>
      </c>
      <c r="G133" s="8">
        <f>IF(D133="","",IFERROR(MATCH(A133&amp;"-"&amp;B133,設定!$Y$8:$Y$31,0),99)*1000+C133+ROW()/1000000)</f>
        <v/>
      </c>
      <c r="H133" s="8">
        <f>IF(D133="","",A133+1)</f>
        <v/>
      </c>
      <c r="I133" s="8">
        <f>IF(D133="","",H133&amp;"|"&amp;SUBSTITUTE(SUBSTITUTE(D133," ",""),"　",""))</f>
        <v/>
      </c>
      <c r="J133" s="42">
        <f>IF(D133="","",IF(ISERROR(MATCH(A133&amp;"-"&amp;B133,設定!$Y$8:$Y$31,0)),"設定にない学年・組",IF(COUNTIF($F$2:$F$451,F133)&gt;1,"同じ学年・組・番号がいる",IF(COUNTIF($I$2:$I$451,I133)&gt;1,"同姓同名あり",""))))</f>
        <v/>
      </c>
    </row>
    <row r="134">
      <c r="A134" s="40" t="n">
        <v>4</v>
      </c>
      <c r="B134" s="40" t="inlineStr">
        <is>
          <t>松</t>
        </is>
      </c>
      <c r="C134" s="40" t="n">
        <v>13</v>
      </c>
      <c r="D134" s="41" t="inlineStr">
        <is>
          <t>鈴木　杏</t>
        </is>
      </c>
      <c r="F134" s="8">
        <f>IF(D134="","",A134&amp;"-"&amp;B134&amp;"-"&amp;C134)</f>
        <v/>
      </c>
      <c r="G134" s="8">
        <f>IF(D134="","",IFERROR(MATCH(A134&amp;"-"&amp;B134,設定!$Y$8:$Y$31,0),99)*1000+C134+ROW()/1000000)</f>
        <v/>
      </c>
      <c r="H134" s="8">
        <f>IF(D134="","",A134+1)</f>
        <v/>
      </c>
      <c r="I134" s="8">
        <f>IF(D134="","",H134&amp;"|"&amp;SUBSTITUTE(SUBSTITUTE(D134," ",""),"　",""))</f>
        <v/>
      </c>
      <c r="J134" s="42">
        <f>IF(D134="","",IF(ISERROR(MATCH(A134&amp;"-"&amp;B134,設定!$Y$8:$Y$31,0)),"設定にない学年・組",IF(COUNTIF($F$2:$F$451,F134)&gt;1,"同じ学年・組・番号がいる",IF(COUNTIF($I$2:$I$451,I134)&gt;1,"同姓同名あり",""))))</f>
        <v/>
      </c>
    </row>
    <row r="135">
      <c r="A135" s="40" t="n">
        <v>4</v>
      </c>
      <c r="B135" s="40" t="inlineStr">
        <is>
          <t>松</t>
        </is>
      </c>
      <c r="C135" s="40" t="n">
        <v>14</v>
      </c>
      <c r="D135" s="41" t="inlineStr">
        <is>
          <t>村上　蓮</t>
        </is>
      </c>
      <c r="F135" s="8">
        <f>IF(D135="","",A135&amp;"-"&amp;B135&amp;"-"&amp;C135)</f>
        <v/>
      </c>
      <c r="G135" s="8">
        <f>IF(D135="","",IFERROR(MATCH(A135&amp;"-"&amp;B135,設定!$Y$8:$Y$31,0),99)*1000+C135+ROW()/1000000)</f>
        <v/>
      </c>
      <c r="H135" s="8">
        <f>IF(D135="","",A135+1)</f>
        <v/>
      </c>
      <c r="I135" s="8">
        <f>IF(D135="","",H135&amp;"|"&amp;SUBSTITUTE(SUBSTITUTE(D135," ",""),"　",""))</f>
        <v/>
      </c>
      <c r="J135" s="42">
        <f>IF(D135="","",IF(ISERROR(MATCH(A135&amp;"-"&amp;B135,設定!$Y$8:$Y$31,0)),"設定にない学年・組",IF(COUNTIF($F$2:$F$451,F135)&gt;1,"同じ学年・組・番号がいる",IF(COUNTIF($I$2:$I$451,I135)&gt;1,"同姓同名あり",""))))</f>
        <v/>
      </c>
    </row>
    <row r="136">
      <c r="A136" s="40" t="n">
        <v>4</v>
      </c>
      <c r="B136" s="40" t="inlineStr">
        <is>
          <t>松</t>
        </is>
      </c>
      <c r="C136" s="40" t="n">
        <v>15</v>
      </c>
      <c r="D136" s="41" t="inlineStr">
        <is>
          <t>坂本　碧</t>
        </is>
      </c>
      <c r="F136" s="8">
        <f>IF(D136="","",A136&amp;"-"&amp;B136&amp;"-"&amp;C136)</f>
        <v/>
      </c>
      <c r="G136" s="8">
        <f>IF(D136="","",IFERROR(MATCH(A136&amp;"-"&amp;B136,設定!$Y$8:$Y$31,0),99)*1000+C136+ROW()/1000000)</f>
        <v/>
      </c>
      <c r="H136" s="8">
        <f>IF(D136="","",A136+1)</f>
        <v/>
      </c>
      <c r="I136" s="8">
        <f>IF(D136="","",H136&amp;"|"&amp;SUBSTITUTE(SUBSTITUTE(D136," ",""),"　",""))</f>
        <v/>
      </c>
      <c r="J136" s="42">
        <f>IF(D136="","",IF(ISERROR(MATCH(A136&amp;"-"&amp;B136,設定!$Y$8:$Y$31,0)),"設定にない学年・組",IF(COUNTIF($F$2:$F$451,F136)&gt;1,"同じ学年・組・番号がいる",IF(COUNTIF($I$2:$I$451,I136)&gt;1,"同姓同名あり",""))))</f>
        <v/>
      </c>
    </row>
    <row r="137">
      <c r="A137" s="40" t="n">
        <v>4</v>
      </c>
      <c r="B137" s="40" t="inlineStr">
        <is>
          <t>松</t>
        </is>
      </c>
      <c r="C137" s="40" t="n">
        <v>16</v>
      </c>
      <c r="D137" s="41" t="inlineStr">
        <is>
          <t>阿部　葵</t>
        </is>
      </c>
      <c r="F137" s="8">
        <f>IF(D137="","",A137&amp;"-"&amp;B137&amp;"-"&amp;C137)</f>
        <v/>
      </c>
      <c r="G137" s="8">
        <f>IF(D137="","",IFERROR(MATCH(A137&amp;"-"&amp;B137,設定!$Y$8:$Y$31,0),99)*1000+C137+ROW()/1000000)</f>
        <v/>
      </c>
      <c r="H137" s="8">
        <f>IF(D137="","",A137+1)</f>
        <v/>
      </c>
      <c r="I137" s="8">
        <f>IF(D137="","",H137&amp;"|"&amp;SUBSTITUTE(SUBSTITUTE(D137," ",""),"　",""))</f>
        <v/>
      </c>
      <c r="J137" s="42">
        <f>IF(D137="","",IF(ISERROR(MATCH(A137&amp;"-"&amp;B137,設定!$Y$8:$Y$31,0)),"設定にない学年・組",IF(COUNTIF($F$2:$F$451,F137)&gt;1,"同じ学年・組・番号がいる",IF(COUNTIF($I$2:$I$451,I137)&gt;1,"同姓同名あり",""))))</f>
        <v/>
      </c>
    </row>
    <row r="138">
      <c r="A138" s="40" t="n">
        <v>4</v>
      </c>
      <c r="B138" s="40" t="inlineStr">
        <is>
          <t>松</t>
        </is>
      </c>
      <c r="C138" s="40" t="n">
        <v>17</v>
      </c>
      <c r="D138" s="41" t="inlineStr">
        <is>
          <t>遠藤　蓮</t>
        </is>
      </c>
      <c r="F138" s="8">
        <f>IF(D138="","",A138&amp;"-"&amp;B138&amp;"-"&amp;C138)</f>
        <v/>
      </c>
      <c r="G138" s="8">
        <f>IF(D138="","",IFERROR(MATCH(A138&amp;"-"&amp;B138,設定!$Y$8:$Y$31,0),99)*1000+C138+ROW()/1000000)</f>
        <v/>
      </c>
      <c r="H138" s="8">
        <f>IF(D138="","",A138+1)</f>
        <v/>
      </c>
      <c r="I138" s="8">
        <f>IF(D138="","",H138&amp;"|"&amp;SUBSTITUTE(SUBSTITUTE(D138," ",""),"　",""))</f>
        <v/>
      </c>
      <c r="J138" s="42">
        <f>IF(D138="","",IF(ISERROR(MATCH(A138&amp;"-"&amp;B138,設定!$Y$8:$Y$31,0)),"設定にない学年・組",IF(COUNTIF($F$2:$F$451,F138)&gt;1,"同じ学年・組・番号がいる",IF(COUNTIF($I$2:$I$451,I138)&gt;1,"同姓同名あり",""))))</f>
        <v/>
      </c>
    </row>
    <row r="139">
      <c r="A139" s="40" t="n">
        <v>4</v>
      </c>
      <c r="B139" s="40" t="inlineStr">
        <is>
          <t>松</t>
        </is>
      </c>
      <c r="C139" s="40" t="n">
        <v>18</v>
      </c>
      <c r="D139" s="41" t="inlineStr">
        <is>
          <t>青木　樹</t>
        </is>
      </c>
      <c r="F139" s="8">
        <f>IF(D139="","",A139&amp;"-"&amp;B139&amp;"-"&amp;C139)</f>
        <v/>
      </c>
      <c r="G139" s="8">
        <f>IF(D139="","",IFERROR(MATCH(A139&amp;"-"&amp;B139,設定!$Y$8:$Y$31,0),99)*1000+C139+ROW()/1000000)</f>
        <v/>
      </c>
      <c r="H139" s="8">
        <f>IF(D139="","",A139+1)</f>
        <v/>
      </c>
      <c r="I139" s="8">
        <f>IF(D139="","",H139&amp;"|"&amp;SUBSTITUTE(SUBSTITUTE(D139," ",""),"　",""))</f>
        <v/>
      </c>
      <c r="J139" s="42">
        <f>IF(D139="","",IF(ISERROR(MATCH(A139&amp;"-"&amp;B139,設定!$Y$8:$Y$31,0)),"設定にない学年・組",IF(COUNTIF($F$2:$F$451,F139)&gt;1,"同じ学年・組・番号がいる",IF(COUNTIF($I$2:$I$451,I139)&gt;1,"同姓同名あり",""))))</f>
        <v/>
      </c>
    </row>
    <row r="140">
      <c r="A140" s="40" t="n">
        <v>4</v>
      </c>
      <c r="B140" s="40" t="inlineStr">
        <is>
          <t>松</t>
        </is>
      </c>
      <c r="C140" s="40" t="n">
        <v>19</v>
      </c>
      <c r="D140" s="41" t="inlineStr">
        <is>
          <t>渡辺　大和</t>
        </is>
      </c>
      <c r="F140" s="8">
        <f>IF(D140="","",A140&amp;"-"&amp;B140&amp;"-"&amp;C140)</f>
        <v/>
      </c>
      <c r="G140" s="8">
        <f>IF(D140="","",IFERROR(MATCH(A140&amp;"-"&amp;B140,設定!$Y$8:$Y$31,0),99)*1000+C140+ROW()/1000000)</f>
        <v/>
      </c>
      <c r="H140" s="8">
        <f>IF(D140="","",A140+1)</f>
        <v/>
      </c>
      <c r="I140" s="8">
        <f>IF(D140="","",H140&amp;"|"&amp;SUBSTITUTE(SUBSTITUTE(D140," ",""),"　",""))</f>
        <v/>
      </c>
      <c r="J140" s="42">
        <f>IF(D140="","",IF(ISERROR(MATCH(A140&amp;"-"&amp;B140,設定!$Y$8:$Y$31,0)),"設定にない学年・組",IF(COUNTIF($F$2:$F$451,F140)&gt;1,"同じ学年・組・番号がいる",IF(COUNTIF($I$2:$I$451,I140)&gt;1,"同姓同名あり",""))))</f>
        <v/>
      </c>
    </row>
    <row r="141">
      <c r="A141" s="40" t="n">
        <v>4</v>
      </c>
      <c r="B141" s="40" t="inlineStr">
        <is>
          <t>松</t>
        </is>
      </c>
      <c r="C141" s="40" t="n">
        <v>20</v>
      </c>
      <c r="D141" s="41" t="inlineStr">
        <is>
          <t>福田　陽太</t>
        </is>
      </c>
      <c r="F141" s="8">
        <f>IF(D141="","",A141&amp;"-"&amp;B141&amp;"-"&amp;C141)</f>
        <v/>
      </c>
      <c r="G141" s="8">
        <f>IF(D141="","",IFERROR(MATCH(A141&amp;"-"&amp;B141,設定!$Y$8:$Y$31,0),99)*1000+C141+ROW()/1000000)</f>
        <v/>
      </c>
      <c r="H141" s="8">
        <f>IF(D141="","",A141+1)</f>
        <v/>
      </c>
      <c r="I141" s="8">
        <f>IF(D141="","",H141&amp;"|"&amp;SUBSTITUTE(SUBSTITUTE(D141," ",""),"　",""))</f>
        <v/>
      </c>
      <c r="J141" s="42">
        <f>IF(D141="","",IF(ISERROR(MATCH(A141&amp;"-"&amp;B141,設定!$Y$8:$Y$31,0)),"設定にない学年・組",IF(COUNTIF($F$2:$F$451,F141)&gt;1,"同じ学年・組・番号がいる",IF(COUNTIF($I$2:$I$451,I141)&gt;1,"同姓同名あり",""))))</f>
        <v/>
      </c>
    </row>
    <row r="142">
      <c r="A142" s="40" t="n">
        <v>4</v>
      </c>
      <c r="B142" s="40" t="inlineStr">
        <is>
          <t>松</t>
        </is>
      </c>
      <c r="C142" s="40" t="n">
        <v>21</v>
      </c>
      <c r="D142" s="41" t="inlineStr">
        <is>
          <t>原田　凛</t>
        </is>
      </c>
      <c r="F142" s="8">
        <f>IF(D142="","",A142&amp;"-"&amp;B142&amp;"-"&amp;C142)</f>
        <v/>
      </c>
      <c r="G142" s="8">
        <f>IF(D142="","",IFERROR(MATCH(A142&amp;"-"&amp;B142,設定!$Y$8:$Y$31,0),99)*1000+C142+ROW()/1000000)</f>
        <v/>
      </c>
      <c r="H142" s="8">
        <f>IF(D142="","",A142+1)</f>
        <v/>
      </c>
      <c r="I142" s="8">
        <f>IF(D142="","",H142&amp;"|"&amp;SUBSTITUTE(SUBSTITUTE(D142," ",""),"　",""))</f>
        <v/>
      </c>
      <c r="J142" s="42">
        <f>IF(D142="","",IF(ISERROR(MATCH(A142&amp;"-"&amp;B142,設定!$Y$8:$Y$31,0)),"設定にない学年・組",IF(COUNTIF($F$2:$F$451,F142)&gt;1,"同じ学年・組・番号がいる",IF(COUNTIF($I$2:$I$451,I142)&gt;1,"同姓同名あり",""))))</f>
        <v/>
      </c>
    </row>
    <row r="143">
      <c r="A143" s="40" t="n">
        <v>4</v>
      </c>
      <c r="B143" s="40" t="inlineStr">
        <is>
          <t>松</t>
        </is>
      </c>
      <c r="C143" s="40" t="n">
        <v>22</v>
      </c>
      <c r="D143" s="41" t="inlineStr">
        <is>
          <t>阿部　晴</t>
        </is>
      </c>
      <c r="F143" s="8">
        <f>IF(D143="","",A143&amp;"-"&amp;B143&amp;"-"&amp;C143)</f>
        <v/>
      </c>
      <c r="G143" s="8">
        <f>IF(D143="","",IFERROR(MATCH(A143&amp;"-"&amp;B143,設定!$Y$8:$Y$31,0),99)*1000+C143+ROW()/1000000)</f>
        <v/>
      </c>
      <c r="H143" s="8">
        <f>IF(D143="","",A143+1)</f>
        <v/>
      </c>
      <c r="I143" s="8">
        <f>IF(D143="","",H143&amp;"|"&amp;SUBSTITUTE(SUBSTITUTE(D143," ",""),"　",""))</f>
        <v/>
      </c>
      <c r="J143" s="42">
        <f>IF(D143="","",IF(ISERROR(MATCH(A143&amp;"-"&amp;B143,設定!$Y$8:$Y$31,0)),"設定にない学年・組",IF(COUNTIF($F$2:$F$451,F143)&gt;1,"同じ学年・組・番号がいる",IF(COUNTIF($I$2:$I$451,I143)&gt;1,"同姓同名あり",""))))</f>
        <v/>
      </c>
    </row>
    <row r="144">
      <c r="A144" s="40" t="n">
        <v>4</v>
      </c>
      <c r="B144" s="40" t="inlineStr">
        <is>
          <t>松</t>
        </is>
      </c>
      <c r="C144" s="40" t="n">
        <v>23</v>
      </c>
      <c r="D144" s="41" t="inlineStr">
        <is>
          <t>岡本　楓</t>
        </is>
      </c>
      <c r="F144" s="8">
        <f>IF(D144="","",A144&amp;"-"&amp;B144&amp;"-"&amp;C144)</f>
        <v/>
      </c>
      <c r="G144" s="8">
        <f>IF(D144="","",IFERROR(MATCH(A144&amp;"-"&amp;B144,設定!$Y$8:$Y$31,0),99)*1000+C144+ROW()/1000000)</f>
        <v/>
      </c>
      <c r="H144" s="8">
        <f>IF(D144="","",A144+1)</f>
        <v/>
      </c>
      <c r="I144" s="8">
        <f>IF(D144="","",H144&amp;"|"&amp;SUBSTITUTE(SUBSTITUTE(D144," ",""),"　",""))</f>
        <v/>
      </c>
      <c r="J144" s="42">
        <f>IF(D144="","",IF(ISERROR(MATCH(A144&amp;"-"&amp;B144,設定!$Y$8:$Y$31,0)),"設定にない学年・組",IF(COUNTIF($F$2:$F$451,F144)&gt;1,"同じ学年・組・番号がいる",IF(COUNTIF($I$2:$I$451,I144)&gt;1,"同姓同名あり",""))))</f>
        <v/>
      </c>
    </row>
    <row r="145">
      <c r="A145" s="40" t="n">
        <v>4</v>
      </c>
      <c r="B145" s="40" t="inlineStr">
        <is>
          <t>松</t>
        </is>
      </c>
      <c r="C145" s="40" t="n">
        <v>24</v>
      </c>
      <c r="D145" s="41" t="inlineStr">
        <is>
          <t>小川　咲良</t>
        </is>
      </c>
      <c r="F145" s="8">
        <f>IF(D145="","",A145&amp;"-"&amp;B145&amp;"-"&amp;C145)</f>
        <v/>
      </c>
      <c r="G145" s="8">
        <f>IF(D145="","",IFERROR(MATCH(A145&amp;"-"&amp;B145,設定!$Y$8:$Y$31,0),99)*1000+C145+ROW()/1000000)</f>
        <v/>
      </c>
      <c r="H145" s="8">
        <f>IF(D145="","",A145+1)</f>
        <v/>
      </c>
      <c r="I145" s="8">
        <f>IF(D145="","",H145&amp;"|"&amp;SUBSTITUTE(SUBSTITUTE(D145," ",""),"　",""))</f>
        <v/>
      </c>
      <c r="J145" s="42">
        <f>IF(D145="","",IF(ISERROR(MATCH(A145&amp;"-"&amp;B145,設定!$Y$8:$Y$31,0)),"設定にない学年・組",IF(COUNTIF($F$2:$F$451,F145)&gt;1,"同じ学年・組・番号がいる",IF(COUNTIF($I$2:$I$451,I145)&gt;1,"同姓同名あり",""))))</f>
        <v/>
      </c>
    </row>
    <row r="146">
      <c r="A146" s="40" t="n">
        <v>4</v>
      </c>
      <c r="B146" s="40" t="inlineStr">
        <is>
          <t>松</t>
        </is>
      </c>
      <c r="C146" s="40" t="n">
        <v>25</v>
      </c>
      <c r="D146" s="41" t="inlineStr">
        <is>
          <t>小川　花音</t>
        </is>
      </c>
      <c r="F146" s="8">
        <f>IF(D146="","",A146&amp;"-"&amp;B146&amp;"-"&amp;C146)</f>
        <v/>
      </c>
      <c r="G146" s="8">
        <f>IF(D146="","",IFERROR(MATCH(A146&amp;"-"&amp;B146,設定!$Y$8:$Y$31,0),99)*1000+C146+ROW()/1000000)</f>
        <v/>
      </c>
      <c r="H146" s="8">
        <f>IF(D146="","",A146+1)</f>
        <v/>
      </c>
      <c r="I146" s="8">
        <f>IF(D146="","",H146&amp;"|"&amp;SUBSTITUTE(SUBSTITUTE(D146," ",""),"　",""))</f>
        <v/>
      </c>
      <c r="J146" s="42">
        <f>IF(D146="","",IF(ISERROR(MATCH(A146&amp;"-"&amp;B146,設定!$Y$8:$Y$31,0)),"設定にない学年・組",IF(COUNTIF($F$2:$F$451,F146)&gt;1,"同じ学年・組・番号がいる",IF(COUNTIF($I$2:$I$451,I146)&gt;1,"同姓同名あり",""))))</f>
        <v/>
      </c>
    </row>
    <row r="147">
      <c r="A147" s="40" t="n">
        <v>4</v>
      </c>
      <c r="B147" s="40" t="inlineStr">
        <is>
          <t>松</t>
        </is>
      </c>
      <c r="C147" s="40" t="n">
        <v>26</v>
      </c>
      <c r="D147" s="41" t="inlineStr">
        <is>
          <t>渡辺　彩花</t>
        </is>
      </c>
      <c r="F147" s="8">
        <f>IF(D147="","",A147&amp;"-"&amp;B147&amp;"-"&amp;C147)</f>
        <v/>
      </c>
      <c r="G147" s="8">
        <f>IF(D147="","",IFERROR(MATCH(A147&amp;"-"&amp;B147,設定!$Y$8:$Y$31,0),99)*1000+C147+ROW()/1000000)</f>
        <v/>
      </c>
      <c r="H147" s="8">
        <f>IF(D147="","",A147+1)</f>
        <v/>
      </c>
      <c r="I147" s="8">
        <f>IF(D147="","",H147&amp;"|"&amp;SUBSTITUTE(SUBSTITUTE(D147," ",""),"　",""))</f>
        <v/>
      </c>
      <c r="J147" s="42">
        <f>IF(D147="","",IF(ISERROR(MATCH(A147&amp;"-"&amp;B147,設定!$Y$8:$Y$31,0)),"設定にない学年・組",IF(COUNTIF($F$2:$F$451,F147)&gt;1,"同じ学年・組・番号がいる",IF(COUNTIF($I$2:$I$451,I147)&gt;1,"同姓同名あり",""))))</f>
        <v/>
      </c>
    </row>
    <row r="148">
      <c r="A148" s="40" t="n">
        <v>4</v>
      </c>
      <c r="B148" s="40" t="inlineStr">
        <is>
          <t>松</t>
        </is>
      </c>
      <c r="C148" s="40" t="n">
        <v>27</v>
      </c>
      <c r="D148" s="41" t="inlineStr">
        <is>
          <t>竹内　莉子</t>
        </is>
      </c>
      <c r="F148" s="8">
        <f>IF(D148="","",A148&amp;"-"&amp;B148&amp;"-"&amp;C148)</f>
        <v/>
      </c>
      <c r="G148" s="8">
        <f>IF(D148="","",IFERROR(MATCH(A148&amp;"-"&amp;B148,設定!$Y$8:$Y$31,0),99)*1000+C148+ROW()/1000000)</f>
        <v/>
      </c>
      <c r="H148" s="8">
        <f>IF(D148="","",A148+1)</f>
        <v/>
      </c>
      <c r="I148" s="8">
        <f>IF(D148="","",H148&amp;"|"&amp;SUBSTITUTE(SUBSTITUTE(D148," ",""),"　",""))</f>
        <v/>
      </c>
      <c r="J148" s="42">
        <f>IF(D148="","",IF(ISERROR(MATCH(A148&amp;"-"&amp;B148,設定!$Y$8:$Y$31,0)),"設定にない学年・組",IF(COUNTIF($F$2:$F$451,F148)&gt;1,"同じ学年・組・番号がいる",IF(COUNTIF($I$2:$I$451,I148)&gt;1,"同姓同名あり",""))))</f>
        <v/>
      </c>
    </row>
    <row r="149">
      <c r="A149" s="40" t="n">
        <v>4</v>
      </c>
      <c r="B149" s="40" t="inlineStr">
        <is>
          <t>松</t>
        </is>
      </c>
      <c r="C149" s="40" t="n">
        <v>28</v>
      </c>
      <c r="D149" s="41" t="inlineStr">
        <is>
          <t>鈴木　航</t>
        </is>
      </c>
      <c r="F149" s="8">
        <f>IF(D149="","",A149&amp;"-"&amp;B149&amp;"-"&amp;C149)</f>
        <v/>
      </c>
      <c r="G149" s="8">
        <f>IF(D149="","",IFERROR(MATCH(A149&amp;"-"&amp;B149,設定!$Y$8:$Y$31,0),99)*1000+C149+ROW()/1000000)</f>
        <v/>
      </c>
      <c r="H149" s="8">
        <f>IF(D149="","",A149+1)</f>
        <v/>
      </c>
      <c r="I149" s="8">
        <f>IF(D149="","",H149&amp;"|"&amp;SUBSTITUTE(SUBSTITUTE(D149," ",""),"　",""))</f>
        <v/>
      </c>
      <c r="J149" s="42">
        <f>IF(D149="","",IF(ISERROR(MATCH(A149&amp;"-"&amp;B149,設定!$Y$8:$Y$31,0)),"設定にない学年・組",IF(COUNTIF($F$2:$F$451,F149)&gt;1,"同じ学年・組・番号がいる",IF(COUNTIF($I$2:$I$451,I149)&gt;1,"同姓同名あり",""))))</f>
        <v/>
      </c>
    </row>
    <row r="150">
      <c r="A150" s="40" t="n">
        <v>4</v>
      </c>
      <c r="B150" s="40" t="inlineStr">
        <is>
          <t>松</t>
        </is>
      </c>
      <c r="C150" s="40" t="n">
        <v>29</v>
      </c>
      <c r="D150" s="41" t="inlineStr">
        <is>
          <t>青木　大和</t>
        </is>
      </c>
      <c r="F150" s="8">
        <f>IF(D150="","",A150&amp;"-"&amp;B150&amp;"-"&amp;C150)</f>
        <v/>
      </c>
      <c r="G150" s="8">
        <f>IF(D150="","",IFERROR(MATCH(A150&amp;"-"&amp;B150,設定!$Y$8:$Y$31,0),99)*1000+C150+ROW()/1000000)</f>
        <v/>
      </c>
      <c r="H150" s="8">
        <f>IF(D150="","",A150+1)</f>
        <v/>
      </c>
      <c r="I150" s="8">
        <f>IF(D150="","",H150&amp;"|"&amp;SUBSTITUTE(SUBSTITUTE(D150," ",""),"　",""))</f>
        <v/>
      </c>
      <c r="J150" s="42">
        <f>IF(D150="","",IF(ISERROR(MATCH(A150&amp;"-"&amp;B150,設定!$Y$8:$Y$31,0)),"設定にない学年・組",IF(COUNTIF($F$2:$F$451,F150)&gt;1,"同じ学年・組・番号がいる",IF(COUNTIF($I$2:$I$451,I150)&gt;1,"同姓同名あり",""))))</f>
        <v/>
      </c>
    </row>
    <row r="151">
      <c r="A151" s="40" t="n">
        <v>4</v>
      </c>
      <c r="B151" s="40" t="inlineStr">
        <is>
          <t>松</t>
        </is>
      </c>
      <c r="C151" s="40" t="n">
        <v>30</v>
      </c>
      <c r="D151" s="41" t="inlineStr">
        <is>
          <t>前田　陽翔</t>
        </is>
      </c>
      <c r="F151" s="8">
        <f>IF(D151="","",A151&amp;"-"&amp;B151&amp;"-"&amp;C151)</f>
        <v/>
      </c>
      <c r="G151" s="8">
        <f>IF(D151="","",IFERROR(MATCH(A151&amp;"-"&amp;B151,設定!$Y$8:$Y$31,0),99)*1000+C151+ROW()/1000000)</f>
        <v/>
      </c>
      <c r="H151" s="8">
        <f>IF(D151="","",A151+1)</f>
        <v/>
      </c>
      <c r="I151" s="8">
        <f>IF(D151="","",H151&amp;"|"&amp;SUBSTITUTE(SUBSTITUTE(D151," ",""),"　",""))</f>
        <v/>
      </c>
      <c r="J151" s="42">
        <f>IF(D151="","",IF(ISERROR(MATCH(A151&amp;"-"&amp;B151,設定!$Y$8:$Y$31,0)),"設定にない学年・組",IF(COUNTIF($F$2:$F$451,F151)&gt;1,"同じ学年・組・番号がいる",IF(COUNTIF($I$2:$I$451,I151)&gt;1,"同姓同名あり",""))))</f>
        <v/>
      </c>
    </row>
    <row r="152">
      <c r="A152" s="40" t="n">
        <v>4</v>
      </c>
      <c r="B152" s="40" t="inlineStr">
        <is>
          <t>竹</t>
        </is>
      </c>
      <c r="C152" s="40" t="n">
        <v>1</v>
      </c>
      <c r="D152" s="41" t="inlineStr">
        <is>
          <t>松本　琴音</t>
        </is>
      </c>
      <c r="F152" s="8">
        <f>IF(D152="","",A152&amp;"-"&amp;B152&amp;"-"&amp;C152)</f>
        <v/>
      </c>
      <c r="G152" s="8">
        <f>IF(D152="","",IFERROR(MATCH(A152&amp;"-"&amp;B152,設定!$Y$8:$Y$31,0),99)*1000+C152+ROW()/1000000)</f>
        <v/>
      </c>
      <c r="H152" s="8">
        <f>IF(D152="","",A152+1)</f>
        <v/>
      </c>
      <c r="I152" s="8">
        <f>IF(D152="","",H152&amp;"|"&amp;SUBSTITUTE(SUBSTITUTE(D152," ",""),"　",""))</f>
        <v/>
      </c>
      <c r="J152" s="42">
        <f>IF(D152="","",IF(ISERROR(MATCH(A152&amp;"-"&amp;B152,設定!$Y$8:$Y$31,0)),"設定にない学年・組",IF(COUNTIF($F$2:$F$451,F152)&gt;1,"同じ学年・組・番号がいる",IF(COUNTIF($I$2:$I$451,I152)&gt;1,"同姓同名あり",""))))</f>
        <v/>
      </c>
    </row>
    <row r="153">
      <c r="A153" s="40" t="n">
        <v>4</v>
      </c>
      <c r="B153" s="40" t="inlineStr">
        <is>
          <t>竹</t>
        </is>
      </c>
      <c r="C153" s="40" t="n">
        <v>2</v>
      </c>
      <c r="D153" s="41" t="inlineStr">
        <is>
          <t>中村　杏</t>
        </is>
      </c>
      <c r="F153" s="8">
        <f>IF(D153="","",A153&amp;"-"&amp;B153&amp;"-"&amp;C153)</f>
        <v/>
      </c>
      <c r="G153" s="8">
        <f>IF(D153="","",IFERROR(MATCH(A153&amp;"-"&amp;B153,設定!$Y$8:$Y$31,0),99)*1000+C153+ROW()/1000000)</f>
        <v/>
      </c>
      <c r="H153" s="8">
        <f>IF(D153="","",A153+1)</f>
        <v/>
      </c>
      <c r="I153" s="8">
        <f>IF(D153="","",H153&amp;"|"&amp;SUBSTITUTE(SUBSTITUTE(D153," ",""),"　",""))</f>
        <v/>
      </c>
      <c r="J153" s="42">
        <f>IF(D153="","",IF(ISERROR(MATCH(A153&amp;"-"&amp;B153,設定!$Y$8:$Y$31,0)),"設定にない学年・組",IF(COUNTIF($F$2:$F$451,F153)&gt;1,"同じ学年・組・番号がいる",IF(COUNTIF($I$2:$I$451,I153)&gt;1,"同姓同名あり",""))))</f>
        <v/>
      </c>
    </row>
    <row r="154">
      <c r="A154" s="40" t="n">
        <v>4</v>
      </c>
      <c r="B154" s="40" t="inlineStr">
        <is>
          <t>竹</t>
        </is>
      </c>
      <c r="C154" s="40" t="n">
        <v>3</v>
      </c>
      <c r="D154" s="41" t="inlineStr">
        <is>
          <t>金子　さくら</t>
        </is>
      </c>
      <c r="F154" s="8">
        <f>IF(D154="","",A154&amp;"-"&amp;B154&amp;"-"&amp;C154)</f>
        <v/>
      </c>
      <c r="G154" s="8">
        <f>IF(D154="","",IFERROR(MATCH(A154&amp;"-"&amp;B154,設定!$Y$8:$Y$31,0),99)*1000+C154+ROW()/1000000)</f>
        <v/>
      </c>
      <c r="H154" s="8">
        <f>IF(D154="","",A154+1)</f>
        <v/>
      </c>
      <c r="I154" s="8">
        <f>IF(D154="","",H154&amp;"|"&amp;SUBSTITUTE(SUBSTITUTE(D154," ",""),"　",""))</f>
        <v/>
      </c>
      <c r="J154" s="42">
        <f>IF(D154="","",IF(ISERROR(MATCH(A154&amp;"-"&amp;B154,設定!$Y$8:$Y$31,0)),"設定にない学年・組",IF(COUNTIF($F$2:$F$451,F154)&gt;1,"同じ学年・組・番号がいる",IF(COUNTIF($I$2:$I$451,I154)&gt;1,"同姓同名あり",""))))</f>
        <v/>
      </c>
    </row>
    <row r="155">
      <c r="A155" s="40" t="n">
        <v>4</v>
      </c>
      <c r="B155" s="40" t="inlineStr">
        <is>
          <t>竹</t>
        </is>
      </c>
      <c r="C155" s="40" t="n">
        <v>4</v>
      </c>
      <c r="D155" s="41" t="inlineStr">
        <is>
          <t>西村　杏</t>
        </is>
      </c>
      <c r="F155" s="8">
        <f>IF(D155="","",A155&amp;"-"&amp;B155&amp;"-"&amp;C155)</f>
        <v/>
      </c>
      <c r="G155" s="8">
        <f>IF(D155="","",IFERROR(MATCH(A155&amp;"-"&amp;B155,設定!$Y$8:$Y$31,0),99)*1000+C155+ROW()/1000000)</f>
        <v/>
      </c>
      <c r="H155" s="8">
        <f>IF(D155="","",A155+1)</f>
        <v/>
      </c>
      <c r="I155" s="8">
        <f>IF(D155="","",H155&amp;"|"&amp;SUBSTITUTE(SUBSTITUTE(D155," ",""),"　",""))</f>
        <v/>
      </c>
      <c r="J155" s="42">
        <f>IF(D155="","",IF(ISERROR(MATCH(A155&amp;"-"&amp;B155,設定!$Y$8:$Y$31,0)),"設定にない学年・組",IF(COUNTIF($F$2:$F$451,F155)&gt;1,"同じ学年・組・番号がいる",IF(COUNTIF($I$2:$I$451,I155)&gt;1,"同姓同名あり",""))))</f>
        <v/>
      </c>
    </row>
    <row r="156">
      <c r="A156" s="40" t="n">
        <v>4</v>
      </c>
      <c r="B156" s="40" t="inlineStr">
        <is>
          <t>竹</t>
        </is>
      </c>
      <c r="C156" s="40" t="n">
        <v>5</v>
      </c>
      <c r="D156" s="41" t="inlineStr">
        <is>
          <t>木村　蓮</t>
        </is>
      </c>
      <c r="F156" s="8">
        <f>IF(D156="","",A156&amp;"-"&amp;B156&amp;"-"&amp;C156)</f>
        <v/>
      </c>
      <c r="G156" s="8">
        <f>IF(D156="","",IFERROR(MATCH(A156&amp;"-"&amp;B156,設定!$Y$8:$Y$31,0),99)*1000+C156+ROW()/1000000)</f>
        <v/>
      </c>
      <c r="H156" s="8">
        <f>IF(D156="","",A156+1)</f>
        <v/>
      </c>
      <c r="I156" s="8">
        <f>IF(D156="","",H156&amp;"|"&amp;SUBSTITUTE(SUBSTITUTE(D156," ",""),"　",""))</f>
        <v/>
      </c>
      <c r="J156" s="42">
        <f>IF(D156="","",IF(ISERROR(MATCH(A156&amp;"-"&amp;B156,設定!$Y$8:$Y$31,0)),"設定にない学年・組",IF(COUNTIF($F$2:$F$451,F156)&gt;1,"同じ学年・組・番号がいる",IF(COUNTIF($I$2:$I$451,I156)&gt;1,"同姓同名あり",""))))</f>
        <v/>
      </c>
    </row>
    <row r="157">
      <c r="A157" s="40" t="n">
        <v>4</v>
      </c>
      <c r="B157" s="40" t="inlineStr">
        <is>
          <t>竹</t>
        </is>
      </c>
      <c r="C157" s="40" t="n">
        <v>6</v>
      </c>
      <c r="D157" s="41" t="inlineStr">
        <is>
          <t>橋本　航</t>
        </is>
      </c>
      <c r="F157" s="8">
        <f>IF(D157="","",A157&amp;"-"&amp;B157&amp;"-"&amp;C157)</f>
        <v/>
      </c>
      <c r="G157" s="8">
        <f>IF(D157="","",IFERROR(MATCH(A157&amp;"-"&amp;B157,設定!$Y$8:$Y$31,0),99)*1000+C157+ROW()/1000000)</f>
        <v/>
      </c>
      <c r="H157" s="8">
        <f>IF(D157="","",A157+1)</f>
        <v/>
      </c>
      <c r="I157" s="8">
        <f>IF(D157="","",H157&amp;"|"&amp;SUBSTITUTE(SUBSTITUTE(D157," ",""),"　",""))</f>
        <v/>
      </c>
      <c r="J157" s="42">
        <f>IF(D157="","",IF(ISERROR(MATCH(A157&amp;"-"&amp;B157,設定!$Y$8:$Y$31,0)),"設定にない学年・組",IF(COUNTIF($F$2:$F$451,F157)&gt;1,"同じ学年・組・番号がいる",IF(COUNTIF($I$2:$I$451,I157)&gt;1,"同姓同名あり",""))))</f>
        <v/>
      </c>
    </row>
    <row r="158">
      <c r="A158" s="40" t="n">
        <v>4</v>
      </c>
      <c r="B158" s="40" t="inlineStr">
        <is>
          <t>竹</t>
        </is>
      </c>
      <c r="C158" s="40" t="n">
        <v>7</v>
      </c>
      <c r="D158" s="41" t="inlineStr">
        <is>
          <t>加藤　一花</t>
        </is>
      </c>
      <c r="F158" s="8">
        <f>IF(D158="","",A158&amp;"-"&amp;B158&amp;"-"&amp;C158)</f>
        <v/>
      </c>
      <c r="G158" s="8">
        <f>IF(D158="","",IFERROR(MATCH(A158&amp;"-"&amp;B158,設定!$Y$8:$Y$31,0),99)*1000+C158+ROW()/1000000)</f>
        <v/>
      </c>
      <c r="H158" s="8">
        <f>IF(D158="","",A158+1)</f>
        <v/>
      </c>
      <c r="I158" s="8">
        <f>IF(D158="","",H158&amp;"|"&amp;SUBSTITUTE(SUBSTITUTE(D158," ",""),"　",""))</f>
        <v/>
      </c>
      <c r="J158" s="42">
        <f>IF(D158="","",IF(ISERROR(MATCH(A158&amp;"-"&amp;B158,設定!$Y$8:$Y$31,0)),"設定にない学年・組",IF(COUNTIF($F$2:$F$451,F158)&gt;1,"同じ学年・組・番号がいる",IF(COUNTIF($I$2:$I$451,I158)&gt;1,"同姓同名あり",""))))</f>
        <v/>
      </c>
    </row>
    <row r="159">
      <c r="A159" s="40" t="n">
        <v>4</v>
      </c>
      <c r="B159" s="40" t="inlineStr">
        <is>
          <t>竹</t>
        </is>
      </c>
      <c r="C159" s="40" t="n">
        <v>8</v>
      </c>
      <c r="D159" s="41" t="inlineStr">
        <is>
          <t>坂本　優斗</t>
        </is>
      </c>
      <c r="F159" s="8">
        <f>IF(D159="","",A159&amp;"-"&amp;B159&amp;"-"&amp;C159)</f>
        <v/>
      </c>
      <c r="G159" s="8">
        <f>IF(D159="","",IFERROR(MATCH(A159&amp;"-"&amp;B159,設定!$Y$8:$Y$31,0),99)*1000+C159+ROW()/1000000)</f>
        <v/>
      </c>
      <c r="H159" s="8">
        <f>IF(D159="","",A159+1)</f>
        <v/>
      </c>
      <c r="I159" s="8">
        <f>IF(D159="","",H159&amp;"|"&amp;SUBSTITUTE(SUBSTITUTE(D159," ",""),"　",""))</f>
        <v/>
      </c>
      <c r="J159" s="42">
        <f>IF(D159="","",IF(ISERROR(MATCH(A159&amp;"-"&amp;B159,設定!$Y$8:$Y$31,0)),"設定にない学年・組",IF(COUNTIF($F$2:$F$451,F159)&gt;1,"同じ学年・組・番号がいる",IF(COUNTIF($I$2:$I$451,I159)&gt;1,"同姓同名あり",""))))</f>
        <v/>
      </c>
    </row>
    <row r="160">
      <c r="A160" s="40" t="n">
        <v>4</v>
      </c>
      <c r="B160" s="40" t="inlineStr">
        <is>
          <t>竹</t>
        </is>
      </c>
      <c r="C160" s="40" t="n">
        <v>9</v>
      </c>
      <c r="D160" s="41" t="inlineStr">
        <is>
          <t>藤田　颯太</t>
        </is>
      </c>
      <c r="F160" s="8">
        <f>IF(D160="","",A160&amp;"-"&amp;B160&amp;"-"&amp;C160)</f>
        <v/>
      </c>
      <c r="G160" s="8">
        <f>IF(D160="","",IFERROR(MATCH(A160&amp;"-"&amp;B160,設定!$Y$8:$Y$31,0),99)*1000+C160+ROW()/1000000)</f>
        <v/>
      </c>
      <c r="H160" s="8">
        <f>IF(D160="","",A160+1)</f>
        <v/>
      </c>
      <c r="I160" s="8">
        <f>IF(D160="","",H160&amp;"|"&amp;SUBSTITUTE(SUBSTITUTE(D160," ",""),"　",""))</f>
        <v/>
      </c>
      <c r="J160" s="42">
        <f>IF(D160="","",IF(ISERROR(MATCH(A160&amp;"-"&amp;B160,設定!$Y$8:$Y$31,0)),"設定にない学年・組",IF(COUNTIF($F$2:$F$451,F160)&gt;1,"同じ学年・組・番号がいる",IF(COUNTIF($I$2:$I$451,I160)&gt;1,"同姓同名あり",""))))</f>
        <v/>
      </c>
    </row>
    <row r="161">
      <c r="A161" s="40" t="n">
        <v>4</v>
      </c>
      <c r="B161" s="40" t="inlineStr">
        <is>
          <t>竹</t>
        </is>
      </c>
      <c r="C161" s="40" t="n">
        <v>10</v>
      </c>
      <c r="D161" s="41" t="inlineStr">
        <is>
          <t>竹内　凛</t>
        </is>
      </c>
      <c r="F161" s="8">
        <f>IF(D161="","",A161&amp;"-"&amp;B161&amp;"-"&amp;C161)</f>
        <v/>
      </c>
      <c r="G161" s="8">
        <f>IF(D161="","",IFERROR(MATCH(A161&amp;"-"&amp;B161,設定!$Y$8:$Y$31,0),99)*1000+C161+ROW()/1000000)</f>
        <v/>
      </c>
      <c r="H161" s="8">
        <f>IF(D161="","",A161+1)</f>
        <v/>
      </c>
      <c r="I161" s="8">
        <f>IF(D161="","",H161&amp;"|"&amp;SUBSTITUTE(SUBSTITUTE(D161," ",""),"　",""))</f>
        <v/>
      </c>
      <c r="J161" s="42">
        <f>IF(D161="","",IF(ISERROR(MATCH(A161&amp;"-"&amp;B161,設定!$Y$8:$Y$31,0)),"設定にない学年・組",IF(COUNTIF($F$2:$F$451,F161)&gt;1,"同じ学年・組・番号がいる",IF(COUNTIF($I$2:$I$451,I161)&gt;1,"同姓同名あり",""))))</f>
        <v/>
      </c>
    </row>
    <row r="162">
      <c r="A162" s="40" t="n">
        <v>4</v>
      </c>
      <c r="B162" s="40" t="inlineStr">
        <is>
          <t>竹</t>
        </is>
      </c>
      <c r="C162" s="40" t="n">
        <v>11</v>
      </c>
      <c r="D162" s="41" t="inlineStr">
        <is>
          <t>西村　咲良</t>
        </is>
      </c>
      <c r="F162" s="8">
        <f>IF(D162="","",A162&amp;"-"&amp;B162&amp;"-"&amp;C162)</f>
        <v/>
      </c>
      <c r="G162" s="8">
        <f>IF(D162="","",IFERROR(MATCH(A162&amp;"-"&amp;B162,設定!$Y$8:$Y$31,0),99)*1000+C162+ROW()/1000000)</f>
        <v/>
      </c>
      <c r="H162" s="8">
        <f>IF(D162="","",A162+1)</f>
        <v/>
      </c>
      <c r="I162" s="8">
        <f>IF(D162="","",H162&amp;"|"&amp;SUBSTITUTE(SUBSTITUTE(D162," ",""),"　",""))</f>
        <v/>
      </c>
      <c r="J162" s="42">
        <f>IF(D162="","",IF(ISERROR(MATCH(A162&amp;"-"&amp;B162,設定!$Y$8:$Y$31,0)),"設定にない学年・組",IF(COUNTIF($F$2:$F$451,F162)&gt;1,"同じ学年・組・番号がいる",IF(COUNTIF($I$2:$I$451,I162)&gt;1,"同姓同名あり",""))))</f>
        <v/>
      </c>
    </row>
    <row r="163">
      <c r="A163" s="40" t="n">
        <v>4</v>
      </c>
      <c r="B163" s="40" t="inlineStr">
        <is>
          <t>竹</t>
        </is>
      </c>
      <c r="C163" s="40" t="n">
        <v>12</v>
      </c>
      <c r="D163" s="41" t="inlineStr">
        <is>
          <t>岡田　陸</t>
        </is>
      </c>
      <c r="F163" s="8">
        <f>IF(D163="","",A163&amp;"-"&amp;B163&amp;"-"&amp;C163)</f>
        <v/>
      </c>
      <c r="G163" s="8">
        <f>IF(D163="","",IFERROR(MATCH(A163&amp;"-"&amp;B163,設定!$Y$8:$Y$31,0),99)*1000+C163+ROW()/1000000)</f>
        <v/>
      </c>
      <c r="H163" s="8">
        <f>IF(D163="","",A163+1)</f>
        <v/>
      </c>
      <c r="I163" s="8">
        <f>IF(D163="","",H163&amp;"|"&amp;SUBSTITUTE(SUBSTITUTE(D163," ",""),"　",""))</f>
        <v/>
      </c>
      <c r="J163" s="42">
        <f>IF(D163="","",IF(ISERROR(MATCH(A163&amp;"-"&amp;B163,設定!$Y$8:$Y$31,0)),"設定にない学年・組",IF(COUNTIF($F$2:$F$451,F163)&gt;1,"同じ学年・組・番号がいる",IF(COUNTIF($I$2:$I$451,I163)&gt;1,"同姓同名あり",""))))</f>
        <v/>
      </c>
    </row>
    <row r="164">
      <c r="A164" s="40" t="n">
        <v>4</v>
      </c>
      <c r="B164" s="40" t="inlineStr">
        <is>
          <t>竹</t>
        </is>
      </c>
      <c r="C164" s="40" t="n">
        <v>13</v>
      </c>
      <c r="D164" s="41" t="inlineStr">
        <is>
          <t>山崎　紬</t>
        </is>
      </c>
      <c r="F164" s="8">
        <f>IF(D164="","",A164&amp;"-"&amp;B164&amp;"-"&amp;C164)</f>
        <v/>
      </c>
      <c r="G164" s="8">
        <f>IF(D164="","",IFERROR(MATCH(A164&amp;"-"&amp;B164,設定!$Y$8:$Y$31,0),99)*1000+C164+ROW()/1000000)</f>
        <v/>
      </c>
      <c r="H164" s="8">
        <f>IF(D164="","",A164+1)</f>
        <v/>
      </c>
      <c r="I164" s="8">
        <f>IF(D164="","",H164&amp;"|"&amp;SUBSTITUTE(SUBSTITUTE(D164," ",""),"　",""))</f>
        <v/>
      </c>
      <c r="J164" s="42">
        <f>IF(D164="","",IF(ISERROR(MATCH(A164&amp;"-"&amp;B164,設定!$Y$8:$Y$31,0)),"設定にない学年・組",IF(COUNTIF($F$2:$F$451,F164)&gt;1,"同じ学年・組・番号がいる",IF(COUNTIF($I$2:$I$451,I164)&gt;1,"同姓同名あり",""))))</f>
        <v/>
      </c>
    </row>
    <row r="165">
      <c r="A165" s="40" t="n">
        <v>4</v>
      </c>
      <c r="B165" s="40" t="inlineStr">
        <is>
          <t>竹</t>
        </is>
      </c>
      <c r="C165" s="40" t="n">
        <v>14</v>
      </c>
      <c r="D165" s="41" t="inlineStr">
        <is>
          <t>西村　海斗</t>
        </is>
      </c>
      <c r="F165" s="8">
        <f>IF(D165="","",A165&amp;"-"&amp;B165&amp;"-"&amp;C165)</f>
        <v/>
      </c>
      <c r="G165" s="8">
        <f>IF(D165="","",IFERROR(MATCH(A165&amp;"-"&amp;B165,設定!$Y$8:$Y$31,0),99)*1000+C165+ROW()/1000000)</f>
        <v/>
      </c>
      <c r="H165" s="8">
        <f>IF(D165="","",A165+1)</f>
        <v/>
      </c>
      <c r="I165" s="8">
        <f>IF(D165="","",H165&amp;"|"&amp;SUBSTITUTE(SUBSTITUTE(D165," ",""),"　",""))</f>
        <v/>
      </c>
      <c r="J165" s="42">
        <f>IF(D165="","",IF(ISERROR(MATCH(A165&amp;"-"&amp;B165,設定!$Y$8:$Y$31,0)),"設定にない学年・組",IF(COUNTIF($F$2:$F$451,F165)&gt;1,"同じ学年・組・番号がいる",IF(COUNTIF($I$2:$I$451,I165)&gt;1,"同姓同名あり",""))))</f>
        <v/>
      </c>
    </row>
    <row r="166">
      <c r="A166" s="40" t="n">
        <v>4</v>
      </c>
      <c r="B166" s="40" t="inlineStr">
        <is>
          <t>竹</t>
        </is>
      </c>
      <c r="C166" s="40" t="n">
        <v>15</v>
      </c>
      <c r="D166" s="41" t="inlineStr">
        <is>
          <t>佐々木　大翔</t>
        </is>
      </c>
      <c r="F166" s="8">
        <f>IF(D166="","",A166&amp;"-"&amp;B166&amp;"-"&amp;C166)</f>
        <v/>
      </c>
      <c r="G166" s="8">
        <f>IF(D166="","",IFERROR(MATCH(A166&amp;"-"&amp;B166,設定!$Y$8:$Y$31,0),99)*1000+C166+ROW()/1000000)</f>
        <v/>
      </c>
      <c r="H166" s="8">
        <f>IF(D166="","",A166+1)</f>
        <v/>
      </c>
      <c r="I166" s="8">
        <f>IF(D166="","",H166&amp;"|"&amp;SUBSTITUTE(SUBSTITUTE(D166," ",""),"　",""))</f>
        <v/>
      </c>
      <c r="J166" s="42">
        <f>IF(D166="","",IF(ISERROR(MATCH(A166&amp;"-"&amp;B166,設定!$Y$8:$Y$31,0)),"設定にない学年・組",IF(COUNTIF($F$2:$F$451,F166)&gt;1,"同じ学年・組・番号がいる",IF(COUNTIF($I$2:$I$451,I166)&gt;1,"同姓同名あり",""))))</f>
        <v/>
      </c>
    </row>
    <row r="167">
      <c r="A167" s="40" t="n">
        <v>4</v>
      </c>
      <c r="B167" s="40" t="inlineStr">
        <is>
          <t>竹</t>
        </is>
      </c>
      <c r="C167" s="40" t="n">
        <v>16</v>
      </c>
      <c r="D167" s="41" t="inlineStr">
        <is>
          <t>中島　優斗</t>
        </is>
      </c>
      <c r="F167" s="8">
        <f>IF(D167="","",A167&amp;"-"&amp;B167&amp;"-"&amp;C167)</f>
        <v/>
      </c>
      <c r="G167" s="8">
        <f>IF(D167="","",IFERROR(MATCH(A167&amp;"-"&amp;B167,設定!$Y$8:$Y$31,0),99)*1000+C167+ROW()/1000000)</f>
        <v/>
      </c>
      <c r="H167" s="8">
        <f>IF(D167="","",A167+1)</f>
        <v/>
      </c>
      <c r="I167" s="8">
        <f>IF(D167="","",H167&amp;"|"&amp;SUBSTITUTE(SUBSTITUTE(D167," ",""),"　",""))</f>
        <v/>
      </c>
      <c r="J167" s="42">
        <f>IF(D167="","",IF(ISERROR(MATCH(A167&amp;"-"&amp;B167,設定!$Y$8:$Y$31,0)),"設定にない学年・組",IF(COUNTIF($F$2:$F$451,F167)&gt;1,"同じ学年・組・番号がいる",IF(COUNTIF($I$2:$I$451,I167)&gt;1,"同姓同名あり",""))))</f>
        <v/>
      </c>
    </row>
    <row r="168">
      <c r="A168" s="40" t="n">
        <v>4</v>
      </c>
      <c r="B168" s="40" t="inlineStr">
        <is>
          <t>竹</t>
        </is>
      </c>
      <c r="C168" s="40" t="n">
        <v>17</v>
      </c>
      <c r="D168" s="41" t="inlineStr">
        <is>
          <t>山口　葵</t>
        </is>
      </c>
      <c r="F168" s="8">
        <f>IF(D168="","",A168&amp;"-"&amp;B168&amp;"-"&amp;C168)</f>
        <v/>
      </c>
      <c r="G168" s="8">
        <f>IF(D168="","",IFERROR(MATCH(A168&amp;"-"&amp;B168,設定!$Y$8:$Y$31,0),99)*1000+C168+ROW()/1000000)</f>
        <v/>
      </c>
      <c r="H168" s="8">
        <f>IF(D168="","",A168+1)</f>
        <v/>
      </c>
      <c r="I168" s="8">
        <f>IF(D168="","",H168&amp;"|"&amp;SUBSTITUTE(SUBSTITUTE(D168," ",""),"　",""))</f>
        <v/>
      </c>
      <c r="J168" s="42">
        <f>IF(D168="","",IF(ISERROR(MATCH(A168&amp;"-"&amp;B168,設定!$Y$8:$Y$31,0)),"設定にない学年・組",IF(COUNTIF($F$2:$F$451,F168)&gt;1,"同じ学年・組・番号がいる",IF(COUNTIF($I$2:$I$451,I168)&gt;1,"同姓同名あり",""))))</f>
        <v/>
      </c>
    </row>
    <row r="169">
      <c r="A169" s="40" t="n">
        <v>4</v>
      </c>
      <c r="B169" s="40" t="inlineStr">
        <is>
          <t>竹</t>
        </is>
      </c>
      <c r="C169" s="40" t="n">
        <v>18</v>
      </c>
      <c r="D169" s="41" t="inlineStr">
        <is>
          <t>松本　楓</t>
        </is>
      </c>
      <c r="F169" s="8">
        <f>IF(D169="","",A169&amp;"-"&amp;B169&amp;"-"&amp;C169)</f>
        <v/>
      </c>
      <c r="G169" s="8">
        <f>IF(D169="","",IFERROR(MATCH(A169&amp;"-"&amp;B169,設定!$Y$8:$Y$31,0),99)*1000+C169+ROW()/1000000)</f>
        <v/>
      </c>
      <c r="H169" s="8">
        <f>IF(D169="","",A169+1)</f>
        <v/>
      </c>
      <c r="I169" s="8">
        <f>IF(D169="","",H169&amp;"|"&amp;SUBSTITUTE(SUBSTITUTE(D169," ",""),"　",""))</f>
        <v/>
      </c>
      <c r="J169" s="42">
        <f>IF(D169="","",IF(ISERROR(MATCH(A169&amp;"-"&amp;B169,設定!$Y$8:$Y$31,0)),"設定にない学年・組",IF(COUNTIF($F$2:$F$451,F169)&gt;1,"同じ学年・組・番号がいる",IF(COUNTIF($I$2:$I$451,I169)&gt;1,"同姓同名あり",""))))</f>
        <v/>
      </c>
    </row>
    <row r="170">
      <c r="A170" s="40" t="n">
        <v>4</v>
      </c>
      <c r="B170" s="40" t="inlineStr">
        <is>
          <t>竹</t>
        </is>
      </c>
      <c r="C170" s="40" t="n">
        <v>19</v>
      </c>
      <c r="D170" s="41" t="inlineStr">
        <is>
          <t>山崎　奏太</t>
        </is>
      </c>
      <c r="F170" s="8">
        <f>IF(D170="","",A170&amp;"-"&amp;B170&amp;"-"&amp;C170)</f>
        <v/>
      </c>
      <c r="G170" s="8">
        <f>IF(D170="","",IFERROR(MATCH(A170&amp;"-"&amp;B170,設定!$Y$8:$Y$31,0),99)*1000+C170+ROW()/1000000)</f>
        <v/>
      </c>
      <c r="H170" s="8">
        <f>IF(D170="","",A170+1)</f>
        <v/>
      </c>
      <c r="I170" s="8">
        <f>IF(D170="","",H170&amp;"|"&amp;SUBSTITUTE(SUBSTITUTE(D170," ",""),"　",""))</f>
        <v/>
      </c>
      <c r="J170" s="42">
        <f>IF(D170="","",IF(ISERROR(MATCH(A170&amp;"-"&amp;B170,設定!$Y$8:$Y$31,0)),"設定にない学年・組",IF(COUNTIF($F$2:$F$451,F170)&gt;1,"同じ学年・組・番号がいる",IF(COUNTIF($I$2:$I$451,I170)&gt;1,"同姓同名あり",""))))</f>
        <v/>
      </c>
    </row>
    <row r="171">
      <c r="A171" s="40" t="n">
        <v>4</v>
      </c>
      <c r="B171" s="40" t="inlineStr">
        <is>
          <t>竹</t>
        </is>
      </c>
      <c r="C171" s="40" t="n">
        <v>20</v>
      </c>
      <c r="D171" s="41" t="inlineStr">
        <is>
          <t>小林　朝陽</t>
        </is>
      </c>
      <c r="F171" s="8">
        <f>IF(D171="","",A171&amp;"-"&amp;B171&amp;"-"&amp;C171)</f>
        <v/>
      </c>
      <c r="G171" s="8">
        <f>IF(D171="","",IFERROR(MATCH(A171&amp;"-"&amp;B171,設定!$Y$8:$Y$31,0),99)*1000+C171+ROW()/1000000)</f>
        <v/>
      </c>
      <c r="H171" s="8">
        <f>IF(D171="","",A171+1)</f>
        <v/>
      </c>
      <c r="I171" s="8">
        <f>IF(D171="","",H171&amp;"|"&amp;SUBSTITUTE(SUBSTITUTE(D171," ",""),"　",""))</f>
        <v/>
      </c>
      <c r="J171" s="42">
        <f>IF(D171="","",IF(ISERROR(MATCH(A171&amp;"-"&amp;B171,設定!$Y$8:$Y$31,0)),"設定にない学年・組",IF(COUNTIF($F$2:$F$451,F171)&gt;1,"同じ学年・組・番号がいる",IF(COUNTIF($I$2:$I$451,I171)&gt;1,"同姓同名あり",""))))</f>
        <v/>
      </c>
    </row>
    <row r="172">
      <c r="A172" s="40" t="n">
        <v>4</v>
      </c>
      <c r="B172" s="40" t="inlineStr">
        <is>
          <t>竹</t>
        </is>
      </c>
      <c r="C172" s="40" t="n">
        <v>21</v>
      </c>
      <c r="D172" s="41" t="inlineStr">
        <is>
          <t>岡田　結菜</t>
        </is>
      </c>
      <c r="F172" s="8">
        <f>IF(D172="","",A172&amp;"-"&amp;B172&amp;"-"&amp;C172)</f>
        <v/>
      </c>
      <c r="G172" s="8">
        <f>IF(D172="","",IFERROR(MATCH(A172&amp;"-"&amp;B172,設定!$Y$8:$Y$31,0),99)*1000+C172+ROW()/1000000)</f>
        <v/>
      </c>
      <c r="H172" s="8">
        <f>IF(D172="","",A172+1)</f>
        <v/>
      </c>
      <c r="I172" s="8">
        <f>IF(D172="","",H172&amp;"|"&amp;SUBSTITUTE(SUBSTITUTE(D172," ",""),"　",""))</f>
        <v/>
      </c>
      <c r="J172" s="42">
        <f>IF(D172="","",IF(ISERROR(MATCH(A172&amp;"-"&amp;B172,設定!$Y$8:$Y$31,0)),"設定にない学年・組",IF(COUNTIF($F$2:$F$451,F172)&gt;1,"同じ学年・組・番号がいる",IF(COUNTIF($I$2:$I$451,I172)&gt;1,"同姓同名あり",""))))</f>
        <v/>
      </c>
    </row>
    <row r="173">
      <c r="A173" s="40" t="n">
        <v>4</v>
      </c>
      <c r="B173" s="40" t="inlineStr">
        <is>
          <t>竹</t>
        </is>
      </c>
      <c r="C173" s="40" t="n">
        <v>22</v>
      </c>
      <c r="D173" s="41" t="inlineStr">
        <is>
          <t>高橋　美咲</t>
        </is>
      </c>
      <c r="F173" s="8">
        <f>IF(D173="","",A173&amp;"-"&amp;B173&amp;"-"&amp;C173)</f>
        <v/>
      </c>
      <c r="G173" s="8">
        <f>IF(D173="","",IFERROR(MATCH(A173&amp;"-"&amp;B173,設定!$Y$8:$Y$31,0),99)*1000+C173+ROW()/1000000)</f>
        <v/>
      </c>
      <c r="H173" s="8">
        <f>IF(D173="","",A173+1)</f>
        <v/>
      </c>
      <c r="I173" s="8">
        <f>IF(D173="","",H173&amp;"|"&amp;SUBSTITUTE(SUBSTITUTE(D173," ",""),"　",""))</f>
        <v/>
      </c>
      <c r="J173" s="42">
        <f>IF(D173="","",IF(ISERROR(MATCH(A173&amp;"-"&amp;B173,設定!$Y$8:$Y$31,0)),"設定にない学年・組",IF(COUNTIF($F$2:$F$451,F173)&gt;1,"同じ学年・組・番号がいる",IF(COUNTIF($I$2:$I$451,I173)&gt;1,"同姓同名あり",""))))</f>
        <v/>
      </c>
    </row>
    <row r="174">
      <c r="A174" s="40" t="n">
        <v>4</v>
      </c>
      <c r="B174" s="40" t="inlineStr">
        <is>
          <t>竹</t>
        </is>
      </c>
      <c r="C174" s="40" t="n">
        <v>23</v>
      </c>
      <c r="D174" s="41" t="inlineStr">
        <is>
          <t>吉田　陽太</t>
        </is>
      </c>
      <c r="F174" s="8">
        <f>IF(D174="","",A174&amp;"-"&amp;B174&amp;"-"&amp;C174)</f>
        <v/>
      </c>
      <c r="G174" s="8">
        <f>IF(D174="","",IFERROR(MATCH(A174&amp;"-"&amp;B174,設定!$Y$8:$Y$31,0),99)*1000+C174+ROW()/1000000)</f>
        <v/>
      </c>
      <c r="H174" s="8">
        <f>IF(D174="","",A174+1)</f>
        <v/>
      </c>
      <c r="I174" s="8">
        <f>IF(D174="","",H174&amp;"|"&amp;SUBSTITUTE(SUBSTITUTE(D174," ",""),"　",""))</f>
        <v/>
      </c>
      <c r="J174" s="42">
        <f>IF(D174="","",IF(ISERROR(MATCH(A174&amp;"-"&amp;B174,設定!$Y$8:$Y$31,0)),"設定にない学年・組",IF(COUNTIF($F$2:$F$451,F174)&gt;1,"同じ学年・組・番号がいる",IF(COUNTIF($I$2:$I$451,I174)&gt;1,"同姓同名あり",""))))</f>
        <v/>
      </c>
    </row>
    <row r="175">
      <c r="A175" s="40" t="n">
        <v>4</v>
      </c>
      <c r="B175" s="40" t="inlineStr">
        <is>
          <t>竹</t>
        </is>
      </c>
      <c r="C175" s="40" t="n">
        <v>24</v>
      </c>
      <c r="D175" s="41" t="inlineStr">
        <is>
          <t>石井　心春</t>
        </is>
      </c>
      <c r="F175" s="8">
        <f>IF(D175="","",A175&amp;"-"&amp;B175&amp;"-"&amp;C175)</f>
        <v/>
      </c>
      <c r="G175" s="8">
        <f>IF(D175="","",IFERROR(MATCH(A175&amp;"-"&amp;B175,設定!$Y$8:$Y$31,0),99)*1000+C175+ROW()/1000000)</f>
        <v/>
      </c>
      <c r="H175" s="8">
        <f>IF(D175="","",A175+1)</f>
        <v/>
      </c>
      <c r="I175" s="8">
        <f>IF(D175="","",H175&amp;"|"&amp;SUBSTITUTE(SUBSTITUTE(D175," ",""),"　",""))</f>
        <v/>
      </c>
      <c r="J175" s="42">
        <f>IF(D175="","",IF(ISERROR(MATCH(A175&amp;"-"&amp;B175,設定!$Y$8:$Y$31,0)),"設定にない学年・組",IF(COUNTIF($F$2:$F$451,F175)&gt;1,"同じ学年・組・番号がいる",IF(COUNTIF($I$2:$I$451,I175)&gt;1,"同姓同名あり",""))))</f>
        <v/>
      </c>
    </row>
    <row r="176">
      <c r="A176" s="40" t="n">
        <v>4</v>
      </c>
      <c r="B176" s="40" t="inlineStr">
        <is>
          <t>竹</t>
        </is>
      </c>
      <c r="C176" s="40" t="n">
        <v>25</v>
      </c>
      <c r="D176" s="41" t="inlineStr">
        <is>
          <t>林　奏太</t>
        </is>
      </c>
      <c r="F176" s="8">
        <f>IF(D176="","",A176&amp;"-"&amp;B176&amp;"-"&amp;C176)</f>
        <v/>
      </c>
      <c r="G176" s="8">
        <f>IF(D176="","",IFERROR(MATCH(A176&amp;"-"&amp;B176,設定!$Y$8:$Y$31,0),99)*1000+C176+ROW()/1000000)</f>
        <v/>
      </c>
      <c r="H176" s="8">
        <f>IF(D176="","",A176+1)</f>
        <v/>
      </c>
      <c r="I176" s="8">
        <f>IF(D176="","",H176&amp;"|"&amp;SUBSTITUTE(SUBSTITUTE(D176," ",""),"　",""))</f>
        <v/>
      </c>
      <c r="J176" s="42">
        <f>IF(D176="","",IF(ISERROR(MATCH(A176&amp;"-"&amp;B176,設定!$Y$8:$Y$31,0)),"設定にない学年・組",IF(COUNTIF($F$2:$F$451,F176)&gt;1,"同じ学年・組・番号がいる",IF(COUNTIF($I$2:$I$451,I176)&gt;1,"同姓同名あり",""))))</f>
        <v/>
      </c>
    </row>
    <row r="177">
      <c r="A177" s="40" t="n">
        <v>4</v>
      </c>
      <c r="B177" s="40" t="inlineStr">
        <is>
          <t>竹</t>
        </is>
      </c>
      <c r="C177" s="40" t="n">
        <v>26</v>
      </c>
      <c r="D177" s="41" t="inlineStr">
        <is>
          <t>山下　葵</t>
        </is>
      </c>
      <c r="F177" s="8">
        <f>IF(D177="","",A177&amp;"-"&amp;B177&amp;"-"&amp;C177)</f>
        <v/>
      </c>
      <c r="G177" s="8">
        <f>IF(D177="","",IFERROR(MATCH(A177&amp;"-"&amp;B177,設定!$Y$8:$Y$31,0),99)*1000+C177+ROW()/1000000)</f>
        <v/>
      </c>
      <c r="H177" s="8">
        <f>IF(D177="","",A177+1)</f>
        <v/>
      </c>
      <c r="I177" s="8">
        <f>IF(D177="","",H177&amp;"|"&amp;SUBSTITUTE(SUBSTITUTE(D177," ",""),"　",""))</f>
        <v/>
      </c>
      <c r="J177" s="42">
        <f>IF(D177="","",IF(ISERROR(MATCH(A177&amp;"-"&amp;B177,設定!$Y$8:$Y$31,0)),"設定にない学年・組",IF(COUNTIF($F$2:$F$451,F177)&gt;1,"同じ学年・組・番号がいる",IF(COUNTIF($I$2:$I$451,I177)&gt;1,"同姓同名あり",""))))</f>
        <v/>
      </c>
    </row>
    <row r="178">
      <c r="A178" s="40" t="n">
        <v>4</v>
      </c>
      <c r="B178" s="40" t="inlineStr">
        <is>
          <t>竹</t>
        </is>
      </c>
      <c r="C178" s="40" t="n">
        <v>27</v>
      </c>
      <c r="D178" s="41" t="inlineStr">
        <is>
          <t>福田　彩花</t>
        </is>
      </c>
      <c r="F178" s="8">
        <f>IF(D178="","",A178&amp;"-"&amp;B178&amp;"-"&amp;C178)</f>
        <v/>
      </c>
      <c r="G178" s="8">
        <f>IF(D178="","",IFERROR(MATCH(A178&amp;"-"&amp;B178,設定!$Y$8:$Y$31,0),99)*1000+C178+ROW()/1000000)</f>
        <v/>
      </c>
      <c r="H178" s="8">
        <f>IF(D178="","",A178+1)</f>
        <v/>
      </c>
      <c r="I178" s="8">
        <f>IF(D178="","",H178&amp;"|"&amp;SUBSTITUTE(SUBSTITUTE(D178," ",""),"　",""))</f>
        <v/>
      </c>
      <c r="J178" s="42">
        <f>IF(D178="","",IF(ISERROR(MATCH(A178&amp;"-"&amp;B178,設定!$Y$8:$Y$31,0)),"設定にない学年・組",IF(COUNTIF($F$2:$F$451,F178)&gt;1,"同じ学年・組・番号がいる",IF(COUNTIF($I$2:$I$451,I178)&gt;1,"同姓同名あり",""))))</f>
        <v/>
      </c>
    </row>
    <row r="179">
      <c r="A179" s="40" t="n">
        <v>4</v>
      </c>
      <c r="B179" s="40" t="inlineStr">
        <is>
          <t>竹</t>
        </is>
      </c>
      <c r="C179" s="40" t="n">
        <v>28</v>
      </c>
      <c r="D179" s="41" t="inlineStr">
        <is>
          <t>岡田　一花</t>
        </is>
      </c>
      <c r="F179" s="8">
        <f>IF(D179="","",A179&amp;"-"&amp;B179&amp;"-"&amp;C179)</f>
        <v/>
      </c>
      <c r="G179" s="8">
        <f>IF(D179="","",IFERROR(MATCH(A179&amp;"-"&amp;B179,設定!$Y$8:$Y$31,0),99)*1000+C179+ROW()/1000000)</f>
        <v/>
      </c>
      <c r="H179" s="8">
        <f>IF(D179="","",A179+1)</f>
        <v/>
      </c>
      <c r="I179" s="8">
        <f>IF(D179="","",H179&amp;"|"&amp;SUBSTITUTE(SUBSTITUTE(D179," ",""),"　",""))</f>
        <v/>
      </c>
      <c r="J179" s="42">
        <f>IF(D179="","",IF(ISERROR(MATCH(A179&amp;"-"&amp;B179,設定!$Y$8:$Y$31,0)),"設定にない学年・組",IF(COUNTIF($F$2:$F$451,F179)&gt;1,"同じ学年・組・番号がいる",IF(COUNTIF($I$2:$I$451,I179)&gt;1,"同姓同名あり",""))))</f>
        <v/>
      </c>
    </row>
    <row r="180">
      <c r="A180" s="40" t="n">
        <v>4</v>
      </c>
      <c r="B180" s="40" t="inlineStr">
        <is>
          <t>竹</t>
        </is>
      </c>
      <c r="C180" s="40" t="n">
        <v>29</v>
      </c>
      <c r="D180" s="41" t="inlineStr">
        <is>
          <t>山崎　美咲</t>
        </is>
      </c>
      <c r="F180" s="8">
        <f>IF(D180="","",A180&amp;"-"&amp;B180&amp;"-"&amp;C180)</f>
        <v/>
      </c>
      <c r="G180" s="8">
        <f>IF(D180="","",IFERROR(MATCH(A180&amp;"-"&amp;B180,設定!$Y$8:$Y$31,0),99)*1000+C180+ROW()/1000000)</f>
        <v/>
      </c>
      <c r="H180" s="8">
        <f>IF(D180="","",A180+1)</f>
        <v/>
      </c>
      <c r="I180" s="8">
        <f>IF(D180="","",H180&amp;"|"&amp;SUBSTITUTE(SUBSTITUTE(D180," ",""),"　",""))</f>
        <v/>
      </c>
      <c r="J180" s="42">
        <f>IF(D180="","",IF(ISERROR(MATCH(A180&amp;"-"&amp;B180,設定!$Y$8:$Y$31,0)),"設定にない学年・組",IF(COUNTIF($F$2:$F$451,F180)&gt;1,"同じ学年・組・番号がいる",IF(COUNTIF($I$2:$I$451,I180)&gt;1,"同姓同名あり",""))))</f>
        <v/>
      </c>
    </row>
    <row r="181">
      <c r="A181" s="40" t="n">
        <v>4</v>
      </c>
      <c r="B181" s="40" t="inlineStr">
        <is>
          <t>竹</t>
        </is>
      </c>
      <c r="C181" s="40" t="n">
        <v>30</v>
      </c>
      <c r="D181" s="41" t="inlineStr">
        <is>
          <t>坂本　咲良</t>
        </is>
      </c>
      <c r="F181" s="8">
        <f>IF(D181="","",A181&amp;"-"&amp;B181&amp;"-"&amp;C181)</f>
        <v/>
      </c>
      <c r="G181" s="8">
        <f>IF(D181="","",IFERROR(MATCH(A181&amp;"-"&amp;B181,設定!$Y$8:$Y$31,0),99)*1000+C181+ROW()/1000000)</f>
        <v/>
      </c>
      <c r="H181" s="8">
        <f>IF(D181="","",A181+1)</f>
        <v/>
      </c>
      <c r="I181" s="8">
        <f>IF(D181="","",H181&amp;"|"&amp;SUBSTITUTE(SUBSTITUTE(D181," ",""),"　",""))</f>
        <v/>
      </c>
      <c r="J181" s="42">
        <f>IF(D181="","",IF(ISERROR(MATCH(A181&amp;"-"&amp;B181,設定!$Y$8:$Y$31,0)),"設定にない学年・組",IF(COUNTIF($F$2:$F$451,F181)&gt;1,"同じ学年・組・番号がいる",IF(COUNTIF($I$2:$I$451,I181)&gt;1,"同姓同名あり",""))))</f>
        <v/>
      </c>
    </row>
    <row r="182">
      <c r="A182" s="40" t="n">
        <v>4</v>
      </c>
      <c r="B182" s="40" t="inlineStr">
        <is>
          <t>梅</t>
        </is>
      </c>
      <c r="C182" s="40" t="n">
        <v>1</v>
      </c>
      <c r="D182" s="41" t="inlineStr">
        <is>
          <t>山崎　樹</t>
        </is>
      </c>
      <c r="F182" s="8">
        <f>IF(D182="","",A182&amp;"-"&amp;B182&amp;"-"&amp;C182)</f>
        <v/>
      </c>
      <c r="G182" s="8">
        <f>IF(D182="","",IFERROR(MATCH(A182&amp;"-"&amp;B182,設定!$Y$8:$Y$31,0),99)*1000+C182+ROW()/1000000)</f>
        <v/>
      </c>
      <c r="H182" s="8">
        <f>IF(D182="","",A182+1)</f>
        <v/>
      </c>
      <c r="I182" s="8">
        <f>IF(D182="","",H182&amp;"|"&amp;SUBSTITUTE(SUBSTITUTE(D182," ",""),"　",""))</f>
        <v/>
      </c>
      <c r="J182" s="42">
        <f>IF(D182="","",IF(ISERROR(MATCH(A182&amp;"-"&amp;B182,設定!$Y$8:$Y$31,0)),"設定にない学年・組",IF(COUNTIF($F$2:$F$451,F182)&gt;1,"同じ学年・組・番号がいる",IF(COUNTIF($I$2:$I$451,I182)&gt;1,"同姓同名あり",""))))</f>
        <v/>
      </c>
    </row>
    <row r="183">
      <c r="A183" s="40" t="n">
        <v>4</v>
      </c>
      <c r="B183" s="40" t="inlineStr">
        <is>
          <t>梅</t>
        </is>
      </c>
      <c r="C183" s="40" t="n">
        <v>2</v>
      </c>
      <c r="D183" s="41" t="inlineStr">
        <is>
          <t>高橋　健太</t>
        </is>
      </c>
      <c r="F183" s="8">
        <f>IF(D183="","",A183&amp;"-"&amp;B183&amp;"-"&amp;C183)</f>
        <v/>
      </c>
      <c r="G183" s="8">
        <f>IF(D183="","",IFERROR(MATCH(A183&amp;"-"&amp;B183,設定!$Y$8:$Y$31,0),99)*1000+C183+ROW()/1000000)</f>
        <v/>
      </c>
      <c r="H183" s="8">
        <f>IF(D183="","",A183+1)</f>
        <v/>
      </c>
      <c r="I183" s="8">
        <f>IF(D183="","",H183&amp;"|"&amp;SUBSTITUTE(SUBSTITUTE(D183," ",""),"　",""))</f>
        <v/>
      </c>
      <c r="J183" s="42">
        <f>IF(D183="","",IF(ISERROR(MATCH(A183&amp;"-"&amp;B183,設定!$Y$8:$Y$31,0)),"設定にない学年・組",IF(COUNTIF($F$2:$F$451,F183)&gt;1,"同じ学年・組・番号がいる",IF(COUNTIF($I$2:$I$451,I183)&gt;1,"同姓同名あり",""))))</f>
        <v/>
      </c>
    </row>
    <row r="184">
      <c r="A184" s="40" t="n">
        <v>4</v>
      </c>
      <c r="B184" s="40" t="inlineStr">
        <is>
          <t>梅</t>
        </is>
      </c>
      <c r="C184" s="40" t="n">
        <v>3</v>
      </c>
      <c r="D184" s="41" t="inlineStr">
        <is>
          <t>青木　湊</t>
        </is>
      </c>
      <c r="F184" s="8">
        <f>IF(D184="","",A184&amp;"-"&amp;B184&amp;"-"&amp;C184)</f>
        <v/>
      </c>
      <c r="G184" s="8">
        <f>IF(D184="","",IFERROR(MATCH(A184&amp;"-"&amp;B184,設定!$Y$8:$Y$31,0),99)*1000+C184+ROW()/1000000)</f>
        <v/>
      </c>
      <c r="H184" s="8">
        <f>IF(D184="","",A184+1)</f>
        <v/>
      </c>
      <c r="I184" s="8">
        <f>IF(D184="","",H184&amp;"|"&amp;SUBSTITUTE(SUBSTITUTE(D184," ",""),"　",""))</f>
        <v/>
      </c>
      <c r="J184" s="42">
        <f>IF(D184="","",IF(ISERROR(MATCH(A184&amp;"-"&amp;B184,設定!$Y$8:$Y$31,0)),"設定にない学年・組",IF(COUNTIF($F$2:$F$451,F184)&gt;1,"同じ学年・組・番号がいる",IF(COUNTIF($I$2:$I$451,I184)&gt;1,"同姓同名あり",""))))</f>
        <v/>
      </c>
    </row>
    <row r="185">
      <c r="A185" s="40" t="n">
        <v>4</v>
      </c>
      <c r="B185" s="40" t="inlineStr">
        <is>
          <t>梅</t>
        </is>
      </c>
      <c r="C185" s="40" t="n">
        <v>4</v>
      </c>
      <c r="D185" s="41" t="inlineStr">
        <is>
          <t>藤井　美咲</t>
        </is>
      </c>
      <c r="F185" s="8">
        <f>IF(D185="","",A185&amp;"-"&amp;B185&amp;"-"&amp;C185)</f>
        <v/>
      </c>
      <c r="G185" s="8">
        <f>IF(D185="","",IFERROR(MATCH(A185&amp;"-"&amp;B185,設定!$Y$8:$Y$31,0),99)*1000+C185+ROW()/1000000)</f>
        <v/>
      </c>
      <c r="H185" s="8">
        <f>IF(D185="","",A185+1)</f>
        <v/>
      </c>
      <c r="I185" s="8">
        <f>IF(D185="","",H185&amp;"|"&amp;SUBSTITUTE(SUBSTITUTE(D185," ",""),"　",""))</f>
        <v/>
      </c>
      <c r="J185" s="42">
        <f>IF(D185="","",IF(ISERROR(MATCH(A185&amp;"-"&amp;B185,設定!$Y$8:$Y$31,0)),"設定にない学年・組",IF(COUNTIF($F$2:$F$451,F185)&gt;1,"同じ学年・組・番号がいる",IF(COUNTIF($I$2:$I$451,I185)&gt;1,"同姓同名あり",""))))</f>
        <v/>
      </c>
    </row>
    <row r="186">
      <c r="A186" s="40" t="n">
        <v>4</v>
      </c>
      <c r="B186" s="40" t="inlineStr">
        <is>
          <t>梅</t>
        </is>
      </c>
      <c r="C186" s="40" t="n">
        <v>5</v>
      </c>
      <c r="D186" s="41" t="inlineStr">
        <is>
          <t>林　千尋</t>
        </is>
      </c>
      <c r="F186" s="8">
        <f>IF(D186="","",A186&amp;"-"&amp;B186&amp;"-"&amp;C186)</f>
        <v/>
      </c>
      <c r="G186" s="8">
        <f>IF(D186="","",IFERROR(MATCH(A186&amp;"-"&amp;B186,設定!$Y$8:$Y$31,0),99)*1000+C186+ROW()/1000000)</f>
        <v/>
      </c>
      <c r="H186" s="8">
        <f>IF(D186="","",A186+1)</f>
        <v/>
      </c>
      <c r="I186" s="8">
        <f>IF(D186="","",H186&amp;"|"&amp;SUBSTITUTE(SUBSTITUTE(D186," ",""),"　",""))</f>
        <v/>
      </c>
      <c r="J186" s="42">
        <f>IF(D186="","",IF(ISERROR(MATCH(A186&amp;"-"&amp;B186,設定!$Y$8:$Y$31,0)),"設定にない学年・組",IF(COUNTIF($F$2:$F$451,F186)&gt;1,"同じ学年・組・番号がいる",IF(COUNTIF($I$2:$I$451,I186)&gt;1,"同姓同名あり",""))))</f>
        <v/>
      </c>
    </row>
    <row r="187">
      <c r="A187" s="40" t="n">
        <v>4</v>
      </c>
      <c r="B187" s="40" t="inlineStr">
        <is>
          <t>梅</t>
        </is>
      </c>
      <c r="C187" s="40" t="n">
        <v>6</v>
      </c>
      <c r="D187" s="41" t="inlineStr">
        <is>
          <t>池田　航</t>
        </is>
      </c>
      <c r="F187" s="8">
        <f>IF(D187="","",A187&amp;"-"&amp;B187&amp;"-"&amp;C187)</f>
        <v/>
      </c>
      <c r="G187" s="8">
        <f>IF(D187="","",IFERROR(MATCH(A187&amp;"-"&amp;B187,設定!$Y$8:$Y$31,0),99)*1000+C187+ROW()/1000000)</f>
        <v/>
      </c>
      <c r="H187" s="8">
        <f>IF(D187="","",A187+1)</f>
        <v/>
      </c>
      <c r="I187" s="8">
        <f>IF(D187="","",H187&amp;"|"&amp;SUBSTITUTE(SUBSTITUTE(D187," ",""),"　",""))</f>
        <v/>
      </c>
      <c r="J187" s="42">
        <f>IF(D187="","",IF(ISERROR(MATCH(A187&amp;"-"&amp;B187,設定!$Y$8:$Y$31,0)),"設定にない学年・組",IF(COUNTIF($F$2:$F$451,F187)&gt;1,"同じ学年・組・番号がいる",IF(COUNTIF($I$2:$I$451,I187)&gt;1,"同姓同名あり",""))))</f>
        <v/>
      </c>
    </row>
    <row r="188">
      <c r="A188" s="40" t="n">
        <v>4</v>
      </c>
      <c r="B188" s="40" t="inlineStr">
        <is>
          <t>梅</t>
        </is>
      </c>
      <c r="C188" s="40" t="n">
        <v>7</v>
      </c>
      <c r="D188" s="41" t="inlineStr">
        <is>
          <t>鈴木　悠人</t>
        </is>
      </c>
      <c r="F188" s="8">
        <f>IF(D188="","",A188&amp;"-"&amp;B188&amp;"-"&amp;C188)</f>
        <v/>
      </c>
      <c r="G188" s="8">
        <f>IF(D188="","",IFERROR(MATCH(A188&amp;"-"&amp;B188,設定!$Y$8:$Y$31,0),99)*1000+C188+ROW()/1000000)</f>
        <v/>
      </c>
      <c r="H188" s="8">
        <f>IF(D188="","",A188+1)</f>
        <v/>
      </c>
      <c r="I188" s="8">
        <f>IF(D188="","",H188&amp;"|"&amp;SUBSTITUTE(SUBSTITUTE(D188," ",""),"　",""))</f>
        <v/>
      </c>
      <c r="J188" s="42">
        <f>IF(D188="","",IF(ISERROR(MATCH(A188&amp;"-"&amp;B188,設定!$Y$8:$Y$31,0)),"設定にない学年・組",IF(COUNTIF($F$2:$F$451,F188)&gt;1,"同じ学年・組・番号がいる",IF(COUNTIF($I$2:$I$451,I188)&gt;1,"同姓同名あり",""))))</f>
        <v/>
      </c>
    </row>
    <row r="189">
      <c r="A189" s="40" t="n">
        <v>4</v>
      </c>
      <c r="B189" s="40" t="inlineStr">
        <is>
          <t>梅</t>
        </is>
      </c>
      <c r="C189" s="40" t="n">
        <v>8</v>
      </c>
      <c r="D189" s="41" t="inlineStr">
        <is>
          <t>小林　紬</t>
        </is>
      </c>
      <c r="F189" s="8">
        <f>IF(D189="","",A189&amp;"-"&amp;B189&amp;"-"&amp;C189)</f>
        <v/>
      </c>
      <c r="G189" s="8">
        <f>IF(D189="","",IFERROR(MATCH(A189&amp;"-"&amp;B189,設定!$Y$8:$Y$31,0),99)*1000+C189+ROW()/1000000)</f>
        <v/>
      </c>
      <c r="H189" s="8">
        <f>IF(D189="","",A189+1)</f>
        <v/>
      </c>
      <c r="I189" s="8">
        <f>IF(D189="","",H189&amp;"|"&amp;SUBSTITUTE(SUBSTITUTE(D189," ",""),"　",""))</f>
        <v/>
      </c>
      <c r="J189" s="42">
        <f>IF(D189="","",IF(ISERROR(MATCH(A189&amp;"-"&amp;B189,設定!$Y$8:$Y$31,0)),"設定にない学年・組",IF(COUNTIF($F$2:$F$451,F189)&gt;1,"同じ学年・組・番号がいる",IF(COUNTIF($I$2:$I$451,I189)&gt;1,"同姓同名あり",""))))</f>
        <v/>
      </c>
    </row>
    <row r="190">
      <c r="A190" s="40" t="n">
        <v>4</v>
      </c>
      <c r="B190" s="40" t="inlineStr">
        <is>
          <t>梅</t>
        </is>
      </c>
      <c r="C190" s="40" t="n">
        <v>9</v>
      </c>
      <c r="D190" s="41" t="inlineStr">
        <is>
          <t>小川　優斗</t>
        </is>
      </c>
      <c r="F190" s="8">
        <f>IF(D190="","",A190&amp;"-"&amp;B190&amp;"-"&amp;C190)</f>
        <v/>
      </c>
      <c r="G190" s="8">
        <f>IF(D190="","",IFERROR(MATCH(A190&amp;"-"&amp;B190,設定!$Y$8:$Y$31,0),99)*1000+C190+ROW()/1000000)</f>
        <v/>
      </c>
      <c r="H190" s="8">
        <f>IF(D190="","",A190+1)</f>
        <v/>
      </c>
      <c r="I190" s="8">
        <f>IF(D190="","",H190&amp;"|"&amp;SUBSTITUTE(SUBSTITUTE(D190," ",""),"　",""))</f>
        <v/>
      </c>
      <c r="J190" s="42">
        <f>IF(D190="","",IF(ISERROR(MATCH(A190&amp;"-"&amp;B190,設定!$Y$8:$Y$31,0)),"設定にない学年・組",IF(COUNTIF($F$2:$F$451,F190)&gt;1,"同じ学年・組・番号がいる",IF(COUNTIF($I$2:$I$451,I190)&gt;1,"同姓同名あり",""))))</f>
        <v/>
      </c>
    </row>
    <row r="191">
      <c r="A191" s="40" t="n">
        <v>4</v>
      </c>
      <c r="B191" s="40" t="inlineStr">
        <is>
          <t>梅</t>
        </is>
      </c>
      <c r="C191" s="40" t="n">
        <v>10</v>
      </c>
      <c r="D191" s="41" t="inlineStr">
        <is>
          <t>鈴木　健太</t>
        </is>
      </c>
      <c r="F191" s="8">
        <f>IF(D191="","",A191&amp;"-"&amp;B191&amp;"-"&amp;C191)</f>
        <v/>
      </c>
      <c r="G191" s="8">
        <f>IF(D191="","",IFERROR(MATCH(A191&amp;"-"&amp;B191,設定!$Y$8:$Y$31,0),99)*1000+C191+ROW()/1000000)</f>
        <v/>
      </c>
      <c r="H191" s="8">
        <f>IF(D191="","",A191+1)</f>
        <v/>
      </c>
      <c r="I191" s="8">
        <f>IF(D191="","",H191&amp;"|"&amp;SUBSTITUTE(SUBSTITUTE(D191," ",""),"　",""))</f>
        <v/>
      </c>
      <c r="J191" s="42">
        <f>IF(D191="","",IF(ISERROR(MATCH(A191&amp;"-"&amp;B191,設定!$Y$8:$Y$31,0)),"設定にない学年・組",IF(COUNTIF($F$2:$F$451,F191)&gt;1,"同じ学年・組・番号がいる",IF(COUNTIF($I$2:$I$451,I191)&gt;1,"同姓同名あり",""))))</f>
        <v/>
      </c>
    </row>
    <row r="192">
      <c r="A192" s="40" t="n">
        <v>4</v>
      </c>
      <c r="B192" s="40" t="inlineStr">
        <is>
          <t>梅</t>
        </is>
      </c>
      <c r="C192" s="40" t="n">
        <v>11</v>
      </c>
      <c r="D192" s="41" t="inlineStr">
        <is>
          <t>井上　律</t>
        </is>
      </c>
      <c r="F192" s="8">
        <f>IF(D192="","",A192&amp;"-"&amp;B192&amp;"-"&amp;C192)</f>
        <v/>
      </c>
      <c r="G192" s="8">
        <f>IF(D192="","",IFERROR(MATCH(A192&amp;"-"&amp;B192,設定!$Y$8:$Y$31,0),99)*1000+C192+ROW()/1000000)</f>
        <v/>
      </c>
      <c r="H192" s="8">
        <f>IF(D192="","",A192+1)</f>
        <v/>
      </c>
      <c r="I192" s="8">
        <f>IF(D192="","",H192&amp;"|"&amp;SUBSTITUTE(SUBSTITUTE(D192," ",""),"　",""))</f>
        <v/>
      </c>
      <c r="J192" s="42">
        <f>IF(D192="","",IF(ISERROR(MATCH(A192&amp;"-"&amp;B192,設定!$Y$8:$Y$31,0)),"設定にない学年・組",IF(COUNTIF($F$2:$F$451,F192)&gt;1,"同じ学年・組・番号がいる",IF(COUNTIF($I$2:$I$451,I192)&gt;1,"同姓同名あり",""))))</f>
        <v/>
      </c>
    </row>
    <row r="193">
      <c r="A193" s="40" t="n">
        <v>4</v>
      </c>
      <c r="B193" s="40" t="inlineStr">
        <is>
          <t>梅</t>
        </is>
      </c>
      <c r="C193" s="40" t="n">
        <v>12</v>
      </c>
      <c r="D193" s="41" t="inlineStr">
        <is>
          <t>田中　大翔</t>
        </is>
      </c>
      <c r="F193" s="8">
        <f>IF(D193="","",A193&amp;"-"&amp;B193&amp;"-"&amp;C193)</f>
        <v/>
      </c>
      <c r="G193" s="8">
        <f>IF(D193="","",IFERROR(MATCH(A193&amp;"-"&amp;B193,設定!$Y$8:$Y$31,0),99)*1000+C193+ROW()/1000000)</f>
        <v/>
      </c>
      <c r="H193" s="8">
        <f>IF(D193="","",A193+1)</f>
        <v/>
      </c>
      <c r="I193" s="8">
        <f>IF(D193="","",H193&amp;"|"&amp;SUBSTITUTE(SUBSTITUTE(D193," ",""),"　",""))</f>
        <v/>
      </c>
      <c r="J193" s="42">
        <f>IF(D193="","",IF(ISERROR(MATCH(A193&amp;"-"&amp;B193,設定!$Y$8:$Y$31,0)),"設定にない学年・組",IF(COUNTIF($F$2:$F$451,F193)&gt;1,"同じ学年・組・番号がいる",IF(COUNTIF($I$2:$I$451,I193)&gt;1,"同姓同名あり",""))))</f>
        <v/>
      </c>
    </row>
    <row r="194">
      <c r="A194" s="40" t="n">
        <v>4</v>
      </c>
      <c r="B194" s="40" t="inlineStr">
        <is>
          <t>梅</t>
        </is>
      </c>
      <c r="C194" s="40" t="n">
        <v>13</v>
      </c>
      <c r="D194" s="41" t="inlineStr">
        <is>
          <t>中村　咲良</t>
        </is>
      </c>
      <c r="F194" s="8">
        <f>IF(D194="","",A194&amp;"-"&amp;B194&amp;"-"&amp;C194)</f>
        <v/>
      </c>
      <c r="G194" s="8">
        <f>IF(D194="","",IFERROR(MATCH(A194&amp;"-"&amp;B194,設定!$Y$8:$Y$31,0),99)*1000+C194+ROW()/1000000)</f>
        <v/>
      </c>
      <c r="H194" s="8">
        <f>IF(D194="","",A194+1)</f>
        <v/>
      </c>
      <c r="I194" s="8">
        <f>IF(D194="","",H194&amp;"|"&amp;SUBSTITUTE(SUBSTITUTE(D194," ",""),"　",""))</f>
        <v/>
      </c>
      <c r="J194" s="42">
        <f>IF(D194="","",IF(ISERROR(MATCH(A194&amp;"-"&amp;B194,設定!$Y$8:$Y$31,0)),"設定にない学年・組",IF(COUNTIF($F$2:$F$451,F194)&gt;1,"同じ学年・組・番号がいる",IF(COUNTIF($I$2:$I$451,I194)&gt;1,"同姓同名あり",""))))</f>
        <v/>
      </c>
    </row>
    <row r="195">
      <c r="A195" s="40" t="n">
        <v>4</v>
      </c>
      <c r="B195" s="40" t="inlineStr">
        <is>
          <t>梅</t>
        </is>
      </c>
      <c r="C195" s="40" t="n">
        <v>14</v>
      </c>
      <c r="D195" s="41" t="inlineStr">
        <is>
          <t>山本　大翔</t>
        </is>
      </c>
      <c r="F195" s="8">
        <f>IF(D195="","",A195&amp;"-"&amp;B195&amp;"-"&amp;C195)</f>
        <v/>
      </c>
      <c r="G195" s="8">
        <f>IF(D195="","",IFERROR(MATCH(A195&amp;"-"&amp;B195,設定!$Y$8:$Y$31,0),99)*1000+C195+ROW()/1000000)</f>
        <v/>
      </c>
      <c r="H195" s="8">
        <f>IF(D195="","",A195+1)</f>
        <v/>
      </c>
      <c r="I195" s="8">
        <f>IF(D195="","",H195&amp;"|"&amp;SUBSTITUTE(SUBSTITUTE(D195," ",""),"　",""))</f>
        <v/>
      </c>
      <c r="J195" s="42">
        <f>IF(D195="","",IF(ISERROR(MATCH(A195&amp;"-"&amp;B195,設定!$Y$8:$Y$31,0)),"設定にない学年・組",IF(COUNTIF($F$2:$F$451,F195)&gt;1,"同じ学年・組・番号がいる",IF(COUNTIF($I$2:$I$451,I195)&gt;1,"同姓同名あり",""))))</f>
        <v/>
      </c>
    </row>
    <row r="196">
      <c r="A196" s="40" t="n">
        <v>4</v>
      </c>
      <c r="B196" s="40" t="inlineStr">
        <is>
          <t>梅</t>
        </is>
      </c>
      <c r="C196" s="40" t="n">
        <v>15</v>
      </c>
      <c r="D196" s="41" t="inlineStr">
        <is>
          <t>後藤　悠人</t>
        </is>
      </c>
      <c r="F196" s="8">
        <f>IF(D196="","",A196&amp;"-"&amp;B196&amp;"-"&amp;C196)</f>
        <v/>
      </c>
      <c r="G196" s="8">
        <f>IF(D196="","",IFERROR(MATCH(A196&amp;"-"&amp;B196,設定!$Y$8:$Y$31,0),99)*1000+C196+ROW()/1000000)</f>
        <v/>
      </c>
      <c r="H196" s="8">
        <f>IF(D196="","",A196+1)</f>
        <v/>
      </c>
      <c r="I196" s="8">
        <f>IF(D196="","",H196&amp;"|"&amp;SUBSTITUTE(SUBSTITUTE(D196," ",""),"　",""))</f>
        <v/>
      </c>
      <c r="J196" s="42">
        <f>IF(D196="","",IF(ISERROR(MATCH(A196&amp;"-"&amp;B196,設定!$Y$8:$Y$31,0)),"設定にない学年・組",IF(COUNTIF($F$2:$F$451,F196)&gt;1,"同じ学年・組・番号がいる",IF(COUNTIF($I$2:$I$451,I196)&gt;1,"同姓同名あり",""))))</f>
        <v/>
      </c>
    </row>
    <row r="197">
      <c r="A197" s="40" t="n">
        <v>4</v>
      </c>
      <c r="B197" s="40" t="inlineStr">
        <is>
          <t>梅</t>
        </is>
      </c>
      <c r="C197" s="40" t="n">
        <v>16</v>
      </c>
      <c r="D197" s="41" t="inlineStr">
        <is>
          <t>福田　芽依</t>
        </is>
      </c>
      <c r="F197" s="8">
        <f>IF(D197="","",A197&amp;"-"&amp;B197&amp;"-"&amp;C197)</f>
        <v/>
      </c>
      <c r="G197" s="8">
        <f>IF(D197="","",IFERROR(MATCH(A197&amp;"-"&amp;B197,設定!$Y$8:$Y$31,0),99)*1000+C197+ROW()/1000000)</f>
        <v/>
      </c>
      <c r="H197" s="8">
        <f>IF(D197="","",A197+1)</f>
        <v/>
      </c>
      <c r="I197" s="8">
        <f>IF(D197="","",H197&amp;"|"&amp;SUBSTITUTE(SUBSTITUTE(D197," ",""),"　",""))</f>
        <v/>
      </c>
      <c r="J197" s="42">
        <f>IF(D197="","",IF(ISERROR(MATCH(A197&amp;"-"&amp;B197,設定!$Y$8:$Y$31,0)),"設定にない学年・組",IF(COUNTIF($F$2:$F$451,F197)&gt;1,"同じ学年・組・番号がいる",IF(COUNTIF($I$2:$I$451,I197)&gt;1,"同姓同名あり",""))))</f>
        <v/>
      </c>
    </row>
    <row r="198">
      <c r="A198" s="40" t="n">
        <v>4</v>
      </c>
      <c r="B198" s="40" t="inlineStr">
        <is>
          <t>梅</t>
        </is>
      </c>
      <c r="C198" s="40" t="n">
        <v>17</v>
      </c>
      <c r="D198" s="41" t="inlineStr">
        <is>
          <t>伊藤　一花</t>
        </is>
      </c>
      <c r="F198" s="8">
        <f>IF(D198="","",A198&amp;"-"&amp;B198&amp;"-"&amp;C198)</f>
        <v/>
      </c>
      <c r="G198" s="8">
        <f>IF(D198="","",IFERROR(MATCH(A198&amp;"-"&amp;B198,設定!$Y$8:$Y$31,0),99)*1000+C198+ROW()/1000000)</f>
        <v/>
      </c>
      <c r="H198" s="8">
        <f>IF(D198="","",A198+1)</f>
        <v/>
      </c>
      <c r="I198" s="8">
        <f>IF(D198="","",H198&amp;"|"&amp;SUBSTITUTE(SUBSTITUTE(D198," ",""),"　",""))</f>
        <v/>
      </c>
      <c r="J198" s="42">
        <f>IF(D198="","",IF(ISERROR(MATCH(A198&amp;"-"&amp;B198,設定!$Y$8:$Y$31,0)),"設定にない学年・組",IF(COUNTIF($F$2:$F$451,F198)&gt;1,"同じ学年・組・番号がいる",IF(COUNTIF($I$2:$I$451,I198)&gt;1,"同姓同名あり",""))))</f>
        <v/>
      </c>
    </row>
    <row r="199">
      <c r="A199" s="40" t="n">
        <v>4</v>
      </c>
      <c r="B199" s="40" t="inlineStr">
        <is>
          <t>梅</t>
        </is>
      </c>
      <c r="C199" s="40" t="n">
        <v>18</v>
      </c>
      <c r="D199" s="41" t="inlineStr">
        <is>
          <t>佐々木　優斗</t>
        </is>
      </c>
      <c r="F199" s="8">
        <f>IF(D199="","",A199&amp;"-"&amp;B199&amp;"-"&amp;C199)</f>
        <v/>
      </c>
      <c r="G199" s="8">
        <f>IF(D199="","",IFERROR(MATCH(A199&amp;"-"&amp;B199,設定!$Y$8:$Y$31,0),99)*1000+C199+ROW()/1000000)</f>
        <v/>
      </c>
      <c r="H199" s="8">
        <f>IF(D199="","",A199+1)</f>
        <v/>
      </c>
      <c r="I199" s="8">
        <f>IF(D199="","",H199&amp;"|"&amp;SUBSTITUTE(SUBSTITUTE(D199," ",""),"　",""))</f>
        <v/>
      </c>
      <c r="J199" s="42">
        <f>IF(D199="","",IF(ISERROR(MATCH(A199&amp;"-"&amp;B199,設定!$Y$8:$Y$31,0)),"設定にない学年・組",IF(COUNTIF($F$2:$F$451,F199)&gt;1,"同じ学年・組・番号がいる",IF(COUNTIF($I$2:$I$451,I199)&gt;1,"同姓同名あり",""))))</f>
        <v/>
      </c>
    </row>
    <row r="200">
      <c r="A200" s="40" t="n">
        <v>4</v>
      </c>
      <c r="B200" s="40" t="inlineStr">
        <is>
          <t>梅</t>
        </is>
      </c>
      <c r="C200" s="40" t="n">
        <v>19</v>
      </c>
      <c r="D200" s="41" t="inlineStr">
        <is>
          <t>前田　海斗</t>
        </is>
      </c>
      <c r="F200" s="8">
        <f>IF(D200="","",A200&amp;"-"&amp;B200&amp;"-"&amp;C200)</f>
        <v/>
      </c>
      <c r="G200" s="8">
        <f>IF(D200="","",IFERROR(MATCH(A200&amp;"-"&amp;B200,設定!$Y$8:$Y$31,0),99)*1000+C200+ROW()/1000000)</f>
        <v/>
      </c>
      <c r="H200" s="8">
        <f>IF(D200="","",A200+1)</f>
        <v/>
      </c>
      <c r="I200" s="8">
        <f>IF(D200="","",H200&amp;"|"&amp;SUBSTITUTE(SUBSTITUTE(D200," ",""),"　",""))</f>
        <v/>
      </c>
      <c r="J200" s="42">
        <f>IF(D200="","",IF(ISERROR(MATCH(A200&amp;"-"&amp;B200,設定!$Y$8:$Y$31,0)),"設定にない学年・組",IF(COUNTIF($F$2:$F$451,F200)&gt;1,"同じ学年・組・番号がいる",IF(COUNTIF($I$2:$I$451,I200)&gt;1,"同姓同名あり",""))))</f>
        <v/>
      </c>
    </row>
    <row r="201">
      <c r="A201" s="40" t="n">
        <v>4</v>
      </c>
      <c r="B201" s="40" t="inlineStr">
        <is>
          <t>梅</t>
        </is>
      </c>
      <c r="C201" s="40" t="n">
        <v>20</v>
      </c>
      <c r="D201" s="41" t="inlineStr">
        <is>
          <t>山田　美咲</t>
        </is>
      </c>
      <c r="F201" s="8">
        <f>IF(D201="","",A201&amp;"-"&amp;B201&amp;"-"&amp;C201)</f>
        <v/>
      </c>
      <c r="G201" s="8">
        <f>IF(D201="","",IFERROR(MATCH(A201&amp;"-"&amp;B201,設定!$Y$8:$Y$31,0),99)*1000+C201+ROW()/1000000)</f>
        <v/>
      </c>
      <c r="H201" s="8">
        <f>IF(D201="","",A201+1)</f>
        <v/>
      </c>
      <c r="I201" s="8">
        <f>IF(D201="","",H201&amp;"|"&amp;SUBSTITUTE(SUBSTITUTE(D201," ",""),"　",""))</f>
        <v/>
      </c>
      <c r="J201" s="42">
        <f>IF(D201="","",IF(ISERROR(MATCH(A201&amp;"-"&amp;B201,設定!$Y$8:$Y$31,0)),"設定にない学年・組",IF(COUNTIF($F$2:$F$451,F201)&gt;1,"同じ学年・組・番号がいる",IF(COUNTIF($I$2:$I$451,I201)&gt;1,"同姓同名あり",""))))</f>
        <v/>
      </c>
    </row>
    <row r="202">
      <c r="A202" s="40" t="n">
        <v>4</v>
      </c>
      <c r="B202" s="40" t="inlineStr">
        <is>
          <t>梅</t>
        </is>
      </c>
      <c r="C202" s="40" t="n">
        <v>21</v>
      </c>
      <c r="D202" s="41" t="inlineStr">
        <is>
          <t>佐藤　心春</t>
        </is>
      </c>
      <c r="F202" s="8">
        <f>IF(D202="","",A202&amp;"-"&amp;B202&amp;"-"&amp;C202)</f>
        <v/>
      </c>
      <c r="G202" s="8">
        <f>IF(D202="","",IFERROR(MATCH(A202&amp;"-"&amp;B202,設定!$Y$8:$Y$31,0),99)*1000+C202+ROW()/1000000)</f>
        <v/>
      </c>
      <c r="H202" s="8">
        <f>IF(D202="","",A202+1)</f>
        <v/>
      </c>
      <c r="I202" s="8">
        <f>IF(D202="","",H202&amp;"|"&amp;SUBSTITUTE(SUBSTITUTE(D202," ",""),"　",""))</f>
        <v/>
      </c>
      <c r="J202" s="42">
        <f>IF(D202="","",IF(ISERROR(MATCH(A202&amp;"-"&amp;B202,設定!$Y$8:$Y$31,0)),"設定にない学年・組",IF(COUNTIF($F$2:$F$451,F202)&gt;1,"同じ学年・組・番号がいる",IF(COUNTIF($I$2:$I$451,I202)&gt;1,"同姓同名あり",""))))</f>
        <v/>
      </c>
    </row>
    <row r="203">
      <c r="A203" s="40" t="n">
        <v>4</v>
      </c>
      <c r="B203" s="40" t="inlineStr">
        <is>
          <t>梅</t>
        </is>
      </c>
      <c r="C203" s="40" t="n">
        <v>22</v>
      </c>
      <c r="D203" s="41" t="inlineStr">
        <is>
          <t>後藤　美咲</t>
        </is>
      </c>
      <c r="F203" s="8">
        <f>IF(D203="","",A203&amp;"-"&amp;B203&amp;"-"&amp;C203)</f>
        <v/>
      </c>
      <c r="G203" s="8">
        <f>IF(D203="","",IFERROR(MATCH(A203&amp;"-"&amp;B203,設定!$Y$8:$Y$31,0),99)*1000+C203+ROW()/1000000)</f>
        <v/>
      </c>
      <c r="H203" s="8">
        <f>IF(D203="","",A203+1)</f>
        <v/>
      </c>
      <c r="I203" s="8">
        <f>IF(D203="","",H203&amp;"|"&amp;SUBSTITUTE(SUBSTITUTE(D203," ",""),"　",""))</f>
        <v/>
      </c>
      <c r="J203" s="42">
        <f>IF(D203="","",IF(ISERROR(MATCH(A203&amp;"-"&amp;B203,設定!$Y$8:$Y$31,0)),"設定にない学年・組",IF(COUNTIF($F$2:$F$451,F203)&gt;1,"同じ学年・組・番号がいる",IF(COUNTIF($I$2:$I$451,I203)&gt;1,"同姓同名あり",""))))</f>
        <v/>
      </c>
    </row>
    <row r="204">
      <c r="A204" s="40" t="n">
        <v>4</v>
      </c>
      <c r="B204" s="40" t="inlineStr">
        <is>
          <t>梅</t>
        </is>
      </c>
      <c r="C204" s="40" t="n">
        <v>23</v>
      </c>
      <c r="D204" s="41" t="inlineStr">
        <is>
          <t>松本　健太</t>
        </is>
      </c>
      <c r="F204" s="8">
        <f>IF(D204="","",A204&amp;"-"&amp;B204&amp;"-"&amp;C204)</f>
        <v/>
      </c>
      <c r="G204" s="8">
        <f>IF(D204="","",IFERROR(MATCH(A204&amp;"-"&amp;B204,設定!$Y$8:$Y$31,0),99)*1000+C204+ROW()/1000000)</f>
        <v/>
      </c>
      <c r="H204" s="8">
        <f>IF(D204="","",A204+1)</f>
        <v/>
      </c>
      <c r="I204" s="8">
        <f>IF(D204="","",H204&amp;"|"&amp;SUBSTITUTE(SUBSTITUTE(D204," ",""),"　",""))</f>
        <v/>
      </c>
      <c r="J204" s="42">
        <f>IF(D204="","",IF(ISERROR(MATCH(A204&amp;"-"&amp;B204,設定!$Y$8:$Y$31,0)),"設定にない学年・組",IF(COUNTIF($F$2:$F$451,F204)&gt;1,"同じ学年・組・番号がいる",IF(COUNTIF($I$2:$I$451,I204)&gt;1,"同姓同名あり",""))))</f>
        <v/>
      </c>
    </row>
    <row r="205">
      <c r="A205" s="40" t="n">
        <v>4</v>
      </c>
      <c r="B205" s="40" t="inlineStr">
        <is>
          <t>梅</t>
        </is>
      </c>
      <c r="C205" s="40" t="n">
        <v>24</v>
      </c>
      <c r="D205" s="41" t="inlineStr">
        <is>
          <t>金子　結菜</t>
        </is>
      </c>
      <c r="F205" s="8">
        <f>IF(D205="","",A205&amp;"-"&amp;B205&amp;"-"&amp;C205)</f>
        <v/>
      </c>
      <c r="G205" s="8">
        <f>IF(D205="","",IFERROR(MATCH(A205&amp;"-"&amp;B205,設定!$Y$8:$Y$31,0),99)*1000+C205+ROW()/1000000)</f>
        <v/>
      </c>
      <c r="H205" s="8">
        <f>IF(D205="","",A205+1)</f>
        <v/>
      </c>
      <c r="I205" s="8">
        <f>IF(D205="","",H205&amp;"|"&amp;SUBSTITUTE(SUBSTITUTE(D205," ",""),"　",""))</f>
        <v/>
      </c>
      <c r="J205" s="42">
        <f>IF(D205="","",IF(ISERROR(MATCH(A205&amp;"-"&amp;B205,設定!$Y$8:$Y$31,0)),"設定にない学年・組",IF(COUNTIF($F$2:$F$451,F205)&gt;1,"同じ学年・組・番号がいる",IF(COUNTIF($I$2:$I$451,I205)&gt;1,"同姓同名あり",""))))</f>
        <v/>
      </c>
    </row>
    <row r="206">
      <c r="A206" s="40" t="n">
        <v>4</v>
      </c>
      <c r="B206" s="40" t="inlineStr">
        <is>
          <t>梅</t>
        </is>
      </c>
      <c r="C206" s="40" t="n">
        <v>25</v>
      </c>
      <c r="D206" s="41" t="inlineStr">
        <is>
          <t>後藤　琴音</t>
        </is>
      </c>
      <c r="F206" s="8">
        <f>IF(D206="","",A206&amp;"-"&amp;B206&amp;"-"&amp;C206)</f>
        <v/>
      </c>
      <c r="G206" s="8">
        <f>IF(D206="","",IFERROR(MATCH(A206&amp;"-"&amp;B206,設定!$Y$8:$Y$31,0),99)*1000+C206+ROW()/1000000)</f>
        <v/>
      </c>
      <c r="H206" s="8">
        <f>IF(D206="","",A206+1)</f>
        <v/>
      </c>
      <c r="I206" s="8">
        <f>IF(D206="","",H206&amp;"|"&amp;SUBSTITUTE(SUBSTITUTE(D206," ",""),"　",""))</f>
        <v/>
      </c>
      <c r="J206" s="42">
        <f>IF(D206="","",IF(ISERROR(MATCH(A206&amp;"-"&amp;B206,設定!$Y$8:$Y$31,0)),"設定にない学年・組",IF(COUNTIF($F$2:$F$451,F206)&gt;1,"同じ学年・組・番号がいる",IF(COUNTIF($I$2:$I$451,I206)&gt;1,"同姓同名あり",""))))</f>
        <v/>
      </c>
    </row>
    <row r="207">
      <c r="A207" s="40" t="n">
        <v>4</v>
      </c>
      <c r="B207" s="40" t="inlineStr">
        <is>
          <t>梅</t>
        </is>
      </c>
      <c r="C207" s="40" t="n">
        <v>26</v>
      </c>
      <c r="D207" s="41" t="inlineStr">
        <is>
          <t>藤田　莉子</t>
        </is>
      </c>
      <c r="F207" s="8">
        <f>IF(D207="","",A207&amp;"-"&amp;B207&amp;"-"&amp;C207)</f>
        <v/>
      </c>
      <c r="G207" s="8">
        <f>IF(D207="","",IFERROR(MATCH(A207&amp;"-"&amp;B207,設定!$Y$8:$Y$31,0),99)*1000+C207+ROW()/1000000)</f>
        <v/>
      </c>
      <c r="H207" s="8">
        <f>IF(D207="","",A207+1)</f>
        <v/>
      </c>
      <c r="I207" s="8">
        <f>IF(D207="","",H207&amp;"|"&amp;SUBSTITUTE(SUBSTITUTE(D207," ",""),"　",""))</f>
        <v/>
      </c>
      <c r="J207" s="42">
        <f>IF(D207="","",IF(ISERROR(MATCH(A207&amp;"-"&amp;B207,設定!$Y$8:$Y$31,0)),"設定にない学年・組",IF(COUNTIF($F$2:$F$451,F207)&gt;1,"同じ学年・組・番号がいる",IF(COUNTIF($I$2:$I$451,I207)&gt;1,"同姓同名あり",""))))</f>
        <v/>
      </c>
    </row>
    <row r="208">
      <c r="A208" s="40" t="n">
        <v>4</v>
      </c>
      <c r="B208" s="40" t="inlineStr">
        <is>
          <t>梅</t>
        </is>
      </c>
      <c r="C208" s="40" t="n">
        <v>27</v>
      </c>
      <c r="D208" s="41" t="inlineStr">
        <is>
          <t>坂本　颯太</t>
        </is>
      </c>
      <c r="F208" s="8">
        <f>IF(D208="","",A208&amp;"-"&amp;B208&amp;"-"&amp;C208)</f>
        <v/>
      </c>
      <c r="G208" s="8">
        <f>IF(D208="","",IFERROR(MATCH(A208&amp;"-"&amp;B208,設定!$Y$8:$Y$31,0),99)*1000+C208+ROW()/1000000)</f>
        <v/>
      </c>
      <c r="H208" s="8">
        <f>IF(D208="","",A208+1)</f>
        <v/>
      </c>
      <c r="I208" s="8">
        <f>IF(D208="","",H208&amp;"|"&amp;SUBSTITUTE(SUBSTITUTE(D208," ",""),"　",""))</f>
        <v/>
      </c>
      <c r="J208" s="42">
        <f>IF(D208="","",IF(ISERROR(MATCH(A208&amp;"-"&amp;B208,設定!$Y$8:$Y$31,0)),"設定にない学年・組",IF(COUNTIF($F$2:$F$451,F208)&gt;1,"同じ学年・組・番号がいる",IF(COUNTIF($I$2:$I$451,I208)&gt;1,"同姓同名あり",""))))</f>
        <v/>
      </c>
    </row>
    <row r="209">
      <c r="A209" s="40" t="n">
        <v>4</v>
      </c>
      <c r="B209" s="40" t="inlineStr">
        <is>
          <t>梅</t>
        </is>
      </c>
      <c r="C209" s="40" t="n">
        <v>28</v>
      </c>
      <c r="D209" s="41" t="inlineStr">
        <is>
          <t>石川　琴音</t>
        </is>
      </c>
      <c r="F209" s="8">
        <f>IF(D209="","",A209&amp;"-"&amp;B209&amp;"-"&amp;C209)</f>
        <v/>
      </c>
      <c r="G209" s="8">
        <f>IF(D209="","",IFERROR(MATCH(A209&amp;"-"&amp;B209,設定!$Y$8:$Y$31,0),99)*1000+C209+ROW()/1000000)</f>
        <v/>
      </c>
      <c r="H209" s="8">
        <f>IF(D209="","",A209+1)</f>
        <v/>
      </c>
      <c r="I209" s="8">
        <f>IF(D209="","",H209&amp;"|"&amp;SUBSTITUTE(SUBSTITUTE(D209," ",""),"　",""))</f>
        <v/>
      </c>
      <c r="J209" s="42">
        <f>IF(D209="","",IF(ISERROR(MATCH(A209&amp;"-"&amp;B209,設定!$Y$8:$Y$31,0)),"設定にない学年・組",IF(COUNTIF($F$2:$F$451,F209)&gt;1,"同じ学年・組・番号がいる",IF(COUNTIF($I$2:$I$451,I209)&gt;1,"同姓同名あり",""))))</f>
        <v/>
      </c>
    </row>
    <row r="210">
      <c r="A210" s="40" t="n">
        <v>4</v>
      </c>
      <c r="B210" s="40" t="inlineStr">
        <is>
          <t>梅</t>
        </is>
      </c>
      <c r="C210" s="40" t="n">
        <v>29</v>
      </c>
      <c r="D210" s="41" t="inlineStr">
        <is>
          <t>松本　大和</t>
        </is>
      </c>
      <c r="F210" s="8">
        <f>IF(D210="","",A210&amp;"-"&amp;B210&amp;"-"&amp;C210)</f>
        <v/>
      </c>
      <c r="G210" s="8">
        <f>IF(D210="","",IFERROR(MATCH(A210&amp;"-"&amp;B210,設定!$Y$8:$Y$31,0),99)*1000+C210+ROW()/1000000)</f>
        <v/>
      </c>
      <c r="H210" s="8">
        <f>IF(D210="","",A210+1)</f>
        <v/>
      </c>
      <c r="I210" s="8">
        <f>IF(D210="","",H210&amp;"|"&amp;SUBSTITUTE(SUBSTITUTE(D210," ",""),"　",""))</f>
        <v/>
      </c>
      <c r="J210" s="42">
        <f>IF(D210="","",IF(ISERROR(MATCH(A210&amp;"-"&amp;B210,設定!$Y$8:$Y$31,0)),"設定にない学年・組",IF(COUNTIF($F$2:$F$451,F210)&gt;1,"同じ学年・組・番号がいる",IF(COUNTIF($I$2:$I$451,I210)&gt;1,"同姓同名あり",""))))</f>
        <v/>
      </c>
    </row>
    <row r="211">
      <c r="A211" s="40" t="n">
        <v>4</v>
      </c>
      <c r="B211" s="40" t="inlineStr">
        <is>
          <t>梅</t>
        </is>
      </c>
      <c r="C211" s="40" t="n">
        <v>30</v>
      </c>
      <c r="D211" s="41" t="inlineStr">
        <is>
          <t>山下　翼</t>
        </is>
      </c>
      <c r="F211" s="8">
        <f>IF(D211="","",A211&amp;"-"&amp;B211&amp;"-"&amp;C211)</f>
        <v/>
      </c>
      <c r="G211" s="8">
        <f>IF(D211="","",IFERROR(MATCH(A211&amp;"-"&amp;B211,設定!$Y$8:$Y$31,0),99)*1000+C211+ROW()/1000000)</f>
        <v/>
      </c>
      <c r="H211" s="8">
        <f>IF(D211="","",A211+1)</f>
        <v/>
      </c>
      <c r="I211" s="8">
        <f>IF(D211="","",H211&amp;"|"&amp;SUBSTITUTE(SUBSTITUTE(D211," ",""),"　",""))</f>
        <v/>
      </c>
      <c r="J211" s="42">
        <f>IF(D211="","",IF(ISERROR(MATCH(A211&amp;"-"&amp;B211,設定!$Y$8:$Y$31,0)),"設定にない学年・組",IF(COUNTIF($F$2:$F$451,F211)&gt;1,"同じ学年・組・番号がいる",IF(COUNTIF($I$2:$I$451,I211)&gt;1,"同姓同名あり",""))))</f>
        <v/>
      </c>
    </row>
    <row r="212">
      <c r="A212" s="40" t="n">
        <v>4</v>
      </c>
      <c r="B212" s="40" t="inlineStr">
        <is>
          <t>月</t>
        </is>
      </c>
      <c r="C212" s="40" t="n">
        <v>1</v>
      </c>
      <c r="D212" s="41" t="inlineStr">
        <is>
          <t>阿部　朝陽</t>
        </is>
      </c>
      <c r="F212" s="8">
        <f>IF(D212="","",A212&amp;"-"&amp;B212&amp;"-"&amp;C212)</f>
        <v/>
      </c>
      <c r="G212" s="8">
        <f>IF(D212="","",IFERROR(MATCH(A212&amp;"-"&amp;B212,設定!$Y$8:$Y$31,0),99)*1000+C212+ROW()/1000000)</f>
        <v/>
      </c>
      <c r="H212" s="8">
        <f>IF(D212="","",A212+1)</f>
        <v/>
      </c>
      <c r="I212" s="8">
        <f>IF(D212="","",H212&amp;"|"&amp;SUBSTITUTE(SUBSTITUTE(D212," ",""),"　",""))</f>
        <v/>
      </c>
      <c r="J212" s="42">
        <f>IF(D212="","",IF(ISERROR(MATCH(A212&amp;"-"&amp;B212,設定!$Y$8:$Y$31,0)),"設定にない学年・組",IF(COUNTIF($F$2:$F$451,F212)&gt;1,"同じ学年・組・番号がいる",IF(COUNTIF($I$2:$I$451,I212)&gt;1,"同姓同名あり",""))))</f>
        <v/>
      </c>
    </row>
    <row r="213">
      <c r="A213" s="40" t="n">
        <v>4</v>
      </c>
      <c r="B213" s="40" t="inlineStr">
        <is>
          <t>月</t>
        </is>
      </c>
      <c r="C213" s="40" t="n">
        <v>2</v>
      </c>
      <c r="D213" s="41" t="inlineStr">
        <is>
          <t>石井　美月</t>
        </is>
      </c>
      <c r="F213" s="8">
        <f>IF(D213="","",A213&amp;"-"&amp;B213&amp;"-"&amp;C213)</f>
        <v/>
      </c>
      <c r="G213" s="8">
        <f>IF(D213="","",IFERROR(MATCH(A213&amp;"-"&amp;B213,設定!$Y$8:$Y$31,0),99)*1000+C213+ROW()/1000000)</f>
        <v/>
      </c>
      <c r="H213" s="8">
        <f>IF(D213="","",A213+1)</f>
        <v/>
      </c>
      <c r="I213" s="8">
        <f>IF(D213="","",H213&amp;"|"&amp;SUBSTITUTE(SUBSTITUTE(D213," ",""),"　",""))</f>
        <v/>
      </c>
      <c r="J213" s="42">
        <f>IF(D213="","",IF(ISERROR(MATCH(A213&amp;"-"&amp;B213,設定!$Y$8:$Y$31,0)),"設定にない学年・組",IF(COUNTIF($F$2:$F$451,F213)&gt;1,"同じ学年・組・番号がいる",IF(COUNTIF($I$2:$I$451,I213)&gt;1,"同姓同名あり",""))))</f>
        <v/>
      </c>
    </row>
    <row r="214">
      <c r="A214" s="40" t="n">
        <v>4</v>
      </c>
      <c r="B214" s="40" t="inlineStr">
        <is>
          <t>月</t>
        </is>
      </c>
      <c r="C214" s="40" t="n">
        <v>3</v>
      </c>
      <c r="D214" s="41" t="inlineStr">
        <is>
          <t>佐藤　葵</t>
        </is>
      </c>
      <c r="F214" s="8">
        <f>IF(D214="","",A214&amp;"-"&amp;B214&amp;"-"&amp;C214)</f>
        <v/>
      </c>
      <c r="G214" s="8">
        <f>IF(D214="","",IFERROR(MATCH(A214&amp;"-"&amp;B214,設定!$Y$8:$Y$31,0),99)*1000+C214+ROW()/1000000)</f>
        <v/>
      </c>
      <c r="H214" s="8">
        <f>IF(D214="","",A214+1)</f>
        <v/>
      </c>
      <c r="I214" s="8">
        <f>IF(D214="","",H214&amp;"|"&amp;SUBSTITUTE(SUBSTITUTE(D214," ",""),"　",""))</f>
        <v/>
      </c>
      <c r="J214" s="42">
        <f>IF(D214="","",IF(ISERROR(MATCH(A214&amp;"-"&amp;B214,設定!$Y$8:$Y$31,0)),"設定にない学年・組",IF(COUNTIF($F$2:$F$451,F214)&gt;1,"同じ学年・組・番号がいる",IF(COUNTIF($I$2:$I$451,I214)&gt;1,"同姓同名あり",""))))</f>
        <v/>
      </c>
    </row>
    <row r="215">
      <c r="A215" s="40" t="n">
        <v>4</v>
      </c>
      <c r="B215" s="40" t="inlineStr">
        <is>
          <t>月</t>
        </is>
      </c>
      <c r="C215" s="40" t="n">
        <v>4</v>
      </c>
      <c r="D215" s="41" t="inlineStr">
        <is>
          <t>近藤　千尋</t>
        </is>
      </c>
      <c r="F215" s="8">
        <f>IF(D215="","",A215&amp;"-"&amp;B215&amp;"-"&amp;C215)</f>
        <v/>
      </c>
      <c r="G215" s="8">
        <f>IF(D215="","",IFERROR(MATCH(A215&amp;"-"&amp;B215,設定!$Y$8:$Y$31,0),99)*1000+C215+ROW()/1000000)</f>
        <v/>
      </c>
      <c r="H215" s="8">
        <f>IF(D215="","",A215+1)</f>
        <v/>
      </c>
      <c r="I215" s="8">
        <f>IF(D215="","",H215&amp;"|"&amp;SUBSTITUTE(SUBSTITUTE(D215," ",""),"　",""))</f>
        <v/>
      </c>
      <c r="J215" s="42">
        <f>IF(D215="","",IF(ISERROR(MATCH(A215&amp;"-"&amp;B215,設定!$Y$8:$Y$31,0)),"設定にない学年・組",IF(COUNTIF($F$2:$F$451,F215)&gt;1,"同じ学年・組・番号がいる",IF(COUNTIF($I$2:$I$451,I215)&gt;1,"同姓同名あり",""))))</f>
        <v/>
      </c>
    </row>
    <row r="216">
      <c r="A216" s="40" t="n">
        <v>4</v>
      </c>
      <c r="B216" s="40" t="inlineStr">
        <is>
          <t>月</t>
        </is>
      </c>
      <c r="C216" s="40" t="n">
        <v>5</v>
      </c>
      <c r="D216" s="41" t="inlineStr">
        <is>
          <t>太田　莉子</t>
        </is>
      </c>
      <c r="F216" s="8">
        <f>IF(D216="","",A216&amp;"-"&amp;B216&amp;"-"&amp;C216)</f>
        <v/>
      </c>
      <c r="G216" s="8">
        <f>IF(D216="","",IFERROR(MATCH(A216&amp;"-"&amp;B216,設定!$Y$8:$Y$31,0),99)*1000+C216+ROW()/1000000)</f>
        <v/>
      </c>
      <c r="H216" s="8">
        <f>IF(D216="","",A216+1)</f>
        <v/>
      </c>
      <c r="I216" s="8">
        <f>IF(D216="","",H216&amp;"|"&amp;SUBSTITUTE(SUBSTITUTE(D216," ",""),"　",""))</f>
        <v/>
      </c>
      <c r="J216" s="42">
        <f>IF(D216="","",IF(ISERROR(MATCH(A216&amp;"-"&amp;B216,設定!$Y$8:$Y$31,0)),"設定にない学年・組",IF(COUNTIF($F$2:$F$451,F216)&gt;1,"同じ学年・組・番号がいる",IF(COUNTIF($I$2:$I$451,I216)&gt;1,"同姓同名あり",""))))</f>
        <v/>
      </c>
    </row>
    <row r="217">
      <c r="A217" s="40" t="n">
        <v>4</v>
      </c>
      <c r="B217" s="40" t="inlineStr">
        <is>
          <t>月</t>
        </is>
      </c>
      <c r="C217" s="40" t="n">
        <v>6</v>
      </c>
      <c r="D217" s="41" t="inlineStr">
        <is>
          <t>森　美月</t>
        </is>
      </c>
      <c r="F217" s="8">
        <f>IF(D217="","",A217&amp;"-"&amp;B217&amp;"-"&amp;C217)</f>
        <v/>
      </c>
      <c r="G217" s="8">
        <f>IF(D217="","",IFERROR(MATCH(A217&amp;"-"&amp;B217,設定!$Y$8:$Y$31,0),99)*1000+C217+ROW()/1000000)</f>
        <v/>
      </c>
      <c r="H217" s="8">
        <f>IF(D217="","",A217+1)</f>
        <v/>
      </c>
      <c r="I217" s="8">
        <f>IF(D217="","",H217&amp;"|"&amp;SUBSTITUTE(SUBSTITUTE(D217," ",""),"　",""))</f>
        <v/>
      </c>
      <c r="J217" s="42">
        <f>IF(D217="","",IF(ISERROR(MATCH(A217&amp;"-"&amp;B217,設定!$Y$8:$Y$31,0)),"設定にない学年・組",IF(COUNTIF($F$2:$F$451,F217)&gt;1,"同じ学年・組・番号がいる",IF(COUNTIF($I$2:$I$451,I217)&gt;1,"同姓同名あり",""))))</f>
        <v/>
      </c>
    </row>
    <row r="218">
      <c r="A218" s="40" t="n">
        <v>4</v>
      </c>
      <c r="B218" s="40" t="inlineStr">
        <is>
          <t>月</t>
        </is>
      </c>
      <c r="C218" s="40" t="n">
        <v>7</v>
      </c>
      <c r="D218" s="41" t="inlineStr">
        <is>
          <t>山崎　悠人</t>
        </is>
      </c>
      <c r="F218" s="8">
        <f>IF(D218="","",A218&amp;"-"&amp;B218&amp;"-"&amp;C218)</f>
        <v/>
      </c>
      <c r="G218" s="8">
        <f>IF(D218="","",IFERROR(MATCH(A218&amp;"-"&amp;B218,設定!$Y$8:$Y$31,0),99)*1000+C218+ROW()/1000000)</f>
        <v/>
      </c>
      <c r="H218" s="8">
        <f>IF(D218="","",A218+1)</f>
        <v/>
      </c>
      <c r="I218" s="8">
        <f>IF(D218="","",H218&amp;"|"&amp;SUBSTITUTE(SUBSTITUTE(D218," ",""),"　",""))</f>
        <v/>
      </c>
      <c r="J218" s="42">
        <f>IF(D218="","",IF(ISERROR(MATCH(A218&amp;"-"&amp;B218,設定!$Y$8:$Y$31,0)),"設定にない学年・組",IF(COUNTIF($F$2:$F$451,F218)&gt;1,"同じ学年・組・番号がいる",IF(COUNTIF($I$2:$I$451,I218)&gt;1,"同姓同名あり",""))))</f>
        <v/>
      </c>
    </row>
    <row r="219">
      <c r="A219" s="40" t="n">
        <v>4</v>
      </c>
      <c r="B219" s="40" t="inlineStr">
        <is>
          <t>月</t>
        </is>
      </c>
      <c r="C219" s="40" t="n">
        <v>8</v>
      </c>
      <c r="D219" s="41" t="inlineStr">
        <is>
          <t>山口　悠真</t>
        </is>
      </c>
      <c r="F219" s="8">
        <f>IF(D219="","",A219&amp;"-"&amp;B219&amp;"-"&amp;C219)</f>
        <v/>
      </c>
      <c r="G219" s="8">
        <f>IF(D219="","",IFERROR(MATCH(A219&amp;"-"&amp;B219,設定!$Y$8:$Y$31,0),99)*1000+C219+ROW()/1000000)</f>
        <v/>
      </c>
      <c r="H219" s="8">
        <f>IF(D219="","",A219+1)</f>
        <v/>
      </c>
      <c r="I219" s="8">
        <f>IF(D219="","",H219&amp;"|"&amp;SUBSTITUTE(SUBSTITUTE(D219," ",""),"　",""))</f>
        <v/>
      </c>
      <c r="J219" s="42">
        <f>IF(D219="","",IF(ISERROR(MATCH(A219&amp;"-"&amp;B219,設定!$Y$8:$Y$31,0)),"設定にない学年・組",IF(COUNTIF($F$2:$F$451,F219)&gt;1,"同じ学年・組・番号がいる",IF(COUNTIF($I$2:$I$451,I219)&gt;1,"同姓同名あり",""))))</f>
        <v/>
      </c>
    </row>
    <row r="220">
      <c r="A220" s="40" t="n">
        <v>4</v>
      </c>
      <c r="B220" s="40" t="inlineStr">
        <is>
          <t>月</t>
        </is>
      </c>
      <c r="C220" s="40" t="n">
        <v>9</v>
      </c>
      <c r="D220" s="41" t="inlineStr">
        <is>
          <t>原田　悠人</t>
        </is>
      </c>
      <c r="F220" s="8">
        <f>IF(D220="","",A220&amp;"-"&amp;B220&amp;"-"&amp;C220)</f>
        <v/>
      </c>
      <c r="G220" s="8">
        <f>IF(D220="","",IFERROR(MATCH(A220&amp;"-"&amp;B220,設定!$Y$8:$Y$31,0),99)*1000+C220+ROW()/1000000)</f>
        <v/>
      </c>
      <c r="H220" s="8">
        <f>IF(D220="","",A220+1)</f>
        <v/>
      </c>
      <c r="I220" s="8">
        <f>IF(D220="","",H220&amp;"|"&amp;SUBSTITUTE(SUBSTITUTE(D220," ",""),"　",""))</f>
        <v/>
      </c>
      <c r="J220" s="42">
        <f>IF(D220="","",IF(ISERROR(MATCH(A220&amp;"-"&amp;B220,設定!$Y$8:$Y$31,0)),"設定にない学年・組",IF(COUNTIF($F$2:$F$451,F220)&gt;1,"同じ学年・組・番号がいる",IF(COUNTIF($I$2:$I$451,I220)&gt;1,"同姓同名あり",""))))</f>
        <v/>
      </c>
    </row>
    <row r="221">
      <c r="A221" s="40" t="n">
        <v>4</v>
      </c>
      <c r="B221" s="40" t="inlineStr">
        <is>
          <t>月</t>
        </is>
      </c>
      <c r="C221" s="40" t="n">
        <v>10</v>
      </c>
      <c r="D221" s="41" t="inlineStr">
        <is>
          <t>中野　陽太</t>
        </is>
      </c>
      <c r="F221" s="8">
        <f>IF(D221="","",A221&amp;"-"&amp;B221&amp;"-"&amp;C221)</f>
        <v/>
      </c>
      <c r="G221" s="8">
        <f>IF(D221="","",IFERROR(MATCH(A221&amp;"-"&amp;B221,設定!$Y$8:$Y$31,0),99)*1000+C221+ROW()/1000000)</f>
        <v/>
      </c>
      <c r="H221" s="8">
        <f>IF(D221="","",A221+1)</f>
        <v/>
      </c>
      <c r="I221" s="8">
        <f>IF(D221="","",H221&amp;"|"&amp;SUBSTITUTE(SUBSTITUTE(D221," ",""),"　",""))</f>
        <v/>
      </c>
      <c r="J221" s="42">
        <f>IF(D221="","",IF(ISERROR(MATCH(A221&amp;"-"&amp;B221,設定!$Y$8:$Y$31,0)),"設定にない学年・組",IF(COUNTIF($F$2:$F$451,F221)&gt;1,"同じ学年・組・番号がいる",IF(COUNTIF($I$2:$I$451,I221)&gt;1,"同姓同名あり",""))))</f>
        <v/>
      </c>
    </row>
    <row r="222">
      <c r="A222" s="40" t="n">
        <v>4</v>
      </c>
      <c r="B222" s="40" t="inlineStr">
        <is>
          <t>月</t>
        </is>
      </c>
      <c r="C222" s="40" t="n">
        <v>11</v>
      </c>
      <c r="D222" s="41" t="inlineStr">
        <is>
          <t>山口　陸</t>
        </is>
      </c>
      <c r="F222" s="8">
        <f>IF(D222="","",A222&amp;"-"&amp;B222&amp;"-"&amp;C222)</f>
        <v/>
      </c>
      <c r="G222" s="8">
        <f>IF(D222="","",IFERROR(MATCH(A222&amp;"-"&amp;B222,設定!$Y$8:$Y$31,0),99)*1000+C222+ROW()/1000000)</f>
        <v/>
      </c>
      <c r="H222" s="8">
        <f>IF(D222="","",A222+1)</f>
        <v/>
      </c>
      <c r="I222" s="8">
        <f>IF(D222="","",H222&amp;"|"&amp;SUBSTITUTE(SUBSTITUTE(D222," ",""),"　",""))</f>
        <v/>
      </c>
      <c r="J222" s="42">
        <f>IF(D222="","",IF(ISERROR(MATCH(A222&amp;"-"&amp;B222,設定!$Y$8:$Y$31,0)),"設定にない学年・組",IF(COUNTIF($F$2:$F$451,F222)&gt;1,"同じ学年・組・番号がいる",IF(COUNTIF($I$2:$I$451,I222)&gt;1,"同姓同名あり",""))))</f>
        <v/>
      </c>
    </row>
    <row r="223">
      <c r="A223" s="40" t="n">
        <v>4</v>
      </c>
      <c r="B223" s="40" t="inlineStr">
        <is>
          <t>月</t>
        </is>
      </c>
      <c r="C223" s="40" t="n">
        <v>12</v>
      </c>
      <c r="D223" s="41" t="inlineStr">
        <is>
          <t>阿部　大和</t>
        </is>
      </c>
      <c r="F223" s="8">
        <f>IF(D223="","",A223&amp;"-"&amp;B223&amp;"-"&amp;C223)</f>
        <v/>
      </c>
      <c r="G223" s="8">
        <f>IF(D223="","",IFERROR(MATCH(A223&amp;"-"&amp;B223,設定!$Y$8:$Y$31,0),99)*1000+C223+ROW()/1000000)</f>
        <v/>
      </c>
      <c r="H223" s="8">
        <f>IF(D223="","",A223+1)</f>
        <v/>
      </c>
      <c r="I223" s="8">
        <f>IF(D223="","",H223&amp;"|"&amp;SUBSTITUTE(SUBSTITUTE(D223," ",""),"　",""))</f>
        <v/>
      </c>
      <c r="J223" s="42">
        <f>IF(D223="","",IF(ISERROR(MATCH(A223&amp;"-"&amp;B223,設定!$Y$8:$Y$31,0)),"設定にない学年・組",IF(COUNTIF($F$2:$F$451,F223)&gt;1,"同じ学年・組・番号がいる",IF(COUNTIF($I$2:$I$451,I223)&gt;1,"同姓同名あり",""))))</f>
        <v/>
      </c>
    </row>
    <row r="224">
      <c r="A224" s="40" t="n">
        <v>4</v>
      </c>
      <c r="B224" s="40" t="inlineStr">
        <is>
          <t>月</t>
        </is>
      </c>
      <c r="C224" s="40" t="n">
        <v>13</v>
      </c>
      <c r="D224" s="41" t="inlineStr">
        <is>
          <t>清水　花音</t>
        </is>
      </c>
      <c r="F224" s="8">
        <f>IF(D224="","",A224&amp;"-"&amp;B224&amp;"-"&amp;C224)</f>
        <v/>
      </c>
      <c r="G224" s="8">
        <f>IF(D224="","",IFERROR(MATCH(A224&amp;"-"&amp;B224,設定!$Y$8:$Y$31,0),99)*1000+C224+ROW()/1000000)</f>
        <v/>
      </c>
      <c r="H224" s="8">
        <f>IF(D224="","",A224+1)</f>
        <v/>
      </c>
      <c r="I224" s="8">
        <f>IF(D224="","",H224&amp;"|"&amp;SUBSTITUTE(SUBSTITUTE(D224," ",""),"　",""))</f>
        <v/>
      </c>
      <c r="J224" s="42">
        <f>IF(D224="","",IF(ISERROR(MATCH(A224&amp;"-"&amp;B224,設定!$Y$8:$Y$31,0)),"設定にない学年・組",IF(COUNTIF($F$2:$F$451,F224)&gt;1,"同じ学年・組・番号がいる",IF(COUNTIF($I$2:$I$451,I224)&gt;1,"同姓同名あり",""))))</f>
        <v/>
      </c>
    </row>
    <row r="225">
      <c r="A225" s="40" t="n">
        <v>4</v>
      </c>
      <c r="B225" s="40" t="inlineStr">
        <is>
          <t>月</t>
        </is>
      </c>
      <c r="C225" s="40" t="n">
        <v>14</v>
      </c>
      <c r="D225" s="41" t="inlineStr">
        <is>
          <t>山崎　海斗</t>
        </is>
      </c>
      <c r="F225" s="8">
        <f>IF(D225="","",A225&amp;"-"&amp;B225&amp;"-"&amp;C225)</f>
        <v/>
      </c>
      <c r="G225" s="8">
        <f>IF(D225="","",IFERROR(MATCH(A225&amp;"-"&amp;B225,設定!$Y$8:$Y$31,0),99)*1000+C225+ROW()/1000000)</f>
        <v/>
      </c>
      <c r="H225" s="8">
        <f>IF(D225="","",A225+1)</f>
        <v/>
      </c>
      <c r="I225" s="8">
        <f>IF(D225="","",H225&amp;"|"&amp;SUBSTITUTE(SUBSTITUTE(D225," ",""),"　",""))</f>
        <v/>
      </c>
      <c r="J225" s="42">
        <f>IF(D225="","",IF(ISERROR(MATCH(A225&amp;"-"&amp;B225,設定!$Y$8:$Y$31,0)),"設定にない学年・組",IF(COUNTIF($F$2:$F$451,F225)&gt;1,"同じ学年・組・番号がいる",IF(COUNTIF($I$2:$I$451,I225)&gt;1,"同姓同名あり",""))))</f>
        <v/>
      </c>
    </row>
    <row r="226">
      <c r="A226" s="40" t="n">
        <v>4</v>
      </c>
      <c r="B226" s="40" t="inlineStr">
        <is>
          <t>月</t>
        </is>
      </c>
      <c r="C226" s="40" t="n">
        <v>15</v>
      </c>
      <c r="D226" s="41" t="inlineStr">
        <is>
          <t>中野　陽翔</t>
        </is>
      </c>
      <c r="F226" s="8">
        <f>IF(D226="","",A226&amp;"-"&amp;B226&amp;"-"&amp;C226)</f>
        <v/>
      </c>
      <c r="G226" s="8">
        <f>IF(D226="","",IFERROR(MATCH(A226&amp;"-"&amp;B226,設定!$Y$8:$Y$31,0),99)*1000+C226+ROW()/1000000)</f>
        <v/>
      </c>
      <c r="H226" s="8">
        <f>IF(D226="","",A226+1)</f>
        <v/>
      </c>
      <c r="I226" s="8">
        <f>IF(D226="","",H226&amp;"|"&amp;SUBSTITUTE(SUBSTITUTE(D226," ",""),"　",""))</f>
        <v/>
      </c>
      <c r="J226" s="42">
        <f>IF(D226="","",IF(ISERROR(MATCH(A226&amp;"-"&amp;B226,設定!$Y$8:$Y$31,0)),"設定にない学年・組",IF(COUNTIF($F$2:$F$451,F226)&gt;1,"同じ学年・組・番号がいる",IF(COUNTIF($I$2:$I$451,I226)&gt;1,"同姓同名あり",""))))</f>
        <v/>
      </c>
    </row>
    <row r="227">
      <c r="A227" s="40" t="n">
        <v>4</v>
      </c>
      <c r="B227" s="40" t="inlineStr">
        <is>
          <t>月</t>
        </is>
      </c>
      <c r="C227" s="40" t="n">
        <v>16</v>
      </c>
      <c r="D227" s="41" t="inlineStr">
        <is>
          <t>池田　莉子</t>
        </is>
      </c>
      <c r="F227" s="8">
        <f>IF(D227="","",A227&amp;"-"&amp;B227&amp;"-"&amp;C227)</f>
        <v/>
      </c>
      <c r="G227" s="8">
        <f>IF(D227="","",IFERROR(MATCH(A227&amp;"-"&amp;B227,設定!$Y$8:$Y$31,0),99)*1000+C227+ROW()/1000000)</f>
        <v/>
      </c>
      <c r="H227" s="8">
        <f>IF(D227="","",A227+1)</f>
        <v/>
      </c>
      <c r="I227" s="8">
        <f>IF(D227="","",H227&amp;"|"&amp;SUBSTITUTE(SUBSTITUTE(D227," ",""),"　",""))</f>
        <v/>
      </c>
      <c r="J227" s="42">
        <f>IF(D227="","",IF(ISERROR(MATCH(A227&amp;"-"&amp;B227,設定!$Y$8:$Y$31,0)),"設定にない学年・組",IF(COUNTIF($F$2:$F$451,F227)&gt;1,"同じ学年・組・番号がいる",IF(COUNTIF($I$2:$I$451,I227)&gt;1,"同姓同名あり",""))))</f>
        <v/>
      </c>
    </row>
    <row r="228">
      <c r="A228" s="40" t="n">
        <v>4</v>
      </c>
      <c r="B228" s="40" t="inlineStr">
        <is>
          <t>月</t>
        </is>
      </c>
      <c r="C228" s="40" t="n">
        <v>17</v>
      </c>
      <c r="D228" s="41" t="inlineStr">
        <is>
          <t>渡辺　湊</t>
        </is>
      </c>
      <c r="F228" s="8">
        <f>IF(D228="","",A228&amp;"-"&amp;B228&amp;"-"&amp;C228)</f>
        <v/>
      </c>
      <c r="G228" s="8">
        <f>IF(D228="","",IFERROR(MATCH(A228&amp;"-"&amp;B228,設定!$Y$8:$Y$31,0),99)*1000+C228+ROW()/1000000)</f>
        <v/>
      </c>
      <c r="H228" s="8">
        <f>IF(D228="","",A228+1)</f>
        <v/>
      </c>
      <c r="I228" s="8">
        <f>IF(D228="","",H228&amp;"|"&amp;SUBSTITUTE(SUBSTITUTE(D228," ",""),"　",""))</f>
        <v/>
      </c>
      <c r="J228" s="42">
        <f>IF(D228="","",IF(ISERROR(MATCH(A228&amp;"-"&amp;B228,設定!$Y$8:$Y$31,0)),"設定にない学年・組",IF(COUNTIF($F$2:$F$451,F228)&gt;1,"同じ学年・組・番号がいる",IF(COUNTIF($I$2:$I$451,I228)&gt;1,"同姓同名あり",""))))</f>
        <v/>
      </c>
    </row>
    <row r="229">
      <c r="A229" s="40" t="n">
        <v>4</v>
      </c>
      <c r="B229" s="40" t="inlineStr">
        <is>
          <t>月</t>
        </is>
      </c>
      <c r="C229" s="40" t="n">
        <v>18</v>
      </c>
      <c r="D229" s="41" t="inlineStr">
        <is>
          <t>近藤　澪</t>
        </is>
      </c>
      <c r="F229" s="8">
        <f>IF(D229="","",A229&amp;"-"&amp;B229&amp;"-"&amp;C229)</f>
        <v/>
      </c>
      <c r="G229" s="8">
        <f>IF(D229="","",IFERROR(MATCH(A229&amp;"-"&amp;B229,設定!$Y$8:$Y$31,0),99)*1000+C229+ROW()/1000000)</f>
        <v/>
      </c>
      <c r="H229" s="8">
        <f>IF(D229="","",A229+1)</f>
        <v/>
      </c>
      <c r="I229" s="8">
        <f>IF(D229="","",H229&amp;"|"&amp;SUBSTITUTE(SUBSTITUTE(D229," ",""),"　",""))</f>
        <v/>
      </c>
      <c r="J229" s="42">
        <f>IF(D229="","",IF(ISERROR(MATCH(A229&amp;"-"&amp;B229,設定!$Y$8:$Y$31,0)),"設定にない学年・組",IF(COUNTIF($F$2:$F$451,F229)&gt;1,"同じ学年・組・番号がいる",IF(COUNTIF($I$2:$I$451,I229)&gt;1,"同姓同名あり",""))))</f>
        <v/>
      </c>
    </row>
    <row r="230">
      <c r="A230" s="40" t="n">
        <v>4</v>
      </c>
      <c r="B230" s="40" t="inlineStr">
        <is>
          <t>月</t>
        </is>
      </c>
      <c r="C230" s="40" t="n">
        <v>19</v>
      </c>
      <c r="D230" s="41" t="inlineStr">
        <is>
          <t>金子　健太</t>
        </is>
      </c>
      <c r="F230" s="8">
        <f>IF(D230="","",A230&amp;"-"&amp;B230&amp;"-"&amp;C230)</f>
        <v/>
      </c>
      <c r="G230" s="8">
        <f>IF(D230="","",IFERROR(MATCH(A230&amp;"-"&amp;B230,設定!$Y$8:$Y$31,0),99)*1000+C230+ROW()/1000000)</f>
        <v/>
      </c>
      <c r="H230" s="8">
        <f>IF(D230="","",A230+1)</f>
        <v/>
      </c>
      <c r="I230" s="8">
        <f>IF(D230="","",H230&amp;"|"&amp;SUBSTITUTE(SUBSTITUTE(D230," ",""),"　",""))</f>
        <v/>
      </c>
      <c r="J230" s="42">
        <f>IF(D230="","",IF(ISERROR(MATCH(A230&amp;"-"&amp;B230,設定!$Y$8:$Y$31,0)),"設定にない学年・組",IF(COUNTIF($F$2:$F$451,F230)&gt;1,"同じ学年・組・番号がいる",IF(COUNTIF($I$2:$I$451,I230)&gt;1,"同姓同名あり",""))))</f>
        <v/>
      </c>
    </row>
    <row r="231">
      <c r="A231" s="40" t="n">
        <v>4</v>
      </c>
      <c r="B231" s="40" t="inlineStr">
        <is>
          <t>月</t>
        </is>
      </c>
      <c r="C231" s="40" t="n">
        <v>20</v>
      </c>
      <c r="D231" s="41" t="inlineStr">
        <is>
          <t>岡田　陽翔</t>
        </is>
      </c>
      <c r="F231" s="8">
        <f>IF(D231="","",A231&amp;"-"&amp;B231&amp;"-"&amp;C231)</f>
        <v/>
      </c>
      <c r="G231" s="8">
        <f>IF(D231="","",IFERROR(MATCH(A231&amp;"-"&amp;B231,設定!$Y$8:$Y$31,0),99)*1000+C231+ROW()/1000000)</f>
        <v/>
      </c>
      <c r="H231" s="8">
        <f>IF(D231="","",A231+1)</f>
        <v/>
      </c>
      <c r="I231" s="8">
        <f>IF(D231="","",H231&amp;"|"&amp;SUBSTITUTE(SUBSTITUTE(D231," ",""),"　",""))</f>
        <v/>
      </c>
      <c r="J231" s="42">
        <f>IF(D231="","",IF(ISERROR(MATCH(A231&amp;"-"&amp;B231,設定!$Y$8:$Y$31,0)),"設定にない学年・組",IF(COUNTIF($F$2:$F$451,F231)&gt;1,"同じ学年・組・番号がいる",IF(COUNTIF($I$2:$I$451,I231)&gt;1,"同姓同名あり",""))))</f>
        <v/>
      </c>
    </row>
    <row r="232">
      <c r="A232" s="40" t="n">
        <v>4</v>
      </c>
      <c r="B232" s="40" t="inlineStr">
        <is>
          <t>月</t>
        </is>
      </c>
      <c r="C232" s="40" t="n">
        <v>21</v>
      </c>
      <c r="D232" s="41" t="inlineStr">
        <is>
          <t>山口　樹</t>
        </is>
      </c>
      <c r="F232" s="8">
        <f>IF(D232="","",A232&amp;"-"&amp;B232&amp;"-"&amp;C232)</f>
        <v/>
      </c>
      <c r="G232" s="8">
        <f>IF(D232="","",IFERROR(MATCH(A232&amp;"-"&amp;B232,設定!$Y$8:$Y$31,0),99)*1000+C232+ROW()/1000000)</f>
        <v/>
      </c>
      <c r="H232" s="8">
        <f>IF(D232="","",A232+1)</f>
        <v/>
      </c>
      <c r="I232" s="8">
        <f>IF(D232="","",H232&amp;"|"&amp;SUBSTITUTE(SUBSTITUTE(D232," ",""),"　",""))</f>
        <v/>
      </c>
      <c r="J232" s="42">
        <f>IF(D232="","",IF(ISERROR(MATCH(A232&amp;"-"&amp;B232,設定!$Y$8:$Y$31,0)),"設定にない学年・組",IF(COUNTIF($F$2:$F$451,F232)&gt;1,"同じ学年・組・番号がいる",IF(COUNTIF($I$2:$I$451,I232)&gt;1,"同姓同名あり",""))))</f>
        <v/>
      </c>
    </row>
    <row r="233">
      <c r="A233" s="40" t="n">
        <v>4</v>
      </c>
      <c r="B233" s="40" t="inlineStr">
        <is>
          <t>月</t>
        </is>
      </c>
      <c r="C233" s="40" t="n">
        <v>22</v>
      </c>
      <c r="D233" s="41" t="inlineStr">
        <is>
          <t>中島　湊</t>
        </is>
      </c>
      <c r="F233" s="8">
        <f>IF(D233="","",A233&amp;"-"&amp;B233&amp;"-"&amp;C233)</f>
        <v/>
      </c>
      <c r="G233" s="8">
        <f>IF(D233="","",IFERROR(MATCH(A233&amp;"-"&amp;B233,設定!$Y$8:$Y$31,0),99)*1000+C233+ROW()/1000000)</f>
        <v/>
      </c>
      <c r="H233" s="8">
        <f>IF(D233="","",A233+1)</f>
        <v/>
      </c>
      <c r="I233" s="8">
        <f>IF(D233="","",H233&amp;"|"&amp;SUBSTITUTE(SUBSTITUTE(D233," ",""),"　",""))</f>
        <v/>
      </c>
      <c r="J233" s="42">
        <f>IF(D233="","",IF(ISERROR(MATCH(A233&amp;"-"&amp;B233,設定!$Y$8:$Y$31,0)),"設定にない学年・組",IF(COUNTIF($F$2:$F$451,F233)&gt;1,"同じ学年・組・番号がいる",IF(COUNTIF($I$2:$I$451,I233)&gt;1,"同姓同名あり",""))))</f>
        <v/>
      </c>
    </row>
    <row r="234">
      <c r="A234" s="40" t="n">
        <v>4</v>
      </c>
      <c r="B234" s="40" t="inlineStr">
        <is>
          <t>月</t>
        </is>
      </c>
      <c r="C234" s="40" t="n">
        <v>23</v>
      </c>
      <c r="D234" s="41" t="inlineStr">
        <is>
          <t>山田　花音</t>
        </is>
      </c>
      <c r="F234" s="8">
        <f>IF(D234="","",A234&amp;"-"&amp;B234&amp;"-"&amp;C234)</f>
        <v/>
      </c>
      <c r="G234" s="8">
        <f>IF(D234="","",IFERROR(MATCH(A234&amp;"-"&amp;B234,設定!$Y$8:$Y$31,0),99)*1000+C234+ROW()/1000000)</f>
        <v/>
      </c>
      <c r="H234" s="8">
        <f>IF(D234="","",A234+1)</f>
        <v/>
      </c>
      <c r="I234" s="8">
        <f>IF(D234="","",H234&amp;"|"&amp;SUBSTITUTE(SUBSTITUTE(D234," ",""),"　",""))</f>
        <v/>
      </c>
      <c r="J234" s="42">
        <f>IF(D234="","",IF(ISERROR(MATCH(A234&amp;"-"&amp;B234,設定!$Y$8:$Y$31,0)),"設定にない学年・組",IF(COUNTIF($F$2:$F$451,F234)&gt;1,"同じ学年・組・番号がいる",IF(COUNTIF($I$2:$I$451,I234)&gt;1,"同姓同名あり",""))))</f>
        <v/>
      </c>
    </row>
    <row r="235">
      <c r="A235" s="40" t="n">
        <v>4</v>
      </c>
      <c r="B235" s="40" t="inlineStr">
        <is>
          <t>月</t>
        </is>
      </c>
      <c r="C235" s="40" t="n">
        <v>24</v>
      </c>
      <c r="D235" s="41" t="inlineStr">
        <is>
          <t>森　一花</t>
        </is>
      </c>
      <c r="F235" s="8">
        <f>IF(D235="","",A235&amp;"-"&amp;B235&amp;"-"&amp;C235)</f>
        <v/>
      </c>
      <c r="G235" s="8">
        <f>IF(D235="","",IFERROR(MATCH(A235&amp;"-"&amp;B235,設定!$Y$8:$Y$31,0),99)*1000+C235+ROW()/1000000)</f>
        <v/>
      </c>
      <c r="H235" s="8">
        <f>IF(D235="","",A235+1)</f>
        <v/>
      </c>
      <c r="I235" s="8">
        <f>IF(D235="","",H235&amp;"|"&amp;SUBSTITUTE(SUBSTITUTE(D235," ",""),"　",""))</f>
        <v/>
      </c>
      <c r="J235" s="42">
        <f>IF(D235="","",IF(ISERROR(MATCH(A235&amp;"-"&amp;B235,設定!$Y$8:$Y$31,0)),"設定にない学年・組",IF(COUNTIF($F$2:$F$451,F235)&gt;1,"同じ学年・組・番号がいる",IF(COUNTIF($I$2:$I$451,I235)&gt;1,"同姓同名あり",""))))</f>
        <v/>
      </c>
    </row>
    <row r="236">
      <c r="A236" s="40" t="n">
        <v>4</v>
      </c>
      <c r="B236" s="40" t="inlineStr">
        <is>
          <t>月</t>
        </is>
      </c>
      <c r="C236" s="40" t="n">
        <v>25</v>
      </c>
      <c r="D236" s="41" t="inlineStr">
        <is>
          <t>小林　心春</t>
        </is>
      </c>
      <c r="F236" s="8">
        <f>IF(D236="","",A236&amp;"-"&amp;B236&amp;"-"&amp;C236)</f>
        <v/>
      </c>
      <c r="G236" s="8">
        <f>IF(D236="","",IFERROR(MATCH(A236&amp;"-"&amp;B236,設定!$Y$8:$Y$31,0),99)*1000+C236+ROW()/1000000)</f>
        <v/>
      </c>
      <c r="H236" s="8">
        <f>IF(D236="","",A236+1)</f>
        <v/>
      </c>
      <c r="I236" s="8">
        <f>IF(D236="","",H236&amp;"|"&amp;SUBSTITUTE(SUBSTITUTE(D236," ",""),"　",""))</f>
        <v/>
      </c>
      <c r="J236" s="42">
        <f>IF(D236="","",IF(ISERROR(MATCH(A236&amp;"-"&amp;B236,設定!$Y$8:$Y$31,0)),"設定にない学年・組",IF(COUNTIF($F$2:$F$451,F236)&gt;1,"同じ学年・組・番号がいる",IF(COUNTIF($I$2:$I$451,I236)&gt;1,"同姓同名あり",""))))</f>
        <v/>
      </c>
    </row>
    <row r="237">
      <c r="A237" s="40" t="n">
        <v>4</v>
      </c>
      <c r="B237" s="40" t="inlineStr">
        <is>
          <t>月</t>
        </is>
      </c>
      <c r="C237" s="40" t="n">
        <v>26</v>
      </c>
      <c r="D237" s="41" t="inlineStr">
        <is>
          <t>加藤　彩花</t>
        </is>
      </c>
      <c r="F237" s="8">
        <f>IF(D237="","",A237&amp;"-"&amp;B237&amp;"-"&amp;C237)</f>
        <v/>
      </c>
      <c r="G237" s="8">
        <f>IF(D237="","",IFERROR(MATCH(A237&amp;"-"&amp;B237,設定!$Y$8:$Y$31,0),99)*1000+C237+ROW()/1000000)</f>
        <v/>
      </c>
      <c r="H237" s="8">
        <f>IF(D237="","",A237+1)</f>
        <v/>
      </c>
      <c r="I237" s="8">
        <f>IF(D237="","",H237&amp;"|"&amp;SUBSTITUTE(SUBSTITUTE(D237," ",""),"　",""))</f>
        <v/>
      </c>
      <c r="J237" s="42">
        <f>IF(D237="","",IF(ISERROR(MATCH(A237&amp;"-"&amp;B237,設定!$Y$8:$Y$31,0)),"設定にない学年・組",IF(COUNTIF($F$2:$F$451,F237)&gt;1,"同じ学年・組・番号がいる",IF(COUNTIF($I$2:$I$451,I237)&gt;1,"同姓同名あり",""))))</f>
        <v/>
      </c>
    </row>
    <row r="238">
      <c r="A238" s="40" t="n">
        <v>4</v>
      </c>
      <c r="B238" s="40" t="inlineStr">
        <is>
          <t>月</t>
        </is>
      </c>
      <c r="C238" s="40" t="n">
        <v>27</v>
      </c>
      <c r="D238" s="41" t="inlineStr">
        <is>
          <t>原田　彩花</t>
        </is>
      </c>
      <c r="F238" s="8">
        <f>IF(D238="","",A238&amp;"-"&amp;B238&amp;"-"&amp;C238)</f>
        <v/>
      </c>
      <c r="G238" s="8">
        <f>IF(D238="","",IFERROR(MATCH(A238&amp;"-"&amp;B238,設定!$Y$8:$Y$31,0),99)*1000+C238+ROW()/1000000)</f>
        <v/>
      </c>
      <c r="H238" s="8">
        <f>IF(D238="","",A238+1)</f>
        <v/>
      </c>
      <c r="I238" s="8">
        <f>IF(D238="","",H238&amp;"|"&amp;SUBSTITUTE(SUBSTITUTE(D238," ",""),"　",""))</f>
        <v/>
      </c>
      <c r="J238" s="42">
        <f>IF(D238="","",IF(ISERROR(MATCH(A238&amp;"-"&amp;B238,設定!$Y$8:$Y$31,0)),"設定にない学年・組",IF(COUNTIF($F$2:$F$451,F238)&gt;1,"同じ学年・組・番号がいる",IF(COUNTIF($I$2:$I$451,I238)&gt;1,"同姓同名あり",""))))</f>
        <v/>
      </c>
    </row>
    <row r="239">
      <c r="A239" s="40" t="n">
        <v>4</v>
      </c>
      <c r="B239" s="40" t="inlineStr">
        <is>
          <t>月</t>
        </is>
      </c>
      <c r="C239" s="40" t="n">
        <v>28</v>
      </c>
      <c r="D239" s="41" t="inlineStr">
        <is>
          <t>藤井　琴音</t>
        </is>
      </c>
      <c r="F239" s="8">
        <f>IF(D239="","",A239&amp;"-"&amp;B239&amp;"-"&amp;C239)</f>
        <v/>
      </c>
      <c r="G239" s="8">
        <f>IF(D239="","",IFERROR(MATCH(A239&amp;"-"&amp;B239,設定!$Y$8:$Y$31,0),99)*1000+C239+ROW()/1000000)</f>
        <v/>
      </c>
      <c r="H239" s="8">
        <f>IF(D239="","",A239+1)</f>
        <v/>
      </c>
      <c r="I239" s="8">
        <f>IF(D239="","",H239&amp;"|"&amp;SUBSTITUTE(SUBSTITUTE(D239," ",""),"　",""))</f>
        <v/>
      </c>
      <c r="J239" s="42">
        <f>IF(D239="","",IF(ISERROR(MATCH(A239&amp;"-"&amp;B239,設定!$Y$8:$Y$31,0)),"設定にない学年・組",IF(COUNTIF($F$2:$F$451,F239)&gt;1,"同じ学年・組・番号がいる",IF(COUNTIF($I$2:$I$451,I239)&gt;1,"同姓同名あり",""))))</f>
        <v/>
      </c>
    </row>
    <row r="240">
      <c r="A240" s="40" t="n">
        <v>4</v>
      </c>
      <c r="B240" s="40" t="inlineStr">
        <is>
          <t>月</t>
        </is>
      </c>
      <c r="C240" s="40" t="n">
        <v>29</v>
      </c>
      <c r="D240" s="41" t="inlineStr">
        <is>
          <t>石井　杏</t>
        </is>
      </c>
      <c r="F240" s="8">
        <f>IF(D240="","",A240&amp;"-"&amp;B240&amp;"-"&amp;C240)</f>
        <v/>
      </c>
      <c r="G240" s="8">
        <f>IF(D240="","",IFERROR(MATCH(A240&amp;"-"&amp;B240,設定!$Y$8:$Y$31,0),99)*1000+C240+ROW()/1000000)</f>
        <v/>
      </c>
      <c r="H240" s="8">
        <f>IF(D240="","",A240+1)</f>
        <v/>
      </c>
      <c r="I240" s="8">
        <f>IF(D240="","",H240&amp;"|"&amp;SUBSTITUTE(SUBSTITUTE(D240," ",""),"　",""))</f>
        <v/>
      </c>
      <c r="J240" s="42">
        <f>IF(D240="","",IF(ISERROR(MATCH(A240&amp;"-"&amp;B240,設定!$Y$8:$Y$31,0)),"設定にない学年・組",IF(COUNTIF($F$2:$F$451,F240)&gt;1,"同じ学年・組・番号がいる",IF(COUNTIF($I$2:$I$451,I240)&gt;1,"同姓同名あり",""))))</f>
        <v/>
      </c>
    </row>
    <row r="241">
      <c r="A241" s="40" t="n">
        <v>4</v>
      </c>
      <c r="B241" s="40" t="inlineStr">
        <is>
          <t>月</t>
        </is>
      </c>
      <c r="C241" s="40" t="n">
        <v>30</v>
      </c>
      <c r="D241" s="41" t="inlineStr">
        <is>
          <t>遠藤　琴音</t>
        </is>
      </c>
      <c r="F241" s="8">
        <f>IF(D241="","",A241&amp;"-"&amp;B241&amp;"-"&amp;C241)</f>
        <v/>
      </c>
      <c r="G241" s="8">
        <f>IF(D241="","",IFERROR(MATCH(A241&amp;"-"&amp;B241,設定!$Y$8:$Y$31,0),99)*1000+C241+ROW()/1000000)</f>
        <v/>
      </c>
      <c r="H241" s="8">
        <f>IF(D241="","",A241+1)</f>
        <v/>
      </c>
      <c r="I241" s="8">
        <f>IF(D241="","",H241&amp;"|"&amp;SUBSTITUTE(SUBSTITUTE(D241," ",""),"　",""))</f>
        <v/>
      </c>
      <c r="J241" s="42">
        <f>IF(D241="","",IF(ISERROR(MATCH(A241&amp;"-"&amp;B241,設定!$Y$8:$Y$31,0)),"設定にない学年・組",IF(COUNTIF($F$2:$F$451,F241)&gt;1,"同じ学年・組・番号がいる",IF(COUNTIF($I$2:$I$451,I241)&gt;1,"同姓同名あり",""))))</f>
        <v/>
      </c>
    </row>
    <row r="242">
      <c r="A242" s="40" t="n">
        <v>3</v>
      </c>
      <c r="B242" s="40" t="inlineStr">
        <is>
          <t>松</t>
        </is>
      </c>
      <c r="C242" s="40" t="n">
        <v>1</v>
      </c>
      <c r="D242" s="41" t="inlineStr">
        <is>
          <t>渡辺　新</t>
        </is>
      </c>
      <c r="F242" s="8">
        <f>IF(D242="","",A242&amp;"-"&amp;B242&amp;"-"&amp;C242)</f>
        <v/>
      </c>
      <c r="G242" s="8">
        <f>IF(D242="","",IFERROR(MATCH(A242&amp;"-"&amp;B242,設定!$Y$8:$Y$31,0),99)*1000+C242+ROW()/1000000)</f>
        <v/>
      </c>
      <c r="H242" s="8">
        <f>IF(D242="","",A242+1)</f>
        <v/>
      </c>
      <c r="I242" s="8">
        <f>IF(D242="","",H242&amp;"|"&amp;SUBSTITUTE(SUBSTITUTE(D242," ",""),"　",""))</f>
        <v/>
      </c>
      <c r="J242" s="42">
        <f>IF(D242="","",IF(ISERROR(MATCH(A242&amp;"-"&amp;B242,設定!$Y$8:$Y$31,0)),"設定にない学年・組",IF(COUNTIF($F$2:$F$451,F242)&gt;1,"同じ学年・組・番号がいる",IF(COUNTIF($I$2:$I$451,I242)&gt;1,"同姓同名あり",""))))</f>
        <v/>
      </c>
    </row>
    <row r="243">
      <c r="A243" s="40" t="n">
        <v>3</v>
      </c>
      <c r="B243" s="40" t="inlineStr">
        <is>
          <t>松</t>
        </is>
      </c>
      <c r="C243" s="40" t="n">
        <v>2</v>
      </c>
      <c r="D243" s="41" t="inlineStr">
        <is>
          <t>石井　彩花</t>
        </is>
      </c>
      <c r="F243" s="8">
        <f>IF(D243="","",A243&amp;"-"&amp;B243&amp;"-"&amp;C243)</f>
        <v/>
      </c>
      <c r="G243" s="8">
        <f>IF(D243="","",IFERROR(MATCH(A243&amp;"-"&amp;B243,設定!$Y$8:$Y$31,0),99)*1000+C243+ROW()/1000000)</f>
        <v/>
      </c>
      <c r="H243" s="8">
        <f>IF(D243="","",A243+1)</f>
        <v/>
      </c>
      <c r="I243" s="8">
        <f>IF(D243="","",H243&amp;"|"&amp;SUBSTITUTE(SUBSTITUTE(D243," ",""),"　",""))</f>
        <v/>
      </c>
      <c r="J243" s="42">
        <f>IF(D243="","",IF(ISERROR(MATCH(A243&amp;"-"&amp;B243,設定!$Y$8:$Y$31,0)),"設定にない学年・組",IF(COUNTIF($F$2:$F$451,F243)&gt;1,"同じ学年・組・番号がいる",IF(COUNTIF($I$2:$I$451,I243)&gt;1,"同姓同名あり",""))))</f>
        <v/>
      </c>
    </row>
    <row r="244">
      <c r="A244" s="40" t="n">
        <v>3</v>
      </c>
      <c r="B244" s="40" t="inlineStr">
        <is>
          <t>松</t>
        </is>
      </c>
      <c r="C244" s="40" t="n">
        <v>3</v>
      </c>
      <c r="D244" s="41" t="inlineStr">
        <is>
          <t>近藤　拓海</t>
        </is>
      </c>
      <c r="F244" s="8">
        <f>IF(D244="","",A244&amp;"-"&amp;B244&amp;"-"&amp;C244)</f>
        <v/>
      </c>
      <c r="G244" s="8">
        <f>IF(D244="","",IFERROR(MATCH(A244&amp;"-"&amp;B244,設定!$Y$8:$Y$31,0),99)*1000+C244+ROW()/1000000)</f>
        <v/>
      </c>
      <c r="H244" s="8">
        <f>IF(D244="","",A244+1)</f>
        <v/>
      </c>
      <c r="I244" s="8">
        <f>IF(D244="","",H244&amp;"|"&amp;SUBSTITUTE(SUBSTITUTE(D244," ",""),"　",""))</f>
        <v/>
      </c>
      <c r="J244" s="42">
        <f>IF(D244="","",IF(ISERROR(MATCH(A244&amp;"-"&amp;B244,設定!$Y$8:$Y$31,0)),"設定にない学年・組",IF(COUNTIF($F$2:$F$451,F244)&gt;1,"同じ学年・組・番号がいる",IF(COUNTIF($I$2:$I$451,I244)&gt;1,"同姓同名あり",""))))</f>
        <v/>
      </c>
    </row>
    <row r="245">
      <c r="A245" s="40" t="n">
        <v>3</v>
      </c>
      <c r="B245" s="40" t="inlineStr">
        <is>
          <t>松</t>
        </is>
      </c>
      <c r="C245" s="40" t="n">
        <v>4</v>
      </c>
      <c r="D245" s="41" t="inlineStr">
        <is>
          <t>原田　柚葉</t>
        </is>
      </c>
      <c r="F245" s="8">
        <f>IF(D245="","",A245&amp;"-"&amp;B245&amp;"-"&amp;C245)</f>
        <v/>
      </c>
      <c r="G245" s="8">
        <f>IF(D245="","",IFERROR(MATCH(A245&amp;"-"&amp;B245,設定!$Y$8:$Y$31,0),99)*1000+C245+ROW()/1000000)</f>
        <v/>
      </c>
      <c r="H245" s="8">
        <f>IF(D245="","",A245+1)</f>
        <v/>
      </c>
      <c r="I245" s="8">
        <f>IF(D245="","",H245&amp;"|"&amp;SUBSTITUTE(SUBSTITUTE(D245," ",""),"　",""))</f>
        <v/>
      </c>
      <c r="J245" s="42">
        <f>IF(D245="","",IF(ISERROR(MATCH(A245&amp;"-"&amp;B245,設定!$Y$8:$Y$31,0)),"設定にない学年・組",IF(COUNTIF($F$2:$F$451,F245)&gt;1,"同じ学年・組・番号がいる",IF(COUNTIF($I$2:$I$451,I245)&gt;1,"同姓同名あり",""))))</f>
        <v/>
      </c>
    </row>
    <row r="246">
      <c r="A246" s="40" t="n">
        <v>3</v>
      </c>
      <c r="B246" s="40" t="inlineStr">
        <is>
          <t>松</t>
        </is>
      </c>
      <c r="C246" s="40" t="n">
        <v>5</v>
      </c>
      <c r="D246" s="41" t="inlineStr">
        <is>
          <t>福田　颯太</t>
        </is>
      </c>
      <c r="F246" s="8">
        <f>IF(D246="","",A246&amp;"-"&amp;B246&amp;"-"&amp;C246)</f>
        <v/>
      </c>
      <c r="G246" s="8">
        <f>IF(D246="","",IFERROR(MATCH(A246&amp;"-"&amp;B246,設定!$Y$8:$Y$31,0),99)*1000+C246+ROW()/1000000)</f>
        <v/>
      </c>
      <c r="H246" s="8">
        <f>IF(D246="","",A246+1)</f>
        <v/>
      </c>
      <c r="I246" s="8">
        <f>IF(D246="","",H246&amp;"|"&amp;SUBSTITUTE(SUBSTITUTE(D246," ",""),"　",""))</f>
        <v/>
      </c>
      <c r="J246" s="42">
        <f>IF(D246="","",IF(ISERROR(MATCH(A246&amp;"-"&amp;B246,設定!$Y$8:$Y$31,0)),"設定にない学年・組",IF(COUNTIF($F$2:$F$451,F246)&gt;1,"同じ学年・組・番号がいる",IF(COUNTIF($I$2:$I$451,I246)&gt;1,"同姓同名あり",""))))</f>
        <v/>
      </c>
    </row>
    <row r="247">
      <c r="A247" s="40" t="n">
        <v>3</v>
      </c>
      <c r="B247" s="40" t="inlineStr">
        <is>
          <t>松</t>
        </is>
      </c>
      <c r="C247" s="40" t="n">
        <v>6</v>
      </c>
      <c r="D247" s="41" t="inlineStr">
        <is>
          <t>近藤　海斗</t>
        </is>
      </c>
      <c r="F247" s="8">
        <f>IF(D247="","",A247&amp;"-"&amp;B247&amp;"-"&amp;C247)</f>
        <v/>
      </c>
      <c r="G247" s="8">
        <f>IF(D247="","",IFERROR(MATCH(A247&amp;"-"&amp;B247,設定!$Y$8:$Y$31,0),99)*1000+C247+ROW()/1000000)</f>
        <v/>
      </c>
      <c r="H247" s="8">
        <f>IF(D247="","",A247+1)</f>
        <v/>
      </c>
      <c r="I247" s="8">
        <f>IF(D247="","",H247&amp;"|"&amp;SUBSTITUTE(SUBSTITUTE(D247," ",""),"　",""))</f>
        <v/>
      </c>
      <c r="J247" s="42">
        <f>IF(D247="","",IF(ISERROR(MATCH(A247&amp;"-"&amp;B247,設定!$Y$8:$Y$31,0)),"設定にない学年・組",IF(COUNTIF($F$2:$F$451,F247)&gt;1,"同じ学年・組・番号がいる",IF(COUNTIF($I$2:$I$451,I247)&gt;1,"同姓同名あり",""))))</f>
        <v/>
      </c>
    </row>
    <row r="248">
      <c r="A248" s="40" t="n">
        <v>3</v>
      </c>
      <c r="B248" s="40" t="inlineStr">
        <is>
          <t>松</t>
        </is>
      </c>
      <c r="C248" s="40" t="n">
        <v>7</v>
      </c>
      <c r="D248" s="41" t="inlineStr">
        <is>
          <t>清水　碧</t>
        </is>
      </c>
      <c r="F248" s="8">
        <f>IF(D248="","",A248&amp;"-"&amp;B248&amp;"-"&amp;C248)</f>
        <v/>
      </c>
      <c r="G248" s="8">
        <f>IF(D248="","",IFERROR(MATCH(A248&amp;"-"&amp;B248,設定!$Y$8:$Y$31,0),99)*1000+C248+ROW()/1000000)</f>
        <v/>
      </c>
      <c r="H248" s="8">
        <f>IF(D248="","",A248+1)</f>
        <v/>
      </c>
      <c r="I248" s="8">
        <f>IF(D248="","",H248&amp;"|"&amp;SUBSTITUTE(SUBSTITUTE(D248," ",""),"　",""))</f>
        <v/>
      </c>
      <c r="J248" s="42">
        <f>IF(D248="","",IF(ISERROR(MATCH(A248&amp;"-"&amp;B248,設定!$Y$8:$Y$31,0)),"設定にない学年・組",IF(COUNTIF($F$2:$F$451,F248)&gt;1,"同じ学年・組・番号がいる",IF(COUNTIF($I$2:$I$451,I248)&gt;1,"同姓同名あり",""))))</f>
        <v/>
      </c>
    </row>
    <row r="249">
      <c r="A249" s="40" t="n">
        <v>3</v>
      </c>
      <c r="B249" s="40" t="inlineStr">
        <is>
          <t>松</t>
        </is>
      </c>
      <c r="C249" s="40" t="n">
        <v>8</v>
      </c>
      <c r="D249" s="41" t="inlineStr">
        <is>
          <t>阿部　さくら</t>
        </is>
      </c>
      <c r="F249" s="8">
        <f>IF(D249="","",A249&amp;"-"&amp;B249&amp;"-"&amp;C249)</f>
        <v/>
      </c>
      <c r="G249" s="8">
        <f>IF(D249="","",IFERROR(MATCH(A249&amp;"-"&amp;B249,設定!$Y$8:$Y$31,0),99)*1000+C249+ROW()/1000000)</f>
        <v/>
      </c>
      <c r="H249" s="8">
        <f>IF(D249="","",A249+1)</f>
        <v/>
      </c>
      <c r="I249" s="8">
        <f>IF(D249="","",H249&amp;"|"&amp;SUBSTITUTE(SUBSTITUTE(D249," ",""),"　",""))</f>
        <v/>
      </c>
      <c r="J249" s="42">
        <f>IF(D249="","",IF(ISERROR(MATCH(A249&amp;"-"&amp;B249,設定!$Y$8:$Y$31,0)),"設定にない学年・組",IF(COUNTIF($F$2:$F$451,F249)&gt;1,"同じ学年・組・番号がいる",IF(COUNTIF($I$2:$I$451,I249)&gt;1,"同姓同名あり",""))))</f>
        <v/>
      </c>
    </row>
    <row r="250">
      <c r="A250" s="40" t="n">
        <v>3</v>
      </c>
      <c r="B250" s="40" t="inlineStr">
        <is>
          <t>松</t>
        </is>
      </c>
      <c r="C250" s="40" t="n">
        <v>9</v>
      </c>
      <c r="D250" s="41" t="inlineStr">
        <is>
          <t>山口　航</t>
        </is>
      </c>
      <c r="F250" s="8">
        <f>IF(D250="","",A250&amp;"-"&amp;B250&amp;"-"&amp;C250)</f>
        <v/>
      </c>
      <c r="G250" s="8">
        <f>IF(D250="","",IFERROR(MATCH(A250&amp;"-"&amp;B250,設定!$Y$8:$Y$31,0),99)*1000+C250+ROW()/1000000)</f>
        <v/>
      </c>
      <c r="H250" s="8">
        <f>IF(D250="","",A250+1)</f>
        <v/>
      </c>
      <c r="I250" s="8">
        <f>IF(D250="","",H250&amp;"|"&amp;SUBSTITUTE(SUBSTITUTE(D250," ",""),"　",""))</f>
        <v/>
      </c>
      <c r="J250" s="42">
        <f>IF(D250="","",IF(ISERROR(MATCH(A250&amp;"-"&amp;B250,設定!$Y$8:$Y$31,0)),"設定にない学年・組",IF(COUNTIF($F$2:$F$451,F250)&gt;1,"同じ学年・組・番号がいる",IF(COUNTIF($I$2:$I$451,I250)&gt;1,"同姓同名あり",""))))</f>
        <v/>
      </c>
    </row>
    <row r="251">
      <c r="A251" s="40" t="n">
        <v>3</v>
      </c>
      <c r="B251" s="40" t="inlineStr">
        <is>
          <t>松</t>
        </is>
      </c>
      <c r="C251" s="40" t="n">
        <v>10</v>
      </c>
      <c r="D251" s="41" t="inlineStr">
        <is>
          <t>加藤　花音</t>
        </is>
      </c>
      <c r="F251" s="8">
        <f>IF(D251="","",A251&amp;"-"&amp;B251&amp;"-"&amp;C251)</f>
        <v/>
      </c>
      <c r="G251" s="8">
        <f>IF(D251="","",IFERROR(MATCH(A251&amp;"-"&amp;B251,設定!$Y$8:$Y$31,0),99)*1000+C251+ROW()/1000000)</f>
        <v/>
      </c>
      <c r="H251" s="8">
        <f>IF(D251="","",A251+1)</f>
        <v/>
      </c>
      <c r="I251" s="8">
        <f>IF(D251="","",H251&amp;"|"&amp;SUBSTITUTE(SUBSTITUTE(D251," ",""),"　",""))</f>
        <v/>
      </c>
      <c r="J251" s="42">
        <f>IF(D251="","",IF(ISERROR(MATCH(A251&amp;"-"&amp;B251,設定!$Y$8:$Y$31,0)),"設定にない学年・組",IF(COUNTIF($F$2:$F$451,F251)&gt;1,"同じ学年・組・番号がいる",IF(COUNTIF($I$2:$I$451,I251)&gt;1,"同姓同名あり",""))))</f>
        <v/>
      </c>
    </row>
    <row r="252">
      <c r="A252" s="40" t="n">
        <v>3</v>
      </c>
      <c r="B252" s="40" t="inlineStr">
        <is>
          <t>松</t>
        </is>
      </c>
      <c r="C252" s="40" t="n">
        <v>11</v>
      </c>
      <c r="D252" s="41" t="inlineStr">
        <is>
          <t>藤田　健太</t>
        </is>
      </c>
      <c r="F252" s="8">
        <f>IF(D252="","",A252&amp;"-"&amp;B252&amp;"-"&amp;C252)</f>
        <v/>
      </c>
      <c r="G252" s="8">
        <f>IF(D252="","",IFERROR(MATCH(A252&amp;"-"&amp;B252,設定!$Y$8:$Y$31,0),99)*1000+C252+ROW()/1000000)</f>
        <v/>
      </c>
      <c r="H252" s="8">
        <f>IF(D252="","",A252+1)</f>
        <v/>
      </c>
      <c r="I252" s="8">
        <f>IF(D252="","",H252&amp;"|"&amp;SUBSTITUTE(SUBSTITUTE(D252," ",""),"　",""))</f>
        <v/>
      </c>
      <c r="J252" s="42">
        <f>IF(D252="","",IF(ISERROR(MATCH(A252&amp;"-"&amp;B252,設定!$Y$8:$Y$31,0)),"設定にない学年・組",IF(COUNTIF($F$2:$F$451,F252)&gt;1,"同じ学年・組・番号がいる",IF(COUNTIF($I$2:$I$451,I252)&gt;1,"同姓同名あり",""))))</f>
        <v/>
      </c>
    </row>
    <row r="253">
      <c r="A253" s="40" t="n">
        <v>3</v>
      </c>
      <c r="B253" s="40" t="inlineStr">
        <is>
          <t>松</t>
        </is>
      </c>
      <c r="C253" s="40" t="n">
        <v>12</v>
      </c>
      <c r="D253" s="41" t="inlineStr">
        <is>
          <t>村上　杏</t>
        </is>
      </c>
      <c r="F253" s="8">
        <f>IF(D253="","",A253&amp;"-"&amp;B253&amp;"-"&amp;C253)</f>
        <v/>
      </c>
      <c r="G253" s="8">
        <f>IF(D253="","",IFERROR(MATCH(A253&amp;"-"&amp;B253,設定!$Y$8:$Y$31,0),99)*1000+C253+ROW()/1000000)</f>
        <v/>
      </c>
      <c r="H253" s="8">
        <f>IF(D253="","",A253+1)</f>
        <v/>
      </c>
      <c r="I253" s="8">
        <f>IF(D253="","",H253&amp;"|"&amp;SUBSTITUTE(SUBSTITUTE(D253," ",""),"　",""))</f>
        <v/>
      </c>
      <c r="J253" s="42">
        <f>IF(D253="","",IF(ISERROR(MATCH(A253&amp;"-"&amp;B253,設定!$Y$8:$Y$31,0)),"設定にない学年・組",IF(COUNTIF($F$2:$F$451,F253)&gt;1,"同じ学年・組・番号がいる",IF(COUNTIF($I$2:$I$451,I253)&gt;1,"同姓同名あり",""))))</f>
        <v/>
      </c>
    </row>
    <row r="254">
      <c r="A254" s="40" t="n">
        <v>3</v>
      </c>
      <c r="B254" s="40" t="inlineStr">
        <is>
          <t>松</t>
        </is>
      </c>
      <c r="C254" s="40" t="n">
        <v>13</v>
      </c>
      <c r="D254" s="41" t="inlineStr">
        <is>
          <t>佐々木　澪</t>
        </is>
      </c>
      <c r="F254" s="8">
        <f>IF(D254="","",A254&amp;"-"&amp;B254&amp;"-"&amp;C254)</f>
        <v/>
      </c>
      <c r="G254" s="8">
        <f>IF(D254="","",IFERROR(MATCH(A254&amp;"-"&amp;B254,設定!$Y$8:$Y$31,0),99)*1000+C254+ROW()/1000000)</f>
        <v/>
      </c>
      <c r="H254" s="8">
        <f>IF(D254="","",A254+1)</f>
        <v/>
      </c>
      <c r="I254" s="8">
        <f>IF(D254="","",H254&amp;"|"&amp;SUBSTITUTE(SUBSTITUTE(D254," ",""),"　",""))</f>
        <v/>
      </c>
      <c r="J254" s="42">
        <f>IF(D254="","",IF(ISERROR(MATCH(A254&amp;"-"&amp;B254,設定!$Y$8:$Y$31,0)),"設定にない学年・組",IF(COUNTIF($F$2:$F$451,F254)&gt;1,"同じ学年・組・番号がいる",IF(COUNTIF($I$2:$I$451,I254)&gt;1,"同姓同名あり",""))))</f>
        <v/>
      </c>
    </row>
    <row r="255">
      <c r="A255" s="40" t="n">
        <v>3</v>
      </c>
      <c r="B255" s="40" t="inlineStr">
        <is>
          <t>松</t>
        </is>
      </c>
      <c r="C255" s="40" t="n">
        <v>14</v>
      </c>
      <c r="D255" s="41" t="inlineStr">
        <is>
          <t>後藤　陽太</t>
        </is>
      </c>
      <c r="F255" s="8">
        <f>IF(D255="","",A255&amp;"-"&amp;B255&amp;"-"&amp;C255)</f>
        <v/>
      </c>
      <c r="G255" s="8">
        <f>IF(D255="","",IFERROR(MATCH(A255&amp;"-"&amp;B255,設定!$Y$8:$Y$31,0),99)*1000+C255+ROW()/1000000)</f>
        <v/>
      </c>
      <c r="H255" s="8">
        <f>IF(D255="","",A255+1)</f>
        <v/>
      </c>
      <c r="I255" s="8">
        <f>IF(D255="","",H255&amp;"|"&amp;SUBSTITUTE(SUBSTITUTE(D255," ",""),"　",""))</f>
        <v/>
      </c>
      <c r="J255" s="42">
        <f>IF(D255="","",IF(ISERROR(MATCH(A255&amp;"-"&amp;B255,設定!$Y$8:$Y$31,0)),"設定にない学年・組",IF(COUNTIF($F$2:$F$451,F255)&gt;1,"同じ学年・組・番号がいる",IF(COUNTIF($I$2:$I$451,I255)&gt;1,"同姓同名あり",""))))</f>
        <v/>
      </c>
    </row>
    <row r="256">
      <c r="A256" s="40" t="n">
        <v>3</v>
      </c>
      <c r="B256" s="40" t="inlineStr">
        <is>
          <t>松</t>
        </is>
      </c>
      <c r="C256" s="40" t="n">
        <v>15</v>
      </c>
      <c r="D256" s="41" t="inlineStr">
        <is>
          <t>長谷川　蓮</t>
        </is>
      </c>
      <c r="F256" s="8">
        <f>IF(D256="","",A256&amp;"-"&amp;B256&amp;"-"&amp;C256)</f>
        <v/>
      </c>
      <c r="G256" s="8">
        <f>IF(D256="","",IFERROR(MATCH(A256&amp;"-"&amp;B256,設定!$Y$8:$Y$31,0),99)*1000+C256+ROW()/1000000)</f>
        <v/>
      </c>
      <c r="H256" s="8">
        <f>IF(D256="","",A256+1)</f>
        <v/>
      </c>
      <c r="I256" s="8">
        <f>IF(D256="","",H256&amp;"|"&amp;SUBSTITUTE(SUBSTITUTE(D256," ",""),"　",""))</f>
        <v/>
      </c>
      <c r="J256" s="42">
        <f>IF(D256="","",IF(ISERROR(MATCH(A256&amp;"-"&amp;B256,設定!$Y$8:$Y$31,0)),"設定にない学年・組",IF(COUNTIF($F$2:$F$451,F256)&gt;1,"同じ学年・組・番号がいる",IF(COUNTIF($I$2:$I$451,I256)&gt;1,"同姓同名あり",""))))</f>
        <v/>
      </c>
    </row>
    <row r="257">
      <c r="A257" s="40" t="n">
        <v>3</v>
      </c>
      <c r="B257" s="40" t="inlineStr">
        <is>
          <t>松</t>
        </is>
      </c>
      <c r="C257" s="40" t="n">
        <v>16</v>
      </c>
      <c r="D257" s="41" t="inlineStr">
        <is>
          <t>青木　葵</t>
        </is>
      </c>
      <c r="F257" s="8">
        <f>IF(D257="","",A257&amp;"-"&amp;B257&amp;"-"&amp;C257)</f>
        <v/>
      </c>
      <c r="G257" s="8">
        <f>IF(D257="","",IFERROR(MATCH(A257&amp;"-"&amp;B257,設定!$Y$8:$Y$31,0),99)*1000+C257+ROW()/1000000)</f>
        <v/>
      </c>
      <c r="H257" s="8">
        <f>IF(D257="","",A257+1)</f>
        <v/>
      </c>
      <c r="I257" s="8">
        <f>IF(D257="","",H257&amp;"|"&amp;SUBSTITUTE(SUBSTITUTE(D257," ",""),"　",""))</f>
        <v/>
      </c>
      <c r="J257" s="42">
        <f>IF(D257="","",IF(ISERROR(MATCH(A257&amp;"-"&amp;B257,設定!$Y$8:$Y$31,0)),"設定にない学年・組",IF(COUNTIF($F$2:$F$451,F257)&gt;1,"同じ学年・組・番号がいる",IF(COUNTIF($I$2:$I$451,I257)&gt;1,"同姓同名あり",""))))</f>
        <v/>
      </c>
    </row>
    <row r="258">
      <c r="A258" s="40" t="n">
        <v>3</v>
      </c>
      <c r="B258" s="40" t="inlineStr">
        <is>
          <t>松</t>
        </is>
      </c>
      <c r="C258" s="40" t="n">
        <v>17</v>
      </c>
      <c r="D258" s="41" t="inlineStr">
        <is>
          <t>鈴木　花音</t>
        </is>
      </c>
      <c r="F258" s="8">
        <f>IF(D258="","",A258&amp;"-"&amp;B258&amp;"-"&amp;C258)</f>
        <v/>
      </c>
      <c r="G258" s="8">
        <f>IF(D258="","",IFERROR(MATCH(A258&amp;"-"&amp;B258,設定!$Y$8:$Y$31,0),99)*1000+C258+ROW()/1000000)</f>
        <v/>
      </c>
      <c r="H258" s="8">
        <f>IF(D258="","",A258+1)</f>
        <v/>
      </c>
      <c r="I258" s="8">
        <f>IF(D258="","",H258&amp;"|"&amp;SUBSTITUTE(SUBSTITUTE(D258," ",""),"　",""))</f>
        <v/>
      </c>
      <c r="J258" s="42">
        <f>IF(D258="","",IF(ISERROR(MATCH(A258&amp;"-"&amp;B258,設定!$Y$8:$Y$31,0)),"設定にない学年・組",IF(COUNTIF($F$2:$F$451,F258)&gt;1,"同じ学年・組・番号がいる",IF(COUNTIF($I$2:$I$451,I258)&gt;1,"同姓同名あり",""))))</f>
        <v/>
      </c>
    </row>
    <row r="259">
      <c r="A259" s="40" t="n">
        <v>3</v>
      </c>
      <c r="B259" s="40" t="inlineStr">
        <is>
          <t>松</t>
        </is>
      </c>
      <c r="C259" s="40" t="n">
        <v>18</v>
      </c>
      <c r="D259" s="41" t="inlineStr">
        <is>
          <t>高橋　彩花</t>
        </is>
      </c>
      <c r="F259" s="8">
        <f>IF(D259="","",A259&amp;"-"&amp;B259&amp;"-"&amp;C259)</f>
        <v/>
      </c>
      <c r="G259" s="8">
        <f>IF(D259="","",IFERROR(MATCH(A259&amp;"-"&amp;B259,設定!$Y$8:$Y$31,0),99)*1000+C259+ROW()/1000000)</f>
        <v/>
      </c>
      <c r="H259" s="8">
        <f>IF(D259="","",A259+1)</f>
        <v/>
      </c>
      <c r="I259" s="8">
        <f>IF(D259="","",H259&amp;"|"&amp;SUBSTITUTE(SUBSTITUTE(D259," ",""),"　",""))</f>
        <v/>
      </c>
      <c r="J259" s="42">
        <f>IF(D259="","",IF(ISERROR(MATCH(A259&amp;"-"&amp;B259,設定!$Y$8:$Y$31,0)),"設定にない学年・組",IF(COUNTIF($F$2:$F$451,F259)&gt;1,"同じ学年・組・番号がいる",IF(COUNTIF($I$2:$I$451,I259)&gt;1,"同姓同名あり",""))))</f>
        <v/>
      </c>
    </row>
    <row r="260">
      <c r="A260" s="40" t="n">
        <v>3</v>
      </c>
      <c r="B260" s="40" t="inlineStr">
        <is>
          <t>松</t>
        </is>
      </c>
      <c r="C260" s="40" t="n">
        <v>19</v>
      </c>
      <c r="D260" s="41" t="inlineStr">
        <is>
          <t>石川　花音</t>
        </is>
      </c>
      <c r="F260" s="8">
        <f>IF(D260="","",A260&amp;"-"&amp;B260&amp;"-"&amp;C260)</f>
        <v/>
      </c>
      <c r="G260" s="8">
        <f>IF(D260="","",IFERROR(MATCH(A260&amp;"-"&amp;B260,設定!$Y$8:$Y$31,0),99)*1000+C260+ROW()/1000000)</f>
        <v/>
      </c>
      <c r="H260" s="8">
        <f>IF(D260="","",A260+1)</f>
        <v/>
      </c>
      <c r="I260" s="8">
        <f>IF(D260="","",H260&amp;"|"&amp;SUBSTITUTE(SUBSTITUTE(D260," ",""),"　",""))</f>
        <v/>
      </c>
      <c r="J260" s="42">
        <f>IF(D260="","",IF(ISERROR(MATCH(A260&amp;"-"&amp;B260,設定!$Y$8:$Y$31,0)),"設定にない学年・組",IF(COUNTIF($F$2:$F$451,F260)&gt;1,"同じ学年・組・番号がいる",IF(COUNTIF($I$2:$I$451,I260)&gt;1,"同姓同名あり",""))))</f>
        <v/>
      </c>
    </row>
    <row r="261">
      <c r="A261" s="40" t="n">
        <v>3</v>
      </c>
      <c r="B261" s="40" t="inlineStr">
        <is>
          <t>松</t>
        </is>
      </c>
      <c r="C261" s="40" t="n">
        <v>20</v>
      </c>
      <c r="D261" s="41" t="inlineStr">
        <is>
          <t>村上　陽太</t>
        </is>
      </c>
      <c r="F261" s="8">
        <f>IF(D261="","",A261&amp;"-"&amp;B261&amp;"-"&amp;C261)</f>
        <v/>
      </c>
      <c r="G261" s="8">
        <f>IF(D261="","",IFERROR(MATCH(A261&amp;"-"&amp;B261,設定!$Y$8:$Y$31,0),99)*1000+C261+ROW()/1000000)</f>
        <v/>
      </c>
      <c r="H261" s="8">
        <f>IF(D261="","",A261+1)</f>
        <v/>
      </c>
      <c r="I261" s="8">
        <f>IF(D261="","",H261&amp;"|"&amp;SUBSTITUTE(SUBSTITUTE(D261," ",""),"　",""))</f>
        <v/>
      </c>
      <c r="J261" s="42">
        <f>IF(D261="","",IF(ISERROR(MATCH(A261&amp;"-"&amp;B261,設定!$Y$8:$Y$31,0)),"設定にない学年・組",IF(COUNTIF($F$2:$F$451,F261)&gt;1,"同じ学年・組・番号がいる",IF(COUNTIF($I$2:$I$451,I261)&gt;1,"同姓同名あり",""))))</f>
        <v/>
      </c>
    </row>
    <row r="262">
      <c r="A262" s="40" t="n">
        <v>3</v>
      </c>
      <c r="B262" s="40" t="inlineStr">
        <is>
          <t>松</t>
        </is>
      </c>
      <c r="C262" s="40" t="n">
        <v>21</v>
      </c>
      <c r="D262" s="41" t="inlineStr">
        <is>
          <t>岡田　大和</t>
        </is>
      </c>
      <c r="F262" s="8">
        <f>IF(D262="","",A262&amp;"-"&amp;B262&amp;"-"&amp;C262)</f>
        <v/>
      </c>
      <c r="G262" s="8">
        <f>IF(D262="","",IFERROR(MATCH(A262&amp;"-"&amp;B262,設定!$Y$8:$Y$31,0),99)*1000+C262+ROW()/1000000)</f>
        <v/>
      </c>
      <c r="H262" s="8">
        <f>IF(D262="","",A262+1)</f>
        <v/>
      </c>
      <c r="I262" s="8">
        <f>IF(D262="","",H262&amp;"|"&amp;SUBSTITUTE(SUBSTITUTE(D262," ",""),"　",""))</f>
        <v/>
      </c>
      <c r="J262" s="42">
        <f>IF(D262="","",IF(ISERROR(MATCH(A262&amp;"-"&amp;B262,設定!$Y$8:$Y$31,0)),"設定にない学年・組",IF(COUNTIF($F$2:$F$451,F262)&gt;1,"同じ学年・組・番号がいる",IF(COUNTIF($I$2:$I$451,I262)&gt;1,"同姓同名あり",""))))</f>
        <v/>
      </c>
    </row>
    <row r="263">
      <c r="A263" s="40" t="n">
        <v>3</v>
      </c>
      <c r="B263" s="40" t="inlineStr">
        <is>
          <t>松</t>
        </is>
      </c>
      <c r="C263" s="40" t="n">
        <v>22</v>
      </c>
      <c r="D263" s="41" t="inlineStr">
        <is>
          <t>岡本　颯太</t>
        </is>
      </c>
      <c r="F263" s="8">
        <f>IF(D263="","",A263&amp;"-"&amp;B263&amp;"-"&amp;C263)</f>
        <v/>
      </c>
      <c r="G263" s="8">
        <f>IF(D263="","",IFERROR(MATCH(A263&amp;"-"&amp;B263,設定!$Y$8:$Y$31,0),99)*1000+C263+ROW()/1000000)</f>
        <v/>
      </c>
      <c r="H263" s="8">
        <f>IF(D263="","",A263+1)</f>
        <v/>
      </c>
      <c r="I263" s="8">
        <f>IF(D263="","",H263&amp;"|"&amp;SUBSTITUTE(SUBSTITUTE(D263," ",""),"　",""))</f>
        <v/>
      </c>
      <c r="J263" s="42">
        <f>IF(D263="","",IF(ISERROR(MATCH(A263&amp;"-"&amp;B263,設定!$Y$8:$Y$31,0)),"設定にない学年・組",IF(COUNTIF($F$2:$F$451,F263)&gt;1,"同じ学年・組・番号がいる",IF(COUNTIF($I$2:$I$451,I263)&gt;1,"同姓同名あり",""))))</f>
        <v/>
      </c>
    </row>
    <row r="264">
      <c r="A264" s="40" t="n">
        <v>3</v>
      </c>
      <c r="B264" s="40" t="inlineStr">
        <is>
          <t>松</t>
        </is>
      </c>
      <c r="C264" s="40" t="n">
        <v>23</v>
      </c>
      <c r="D264" s="41" t="inlineStr">
        <is>
          <t>伊藤　花音</t>
        </is>
      </c>
      <c r="F264" s="8">
        <f>IF(D264="","",A264&amp;"-"&amp;B264&amp;"-"&amp;C264)</f>
        <v/>
      </c>
      <c r="G264" s="8">
        <f>IF(D264="","",IFERROR(MATCH(A264&amp;"-"&amp;B264,設定!$Y$8:$Y$31,0),99)*1000+C264+ROW()/1000000)</f>
        <v/>
      </c>
      <c r="H264" s="8">
        <f>IF(D264="","",A264+1)</f>
        <v/>
      </c>
      <c r="I264" s="8">
        <f>IF(D264="","",H264&amp;"|"&amp;SUBSTITUTE(SUBSTITUTE(D264," ",""),"　",""))</f>
        <v/>
      </c>
      <c r="J264" s="42">
        <f>IF(D264="","",IF(ISERROR(MATCH(A264&amp;"-"&amp;B264,設定!$Y$8:$Y$31,0)),"設定にない学年・組",IF(COUNTIF($F$2:$F$451,F264)&gt;1,"同じ学年・組・番号がいる",IF(COUNTIF($I$2:$I$451,I264)&gt;1,"同姓同名あり",""))))</f>
        <v/>
      </c>
    </row>
    <row r="265">
      <c r="A265" s="40" t="n">
        <v>3</v>
      </c>
      <c r="B265" s="40" t="inlineStr">
        <is>
          <t>松</t>
        </is>
      </c>
      <c r="C265" s="40" t="n">
        <v>24</v>
      </c>
      <c r="D265" s="41" t="inlineStr">
        <is>
          <t>小川　澪</t>
        </is>
      </c>
      <c r="F265" s="8">
        <f>IF(D265="","",A265&amp;"-"&amp;B265&amp;"-"&amp;C265)</f>
        <v/>
      </c>
      <c r="G265" s="8">
        <f>IF(D265="","",IFERROR(MATCH(A265&amp;"-"&amp;B265,設定!$Y$8:$Y$31,0),99)*1000+C265+ROW()/1000000)</f>
        <v/>
      </c>
      <c r="H265" s="8">
        <f>IF(D265="","",A265+1)</f>
        <v/>
      </c>
      <c r="I265" s="8">
        <f>IF(D265="","",H265&amp;"|"&amp;SUBSTITUTE(SUBSTITUTE(D265," ",""),"　",""))</f>
        <v/>
      </c>
      <c r="J265" s="42">
        <f>IF(D265="","",IF(ISERROR(MATCH(A265&amp;"-"&amp;B265,設定!$Y$8:$Y$31,0)),"設定にない学年・組",IF(COUNTIF($F$2:$F$451,F265)&gt;1,"同じ学年・組・番号がいる",IF(COUNTIF($I$2:$I$451,I265)&gt;1,"同姓同名あり",""))))</f>
        <v/>
      </c>
    </row>
    <row r="266">
      <c r="A266" s="40" t="n">
        <v>3</v>
      </c>
      <c r="B266" s="40" t="inlineStr">
        <is>
          <t>松</t>
        </is>
      </c>
      <c r="C266" s="40" t="n">
        <v>25</v>
      </c>
      <c r="D266" s="41" t="inlineStr">
        <is>
          <t>石川　健太</t>
        </is>
      </c>
      <c r="F266" s="8">
        <f>IF(D266="","",A266&amp;"-"&amp;B266&amp;"-"&amp;C266)</f>
        <v/>
      </c>
      <c r="G266" s="8">
        <f>IF(D266="","",IFERROR(MATCH(A266&amp;"-"&amp;B266,設定!$Y$8:$Y$31,0),99)*1000+C266+ROW()/1000000)</f>
        <v/>
      </c>
      <c r="H266" s="8">
        <f>IF(D266="","",A266+1)</f>
        <v/>
      </c>
      <c r="I266" s="8">
        <f>IF(D266="","",H266&amp;"|"&amp;SUBSTITUTE(SUBSTITUTE(D266," ",""),"　",""))</f>
        <v/>
      </c>
      <c r="J266" s="42">
        <f>IF(D266="","",IF(ISERROR(MATCH(A266&amp;"-"&amp;B266,設定!$Y$8:$Y$31,0)),"設定にない学年・組",IF(COUNTIF($F$2:$F$451,F266)&gt;1,"同じ学年・組・番号がいる",IF(COUNTIF($I$2:$I$451,I266)&gt;1,"同姓同名あり",""))))</f>
        <v/>
      </c>
    </row>
    <row r="267">
      <c r="A267" s="40" t="n">
        <v>3</v>
      </c>
      <c r="B267" s="40" t="inlineStr">
        <is>
          <t>松</t>
        </is>
      </c>
      <c r="C267" s="40" t="n">
        <v>26</v>
      </c>
      <c r="D267" s="41" t="inlineStr">
        <is>
          <t>井上　心春</t>
        </is>
      </c>
      <c r="F267" s="8">
        <f>IF(D267="","",A267&amp;"-"&amp;B267&amp;"-"&amp;C267)</f>
        <v/>
      </c>
      <c r="G267" s="8">
        <f>IF(D267="","",IFERROR(MATCH(A267&amp;"-"&amp;B267,設定!$Y$8:$Y$31,0),99)*1000+C267+ROW()/1000000)</f>
        <v/>
      </c>
      <c r="H267" s="8">
        <f>IF(D267="","",A267+1)</f>
        <v/>
      </c>
      <c r="I267" s="8">
        <f>IF(D267="","",H267&amp;"|"&amp;SUBSTITUTE(SUBSTITUTE(D267," ",""),"　",""))</f>
        <v/>
      </c>
      <c r="J267" s="42">
        <f>IF(D267="","",IF(ISERROR(MATCH(A267&amp;"-"&amp;B267,設定!$Y$8:$Y$31,0)),"設定にない学年・組",IF(COUNTIF($F$2:$F$451,F267)&gt;1,"同じ学年・組・番号がいる",IF(COUNTIF($I$2:$I$451,I267)&gt;1,"同姓同名あり",""))))</f>
        <v/>
      </c>
    </row>
    <row r="268">
      <c r="A268" s="40" t="n">
        <v>3</v>
      </c>
      <c r="B268" s="40" t="inlineStr">
        <is>
          <t>松</t>
        </is>
      </c>
      <c r="C268" s="40" t="n">
        <v>27</v>
      </c>
      <c r="D268" s="41" t="inlineStr">
        <is>
          <t>岡田　朝陽</t>
        </is>
      </c>
      <c r="F268" s="8">
        <f>IF(D268="","",A268&amp;"-"&amp;B268&amp;"-"&amp;C268)</f>
        <v/>
      </c>
      <c r="G268" s="8">
        <f>IF(D268="","",IFERROR(MATCH(A268&amp;"-"&amp;B268,設定!$Y$8:$Y$31,0),99)*1000+C268+ROW()/1000000)</f>
        <v/>
      </c>
      <c r="H268" s="8">
        <f>IF(D268="","",A268+1)</f>
        <v/>
      </c>
      <c r="I268" s="8">
        <f>IF(D268="","",H268&amp;"|"&amp;SUBSTITUTE(SUBSTITUTE(D268," ",""),"　",""))</f>
        <v/>
      </c>
      <c r="J268" s="42">
        <f>IF(D268="","",IF(ISERROR(MATCH(A268&amp;"-"&amp;B268,設定!$Y$8:$Y$31,0)),"設定にない学年・組",IF(COUNTIF($F$2:$F$451,F268)&gt;1,"同じ学年・組・番号がいる",IF(COUNTIF($I$2:$I$451,I268)&gt;1,"同姓同名あり",""))))</f>
        <v/>
      </c>
    </row>
    <row r="269">
      <c r="A269" s="40" t="n">
        <v>3</v>
      </c>
      <c r="B269" s="40" t="inlineStr">
        <is>
          <t>松</t>
        </is>
      </c>
      <c r="C269" s="40" t="n">
        <v>28</v>
      </c>
      <c r="D269" s="41" t="inlineStr">
        <is>
          <t>森　結衣</t>
        </is>
      </c>
      <c r="F269" s="8">
        <f>IF(D269="","",A269&amp;"-"&amp;B269&amp;"-"&amp;C269)</f>
        <v/>
      </c>
      <c r="G269" s="8">
        <f>IF(D269="","",IFERROR(MATCH(A269&amp;"-"&amp;B269,設定!$Y$8:$Y$31,0),99)*1000+C269+ROW()/1000000)</f>
        <v/>
      </c>
      <c r="H269" s="8">
        <f>IF(D269="","",A269+1)</f>
        <v/>
      </c>
      <c r="I269" s="8">
        <f>IF(D269="","",H269&amp;"|"&amp;SUBSTITUTE(SUBSTITUTE(D269," ",""),"　",""))</f>
        <v/>
      </c>
      <c r="J269" s="42">
        <f>IF(D269="","",IF(ISERROR(MATCH(A269&amp;"-"&amp;B269,設定!$Y$8:$Y$31,0)),"設定にない学年・組",IF(COUNTIF($F$2:$F$451,F269)&gt;1,"同じ学年・組・番号がいる",IF(COUNTIF($I$2:$I$451,I269)&gt;1,"同姓同名あり",""))))</f>
        <v/>
      </c>
    </row>
    <row r="270">
      <c r="A270" s="40" t="n">
        <v>3</v>
      </c>
      <c r="B270" s="40" t="inlineStr">
        <is>
          <t>松</t>
        </is>
      </c>
      <c r="C270" s="40" t="n">
        <v>29</v>
      </c>
      <c r="D270" s="41" t="inlineStr">
        <is>
          <t>前田　彩花</t>
        </is>
      </c>
      <c r="F270" s="8">
        <f>IF(D270="","",A270&amp;"-"&amp;B270&amp;"-"&amp;C270)</f>
        <v/>
      </c>
      <c r="G270" s="8">
        <f>IF(D270="","",IFERROR(MATCH(A270&amp;"-"&amp;B270,設定!$Y$8:$Y$31,0),99)*1000+C270+ROW()/1000000)</f>
        <v/>
      </c>
      <c r="H270" s="8">
        <f>IF(D270="","",A270+1)</f>
        <v/>
      </c>
      <c r="I270" s="8">
        <f>IF(D270="","",H270&amp;"|"&amp;SUBSTITUTE(SUBSTITUTE(D270," ",""),"　",""))</f>
        <v/>
      </c>
      <c r="J270" s="42">
        <f>IF(D270="","",IF(ISERROR(MATCH(A270&amp;"-"&amp;B270,設定!$Y$8:$Y$31,0)),"設定にない学年・組",IF(COUNTIF($F$2:$F$451,F270)&gt;1,"同じ学年・組・番号がいる",IF(COUNTIF($I$2:$I$451,I270)&gt;1,"同姓同名あり",""))))</f>
        <v/>
      </c>
    </row>
    <row r="271">
      <c r="A271" s="40" t="n">
        <v>3</v>
      </c>
      <c r="B271" s="40" t="inlineStr">
        <is>
          <t>松</t>
        </is>
      </c>
      <c r="C271" s="40" t="n">
        <v>30</v>
      </c>
      <c r="D271" s="41" t="inlineStr">
        <is>
          <t>山崎　悠真</t>
        </is>
      </c>
      <c r="F271" s="8">
        <f>IF(D271="","",A271&amp;"-"&amp;B271&amp;"-"&amp;C271)</f>
        <v/>
      </c>
      <c r="G271" s="8">
        <f>IF(D271="","",IFERROR(MATCH(A271&amp;"-"&amp;B271,設定!$Y$8:$Y$31,0),99)*1000+C271+ROW()/1000000)</f>
        <v/>
      </c>
      <c r="H271" s="8">
        <f>IF(D271="","",A271+1)</f>
        <v/>
      </c>
      <c r="I271" s="8">
        <f>IF(D271="","",H271&amp;"|"&amp;SUBSTITUTE(SUBSTITUTE(D271," ",""),"　",""))</f>
        <v/>
      </c>
      <c r="J271" s="42">
        <f>IF(D271="","",IF(ISERROR(MATCH(A271&amp;"-"&amp;B271,設定!$Y$8:$Y$31,0)),"設定にない学年・組",IF(COUNTIF($F$2:$F$451,F271)&gt;1,"同じ学年・組・番号がいる",IF(COUNTIF($I$2:$I$451,I271)&gt;1,"同姓同名あり",""))))</f>
        <v/>
      </c>
    </row>
    <row r="272">
      <c r="A272" s="40" t="n">
        <v>3</v>
      </c>
      <c r="B272" s="40" t="inlineStr">
        <is>
          <t>竹</t>
        </is>
      </c>
      <c r="C272" s="40" t="n">
        <v>1</v>
      </c>
      <c r="D272" s="41" t="inlineStr">
        <is>
          <t>坂本　陽翔</t>
        </is>
      </c>
      <c r="F272" s="8">
        <f>IF(D272="","",A272&amp;"-"&amp;B272&amp;"-"&amp;C272)</f>
        <v/>
      </c>
      <c r="G272" s="8">
        <f>IF(D272="","",IFERROR(MATCH(A272&amp;"-"&amp;B272,設定!$Y$8:$Y$31,0),99)*1000+C272+ROW()/1000000)</f>
        <v/>
      </c>
      <c r="H272" s="8">
        <f>IF(D272="","",A272+1)</f>
        <v/>
      </c>
      <c r="I272" s="8">
        <f>IF(D272="","",H272&amp;"|"&amp;SUBSTITUTE(SUBSTITUTE(D272," ",""),"　",""))</f>
        <v/>
      </c>
      <c r="J272" s="42">
        <f>IF(D272="","",IF(ISERROR(MATCH(A272&amp;"-"&amp;B272,設定!$Y$8:$Y$31,0)),"設定にない学年・組",IF(COUNTIF($F$2:$F$451,F272)&gt;1,"同じ学年・組・番号がいる",IF(COUNTIF($I$2:$I$451,I272)&gt;1,"同姓同名あり",""))))</f>
        <v/>
      </c>
    </row>
    <row r="273">
      <c r="A273" s="40" t="n">
        <v>3</v>
      </c>
      <c r="B273" s="40" t="inlineStr">
        <is>
          <t>竹</t>
        </is>
      </c>
      <c r="C273" s="40" t="n">
        <v>2</v>
      </c>
      <c r="D273" s="41" t="inlineStr">
        <is>
          <t>木村　朝陽</t>
        </is>
      </c>
      <c r="F273" s="8">
        <f>IF(D273="","",A273&amp;"-"&amp;B273&amp;"-"&amp;C273)</f>
        <v/>
      </c>
      <c r="G273" s="8">
        <f>IF(D273="","",IFERROR(MATCH(A273&amp;"-"&amp;B273,設定!$Y$8:$Y$31,0),99)*1000+C273+ROW()/1000000)</f>
        <v/>
      </c>
      <c r="H273" s="8">
        <f>IF(D273="","",A273+1)</f>
        <v/>
      </c>
      <c r="I273" s="8">
        <f>IF(D273="","",H273&amp;"|"&amp;SUBSTITUTE(SUBSTITUTE(D273," ",""),"　",""))</f>
        <v/>
      </c>
      <c r="J273" s="42">
        <f>IF(D273="","",IF(ISERROR(MATCH(A273&amp;"-"&amp;B273,設定!$Y$8:$Y$31,0)),"設定にない学年・組",IF(COUNTIF($F$2:$F$451,F273)&gt;1,"同じ学年・組・番号がいる",IF(COUNTIF($I$2:$I$451,I273)&gt;1,"同姓同名あり",""))))</f>
        <v/>
      </c>
    </row>
    <row r="274">
      <c r="A274" s="40" t="n">
        <v>3</v>
      </c>
      <c r="B274" s="40" t="inlineStr">
        <is>
          <t>竹</t>
        </is>
      </c>
      <c r="C274" s="40" t="n">
        <v>3</v>
      </c>
      <c r="D274" s="41" t="inlineStr">
        <is>
          <t>岡本　陽翔</t>
        </is>
      </c>
      <c r="F274" s="8">
        <f>IF(D274="","",A274&amp;"-"&amp;B274&amp;"-"&amp;C274)</f>
        <v/>
      </c>
      <c r="G274" s="8">
        <f>IF(D274="","",IFERROR(MATCH(A274&amp;"-"&amp;B274,設定!$Y$8:$Y$31,0),99)*1000+C274+ROW()/1000000)</f>
        <v/>
      </c>
      <c r="H274" s="8">
        <f>IF(D274="","",A274+1)</f>
        <v/>
      </c>
      <c r="I274" s="8">
        <f>IF(D274="","",H274&amp;"|"&amp;SUBSTITUTE(SUBSTITUTE(D274," ",""),"　",""))</f>
        <v/>
      </c>
      <c r="J274" s="42">
        <f>IF(D274="","",IF(ISERROR(MATCH(A274&amp;"-"&amp;B274,設定!$Y$8:$Y$31,0)),"設定にない学年・組",IF(COUNTIF($F$2:$F$451,F274)&gt;1,"同じ学年・組・番号がいる",IF(COUNTIF($I$2:$I$451,I274)&gt;1,"同姓同名あり",""))))</f>
        <v/>
      </c>
    </row>
    <row r="275">
      <c r="A275" s="40" t="n">
        <v>3</v>
      </c>
      <c r="B275" s="40" t="inlineStr">
        <is>
          <t>竹</t>
        </is>
      </c>
      <c r="C275" s="40" t="n">
        <v>4</v>
      </c>
      <c r="D275" s="41" t="inlineStr">
        <is>
          <t>加藤　新</t>
        </is>
      </c>
      <c r="F275" s="8">
        <f>IF(D275="","",A275&amp;"-"&amp;B275&amp;"-"&amp;C275)</f>
        <v/>
      </c>
      <c r="G275" s="8">
        <f>IF(D275="","",IFERROR(MATCH(A275&amp;"-"&amp;B275,設定!$Y$8:$Y$31,0),99)*1000+C275+ROW()/1000000)</f>
        <v/>
      </c>
      <c r="H275" s="8">
        <f>IF(D275="","",A275+1)</f>
        <v/>
      </c>
      <c r="I275" s="8">
        <f>IF(D275="","",H275&amp;"|"&amp;SUBSTITUTE(SUBSTITUTE(D275," ",""),"　",""))</f>
        <v/>
      </c>
      <c r="J275" s="42">
        <f>IF(D275="","",IF(ISERROR(MATCH(A275&amp;"-"&amp;B275,設定!$Y$8:$Y$31,0)),"設定にない学年・組",IF(COUNTIF($F$2:$F$451,F275)&gt;1,"同じ学年・組・番号がいる",IF(COUNTIF($I$2:$I$451,I275)&gt;1,"同姓同名あり",""))))</f>
        <v/>
      </c>
    </row>
    <row r="276">
      <c r="A276" s="40" t="n">
        <v>3</v>
      </c>
      <c r="B276" s="40" t="inlineStr">
        <is>
          <t>竹</t>
        </is>
      </c>
      <c r="C276" s="40" t="n">
        <v>5</v>
      </c>
      <c r="D276" s="41" t="inlineStr">
        <is>
          <t>佐藤　一花</t>
        </is>
      </c>
      <c r="F276" s="8">
        <f>IF(D276="","",A276&amp;"-"&amp;B276&amp;"-"&amp;C276)</f>
        <v/>
      </c>
      <c r="G276" s="8">
        <f>IF(D276="","",IFERROR(MATCH(A276&amp;"-"&amp;B276,設定!$Y$8:$Y$31,0),99)*1000+C276+ROW()/1000000)</f>
        <v/>
      </c>
      <c r="H276" s="8">
        <f>IF(D276="","",A276+1)</f>
        <v/>
      </c>
      <c r="I276" s="8">
        <f>IF(D276="","",H276&amp;"|"&amp;SUBSTITUTE(SUBSTITUTE(D276," ",""),"　",""))</f>
        <v/>
      </c>
      <c r="J276" s="42">
        <f>IF(D276="","",IF(ISERROR(MATCH(A276&amp;"-"&amp;B276,設定!$Y$8:$Y$31,0)),"設定にない学年・組",IF(COUNTIF($F$2:$F$451,F276)&gt;1,"同じ学年・組・番号がいる",IF(COUNTIF($I$2:$I$451,I276)&gt;1,"同姓同名あり",""))))</f>
        <v/>
      </c>
    </row>
    <row r="277">
      <c r="A277" s="40" t="n">
        <v>3</v>
      </c>
      <c r="B277" s="40" t="inlineStr">
        <is>
          <t>竹</t>
        </is>
      </c>
      <c r="C277" s="40" t="n">
        <v>6</v>
      </c>
      <c r="D277" s="41" t="inlineStr">
        <is>
          <t>斎藤　陽葵</t>
        </is>
      </c>
      <c r="F277" s="8">
        <f>IF(D277="","",A277&amp;"-"&amp;B277&amp;"-"&amp;C277)</f>
        <v/>
      </c>
      <c r="G277" s="8">
        <f>IF(D277="","",IFERROR(MATCH(A277&amp;"-"&amp;B277,設定!$Y$8:$Y$31,0),99)*1000+C277+ROW()/1000000)</f>
        <v/>
      </c>
      <c r="H277" s="8">
        <f>IF(D277="","",A277+1)</f>
        <v/>
      </c>
      <c r="I277" s="8">
        <f>IF(D277="","",H277&amp;"|"&amp;SUBSTITUTE(SUBSTITUTE(D277," ",""),"　",""))</f>
        <v/>
      </c>
      <c r="J277" s="42">
        <f>IF(D277="","",IF(ISERROR(MATCH(A277&amp;"-"&amp;B277,設定!$Y$8:$Y$31,0)),"設定にない学年・組",IF(COUNTIF($F$2:$F$451,F277)&gt;1,"同じ学年・組・番号がいる",IF(COUNTIF($I$2:$I$451,I277)&gt;1,"同姓同名あり",""))))</f>
        <v/>
      </c>
    </row>
    <row r="278">
      <c r="A278" s="40" t="n">
        <v>3</v>
      </c>
      <c r="B278" s="40" t="inlineStr">
        <is>
          <t>竹</t>
        </is>
      </c>
      <c r="C278" s="40" t="n">
        <v>7</v>
      </c>
      <c r="D278" s="41" t="inlineStr">
        <is>
          <t>原田　結菜</t>
        </is>
      </c>
      <c r="F278" s="8">
        <f>IF(D278="","",A278&amp;"-"&amp;B278&amp;"-"&amp;C278)</f>
        <v/>
      </c>
      <c r="G278" s="8">
        <f>IF(D278="","",IFERROR(MATCH(A278&amp;"-"&amp;B278,設定!$Y$8:$Y$31,0),99)*1000+C278+ROW()/1000000)</f>
        <v/>
      </c>
      <c r="H278" s="8">
        <f>IF(D278="","",A278+1)</f>
        <v/>
      </c>
      <c r="I278" s="8">
        <f>IF(D278="","",H278&amp;"|"&amp;SUBSTITUTE(SUBSTITUTE(D278," ",""),"　",""))</f>
        <v/>
      </c>
      <c r="J278" s="42">
        <f>IF(D278="","",IF(ISERROR(MATCH(A278&amp;"-"&amp;B278,設定!$Y$8:$Y$31,0)),"設定にない学年・組",IF(COUNTIF($F$2:$F$451,F278)&gt;1,"同じ学年・組・番号がいる",IF(COUNTIF($I$2:$I$451,I278)&gt;1,"同姓同名あり",""))))</f>
        <v/>
      </c>
    </row>
    <row r="279">
      <c r="A279" s="40" t="n">
        <v>3</v>
      </c>
      <c r="B279" s="40" t="inlineStr">
        <is>
          <t>竹</t>
        </is>
      </c>
      <c r="C279" s="40" t="n">
        <v>8</v>
      </c>
      <c r="D279" s="41" t="inlineStr">
        <is>
          <t>井上　さくら</t>
        </is>
      </c>
      <c r="F279" s="8">
        <f>IF(D279="","",A279&amp;"-"&amp;B279&amp;"-"&amp;C279)</f>
        <v/>
      </c>
      <c r="G279" s="8">
        <f>IF(D279="","",IFERROR(MATCH(A279&amp;"-"&amp;B279,設定!$Y$8:$Y$31,0),99)*1000+C279+ROW()/1000000)</f>
        <v/>
      </c>
      <c r="H279" s="8">
        <f>IF(D279="","",A279+1)</f>
        <v/>
      </c>
      <c r="I279" s="8">
        <f>IF(D279="","",H279&amp;"|"&amp;SUBSTITUTE(SUBSTITUTE(D279," ",""),"　",""))</f>
        <v/>
      </c>
      <c r="J279" s="42">
        <f>IF(D279="","",IF(ISERROR(MATCH(A279&amp;"-"&amp;B279,設定!$Y$8:$Y$31,0)),"設定にない学年・組",IF(COUNTIF($F$2:$F$451,F279)&gt;1,"同じ学年・組・番号がいる",IF(COUNTIF($I$2:$I$451,I279)&gt;1,"同姓同名あり",""))))</f>
        <v/>
      </c>
    </row>
    <row r="280">
      <c r="A280" s="40" t="n">
        <v>3</v>
      </c>
      <c r="B280" s="40" t="inlineStr">
        <is>
          <t>竹</t>
        </is>
      </c>
      <c r="C280" s="40" t="n">
        <v>9</v>
      </c>
      <c r="D280" s="41" t="inlineStr">
        <is>
          <t>岡田　悠真</t>
        </is>
      </c>
      <c r="F280" s="8">
        <f>IF(D280="","",A280&amp;"-"&amp;B280&amp;"-"&amp;C280)</f>
        <v/>
      </c>
      <c r="G280" s="8">
        <f>IF(D280="","",IFERROR(MATCH(A280&amp;"-"&amp;B280,設定!$Y$8:$Y$31,0),99)*1000+C280+ROW()/1000000)</f>
        <v/>
      </c>
      <c r="H280" s="8">
        <f>IF(D280="","",A280+1)</f>
        <v/>
      </c>
      <c r="I280" s="8">
        <f>IF(D280="","",H280&amp;"|"&amp;SUBSTITUTE(SUBSTITUTE(D280," ",""),"　",""))</f>
        <v/>
      </c>
      <c r="J280" s="42">
        <f>IF(D280="","",IF(ISERROR(MATCH(A280&amp;"-"&amp;B280,設定!$Y$8:$Y$31,0)),"設定にない学年・組",IF(COUNTIF($F$2:$F$451,F280)&gt;1,"同じ学年・組・番号がいる",IF(COUNTIF($I$2:$I$451,I280)&gt;1,"同姓同名あり",""))))</f>
        <v/>
      </c>
    </row>
    <row r="281">
      <c r="A281" s="40" t="n">
        <v>3</v>
      </c>
      <c r="B281" s="40" t="inlineStr">
        <is>
          <t>竹</t>
        </is>
      </c>
      <c r="C281" s="40" t="n">
        <v>10</v>
      </c>
      <c r="D281" s="41" t="inlineStr">
        <is>
          <t>岡田　翼</t>
        </is>
      </c>
      <c r="F281" s="8">
        <f>IF(D281="","",A281&amp;"-"&amp;B281&amp;"-"&amp;C281)</f>
        <v/>
      </c>
      <c r="G281" s="8">
        <f>IF(D281="","",IFERROR(MATCH(A281&amp;"-"&amp;B281,設定!$Y$8:$Y$31,0),99)*1000+C281+ROW()/1000000)</f>
        <v/>
      </c>
      <c r="H281" s="8">
        <f>IF(D281="","",A281+1)</f>
        <v/>
      </c>
      <c r="I281" s="8">
        <f>IF(D281="","",H281&amp;"|"&amp;SUBSTITUTE(SUBSTITUTE(D281," ",""),"　",""))</f>
        <v/>
      </c>
      <c r="J281" s="42">
        <f>IF(D281="","",IF(ISERROR(MATCH(A281&amp;"-"&amp;B281,設定!$Y$8:$Y$31,0)),"設定にない学年・組",IF(COUNTIF($F$2:$F$451,F281)&gt;1,"同じ学年・組・番号がいる",IF(COUNTIF($I$2:$I$451,I281)&gt;1,"同姓同名あり",""))))</f>
        <v/>
      </c>
    </row>
    <row r="282">
      <c r="A282" s="40" t="n">
        <v>3</v>
      </c>
      <c r="B282" s="40" t="inlineStr">
        <is>
          <t>竹</t>
        </is>
      </c>
      <c r="C282" s="40" t="n">
        <v>11</v>
      </c>
      <c r="D282" s="41" t="inlineStr">
        <is>
          <t>遠藤　陽太</t>
        </is>
      </c>
      <c r="F282" s="8">
        <f>IF(D282="","",A282&amp;"-"&amp;B282&amp;"-"&amp;C282)</f>
        <v/>
      </c>
      <c r="G282" s="8">
        <f>IF(D282="","",IFERROR(MATCH(A282&amp;"-"&amp;B282,設定!$Y$8:$Y$31,0),99)*1000+C282+ROW()/1000000)</f>
        <v/>
      </c>
      <c r="H282" s="8">
        <f>IF(D282="","",A282+1)</f>
        <v/>
      </c>
      <c r="I282" s="8">
        <f>IF(D282="","",H282&amp;"|"&amp;SUBSTITUTE(SUBSTITUTE(D282," ",""),"　",""))</f>
        <v/>
      </c>
      <c r="J282" s="42">
        <f>IF(D282="","",IF(ISERROR(MATCH(A282&amp;"-"&amp;B282,設定!$Y$8:$Y$31,0)),"設定にない学年・組",IF(COUNTIF($F$2:$F$451,F282)&gt;1,"同じ学年・組・番号がいる",IF(COUNTIF($I$2:$I$451,I282)&gt;1,"同姓同名あり",""))))</f>
        <v/>
      </c>
    </row>
    <row r="283">
      <c r="A283" s="40" t="n">
        <v>3</v>
      </c>
      <c r="B283" s="40" t="inlineStr">
        <is>
          <t>竹</t>
        </is>
      </c>
      <c r="C283" s="40" t="n">
        <v>12</v>
      </c>
      <c r="D283" s="41" t="inlineStr">
        <is>
          <t>長谷川　さくら</t>
        </is>
      </c>
      <c r="F283" s="8">
        <f>IF(D283="","",A283&amp;"-"&amp;B283&amp;"-"&amp;C283)</f>
        <v/>
      </c>
      <c r="G283" s="8">
        <f>IF(D283="","",IFERROR(MATCH(A283&amp;"-"&amp;B283,設定!$Y$8:$Y$31,0),99)*1000+C283+ROW()/1000000)</f>
        <v/>
      </c>
      <c r="H283" s="8">
        <f>IF(D283="","",A283+1)</f>
        <v/>
      </c>
      <c r="I283" s="8">
        <f>IF(D283="","",H283&amp;"|"&amp;SUBSTITUTE(SUBSTITUTE(D283," ",""),"　",""))</f>
        <v/>
      </c>
      <c r="J283" s="42">
        <f>IF(D283="","",IF(ISERROR(MATCH(A283&amp;"-"&amp;B283,設定!$Y$8:$Y$31,0)),"設定にない学年・組",IF(COUNTIF($F$2:$F$451,F283)&gt;1,"同じ学年・組・番号がいる",IF(COUNTIF($I$2:$I$451,I283)&gt;1,"同姓同名あり",""))))</f>
        <v/>
      </c>
    </row>
    <row r="284">
      <c r="A284" s="40" t="n">
        <v>3</v>
      </c>
      <c r="B284" s="40" t="inlineStr">
        <is>
          <t>竹</t>
        </is>
      </c>
      <c r="C284" s="40" t="n">
        <v>13</v>
      </c>
      <c r="D284" s="41" t="inlineStr">
        <is>
          <t>木村　美咲</t>
        </is>
      </c>
      <c r="F284" s="8">
        <f>IF(D284="","",A284&amp;"-"&amp;B284&amp;"-"&amp;C284)</f>
        <v/>
      </c>
      <c r="G284" s="8">
        <f>IF(D284="","",IFERROR(MATCH(A284&amp;"-"&amp;B284,設定!$Y$8:$Y$31,0),99)*1000+C284+ROW()/1000000)</f>
        <v/>
      </c>
      <c r="H284" s="8">
        <f>IF(D284="","",A284+1)</f>
        <v/>
      </c>
      <c r="I284" s="8">
        <f>IF(D284="","",H284&amp;"|"&amp;SUBSTITUTE(SUBSTITUTE(D284," ",""),"　",""))</f>
        <v/>
      </c>
      <c r="J284" s="42">
        <f>IF(D284="","",IF(ISERROR(MATCH(A284&amp;"-"&amp;B284,設定!$Y$8:$Y$31,0)),"設定にない学年・組",IF(COUNTIF($F$2:$F$451,F284)&gt;1,"同じ学年・組・番号がいる",IF(COUNTIF($I$2:$I$451,I284)&gt;1,"同姓同名あり",""))))</f>
        <v/>
      </c>
    </row>
    <row r="285">
      <c r="A285" s="40" t="n">
        <v>3</v>
      </c>
      <c r="B285" s="40" t="inlineStr">
        <is>
          <t>竹</t>
        </is>
      </c>
      <c r="C285" s="40" t="n">
        <v>14</v>
      </c>
      <c r="D285" s="41" t="inlineStr">
        <is>
          <t>佐々木　琴音</t>
        </is>
      </c>
      <c r="F285" s="8">
        <f>IF(D285="","",A285&amp;"-"&amp;B285&amp;"-"&amp;C285)</f>
        <v/>
      </c>
      <c r="G285" s="8">
        <f>IF(D285="","",IFERROR(MATCH(A285&amp;"-"&amp;B285,設定!$Y$8:$Y$31,0),99)*1000+C285+ROW()/1000000)</f>
        <v/>
      </c>
      <c r="H285" s="8">
        <f>IF(D285="","",A285+1)</f>
        <v/>
      </c>
      <c r="I285" s="8">
        <f>IF(D285="","",H285&amp;"|"&amp;SUBSTITUTE(SUBSTITUTE(D285," ",""),"　",""))</f>
        <v/>
      </c>
      <c r="J285" s="42">
        <f>IF(D285="","",IF(ISERROR(MATCH(A285&amp;"-"&amp;B285,設定!$Y$8:$Y$31,0)),"設定にない学年・組",IF(COUNTIF($F$2:$F$451,F285)&gt;1,"同じ学年・組・番号がいる",IF(COUNTIF($I$2:$I$451,I285)&gt;1,"同姓同名あり",""))))</f>
        <v/>
      </c>
    </row>
    <row r="286">
      <c r="A286" s="40" t="n">
        <v>3</v>
      </c>
      <c r="B286" s="40" t="inlineStr">
        <is>
          <t>竹</t>
        </is>
      </c>
      <c r="C286" s="40" t="n">
        <v>15</v>
      </c>
      <c r="D286" s="41" t="inlineStr">
        <is>
          <t>藤田　結衣</t>
        </is>
      </c>
      <c r="F286" s="8">
        <f>IF(D286="","",A286&amp;"-"&amp;B286&amp;"-"&amp;C286)</f>
        <v/>
      </c>
      <c r="G286" s="8">
        <f>IF(D286="","",IFERROR(MATCH(A286&amp;"-"&amp;B286,設定!$Y$8:$Y$31,0),99)*1000+C286+ROW()/1000000)</f>
        <v/>
      </c>
      <c r="H286" s="8">
        <f>IF(D286="","",A286+1)</f>
        <v/>
      </c>
      <c r="I286" s="8">
        <f>IF(D286="","",H286&amp;"|"&amp;SUBSTITUTE(SUBSTITUTE(D286," ",""),"　",""))</f>
        <v/>
      </c>
      <c r="J286" s="42">
        <f>IF(D286="","",IF(ISERROR(MATCH(A286&amp;"-"&amp;B286,設定!$Y$8:$Y$31,0)),"設定にない学年・組",IF(COUNTIF($F$2:$F$451,F286)&gt;1,"同じ学年・組・番号がいる",IF(COUNTIF($I$2:$I$451,I286)&gt;1,"同姓同名あり",""))))</f>
        <v/>
      </c>
    </row>
    <row r="287">
      <c r="A287" s="40" t="n">
        <v>3</v>
      </c>
      <c r="B287" s="40" t="inlineStr">
        <is>
          <t>竹</t>
        </is>
      </c>
      <c r="C287" s="40" t="n">
        <v>16</v>
      </c>
      <c r="D287" s="41" t="inlineStr">
        <is>
          <t>鈴木　葵</t>
        </is>
      </c>
      <c r="F287" s="8">
        <f>IF(D287="","",A287&amp;"-"&amp;B287&amp;"-"&amp;C287)</f>
        <v/>
      </c>
      <c r="G287" s="8">
        <f>IF(D287="","",IFERROR(MATCH(A287&amp;"-"&amp;B287,設定!$Y$8:$Y$31,0),99)*1000+C287+ROW()/1000000)</f>
        <v/>
      </c>
      <c r="H287" s="8">
        <f>IF(D287="","",A287+1)</f>
        <v/>
      </c>
      <c r="I287" s="8">
        <f>IF(D287="","",H287&amp;"|"&amp;SUBSTITUTE(SUBSTITUTE(D287," ",""),"　",""))</f>
        <v/>
      </c>
      <c r="J287" s="42">
        <f>IF(D287="","",IF(ISERROR(MATCH(A287&amp;"-"&amp;B287,設定!$Y$8:$Y$31,0)),"設定にない学年・組",IF(COUNTIF($F$2:$F$451,F287)&gt;1,"同じ学年・組・番号がいる",IF(COUNTIF($I$2:$I$451,I287)&gt;1,"同姓同名あり",""))))</f>
        <v/>
      </c>
    </row>
    <row r="288">
      <c r="A288" s="40" t="n">
        <v>3</v>
      </c>
      <c r="B288" s="40" t="inlineStr">
        <is>
          <t>竹</t>
        </is>
      </c>
      <c r="C288" s="40" t="n">
        <v>17</v>
      </c>
      <c r="D288" s="41" t="inlineStr">
        <is>
          <t>福田　澪</t>
        </is>
      </c>
      <c r="F288" s="8">
        <f>IF(D288="","",A288&amp;"-"&amp;B288&amp;"-"&amp;C288)</f>
        <v/>
      </c>
      <c r="G288" s="8">
        <f>IF(D288="","",IFERROR(MATCH(A288&amp;"-"&amp;B288,設定!$Y$8:$Y$31,0),99)*1000+C288+ROW()/1000000)</f>
        <v/>
      </c>
      <c r="H288" s="8">
        <f>IF(D288="","",A288+1)</f>
        <v/>
      </c>
      <c r="I288" s="8">
        <f>IF(D288="","",H288&amp;"|"&amp;SUBSTITUTE(SUBSTITUTE(D288," ",""),"　",""))</f>
        <v/>
      </c>
      <c r="J288" s="42">
        <f>IF(D288="","",IF(ISERROR(MATCH(A288&amp;"-"&amp;B288,設定!$Y$8:$Y$31,0)),"設定にない学年・組",IF(COUNTIF($F$2:$F$451,F288)&gt;1,"同じ学年・組・番号がいる",IF(COUNTIF($I$2:$I$451,I288)&gt;1,"同姓同名あり",""))))</f>
        <v/>
      </c>
    </row>
    <row r="289">
      <c r="A289" s="40" t="n">
        <v>3</v>
      </c>
      <c r="B289" s="40" t="inlineStr">
        <is>
          <t>竹</t>
        </is>
      </c>
      <c r="C289" s="40" t="n">
        <v>18</v>
      </c>
      <c r="D289" s="41" t="inlineStr">
        <is>
          <t>藤田　さくら</t>
        </is>
      </c>
      <c r="F289" s="8">
        <f>IF(D289="","",A289&amp;"-"&amp;B289&amp;"-"&amp;C289)</f>
        <v/>
      </c>
      <c r="G289" s="8">
        <f>IF(D289="","",IFERROR(MATCH(A289&amp;"-"&amp;B289,設定!$Y$8:$Y$31,0),99)*1000+C289+ROW()/1000000)</f>
        <v/>
      </c>
      <c r="H289" s="8">
        <f>IF(D289="","",A289+1)</f>
        <v/>
      </c>
      <c r="I289" s="8">
        <f>IF(D289="","",H289&amp;"|"&amp;SUBSTITUTE(SUBSTITUTE(D289," ",""),"　",""))</f>
        <v/>
      </c>
      <c r="J289" s="42">
        <f>IF(D289="","",IF(ISERROR(MATCH(A289&amp;"-"&amp;B289,設定!$Y$8:$Y$31,0)),"設定にない学年・組",IF(COUNTIF($F$2:$F$451,F289)&gt;1,"同じ学年・組・番号がいる",IF(COUNTIF($I$2:$I$451,I289)&gt;1,"同姓同名あり",""))))</f>
        <v/>
      </c>
    </row>
    <row r="290">
      <c r="A290" s="40" t="n">
        <v>3</v>
      </c>
      <c r="B290" s="40" t="inlineStr">
        <is>
          <t>竹</t>
        </is>
      </c>
      <c r="C290" s="40" t="n">
        <v>19</v>
      </c>
      <c r="D290" s="41" t="inlineStr">
        <is>
          <t>吉田　花音</t>
        </is>
      </c>
      <c r="F290" s="8">
        <f>IF(D290="","",A290&amp;"-"&amp;B290&amp;"-"&amp;C290)</f>
        <v/>
      </c>
      <c r="G290" s="8">
        <f>IF(D290="","",IFERROR(MATCH(A290&amp;"-"&amp;B290,設定!$Y$8:$Y$31,0),99)*1000+C290+ROW()/1000000)</f>
        <v/>
      </c>
      <c r="H290" s="8">
        <f>IF(D290="","",A290+1)</f>
        <v/>
      </c>
      <c r="I290" s="8">
        <f>IF(D290="","",H290&amp;"|"&amp;SUBSTITUTE(SUBSTITUTE(D290," ",""),"　",""))</f>
        <v/>
      </c>
      <c r="J290" s="42">
        <f>IF(D290="","",IF(ISERROR(MATCH(A290&amp;"-"&amp;B290,設定!$Y$8:$Y$31,0)),"設定にない学年・組",IF(COUNTIF($F$2:$F$451,F290)&gt;1,"同じ学年・組・番号がいる",IF(COUNTIF($I$2:$I$451,I290)&gt;1,"同姓同名あり",""))))</f>
        <v/>
      </c>
    </row>
    <row r="291">
      <c r="A291" s="40" t="n">
        <v>3</v>
      </c>
      <c r="B291" s="40" t="inlineStr">
        <is>
          <t>竹</t>
        </is>
      </c>
      <c r="C291" s="40" t="n">
        <v>20</v>
      </c>
      <c r="D291" s="41" t="inlineStr">
        <is>
          <t>山口　大翔</t>
        </is>
      </c>
      <c r="F291" s="8">
        <f>IF(D291="","",A291&amp;"-"&amp;B291&amp;"-"&amp;C291)</f>
        <v/>
      </c>
      <c r="G291" s="8">
        <f>IF(D291="","",IFERROR(MATCH(A291&amp;"-"&amp;B291,設定!$Y$8:$Y$31,0),99)*1000+C291+ROW()/1000000)</f>
        <v/>
      </c>
      <c r="H291" s="8">
        <f>IF(D291="","",A291+1)</f>
        <v/>
      </c>
      <c r="I291" s="8">
        <f>IF(D291="","",H291&amp;"|"&amp;SUBSTITUTE(SUBSTITUTE(D291," ",""),"　",""))</f>
        <v/>
      </c>
      <c r="J291" s="42">
        <f>IF(D291="","",IF(ISERROR(MATCH(A291&amp;"-"&amp;B291,設定!$Y$8:$Y$31,0)),"設定にない学年・組",IF(COUNTIF($F$2:$F$451,F291)&gt;1,"同じ学年・組・番号がいる",IF(COUNTIF($I$2:$I$451,I291)&gt;1,"同姓同名あり",""))))</f>
        <v/>
      </c>
    </row>
    <row r="292">
      <c r="A292" s="40" t="n">
        <v>3</v>
      </c>
      <c r="B292" s="40" t="inlineStr">
        <is>
          <t>竹</t>
        </is>
      </c>
      <c r="C292" s="40" t="n">
        <v>21</v>
      </c>
      <c r="D292" s="41" t="inlineStr">
        <is>
          <t>後藤　大翔</t>
        </is>
      </c>
      <c r="F292" s="8">
        <f>IF(D292="","",A292&amp;"-"&amp;B292&amp;"-"&amp;C292)</f>
        <v/>
      </c>
      <c r="G292" s="8">
        <f>IF(D292="","",IFERROR(MATCH(A292&amp;"-"&amp;B292,設定!$Y$8:$Y$31,0),99)*1000+C292+ROW()/1000000)</f>
        <v/>
      </c>
      <c r="H292" s="8">
        <f>IF(D292="","",A292+1)</f>
        <v/>
      </c>
      <c r="I292" s="8">
        <f>IF(D292="","",H292&amp;"|"&amp;SUBSTITUTE(SUBSTITUTE(D292," ",""),"　",""))</f>
        <v/>
      </c>
      <c r="J292" s="42">
        <f>IF(D292="","",IF(ISERROR(MATCH(A292&amp;"-"&amp;B292,設定!$Y$8:$Y$31,0)),"設定にない学年・組",IF(COUNTIF($F$2:$F$451,F292)&gt;1,"同じ学年・組・番号がいる",IF(COUNTIF($I$2:$I$451,I292)&gt;1,"同姓同名あり",""))))</f>
        <v/>
      </c>
    </row>
    <row r="293">
      <c r="A293" s="40" t="n">
        <v>3</v>
      </c>
      <c r="B293" s="40" t="inlineStr">
        <is>
          <t>竹</t>
        </is>
      </c>
      <c r="C293" s="40" t="n">
        <v>22</v>
      </c>
      <c r="D293" s="41" t="inlineStr">
        <is>
          <t>山口　彩花</t>
        </is>
      </c>
      <c r="F293" s="8">
        <f>IF(D293="","",A293&amp;"-"&amp;B293&amp;"-"&amp;C293)</f>
        <v/>
      </c>
      <c r="G293" s="8">
        <f>IF(D293="","",IFERROR(MATCH(A293&amp;"-"&amp;B293,設定!$Y$8:$Y$31,0),99)*1000+C293+ROW()/1000000)</f>
        <v/>
      </c>
      <c r="H293" s="8">
        <f>IF(D293="","",A293+1)</f>
        <v/>
      </c>
      <c r="I293" s="8">
        <f>IF(D293="","",H293&amp;"|"&amp;SUBSTITUTE(SUBSTITUTE(D293," ",""),"　",""))</f>
        <v/>
      </c>
      <c r="J293" s="42">
        <f>IF(D293="","",IF(ISERROR(MATCH(A293&amp;"-"&amp;B293,設定!$Y$8:$Y$31,0)),"設定にない学年・組",IF(COUNTIF($F$2:$F$451,F293)&gt;1,"同じ学年・組・番号がいる",IF(COUNTIF($I$2:$I$451,I293)&gt;1,"同姓同名あり",""))))</f>
        <v/>
      </c>
    </row>
    <row r="294">
      <c r="A294" s="40" t="n">
        <v>3</v>
      </c>
      <c r="B294" s="40" t="inlineStr">
        <is>
          <t>竹</t>
        </is>
      </c>
      <c r="C294" s="40" t="n">
        <v>23</v>
      </c>
      <c r="D294" s="41" t="inlineStr">
        <is>
          <t>山口　花音</t>
        </is>
      </c>
      <c r="F294" s="8">
        <f>IF(D294="","",A294&amp;"-"&amp;B294&amp;"-"&amp;C294)</f>
        <v/>
      </c>
      <c r="G294" s="8">
        <f>IF(D294="","",IFERROR(MATCH(A294&amp;"-"&amp;B294,設定!$Y$8:$Y$31,0),99)*1000+C294+ROW()/1000000)</f>
        <v/>
      </c>
      <c r="H294" s="8">
        <f>IF(D294="","",A294+1)</f>
        <v/>
      </c>
      <c r="I294" s="8">
        <f>IF(D294="","",H294&amp;"|"&amp;SUBSTITUTE(SUBSTITUTE(D294," ",""),"　",""))</f>
        <v/>
      </c>
      <c r="J294" s="42">
        <f>IF(D294="","",IF(ISERROR(MATCH(A294&amp;"-"&amp;B294,設定!$Y$8:$Y$31,0)),"設定にない学年・組",IF(COUNTIF($F$2:$F$451,F294)&gt;1,"同じ学年・組・番号がいる",IF(COUNTIF($I$2:$I$451,I294)&gt;1,"同姓同名あり",""))))</f>
        <v/>
      </c>
    </row>
    <row r="295">
      <c r="A295" s="40" t="n">
        <v>3</v>
      </c>
      <c r="B295" s="40" t="inlineStr">
        <is>
          <t>竹</t>
        </is>
      </c>
      <c r="C295" s="40" t="n">
        <v>24</v>
      </c>
      <c r="D295" s="41" t="inlineStr">
        <is>
          <t>坂本　楓</t>
        </is>
      </c>
      <c r="F295" s="8">
        <f>IF(D295="","",A295&amp;"-"&amp;B295&amp;"-"&amp;C295)</f>
        <v/>
      </c>
      <c r="G295" s="8">
        <f>IF(D295="","",IFERROR(MATCH(A295&amp;"-"&amp;B295,設定!$Y$8:$Y$31,0),99)*1000+C295+ROW()/1000000)</f>
        <v/>
      </c>
      <c r="H295" s="8">
        <f>IF(D295="","",A295+1)</f>
        <v/>
      </c>
      <c r="I295" s="8">
        <f>IF(D295="","",H295&amp;"|"&amp;SUBSTITUTE(SUBSTITUTE(D295," ",""),"　",""))</f>
        <v/>
      </c>
      <c r="J295" s="42">
        <f>IF(D295="","",IF(ISERROR(MATCH(A295&amp;"-"&amp;B295,設定!$Y$8:$Y$31,0)),"設定にない学年・組",IF(COUNTIF($F$2:$F$451,F295)&gt;1,"同じ学年・組・番号がいる",IF(COUNTIF($I$2:$I$451,I295)&gt;1,"同姓同名あり",""))))</f>
        <v/>
      </c>
    </row>
    <row r="296">
      <c r="A296" s="40" t="n">
        <v>3</v>
      </c>
      <c r="B296" s="40" t="inlineStr">
        <is>
          <t>竹</t>
        </is>
      </c>
      <c r="C296" s="40" t="n">
        <v>25</v>
      </c>
      <c r="D296" s="41" t="inlineStr">
        <is>
          <t>小林　新</t>
        </is>
      </c>
      <c r="F296" s="8">
        <f>IF(D296="","",A296&amp;"-"&amp;B296&amp;"-"&amp;C296)</f>
        <v/>
      </c>
      <c r="G296" s="8">
        <f>IF(D296="","",IFERROR(MATCH(A296&amp;"-"&amp;B296,設定!$Y$8:$Y$31,0),99)*1000+C296+ROW()/1000000)</f>
        <v/>
      </c>
      <c r="H296" s="8">
        <f>IF(D296="","",A296+1)</f>
        <v/>
      </c>
      <c r="I296" s="8">
        <f>IF(D296="","",H296&amp;"|"&amp;SUBSTITUTE(SUBSTITUTE(D296," ",""),"　",""))</f>
        <v/>
      </c>
      <c r="J296" s="42">
        <f>IF(D296="","",IF(ISERROR(MATCH(A296&amp;"-"&amp;B296,設定!$Y$8:$Y$31,0)),"設定にない学年・組",IF(COUNTIF($F$2:$F$451,F296)&gt;1,"同じ学年・組・番号がいる",IF(COUNTIF($I$2:$I$451,I296)&gt;1,"同姓同名あり",""))))</f>
        <v/>
      </c>
    </row>
    <row r="297">
      <c r="A297" s="40" t="n">
        <v>3</v>
      </c>
      <c r="B297" s="40" t="inlineStr">
        <is>
          <t>竹</t>
        </is>
      </c>
      <c r="C297" s="40" t="n">
        <v>26</v>
      </c>
      <c r="D297" s="41" t="inlineStr">
        <is>
          <t>池田　結翔</t>
        </is>
      </c>
      <c r="F297" s="8">
        <f>IF(D297="","",A297&amp;"-"&amp;B297&amp;"-"&amp;C297)</f>
        <v/>
      </c>
      <c r="G297" s="8">
        <f>IF(D297="","",IFERROR(MATCH(A297&amp;"-"&amp;B297,設定!$Y$8:$Y$31,0),99)*1000+C297+ROW()/1000000)</f>
        <v/>
      </c>
      <c r="H297" s="8">
        <f>IF(D297="","",A297+1)</f>
        <v/>
      </c>
      <c r="I297" s="8">
        <f>IF(D297="","",H297&amp;"|"&amp;SUBSTITUTE(SUBSTITUTE(D297," ",""),"　",""))</f>
        <v/>
      </c>
      <c r="J297" s="42">
        <f>IF(D297="","",IF(ISERROR(MATCH(A297&amp;"-"&amp;B297,設定!$Y$8:$Y$31,0)),"設定にない学年・組",IF(COUNTIF($F$2:$F$451,F297)&gt;1,"同じ学年・組・番号がいる",IF(COUNTIF($I$2:$I$451,I297)&gt;1,"同姓同名あり",""))))</f>
        <v/>
      </c>
    </row>
    <row r="298">
      <c r="A298" s="40" t="n">
        <v>3</v>
      </c>
      <c r="B298" s="40" t="inlineStr">
        <is>
          <t>竹</t>
        </is>
      </c>
      <c r="C298" s="40" t="n">
        <v>27</v>
      </c>
      <c r="D298" s="41" t="inlineStr">
        <is>
          <t>山崎　真央</t>
        </is>
      </c>
      <c r="F298" s="8">
        <f>IF(D298="","",A298&amp;"-"&amp;B298&amp;"-"&amp;C298)</f>
        <v/>
      </c>
      <c r="G298" s="8">
        <f>IF(D298="","",IFERROR(MATCH(A298&amp;"-"&amp;B298,設定!$Y$8:$Y$31,0),99)*1000+C298+ROW()/1000000)</f>
        <v/>
      </c>
      <c r="H298" s="8">
        <f>IF(D298="","",A298+1)</f>
        <v/>
      </c>
      <c r="I298" s="8">
        <f>IF(D298="","",H298&amp;"|"&amp;SUBSTITUTE(SUBSTITUTE(D298," ",""),"　",""))</f>
        <v/>
      </c>
      <c r="J298" s="42">
        <f>IF(D298="","",IF(ISERROR(MATCH(A298&amp;"-"&amp;B298,設定!$Y$8:$Y$31,0)),"設定にない学年・組",IF(COUNTIF($F$2:$F$451,F298)&gt;1,"同じ学年・組・番号がいる",IF(COUNTIF($I$2:$I$451,I298)&gt;1,"同姓同名あり",""))))</f>
        <v/>
      </c>
    </row>
    <row r="299">
      <c r="A299" s="40" t="n">
        <v>3</v>
      </c>
      <c r="B299" s="40" t="inlineStr">
        <is>
          <t>竹</t>
        </is>
      </c>
      <c r="C299" s="40" t="n">
        <v>28</v>
      </c>
      <c r="D299" s="41" t="inlineStr">
        <is>
          <t>山崎　優斗</t>
        </is>
      </c>
      <c r="F299" s="8">
        <f>IF(D299="","",A299&amp;"-"&amp;B299&amp;"-"&amp;C299)</f>
        <v/>
      </c>
      <c r="G299" s="8">
        <f>IF(D299="","",IFERROR(MATCH(A299&amp;"-"&amp;B299,設定!$Y$8:$Y$31,0),99)*1000+C299+ROW()/1000000)</f>
        <v/>
      </c>
      <c r="H299" s="8">
        <f>IF(D299="","",A299+1)</f>
        <v/>
      </c>
      <c r="I299" s="8">
        <f>IF(D299="","",H299&amp;"|"&amp;SUBSTITUTE(SUBSTITUTE(D299," ",""),"　",""))</f>
        <v/>
      </c>
      <c r="J299" s="42">
        <f>IF(D299="","",IF(ISERROR(MATCH(A299&amp;"-"&amp;B299,設定!$Y$8:$Y$31,0)),"設定にない学年・組",IF(COUNTIF($F$2:$F$451,F299)&gt;1,"同じ学年・組・番号がいる",IF(COUNTIF($I$2:$I$451,I299)&gt;1,"同姓同名あり",""))))</f>
        <v/>
      </c>
    </row>
    <row r="300">
      <c r="A300" s="40" t="n">
        <v>3</v>
      </c>
      <c r="B300" s="40" t="inlineStr">
        <is>
          <t>竹</t>
        </is>
      </c>
      <c r="C300" s="40" t="n">
        <v>29</v>
      </c>
      <c r="D300" s="41" t="inlineStr">
        <is>
          <t>山口　優斗</t>
        </is>
      </c>
      <c r="F300" s="8">
        <f>IF(D300="","",A300&amp;"-"&amp;B300&amp;"-"&amp;C300)</f>
        <v/>
      </c>
      <c r="G300" s="8">
        <f>IF(D300="","",IFERROR(MATCH(A300&amp;"-"&amp;B300,設定!$Y$8:$Y$31,0),99)*1000+C300+ROW()/1000000)</f>
        <v/>
      </c>
      <c r="H300" s="8">
        <f>IF(D300="","",A300+1)</f>
        <v/>
      </c>
      <c r="I300" s="8">
        <f>IF(D300="","",H300&amp;"|"&amp;SUBSTITUTE(SUBSTITUTE(D300," ",""),"　",""))</f>
        <v/>
      </c>
      <c r="J300" s="42">
        <f>IF(D300="","",IF(ISERROR(MATCH(A300&amp;"-"&amp;B300,設定!$Y$8:$Y$31,0)),"設定にない学年・組",IF(COUNTIF($F$2:$F$451,F300)&gt;1,"同じ学年・組・番号がいる",IF(COUNTIF($I$2:$I$451,I300)&gt;1,"同姓同名あり",""))))</f>
        <v/>
      </c>
    </row>
    <row r="301">
      <c r="A301" s="40" t="n">
        <v>3</v>
      </c>
      <c r="B301" s="40" t="inlineStr">
        <is>
          <t>竹</t>
        </is>
      </c>
      <c r="C301" s="40" t="n">
        <v>30</v>
      </c>
      <c r="D301" s="41" t="inlineStr">
        <is>
          <t>山本　朝陽</t>
        </is>
      </c>
      <c r="F301" s="8">
        <f>IF(D301="","",A301&amp;"-"&amp;B301&amp;"-"&amp;C301)</f>
        <v/>
      </c>
      <c r="G301" s="8">
        <f>IF(D301="","",IFERROR(MATCH(A301&amp;"-"&amp;B301,設定!$Y$8:$Y$31,0),99)*1000+C301+ROW()/1000000)</f>
        <v/>
      </c>
      <c r="H301" s="8">
        <f>IF(D301="","",A301+1)</f>
        <v/>
      </c>
      <c r="I301" s="8">
        <f>IF(D301="","",H301&amp;"|"&amp;SUBSTITUTE(SUBSTITUTE(D301," ",""),"　",""))</f>
        <v/>
      </c>
      <c r="J301" s="42">
        <f>IF(D301="","",IF(ISERROR(MATCH(A301&amp;"-"&amp;B301,設定!$Y$8:$Y$31,0)),"設定にない学年・組",IF(COUNTIF($F$2:$F$451,F301)&gt;1,"同じ学年・組・番号がいる",IF(COUNTIF($I$2:$I$451,I301)&gt;1,"同姓同名あり",""))))</f>
        <v/>
      </c>
    </row>
    <row r="302">
      <c r="A302" s="40" t="n">
        <v>3</v>
      </c>
      <c r="B302" s="40" t="inlineStr">
        <is>
          <t>梅</t>
        </is>
      </c>
      <c r="C302" s="40" t="n">
        <v>1</v>
      </c>
      <c r="D302" s="41" t="inlineStr">
        <is>
          <t>井上　朝陽</t>
        </is>
      </c>
      <c r="F302" s="8">
        <f>IF(D302="","",A302&amp;"-"&amp;B302&amp;"-"&amp;C302)</f>
        <v/>
      </c>
      <c r="G302" s="8">
        <f>IF(D302="","",IFERROR(MATCH(A302&amp;"-"&amp;B302,設定!$Y$8:$Y$31,0),99)*1000+C302+ROW()/1000000)</f>
        <v/>
      </c>
      <c r="H302" s="8">
        <f>IF(D302="","",A302+1)</f>
        <v/>
      </c>
      <c r="I302" s="8">
        <f>IF(D302="","",H302&amp;"|"&amp;SUBSTITUTE(SUBSTITUTE(D302," ",""),"　",""))</f>
        <v/>
      </c>
      <c r="J302" s="42">
        <f>IF(D302="","",IF(ISERROR(MATCH(A302&amp;"-"&amp;B302,設定!$Y$8:$Y$31,0)),"設定にない学年・組",IF(COUNTIF($F$2:$F$451,F302)&gt;1,"同じ学年・組・番号がいる",IF(COUNTIF($I$2:$I$451,I302)&gt;1,"同姓同名あり",""))))</f>
        <v/>
      </c>
    </row>
    <row r="303">
      <c r="A303" s="40" t="n">
        <v>3</v>
      </c>
      <c r="B303" s="40" t="inlineStr">
        <is>
          <t>梅</t>
        </is>
      </c>
      <c r="C303" s="40" t="n">
        <v>2</v>
      </c>
      <c r="D303" s="41" t="inlineStr">
        <is>
          <t>原田　大和</t>
        </is>
      </c>
      <c r="F303" s="8">
        <f>IF(D303="","",A303&amp;"-"&amp;B303&amp;"-"&amp;C303)</f>
        <v/>
      </c>
      <c r="G303" s="8">
        <f>IF(D303="","",IFERROR(MATCH(A303&amp;"-"&amp;B303,設定!$Y$8:$Y$31,0),99)*1000+C303+ROW()/1000000)</f>
        <v/>
      </c>
      <c r="H303" s="8">
        <f>IF(D303="","",A303+1)</f>
        <v/>
      </c>
      <c r="I303" s="8">
        <f>IF(D303="","",H303&amp;"|"&amp;SUBSTITUTE(SUBSTITUTE(D303," ",""),"　",""))</f>
        <v/>
      </c>
      <c r="J303" s="42">
        <f>IF(D303="","",IF(ISERROR(MATCH(A303&amp;"-"&amp;B303,設定!$Y$8:$Y$31,0)),"設定にない学年・組",IF(COUNTIF($F$2:$F$451,F303)&gt;1,"同じ学年・組・番号がいる",IF(COUNTIF($I$2:$I$451,I303)&gt;1,"同姓同名あり",""))))</f>
        <v/>
      </c>
    </row>
    <row r="304">
      <c r="A304" s="40" t="n">
        <v>3</v>
      </c>
      <c r="B304" s="40" t="inlineStr">
        <is>
          <t>梅</t>
        </is>
      </c>
      <c r="C304" s="40" t="n">
        <v>3</v>
      </c>
      <c r="D304" s="41" t="inlineStr">
        <is>
          <t>木村　葵</t>
        </is>
      </c>
      <c r="F304" s="8">
        <f>IF(D304="","",A304&amp;"-"&amp;B304&amp;"-"&amp;C304)</f>
        <v/>
      </c>
      <c r="G304" s="8">
        <f>IF(D304="","",IFERROR(MATCH(A304&amp;"-"&amp;B304,設定!$Y$8:$Y$31,0),99)*1000+C304+ROW()/1000000)</f>
        <v/>
      </c>
      <c r="H304" s="8">
        <f>IF(D304="","",A304+1)</f>
        <v/>
      </c>
      <c r="I304" s="8">
        <f>IF(D304="","",H304&amp;"|"&amp;SUBSTITUTE(SUBSTITUTE(D304," ",""),"　",""))</f>
        <v/>
      </c>
      <c r="J304" s="42">
        <f>IF(D304="","",IF(ISERROR(MATCH(A304&amp;"-"&amp;B304,設定!$Y$8:$Y$31,0)),"設定にない学年・組",IF(COUNTIF($F$2:$F$451,F304)&gt;1,"同じ学年・組・番号がいる",IF(COUNTIF($I$2:$I$451,I304)&gt;1,"同姓同名あり",""))))</f>
        <v/>
      </c>
    </row>
    <row r="305">
      <c r="A305" s="40" t="n">
        <v>3</v>
      </c>
      <c r="B305" s="40" t="inlineStr">
        <is>
          <t>梅</t>
        </is>
      </c>
      <c r="C305" s="40" t="n">
        <v>4</v>
      </c>
      <c r="D305" s="41" t="inlineStr">
        <is>
          <t>山本　結衣</t>
        </is>
      </c>
      <c r="F305" s="8">
        <f>IF(D305="","",A305&amp;"-"&amp;B305&amp;"-"&amp;C305)</f>
        <v/>
      </c>
      <c r="G305" s="8">
        <f>IF(D305="","",IFERROR(MATCH(A305&amp;"-"&amp;B305,設定!$Y$8:$Y$31,0),99)*1000+C305+ROW()/1000000)</f>
        <v/>
      </c>
      <c r="H305" s="8">
        <f>IF(D305="","",A305+1)</f>
        <v/>
      </c>
      <c r="I305" s="8">
        <f>IF(D305="","",H305&amp;"|"&amp;SUBSTITUTE(SUBSTITUTE(D305," ",""),"　",""))</f>
        <v/>
      </c>
      <c r="J305" s="42">
        <f>IF(D305="","",IF(ISERROR(MATCH(A305&amp;"-"&amp;B305,設定!$Y$8:$Y$31,0)),"設定にない学年・組",IF(COUNTIF($F$2:$F$451,F305)&gt;1,"同じ学年・組・番号がいる",IF(COUNTIF($I$2:$I$451,I305)&gt;1,"同姓同名あり",""))))</f>
        <v/>
      </c>
    </row>
    <row r="306">
      <c r="A306" s="40" t="n">
        <v>3</v>
      </c>
      <c r="B306" s="40" t="inlineStr">
        <is>
          <t>梅</t>
        </is>
      </c>
      <c r="C306" s="40" t="n">
        <v>5</v>
      </c>
      <c r="D306" s="41" t="inlineStr">
        <is>
          <t>山下　花音</t>
        </is>
      </c>
      <c r="F306" s="8">
        <f>IF(D306="","",A306&amp;"-"&amp;B306&amp;"-"&amp;C306)</f>
        <v/>
      </c>
      <c r="G306" s="8">
        <f>IF(D306="","",IFERROR(MATCH(A306&amp;"-"&amp;B306,設定!$Y$8:$Y$31,0),99)*1000+C306+ROW()/1000000)</f>
        <v/>
      </c>
      <c r="H306" s="8">
        <f>IF(D306="","",A306+1)</f>
        <v/>
      </c>
      <c r="I306" s="8">
        <f>IF(D306="","",H306&amp;"|"&amp;SUBSTITUTE(SUBSTITUTE(D306," ",""),"　",""))</f>
        <v/>
      </c>
      <c r="J306" s="42">
        <f>IF(D306="","",IF(ISERROR(MATCH(A306&amp;"-"&amp;B306,設定!$Y$8:$Y$31,0)),"設定にない学年・組",IF(COUNTIF($F$2:$F$451,F306)&gt;1,"同じ学年・組・番号がいる",IF(COUNTIF($I$2:$I$451,I306)&gt;1,"同姓同名あり",""))))</f>
        <v/>
      </c>
    </row>
    <row r="307">
      <c r="A307" s="40" t="n">
        <v>3</v>
      </c>
      <c r="B307" s="40" t="inlineStr">
        <is>
          <t>梅</t>
        </is>
      </c>
      <c r="C307" s="40" t="n">
        <v>6</v>
      </c>
      <c r="D307" s="41" t="inlineStr">
        <is>
          <t>中野　朝陽</t>
        </is>
      </c>
      <c r="F307" s="8">
        <f>IF(D307="","",A307&amp;"-"&amp;B307&amp;"-"&amp;C307)</f>
        <v/>
      </c>
      <c r="G307" s="8">
        <f>IF(D307="","",IFERROR(MATCH(A307&amp;"-"&amp;B307,設定!$Y$8:$Y$31,0),99)*1000+C307+ROW()/1000000)</f>
        <v/>
      </c>
      <c r="H307" s="8">
        <f>IF(D307="","",A307+1)</f>
        <v/>
      </c>
      <c r="I307" s="8">
        <f>IF(D307="","",H307&amp;"|"&amp;SUBSTITUTE(SUBSTITUTE(D307," ",""),"　",""))</f>
        <v/>
      </c>
      <c r="J307" s="42">
        <f>IF(D307="","",IF(ISERROR(MATCH(A307&amp;"-"&amp;B307,設定!$Y$8:$Y$31,0)),"設定にない学年・組",IF(COUNTIF($F$2:$F$451,F307)&gt;1,"同じ学年・組・番号がいる",IF(COUNTIF($I$2:$I$451,I307)&gt;1,"同姓同名あり",""))))</f>
        <v/>
      </c>
    </row>
    <row r="308">
      <c r="A308" s="40" t="n">
        <v>3</v>
      </c>
      <c r="B308" s="40" t="inlineStr">
        <is>
          <t>梅</t>
        </is>
      </c>
      <c r="C308" s="40" t="n">
        <v>7</v>
      </c>
      <c r="D308" s="41" t="inlineStr">
        <is>
          <t>佐々木　紬</t>
        </is>
      </c>
      <c r="F308" s="8">
        <f>IF(D308="","",A308&amp;"-"&amp;B308&amp;"-"&amp;C308)</f>
        <v/>
      </c>
      <c r="G308" s="8">
        <f>IF(D308="","",IFERROR(MATCH(A308&amp;"-"&amp;B308,設定!$Y$8:$Y$31,0),99)*1000+C308+ROW()/1000000)</f>
        <v/>
      </c>
      <c r="H308" s="8">
        <f>IF(D308="","",A308+1)</f>
        <v/>
      </c>
      <c r="I308" s="8">
        <f>IF(D308="","",H308&amp;"|"&amp;SUBSTITUTE(SUBSTITUTE(D308," ",""),"　",""))</f>
        <v/>
      </c>
      <c r="J308" s="42">
        <f>IF(D308="","",IF(ISERROR(MATCH(A308&amp;"-"&amp;B308,設定!$Y$8:$Y$31,0)),"設定にない学年・組",IF(COUNTIF($F$2:$F$451,F308)&gt;1,"同じ学年・組・番号がいる",IF(COUNTIF($I$2:$I$451,I308)&gt;1,"同姓同名あり",""))))</f>
        <v/>
      </c>
    </row>
    <row r="309">
      <c r="A309" s="40" t="n">
        <v>3</v>
      </c>
      <c r="B309" s="40" t="inlineStr">
        <is>
          <t>梅</t>
        </is>
      </c>
      <c r="C309" s="40" t="n">
        <v>8</v>
      </c>
      <c r="D309" s="41" t="inlineStr">
        <is>
          <t>福田　一花</t>
        </is>
      </c>
      <c r="F309" s="8">
        <f>IF(D309="","",A309&amp;"-"&amp;B309&amp;"-"&amp;C309)</f>
        <v/>
      </c>
      <c r="G309" s="8">
        <f>IF(D309="","",IFERROR(MATCH(A309&amp;"-"&amp;B309,設定!$Y$8:$Y$31,0),99)*1000+C309+ROW()/1000000)</f>
        <v/>
      </c>
      <c r="H309" s="8">
        <f>IF(D309="","",A309+1)</f>
        <v/>
      </c>
      <c r="I309" s="8">
        <f>IF(D309="","",H309&amp;"|"&amp;SUBSTITUTE(SUBSTITUTE(D309," ",""),"　",""))</f>
        <v/>
      </c>
      <c r="J309" s="42">
        <f>IF(D309="","",IF(ISERROR(MATCH(A309&amp;"-"&amp;B309,設定!$Y$8:$Y$31,0)),"設定にない学年・組",IF(COUNTIF($F$2:$F$451,F309)&gt;1,"同じ学年・組・番号がいる",IF(COUNTIF($I$2:$I$451,I309)&gt;1,"同姓同名あり",""))))</f>
        <v/>
      </c>
    </row>
    <row r="310">
      <c r="A310" s="40" t="n">
        <v>3</v>
      </c>
      <c r="B310" s="40" t="inlineStr">
        <is>
          <t>梅</t>
        </is>
      </c>
      <c r="C310" s="40" t="n">
        <v>9</v>
      </c>
      <c r="D310" s="41" t="inlineStr">
        <is>
          <t>鈴木　悠真</t>
        </is>
      </c>
      <c r="F310" s="8">
        <f>IF(D310="","",A310&amp;"-"&amp;B310&amp;"-"&amp;C310)</f>
        <v/>
      </c>
      <c r="G310" s="8">
        <f>IF(D310="","",IFERROR(MATCH(A310&amp;"-"&amp;B310,設定!$Y$8:$Y$31,0),99)*1000+C310+ROW()/1000000)</f>
        <v/>
      </c>
      <c r="H310" s="8">
        <f>IF(D310="","",A310+1)</f>
        <v/>
      </c>
      <c r="I310" s="8">
        <f>IF(D310="","",H310&amp;"|"&amp;SUBSTITUTE(SUBSTITUTE(D310," ",""),"　",""))</f>
        <v/>
      </c>
      <c r="J310" s="42">
        <f>IF(D310="","",IF(ISERROR(MATCH(A310&amp;"-"&amp;B310,設定!$Y$8:$Y$31,0)),"設定にない学年・組",IF(COUNTIF($F$2:$F$451,F310)&gt;1,"同じ学年・組・番号がいる",IF(COUNTIF($I$2:$I$451,I310)&gt;1,"同姓同名あり",""))))</f>
        <v/>
      </c>
    </row>
    <row r="311">
      <c r="A311" s="40" t="n">
        <v>3</v>
      </c>
      <c r="B311" s="40" t="inlineStr">
        <is>
          <t>梅</t>
        </is>
      </c>
      <c r="C311" s="40" t="n">
        <v>10</v>
      </c>
      <c r="D311" s="41" t="inlineStr">
        <is>
          <t>佐々木　千尋</t>
        </is>
      </c>
      <c r="F311" s="8">
        <f>IF(D311="","",A311&amp;"-"&amp;B311&amp;"-"&amp;C311)</f>
        <v/>
      </c>
      <c r="G311" s="8">
        <f>IF(D311="","",IFERROR(MATCH(A311&amp;"-"&amp;B311,設定!$Y$8:$Y$31,0),99)*1000+C311+ROW()/1000000)</f>
        <v/>
      </c>
      <c r="H311" s="8">
        <f>IF(D311="","",A311+1)</f>
        <v/>
      </c>
      <c r="I311" s="8">
        <f>IF(D311="","",H311&amp;"|"&amp;SUBSTITUTE(SUBSTITUTE(D311," ",""),"　",""))</f>
        <v/>
      </c>
      <c r="J311" s="42">
        <f>IF(D311="","",IF(ISERROR(MATCH(A311&amp;"-"&amp;B311,設定!$Y$8:$Y$31,0)),"設定にない学年・組",IF(COUNTIF($F$2:$F$451,F311)&gt;1,"同じ学年・組・番号がいる",IF(COUNTIF($I$2:$I$451,I311)&gt;1,"同姓同名あり",""))))</f>
        <v/>
      </c>
    </row>
    <row r="312">
      <c r="A312" s="40" t="n">
        <v>3</v>
      </c>
      <c r="B312" s="40" t="inlineStr">
        <is>
          <t>梅</t>
        </is>
      </c>
      <c r="C312" s="40" t="n">
        <v>11</v>
      </c>
      <c r="D312" s="41" t="inlineStr">
        <is>
          <t>藤井　結菜</t>
        </is>
      </c>
      <c r="F312" s="8">
        <f>IF(D312="","",A312&amp;"-"&amp;B312&amp;"-"&amp;C312)</f>
        <v/>
      </c>
      <c r="G312" s="8">
        <f>IF(D312="","",IFERROR(MATCH(A312&amp;"-"&amp;B312,設定!$Y$8:$Y$31,0),99)*1000+C312+ROW()/1000000)</f>
        <v/>
      </c>
      <c r="H312" s="8">
        <f>IF(D312="","",A312+1)</f>
        <v/>
      </c>
      <c r="I312" s="8">
        <f>IF(D312="","",H312&amp;"|"&amp;SUBSTITUTE(SUBSTITUTE(D312," ",""),"　",""))</f>
        <v/>
      </c>
      <c r="J312" s="42">
        <f>IF(D312="","",IF(ISERROR(MATCH(A312&amp;"-"&amp;B312,設定!$Y$8:$Y$31,0)),"設定にない学年・組",IF(COUNTIF($F$2:$F$451,F312)&gt;1,"同じ学年・組・番号がいる",IF(COUNTIF($I$2:$I$451,I312)&gt;1,"同姓同名あり",""))))</f>
        <v/>
      </c>
    </row>
    <row r="313">
      <c r="A313" s="40" t="n">
        <v>3</v>
      </c>
      <c r="B313" s="40" t="inlineStr">
        <is>
          <t>梅</t>
        </is>
      </c>
      <c r="C313" s="40" t="n">
        <v>12</v>
      </c>
      <c r="D313" s="41" t="inlineStr">
        <is>
          <t>橋本　陽太</t>
        </is>
      </c>
      <c r="F313" s="8">
        <f>IF(D313="","",A313&amp;"-"&amp;B313&amp;"-"&amp;C313)</f>
        <v/>
      </c>
      <c r="G313" s="8">
        <f>IF(D313="","",IFERROR(MATCH(A313&amp;"-"&amp;B313,設定!$Y$8:$Y$31,0),99)*1000+C313+ROW()/1000000)</f>
        <v/>
      </c>
      <c r="H313" s="8">
        <f>IF(D313="","",A313+1)</f>
        <v/>
      </c>
      <c r="I313" s="8">
        <f>IF(D313="","",H313&amp;"|"&amp;SUBSTITUTE(SUBSTITUTE(D313," ",""),"　",""))</f>
        <v/>
      </c>
      <c r="J313" s="42">
        <f>IF(D313="","",IF(ISERROR(MATCH(A313&amp;"-"&amp;B313,設定!$Y$8:$Y$31,0)),"設定にない学年・組",IF(COUNTIF($F$2:$F$451,F313)&gt;1,"同じ学年・組・番号がいる",IF(COUNTIF($I$2:$I$451,I313)&gt;1,"同姓同名あり",""))))</f>
        <v/>
      </c>
    </row>
    <row r="314">
      <c r="A314" s="40" t="n">
        <v>3</v>
      </c>
      <c r="B314" s="40" t="inlineStr">
        <is>
          <t>梅</t>
        </is>
      </c>
      <c r="C314" s="40" t="n">
        <v>13</v>
      </c>
      <c r="D314" s="41" t="inlineStr">
        <is>
          <t>中野　莉子</t>
        </is>
      </c>
      <c r="F314" s="8">
        <f>IF(D314="","",A314&amp;"-"&amp;B314&amp;"-"&amp;C314)</f>
        <v/>
      </c>
      <c r="G314" s="8">
        <f>IF(D314="","",IFERROR(MATCH(A314&amp;"-"&amp;B314,設定!$Y$8:$Y$31,0),99)*1000+C314+ROW()/1000000)</f>
        <v/>
      </c>
      <c r="H314" s="8">
        <f>IF(D314="","",A314+1)</f>
        <v/>
      </c>
      <c r="I314" s="8">
        <f>IF(D314="","",H314&amp;"|"&amp;SUBSTITUTE(SUBSTITUTE(D314," ",""),"　",""))</f>
        <v/>
      </c>
      <c r="J314" s="42">
        <f>IF(D314="","",IF(ISERROR(MATCH(A314&amp;"-"&amp;B314,設定!$Y$8:$Y$31,0)),"設定にない学年・組",IF(COUNTIF($F$2:$F$451,F314)&gt;1,"同じ学年・組・番号がいる",IF(COUNTIF($I$2:$I$451,I314)&gt;1,"同姓同名あり",""))))</f>
        <v/>
      </c>
    </row>
    <row r="315">
      <c r="A315" s="40" t="n">
        <v>3</v>
      </c>
      <c r="B315" s="40" t="inlineStr">
        <is>
          <t>梅</t>
        </is>
      </c>
      <c r="C315" s="40" t="n">
        <v>14</v>
      </c>
      <c r="D315" s="41" t="inlineStr">
        <is>
          <t>福田　凛</t>
        </is>
      </c>
      <c r="F315" s="8">
        <f>IF(D315="","",A315&amp;"-"&amp;B315&amp;"-"&amp;C315)</f>
        <v/>
      </c>
      <c r="G315" s="8">
        <f>IF(D315="","",IFERROR(MATCH(A315&amp;"-"&amp;B315,設定!$Y$8:$Y$31,0),99)*1000+C315+ROW()/1000000)</f>
        <v/>
      </c>
      <c r="H315" s="8">
        <f>IF(D315="","",A315+1)</f>
        <v/>
      </c>
      <c r="I315" s="8">
        <f>IF(D315="","",H315&amp;"|"&amp;SUBSTITUTE(SUBSTITUTE(D315," ",""),"　",""))</f>
        <v/>
      </c>
      <c r="J315" s="42">
        <f>IF(D315="","",IF(ISERROR(MATCH(A315&amp;"-"&amp;B315,設定!$Y$8:$Y$31,0)),"設定にない学年・組",IF(COUNTIF($F$2:$F$451,F315)&gt;1,"同じ学年・組・番号がいる",IF(COUNTIF($I$2:$I$451,I315)&gt;1,"同姓同名あり",""))))</f>
        <v/>
      </c>
    </row>
    <row r="316">
      <c r="A316" s="40" t="n">
        <v>3</v>
      </c>
      <c r="B316" s="40" t="inlineStr">
        <is>
          <t>梅</t>
        </is>
      </c>
      <c r="C316" s="40" t="n">
        <v>15</v>
      </c>
      <c r="D316" s="41" t="inlineStr">
        <is>
          <t>長谷川　一花</t>
        </is>
      </c>
      <c r="F316" s="8">
        <f>IF(D316="","",A316&amp;"-"&amp;B316&amp;"-"&amp;C316)</f>
        <v/>
      </c>
      <c r="G316" s="8">
        <f>IF(D316="","",IFERROR(MATCH(A316&amp;"-"&amp;B316,設定!$Y$8:$Y$31,0),99)*1000+C316+ROW()/1000000)</f>
        <v/>
      </c>
      <c r="H316" s="8">
        <f>IF(D316="","",A316+1)</f>
        <v/>
      </c>
      <c r="I316" s="8">
        <f>IF(D316="","",H316&amp;"|"&amp;SUBSTITUTE(SUBSTITUTE(D316," ",""),"　",""))</f>
        <v/>
      </c>
      <c r="J316" s="42">
        <f>IF(D316="","",IF(ISERROR(MATCH(A316&amp;"-"&amp;B316,設定!$Y$8:$Y$31,0)),"設定にない学年・組",IF(COUNTIF($F$2:$F$451,F316)&gt;1,"同じ学年・組・番号がいる",IF(COUNTIF($I$2:$I$451,I316)&gt;1,"同姓同名あり",""))))</f>
        <v/>
      </c>
    </row>
    <row r="317">
      <c r="A317" s="40" t="n">
        <v>3</v>
      </c>
      <c r="B317" s="40" t="inlineStr">
        <is>
          <t>梅</t>
        </is>
      </c>
      <c r="C317" s="40" t="n">
        <v>16</v>
      </c>
      <c r="D317" s="41" t="inlineStr">
        <is>
          <t>佐々木　樹</t>
        </is>
      </c>
      <c r="F317" s="8">
        <f>IF(D317="","",A317&amp;"-"&amp;B317&amp;"-"&amp;C317)</f>
        <v/>
      </c>
      <c r="G317" s="8">
        <f>IF(D317="","",IFERROR(MATCH(A317&amp;"-"&amp;B317,設定!$Y$8:$Y$31,0),99)*1000+C317+ROW()/1000000)</f>
        <v/>
      </c>
      <c r="H317" s="8">
        <f>IF(D317="","",A317+1)</f>
        <v/>
      </c>
      <c r="I317" s="8">
        <f>IF(D317="","",H317&amp;"|"&amp;SUBSTITUTE(SUBSTITUTE(D317," ",""),"　",""))</f>
        <v/>
      </c>
      <c r="J317" s="42">
        <f>IF(D317="","",IF(ISERROR(MATCH(A317&amp;"-"&amp;B317,設定!$Y$8:$Y$31,0)),"設定にない学年・組",IF(COUNTIF($F$2:$F$451,F317)&gt;1,"同じ学年・組・番号がいる",IF(COUNTIF($I$2:$I$451,I317)&gt;1,"同姓同名あり",""))))</f>
        <v/>
      </c>
    </row>
    <row r="318">
      <c r="A318" s="40" t="n">
        <v>3</v>
      </c>
      <c r="B318" s="40" t="inlineStr">
        <is>
          <t>梅</t>
        </is>
      </c>
      <c r="C318" s="40" t="n">
        <v>17</v>
      </c>
      <c r="D318" s="41" t="inlineStr">
        <is>
          <t>前田　悠真</t>
        </is>
      </c>
      <c r="F318" s="8">
        <f>IF(D318="","",A318&amp;"-"&amp;B318&amp;"-"&amp;C318)</f>
        <v/>
      </c>
      <c r="G318" s="8">
        <f>IF(D318="","",IFERROR(MATCH(A318&amp;"-"&amp;B318,設定!$Y$8:$Y$31,0),99)*1000+C318+ROW()/1000000)</f>
        <v/>
      </c>
      <c r="H318" s="8">
        <f>IF(D318="","",A318+1)</f>
        <v/>
      </c>
      <c r="I318" s="8">
        <f>IF(D318="","",H318&amp;"|"&amp;SUBSTITUTE(SUBSTITUTE(D318," ",""),"　",""))</f>
        <v/>
      </c>
      <c r="J318" s="42">
        <f>IF(D318="","",IF(ISERROR(MATCH(A318&amp;"-"&amp;B318,設定!$Y$8:$Y$31,0)),"設定にない学年・組",IF(COUNTIF($F$2:$F$451,F318)&gt;1,"同じ学年・組・番号がいる",IF(COUNTIF($I$2:$I$451,I318)&gt;1,"同姓同名あり",""))))</f>
        <v/>
      </c>
    </row>
    <row r="319">
      <c r="A319" s="40" t="n">
        <v>3</v>
      </c>
      <c r="B319" s="40" t="inlineStr">
        <is>
          <t>梅</t>
        </is>
      </c>
      <c r="C319" s="40" t="n">
        <v>18</v>
      </c>
      <c r="D319" s="41" t="inlineStr">
        <is>
          <t>鈴木　湊</t>
        </is>
      </c>
      <c r="F319" s="8">
        <f>IF(D319="","",A319&amp;"-"&amp;B319&amp;"-"&amp;C319)</f>
        <v/>
      </c>
      <c r="G319" s="8">
        <f>IF(D319="","",IFERROR(MATCH(A319&amp;"-"&amp;B319,設定!$Y$8:$Y$31,0),99)*1000+C319+ROW()/1000000)</f>
        <v/>
      </c>
      <c r="H319" s="8">
        <f>IF(D319="","",A319+1)</f>
        <v/>
      </c>
      <c r="I319" s="8">
        <f>IF(D319="","",H319&amp;"|"&amp;SUBSTITUTE(SUBSTITUTE(D319," ",""),"　",""))</f>
        <v/>
      </c>
      <c r="J319" s="42">
        <f>IF(D319="","",IF(ISERROR(MATCH(A319&amp;"-"&amp;B319,設定!$Y$8:$Y$31,0)),"設定にない学年・組",IF(COUNTIF($F$2:$F$451,F319)&gt;1,"同じ学年・組・番号がいる",IF(COUNTIF($I$2:$I$451,I319)&gt;1,"同姓同名あり",""))))</f>
        <v/>
      </c>
    </row>
    <row r="320">
      <c r="A320" s="40" t="n">
        <v>3</v>
      </c>
      <c r="B320" s="40" t="inlineStr">
        <is>
          <t>梅</t>
        </is>
      </c>
      <c r="C320" s="40" t="n">
        <v>19</v>
      </c>
      <c r="D320" s="41" t="inlineStr">
        <is>
          <t>竹内　柚葉</t>
        </is>
      </c>
      <c r="F320" s="8">
        <f>IF(D320="","",A320&amp;"-"&amp;B320&amp;"-"&amp;C320)</f>
        <v/>
      </c>
      <c r="G320" s="8">
        <f>IF(D320="","",IFERROR(MATCH(A320&amp;"-"&amp;B320,設定!$Y$8:$Y$31,0),99)*1000+C320+ROW()/1000000)</f>
        <v/>
      </c>
      <c r="H320" s="8">
        <f>IF(D320="","",A320+1)</f>
        <v/>
      </c>
      <c r="I320" s="8">
        <f>IF(D320="","",H320&amp;"|"&amp;SUBSTITUTE(SUBSTITUTE(D320," ",""),"　",""))</f>
        <v/>
      </c>
      <c r="J320" s="42">
        <f>IF(D320="","",IF(ISERROR(MATCH(A320&amp;"-"&amp;B320,設定!$Y$8:$Y$31,0)),"設定にない学年・組",IF(COUNTIF($F$2:$F$451,F320)&gt;1,"同じ学年・組・番号がいる",IF(COUNTIF($I$2:$I$451,I320)&gt;1,"同姓同名あり",""))))</f>
        <v/>
      </c>
    </row>
    <row r="321">
      <c r="A321" s="40" t="n">
        <v>3</v>
      </c>
      <c r="B321" s="40" t="inlineStr">
        <is>
          <t>梅</t>
        </is>
      </c>
      <c r="C321" s="40" t="n">
        <v>20</v>
      </c>
      <c r="D321" s="41" t="inlineStr">
        <is>
          <t>坂本　莉子</t>
        </is>
      </c>
      <c r="F321" s="8">
        <f>IF(D321="","",A321&amp;"-"&amp;B321&amp;"-"&amp;C321)</f>
        <v/>
      </c>
      <c r="G321" s="8">
        <f>IF(D321="","",IFERROR(MATCH(A321&amp;"-"&amp;B321,設定!$Y$8:$Y$31,0),99)*1000+C321+ROW()/1000000)</f>
        <v/>
      </c>
      <c r="H321" s="8">
        <f>IF(D321="","",A321+1)</f>
        <v/>
      </c>
      <c r="I321" s="8">
        <f>IF(D321="","",H321&amp;"|"&amp;SUBSTITUTE(SUBSTITUTE(D321," ",""),"　",""))</f>
        <v/>
      </c>
      <c r="J321" s="42">
        <f>IF(D321="","",IF(ISERROR(MATCH(A321&amp;"-"&amp;B321,設定!$Y$8:$Y$31,0)),"設定にない学年・組",IF(COUNTIF($F$2:$F$451,F321)&gt;1,"同じ学年・組・番号がいる",IF(COUNTIF($I$2:$I$451,I321)&gt;1,"同姓同名あり",""))))</f>
        <v/>
      </c>
    </row>
    <row r="322">
      <c r="A322" s="40" t="n">
        <v>3</v>
      </c>
      <c r="B322" s="40" t="inlineStr">
        <is>
          <t>梅</t>
        </is>
      </c>
      <c r="C322" s="40" t="n">
        <v>21</v>
      </c>
      <c r="D322" s="41" t="inlineStr">
        <is>
          <t>村上　心春</t>
        </is>
      </c>
      <c r="F322" s="8">
        <f>IF(D322="","",A322&amp;"-"&amp;B322&amp;"-"&amp;C322)</f>
        <v/>
      </c>
      <c r="G322" s="8">
        <f>IF(D322="","",IFERROR(MATCH(A322&amp;"-"&amp;B322,設定!$Y$8:$Y$31,0),99)*1000+C322+ROW()/1000000)</f>
        <v/>
      </c>
      <c r="H322" s="8">
        <f>IF(D322="","",A322+1)</f>
        <v/>
      </c>
      <c r="I322" s="8">
        <f>IF(D322="","",H322&amp;"|"&amp;SUBSTITUTE(SUBSTITUTE(D322," ",""),"　",""))</f>
        <v/>
      </c>
      <c r="J322" s="42">
        <f>IF(D322="","",IF(ISERROR(MATCH(A322&amp;"-"&amp;B322,設定!$Y$8:$Y$31,0)),"設定にない学年・組",IF(COUNTIF($F$2:$F$451,F322)&gt;1,"同じ学年・組・番号がいる",IF(COUNTIF($I$2:$I$451,I322)&gt;1,"同姓同名あり",""))))</f>
        <v/>
      </c>
    </row>
    <row r="323">
      <c r="A323" s="40" t="n">
        <v>3</v>
      </c>
      <c r="B323" s="40" t="inlineStr">
        <is>
          <t>梅</t>
        </is>
      </c>
      <c r="C323" s="40" t="n">
        <v>22</v>
      </c>
      <c r="D323" s="41" t="inlineStr">
        <is>
          <t>加藤　優斗</t>
        </is>
      </c>
      <c r="F323" s="8">
        <f>IF(D323="","",A323&amp;"-"&amp;B323&amp;"-"&amp;C323)</f>
        <v/>
      </c>
      <c r="G323" s="8">
        <f>IF(D323="","",IFERROR(MATCH(A323&amp;"-"&amp;B323,設定!$Y$8:$Y$31,0),99)*1000+C323+ROW()/1000000)</f>
        <v/>
      </c>
      <c r="H323" s="8">
        <f>IF(D323="","",A323+1)</f>
        <v/>
      </c>
      <c r="I323" s="8">
        <f>IF(D323="","",H323&amp;"|"&amp;SUBSTITUTE(SUBSTITUTE(D323," ",""),"　",""))</f>
        <v/>
      </c>
      <c r="J323" s="42">
        <f>IF(D323="","",IF(ISERROR(MATCH(A323&amp;"-"&amp;B323,設定!$Y$8:$Y$31,0)),"設定にない学年・組",IF(COUNTIF($F$2:$F$451,F323)&gt;1,"同じ学年・組・番号がいる",IF(COUNTIF($I$2:$I$451,I323)&gt;1,"同姓同名あり",""))))</f>
        <v/>
      </c>
    </row>
    <row r="324">
      <c r="A324" s="40" t="n">
        <v>3</v>
      </c>
      <c r="B324" s="40" t="inlineStr">
        <is>
          <t>梅</t>
        </is>
      </c>
      <c r="C324" s="40" t="n">
        <v>23</v>
      </c>
      <c r="D324" s="41" t="inlineStr">
        <is>
          <t>山田　陽太</t>
        </is>
      </c>
      <c r="F324" s="8">
        <f>IF(D324="","",A324&amp;"-"&amp;B324&amp;"-"&amp;C324)</f>
        <v/>
      </c>
      <c r="G324" s="8">
        <f>IF(D324="","",IFERROR(MATCH(A324&amp;"-"&amp;B324,設定!$Y$8:$Y$31,0),99)*1000+C324+ROW()/1000000)</f>
        <v/>
      </c>
      <c r="H324" s="8">
        <f>IF(D324="","",A324+1)</f>
        <v/>
      </c>
      <c r="I324" s="8">
        <f>IF(D324="","",H324&amp;"|"&amp;SUBSTITUTE(SUBSTITUTE(D324," ",""),"　",""))</f>
        <v/>
      </c>
      <c r="J324" s="42">
        <f>IF(D324="","",IF(ISERROR(MATCH(A324&amp;"-"&amp;B324,設定!$Y$8:$Y$31,0)),"設定にない学年・組",IF(COUNTIF($F$2:$F$451,F324)&gt;1,"同じ学年・組・番号がいる",IF(COUNTIF($I$2:$I$451,I324)&gt;1,"同姓同名あり",""))))</f>
        <v/>
      </c>
    </row>
    <row r="325">
      <c r="A325" s="40" t="n">
        <v>3</v>
      </c>
      <c r="B325" s="40" t="inlineStr">
        <is>
          <t>梅</t>
        </is>
      </c>
      <c r="C325" s="40" t="n">
        <v>24</v>
      </c>
      <c r="D325" s="41" t="inlineStr">
        <is>
          <t>吉田　拓海</t>
        </is>
      </c>
      <c r="F325" s="8">
        <f>IF(D325="","",A325&amp;"-"&amp;B325&amp;"-"&amp;C325)</f>
        <v/>
      </c>
      <c r="G325" s="8">
        <f>IF(D325="","",IFERROR(MATCH(A325&amp;"-"&amp;B325,設定!$Y$8:$Y$31,0),99)*1000+C325+ROW()/1000000)</f>
        <v/>
      </c>
      <c r="H325" s="8">
        <f>IF(D325="","",A325+1)</f>
        <v/>
      </c>
      <c r="I325" s="8">
        <f>IF(D325="","",H325&amp;"|"&amp;SUBSTITUTE(SUBSTITUTE(D325," ",""),"　",""))</f>
        <v/>
      </c>
      <c r="J325" s="42">
        <f>IF(D325="","",IF(ISERROR(MATCH(A325&amp;"-"&amp;B325,設定!$Y$8:$Y$31,0)),"設定にない学年・組",IF(COUNTIF($F$2:$F$451,F325)&gt;1,"同じ学年・組・番号がいる",IF(COUNTIF($I$2:$I$451,I325)&gt;1,"同姓同名あり",""))))</f>
        <v/>
      </c>
    </row>
    <row r="326">
      <c r="A326" s="40" t="n">
        <v>3</v>
      </c>
      <c r="B326" s="40" t="inlineStr">
        <is>
          <t>梅</t>
        </is>
      </c>
      <c r="C326" s="40" t="n">
        <v>25</v>
      </c>
      <c r="D326" s="41" t="inlineStr">
        <is>
          <t>藤井　悠真</t>
        </is>
      </c>
      <c r="F326" s="8">
        <f>IF(D326="","",A326&amp;"-"&amp;B326&amp;"-"&amp;C326)</f>
        <v/>
      </c>
      <c r="G326" s="8">
        <f>IF(D326="","",IFERROR(MATCH(A326&amp;"-"&amp;B326,設定!$Y$8:$Y$31,0),99)*1000+C326+ROW()/1000000)</f>
        <v/>
      </c>
      <c r="H326" s="8">
        <f>IF(D326="","",A326+1)</f>
        <v/>
      </c>
      <c r="I326" s="8">
        <f>IF(D326="","",H326&amp;"|"&amp;SUBSTITUTE(SUBSTITUTE(D326," ",""),"　",""))</f>
        <v/>
      </c>
      <c r="J326" s="42">
        <f>IF(D326="","",IF(ISERROR(MATCH(A326&amp;"-"&amp;B326,設定!$Y$8:$Y$31,0)),"設定にない学年・組",IF(COUNTIF($F$2:$F$451,F326)&gt;1,"同じ学年・組・番号がいる",IF(COUNTIF($I$2:$I$451,I326)&gt;1,"同姓同名あり",""))))</f>
        <v/>
      </c>
    </row>
    <row r="327">
      <c r="A327" s="40" t="n">
        <v>3</v>
      </c>
      <c r="B327" s="40" t="inlineStr">
        <is>
          <t>梅</t>
        </is>
      </c>
      <c r="C327" s="40" t="n">
        <v>26</v>
      </c>
      <c r="D327" s="41" t="inlineStr">
        <is>
          <t>遠藤　蒼</t>
        </is>
      </c>
      <c r="F327" s="8">
        <f>IF(D327="","",A327&amp;"-"&amp;B327&amp;"-"&amp;C327)</f>
        <v/>
      </c>
      <c r="G327" s="8">
        <f>IF(D327="","",IFERROR(MATCH(A327&amp;"-"&amp;B327,設定!$Y$8:$Y$31,0),99)*1000+C327+ROW()/1000000)</f>
        <v/>
      </c>
      <c r="H327" s="8">
        <f>IF(D327="","",A327+1)</f>
        <v/>
      </c>
      <c r="I327" s="8">
        <f>IF(D327="","",H327&amp;"|"&amp;SUBSTITUTE(SUBSTITUTE(D327," ",""),"　",""))</f>
        <v/>
      </c>
      <c r="J327" s="42">
        <f>IF(D327="","",IF(ISERROR(MATCH(A327&amp;"-"&amp;B327,設定!$Y$8:$Y$31,0)),"設定にない学年・組",IF(COUNTIF($F$2:$F$451,F327)&gt;1,"同じ学年・組・番号がいる",IF(COUNTIF($I$2:$I$451,I327)&gt;1,"同姓同名あり",""))))</f>
        <v/>
      </c>
    </row>
    <row r="328">
      <c r="A328" s="40" t="n">
        <v>3</v>
      </c>
      <c r="B328" s="40" t="inlineStr">
        <is>
          <t>梅</t>
        </is>
      </c>
      <c r="C328" s="40" t="n">
        <v>27</v>
      </c>
      <c r="D328" s="41" t="inlineStr">
        <is>
          <t>小林　一花</t>
        </is>
      </c>
      <c r="F328" s="8">
        <f>IF(D328="","",A328&amp;"-"&amp;B328&amp;"-"&amp;C328)</f>
        <v/>
      </c>
      <c r="G328" s="8">
        <f>IF(D328="","",IFERROR(MATCH(A328&amp;"-"&amp;B328,設定!$Y$8:$Y$31,0),99)*1000+C328+ROW()/1000000)</f>
        <v/>
      </c>
      <c r="H328" s="8">
        <f>IF(D328="","",A328+1)</f>
        <v/>
      </c>
      <c r="I328" s="8">
        <f>IF(D328="","",H328&amp;"|"&amp;SUBSTITUTE(SUBSTITUTE(D328," ",""),"　",""))</f>
        <v/>
      </c>
      <c r="J328" s="42">
        <f>IF(D328="","",IF(ISERROR(MATCH(A328&amp;"-"&amp;B328,設定!$Y$8:$Y$31,0)),"設定にない学年・組",IF(COUNTIF($F$2:$F$451,F328)&gt;1,"同じ学年・組・番号がいる",IF(COUNTIF($I$2:$I$451,I328)&gt;1,"同姓同名あり",""))))</f>
        <v/>
      </c>
    </row>
    <row r="329">
      <c r="A329" s="40" t="n">
        <v>3</v>
      </c>
      <c r="B329" s="40" t="inlineStr">
        <is>
          <t>梅</t>
        </is>
      </c>
      <c r="C329" s="40" t="n">
        <v>28</v>
      </c>
      <c r="D329" s="41" t="inlineStr">
        <is>
          <t>小川　樹</t>
        </is>
      </c>
      <c r="F329" s="8">
        <f>IF(D329="","",A329&amp;"-"&amp;B329&amp;"-"&amp;C329)</f>
        <v/>
      </c>
      <c r="G329" s="8">
        <f>IF(D329="","",IFERROR(MATCH(A329&amp;"-"&amp;B329,設定!$Y$8:$Y$31,0),99)*1000+C329+ROW()/1000000)</f>
        <v/>
      </c>
      <c r="H329" s="8">
        <f>IF(D329="","",A329+1)</f>
        <v/>
      </c>
      <c r="I329" s="8">
        <f>IF(D329="","",H329&amp;"|"&amp;SUBSTITUTE(SUBSTITUTE(D329," ",""),"　",""))</f>
        <v/>
      </c>
      <c r="J329" s="42">
        <f>IF(D329="","",IF(ISERROR(MATCH(A329&amp;"-"&amp;B329,設定!$Y$8:$Y$31,0)),"設定にない学年・組",IF(COUNTIF($F$2:$F$451,F329)&gt;1,"同じ学年・組・番号がいる",IF(COUNTIF($I$2:$I$451,I329)&gt;1,"同姓同名あり",""))))</f>
        <v/>
      </c>
    </row>
    <row r="330">
      <c r="A330" s="40" t="n">
        <v>3</v>
      </c>
      <c r="B330" s="40" t="inlineStr">
        <is>
          <t>梅</t>
        </is>
      </c>
      <c r="C330" s="40" t="n">
        <v>29</v>
      </c>
      <c r="D330" s="41" t="inlineStr">
        <is>
          <t>竹内　悠真</t>
        </is>
      </c>
      <c r="F330" s="8">
        <f>IF(D330="","",A330&amp;"-"&amp;B330&amp;"-"&amp;C330)</f>
        <v/>
      </c>
      <c r="G330" s="8">
        <f>IF(D330="","",IFERROR(MATCH(A330&amp;"-"&amp;B330,設定!$Y$8:$Y$31,0),99)*1000+C330+ROW()/1000000)</f>
        <v/>
      </c>
      <c r="H330" s="8">
        <f>IF(D330="","",A330+1)</f>
        <v/>
      </c>
      <c r="I330" s="8">
        <f>IF(D330="","",H330&amp;"|"&amp;SUBSTITUTE(SUBSTITUTE(D330," ",""),"　",""))</f>
        <v/>
      </c>
      <c r="J330" s="42">
        <f>IF(D330="","",IF(ISERROR(MATCH(A330&amp;"-"&amp;B330,設定!$Y$8:$Y$31,0)),"設定にない学年・組",IF(COUNTIF($F$2:$F$451,F330)&gt;1,"同じ学年・組・番号がいる",IF(COUNTIF($I$2:$I$451,I330)&gt;1,"同姓同名あり",""))))</f>
        <v/>
      </c>
    </row>
    <row r="331">
      <c r="A331" s="40" t="n">
        <v>3</v>
      </c>
      <c r="B331" s="40" t="inlineStr">
        <is>
          <t>梅</t>
        </is>
      </c>
      <c r="C331" s="40" t="n">
        <v>30</v>
      </c>
      <c r="D331" s="41" t="inlineStr">
        <is>
          <t>小川　結衣</t>
        </is>
      </c>
      <c r="F331" s="8">
        <f>IF(D331="","",A331&amp;"-"&amp;B331&amp;"-"&amp;C331)</f>
        <v/>
      </c>
      <c r="G331" s="8">
        <f>IF(D331="","",IFERROR(MATCH(A331&amp;"-"&amp;B331,設定!$Y$8:$Y$31,0),99)*1000+C331+ROW()/1000000)</f>
        <v/>
      </c>
      <c r="H331" s="8">
        <f>IF(D331="","",A331+1)</f>
        <v/>
      </c>
      <c r="I331" s="8">
        <f>IF(D331="","",H331&amp;"|"&amp;SUBSTITUTE(SUBSTITUTE(D331," ",""),"　",""))</f>
        <v/>
      </c>
      <c r="J331" s="42">
        <f>IF(D331="","",IF(ISERROR(MATCH(A331&amp;"-"&amp;B331,設定!$Y$8:$Y$31,0)),"設定にない学年・組",IF(COUNTIF($F$2:$F$451,F331)&gt;1,"同じ学年・組・番号がいる",IF(COUNTIF($I$2:$I$451,I331)&gt;1,"同姓同名あり",""))))</f>
        <v/>
      </c>
    </row>
    <row r="332">
      <c r="A332" s="40" t="n">
        <v>3</v>
      </c>
      <c r="B332" s="40" t="inlineStr">
        <is>
          <t>月</t>
        </is>
      </c>
      <c r="C332" s="40" t="n">
        <v>1</v>
      </c>
      <c r="D332" s="41" t="inlineStr">
        <is>
          <t>長谷川　結菜</t>
        </is>
      </c>
      <c r="F332" s="8">
        <f>IF(D332="","",A332&amp;"-"&amp;B332&amp;"-"&amp;C332)</f>
        <v/>
      </c>
      <c r="G332" s="8">
        <f>IF(D332="","",IFERROR(MATCH(A332&amp;"-"&amp;B332,設定!$Y$8:$Y$31,0),99)*1000+C332+ROW()/1000000)</f>
        <v/>
      </c>
      <c r="H332" s="8">
        <f>IF(D332="","",A332+1)</f>
        <v/>
      </c>
      <c r="I332" s="8">
        <f>IF(D332="","",H332&amp;"|"&amp;SUBSTITUTE(SUBSTITUTE(D332," ",""),"　",""))</f>
        <v/>
      </c>
      <c r="J332" s="42">
        <f>IF(D332="","",IF(ISERROR(MATCH(A332&amp;"-"&amp;B332,設定!$Y$8:$Y$31,0)),"設定にない学年・組",IF(COUNTIF($F$2:$F$451,F332)&gt;1,"同じ学年・組・番号がいる",IF(COUNTIF($I$2:$I$451,I332)&gt;1,"同姓同名あり",""))))</f>
        <v/>
      </c>
    </row>
    <row r="333">
      <c r="A333" s="40" t="n">
        <v>3</v>
      </c>
      <c r="B333" s="40" t="inlineStr">
        <is>
          <t>月</t>
        </is>
      </c>
      <c r="C333" s="40" t="n">
        <v>2</v>
      </c>
      <c r="D333" s="41" t="inlineStr">
        <is>
          <t>中島　奏太</t>
        </is>
      </c>
      <c r="F333" s="8">
        <f>IF(D333="","",A333&amp;"-"&amp;B333&amp;"-"&amp;C333)</f>
        <v/>
      </c>
      <c r="G333" s="8">
        <f>IF(D333="","",IFERROR(MATCH(A333&amp;"-"&amp;B333,設定!$Y$8:$Y$31,0),99)*1000+C333+ROW()/1000000)</f>
        <v/>
      </c>
      <c r="H333" s="8">
        <f>IF(D333="","",A333+1)</f>
        <v/>
      </c>
      <c r="I333" s="8">
        <f>IF(D333="","",H333&amp;"|"&amp;SUBSTITUTE(SUBSTITUTE(D333," ",""),"　",""))</f>
        <v/>
      </c>
      <c r="J333" s="42">
        <f>IF(D333="","",IF(ISERROR(MATCH(A333&amp;"-"&amp;B333,設定!$Y$8:$Y$31,0)),"設定にない学年・組",IF(COUNTIF($F$2:$F$451,F333)&gt;1,"同じ学年・組・番号がいる",IF(COUNTIF($I$2:$I$451,I333)&gt;1,"同姓同名あり",""))))</f>
        <v/>
      </c>
    </row>
    <row r="334">
      <c r="A334" s="40" t="n">
        <v>3</v>
      </c>
      <c r="B334" s="40" t="inlineStr">
        <is>
          <t>月</t>
        </is>
      </c>
      <c r="C334" s="40" t="n">
        <v>3</v>
      </c>
      <c r="D334" s="41" t="inlineStr">
        <is>
          <t>青木　芽依</t>
        </is>
      </c>
      <c r="F334" s="8">
        <f>IF(D334="","",A334&amp;"-"&amp;B334&amp;"-"&amp;C334)</f>
        <v/>
      </c>
      <c r="G334" s="8">
        <f>IF(D334="","",IFERROR(MATCH(A334&amp;"-"&amp;B334,設定!$Y$8:$Y$31,0),99)*1000+C334+ROW()/1000000)</f>
        <v/>
      </c>
      <c r="H334" s="8">
        <f>IF(D334="","",A334+1)</f>
        <v/>
      </c>
      <c r="I334" s="8">
        <f>IF(D334="","",H334&amp;"|"&amp;SUBSTITUTE(SUBSTITUTE(D334," ",""),"　",""))</f>
        <v/>
      </c>
      <c r="J334" s="42">
        <f>IF(D334="","",IF(ISERROR(MATCH(A334&amp;"-"&amp;B334,設定!$Y$8:$Y$31,0)),"設定にない学年・組",IF(COUNTIF($F$2:$F$451,F334)&gt;1,"同じ学年・組・番号がいる",IF(COUNTIF($I$2:$I$451,I334)&gt;1,"同姓同名あり",""))))</f>
        <v/>
      </c>
    </row>
    <row r="335">
      <c r="A335" s="40" t="n">
        <v>3</v>
      </c>
      <c r="B335" s="40" t="inlineStr">
        <is>
          <t>月</t>
        </is>
      </c>
      <c r="C335" s="40" t="n">
        <v>4</v>
      </c>
      <c r="D335" s="41" t="inlineStr">
        <is>
          <t>佐藤　大翔</t>
        </is>
      </c>
      <c r="F335" s="8">
        <f>IF(D335="","",A335&amp;"-"&amp;B335&amp;"-"&amp;C335)</f>
        <v/>
      </c>
      <c r="G335" s="8">
        <f>IF(D335="","",IFERROR(MATCH(A335&amp;"-"&amp;B335,設定!$Y$8:$Y$31,0),99)*1000+C335+ROW()/1000000)</f>
        <v/>
      </c>
      <c r="H335" s="8">
        <f>IF(D335="","",A335+1)</f>
        <v/>
      </c>
      <c r="I335" s="8">
        <f>IF(D335="","",H335&amp;"|"&amp;SUBSTITUTE(SUBSTITUTE(D335," ",""),"　",""))</f>
        <v/>
      </c>
      <c r="J335" s="42">
        <f>IF(D335="","",IF(ISERROR(MATCH(A335&amp;"-"&amp;B335,設定!$Y$8:$Y$31,0)),"設定にない学年・組",IF(COUNTIF($F$2:$F$451,F335)&gt;1,"同じ学年・組・番号がいる",IF(COUNTIF($I$2:$I$451,I335)&gt;1,"同姓同名あり",""))))</f>
        <v/>
      </c>
    </row>
    <row r="336">
      <c r="A336" s="40" t="n">
        <v>3</v>
      </c>
      <c r="B336" s="40" t="inlineStr">
        <is>
          <t>月</t>
        </is>
      </c>
      <c r="C336" s="40" t="n">
        <v>5</v>
      </c>
      <c r="D336" s="41" t="inlineStr">
        <is>
          <t>岡本　湊</t>
        </is>
      </c>
      <c r="F336" s="8">
        <f>IF(D336="","",A336&amp;"-"&amp;B336&amp;"-"&amp;C336)</f>
        <v/>
      </c>
      <c r="G336" s="8">
        <f>IF(D336="","",IFERROR(MATCH(A336&amp;"-"&amp;B336,設定!$Y$8:$Y$31,0),99)*1000+C336+ROW()/1000000)</f>
        <v/>
      </c>
      <c r="H336" s="8">
        <f>IF(D336="","",A336+1)</f>
        <v/>
      </c>
      <c r="I336" s="8">
        <f>IF(D336="","",H336&amp;"|"&amp;SUBSTITUTE(SUBSTITUTE(D336," ",""),"　",""))</f>
        <v/>
      </c>
      <c r="J336" s="42">
        <f>IF(D336="","",IF(ISERROR(MATCH(A336&amp;"-"&amp;B336,設定!$Y$8:$Y$31,0)),"設定にない学年・組",IF(COUNTIF($F$2:$F$451,F336)&gt;1,"同じ学年・組・番号がいる",IF(COUNTIF($I$2:$I$451,I336)&gt;1,"同姓同名あり",""))))</f>
        <v/>
      </c>
    </row>
    <row r="337">
      <c r="A337" s="40" t="n">
        <v>3</v>
      </c>
      <c r="B337" s="40" t="inlineStr">
        <is>
          <t>月</t>
        </is>
      </c>
      <c r="C337" s="40" t="n">
        <v>6</v>
      </c>
      <c r="D337" s="41" t="inlineStr">
        <is>
          <t>佐々木　結翔</t>
        </is>
      </c>
      <c r="F337" s="8">
        <f>IF(D337="","",A337&amp;"-"&amp;B337&amp;"-"&amp;C337)</f>
        <v/>
      </c>
      <c r="G337" s="8">
        <f>IF(D337="","",IFERROR(MATCH(A337&amp;"-"&amp;B337,設定!$Y$8:$Y$31,0),99)*1000+C337+ROW()/1000000)</f>
        <v/>
      </c>
      <c r="H337" s="8">
        <f>IF(D337="","",A337+1)</f>
        <v/>
      </c>
      <c r="I337" s="8">
        <f>IF(D337="","",H337&amp;"|"&amp;SUBSTITUTE(SUBSTITUTE(D337," ",""),"　",""))</f>
        <v/>
      </c>
      <c r="J337" s="42">
        <f>IF(D337="","",IF(ISERROR(MATCH(A337&amp;"-"&amp;B337,設定!$Y$8:$Y$31,0)),"設定にない学年・組",IF(COUNTIF($F$2:$F$451,F337)&gt;1,"同じ学年・組・番号がいる",IF(COUNTIF($I$2:$I$451,I337)&gt;1,"同姓同名あり",""))))</f>
        <v/>
      </c>
    </row>
    <row r="338">
      <c r="A338" s="40" t="n">
        <v>3</v>
      </c>
      <c r="B338" s="40" t="inlineStr">
        <is>
          <t>月</t>
        </is>
      </c>
      <c r="C338" s="40" t="n">
        <v>7</v>
      </c>
      <c r="D338" s="41" t="inlineStr">
        <is>
          <t>山下　美月</t>
        </is>
      </c>
      <c r="F338" s="8">
        <f>IF(D338="","",A338&amp;"-"&amp;B338&amp;"-"&amp;C338)</f>
        <v/>
      </c>
      <c r="G338" s="8">
        <f>IF(D338="","",IFERROR(MATCH(A338&amp;"-"&amp;B338,設定!$Y$8:$Y$31,0),99)*1000+C338+ROW()/1000000)</f>
        <v/>
      </c>
      <c r="H338" s="8">
        <f>IF(D338="","",A338+1)</f>
        <v/>
      </c>
      <c r="I338" s="8">
        <f>IF(D338="","",H338&amp;"|"&amp;SUBSTITUTE(SUBSTITUTE(D338," ",""),"　",""))</f>
        <v/>
      </c>
      <c r="J338" s="42">
        <f>IF(D338="","",IF(ISERROR(MATCH(A338&amp;"-"&amp;B338,設定!$Y$8:$Y$31,0)),"設定にない学年・組",IF(COUNTIF($F$2:$F$451,F338)&gt;1,"同じ学年・組・番号がいる",IF(COUNTIF($I$2:$I$451,I338)&gt;1,"同姓同名あり",""))))</f>
        <v/>
      </c>
    </row>
    <row r="339">
      <c r="A339" s="40" t="n">
        <v>3</v>
      </c>
      <c r="B339" s="40" t="inlineStr">
        <is>
          <t>月</t>
        </is>
      </c>
      <c r="C339" s="40" t="n">
        <v>8</v>
      </c>
      <c r="D339" s="41" t="inlineStr">
        <is>
          <t>橋本　紬</t>
        </is>
      </c>
      <c r="F339" s="8">
        <f>IF(D339="","",A339&amp;"-"&amp;B339&amp;"-"&amp;C339)</f>
        <v/>
      </c>
      <c r="G339" s="8">
        <f>IF(D339="","",IFERROR(MATCH(A339&amp;"-"&amp;B339,設定!$Y$8:$Y$31,0),99)*1000+C339+ROW()/1000000)</f>
        <v/>
      </c>
      <c r="H339" s="8">
        <f>IF(D339="","",A339+1)</f>
        <v/>
      </c>
      <c r="I339" s="8">
        <f>IF(D339="","",H339&amp;"|"&amp;SUBSTITUTE(SUBSTITUTE(D339," ",""),"　",""))</f>
        <v/>
      </c>
      <c r="J339" s="42">
        <f>IF(D339="","",IF(ISERROR(MATCH(A339&amp;"-"&amp;B339,設定!$Y$8:$Y$31,0)),"設定にない学年・組",IF(COUNTIF($F$2:$F$451,F339)&gt;1,"同じ学年・組・番号がいる",IF(COUNTIF($I$2:$I$451,I339)&gt;1,"同姓同名あり",""))))</f>
        <v/>
      </c>
    </row>
    <row r="340">
      <c r="A340" s="40" t="n">
        <v>3</v>
      </c>
      <c r="B340" s="40" t="inlineStr">
        <is>
          <t>月</t>
        </is>
      </c>
      <c r="C340" s="40" t="n">
        <v>9</v>
      </c>
      <c r="D340" s="41" t="inlineStr">
        <is>
          <t>佐々木　真央</t>
        </is>
      </c>
      <c r="F340" s="8">
        <f>IF(D340="","",A340&amp;"-"&amp;B340&amp;"-"&amp;C340)</f>
        <v/>
      </c>
      <c r="G340" s="8">
        <f>IF(D340="","",IFERROR(MATCH(A340&amp;"-"&amp;B340,設定!$Y$8:$Y$31,0),99)*1000+C340+ROW()/1000000)</f>
        <v/>
      </c>
      <c r="H340" s="8">
        <f>IF(D340="","",A340+1)</f>
        <v/>
      </c>
      <c r="I340" s="8">
        <f>IF(D340="","",H340&amp;"|"&amp;SUBSTITUTE(SUBSTITUTE(D340," ",""),"　",""))</f>
        <v/>
      </c>
      <c r="J340" s="42">
        <f>IF(D340="","",IF(ISERROR(MATCH(A340&amp;"-"&amp;B340,設定!$Y$8:$Y$31,0)),"設定にない学年・組",IF(COUNTIF($F$2:$F$451,F340)&gt;1,"同じ学年・組・番号がいる",IF(COUNTIF($I$2:$I$451,I340)&gt;1,"同姓同名あり",""))))</f>
        <v/>
      </c>
    </row>
    <row r="341">
      <c r="A341" s="40" t="n">
        <v>3</v>
      </c>
      <c r="B341" s="40" t="inlineStr">
        <is>
          <t>月</t>
        </is>
      </c>
      <c r="C341" s="40" t="n">
        <v>10</v>
      </c>
      <c r="D341" s="41" t="inlineStr">
        <is>
          <t>吉田　悠真</t>
        </is>
      </c>
      <c r="F341" s="8">
        <f>IF(D341="","",A341&amp;"-"&amp;B341&amp;"-"&amp;C341)</f>
        <v/>
      </c>
      <c r="G341" s="8">
        <f>IF(D341="","",IFERROR(MATCH(A341&amp;"-"&amp;B341,設定!$Y$8:$Y$31,0),99)*1000+C341+ROW()/1000000)</f>
        <v/>
      </c>
      <c r="H341" s="8">
        <f>IF(D341="","",A341+1)</f>
        <v/>
      </c>
      <c r="I341" s="8">
        <f>IF(D341="","",H341&amp;"|"&amp;SUBSTITUTE(SUBSTITUTE(D341," ",""),"　",""))</f>
        <v/>
      </c>
      <c r="J341" s="42">
        <f>IF(D341="","",IF(ISERROR(MATCH(A341&amp;"-"&amp;B341,設定!$Y$8:$Y$31,0)),"設定にない学年・組",IF(COUNTIF($F$2:$F$451,F341)&gt;1,"同じ学年・組・番号がいる",IF(COUNTIF($I$2:$I$451,I341)&gt;1,"同姓同名あり",""))))</f>
        <v/>
      </c>
    </row>
    <row r="342">
      <c r="A342" s="40" t="n">
        <v>3</v>
      </c>
      <c r="B342" s="40" t="inlineStr">
        <is>
          <t>月</t>
        </is>
      </c>
      <c r="C342" s="40" t="n">
        <v>11</v>
      </c>
      <c r="D342" s="41" t="inlineStr">
        <is>
          <t>山崎　大和</t>
        </is>
      </c>
      <c r="F342" s="8">
        <f>IF(D342="","",A342&amp;"-"&amp;B342&amp;"-"&amp;C342)</f>
        <v/>
      </c>
      <c r="G342" s="8">
        <f>IF(D342="","",IFERROR(MATCH(A342&amp;"-"&amp;B342,設定!$Y$8:$Y$31,0),99)*1000+C342+ROW()/1000000)</f>
        <v/>
      </c>
      <c r="H342" s="8">
        <f>IF(D342="","",A342+1)</f>
        <v/>
      </c>
      <c r="I342" s="8">
        <f>IF(D342="","",H342&amp;"|"&amp;SUBSTITUTE(SUBSTITUTE(D342," ",""),"　",""))</f>
        <v/>
      </c>
      <c r="J342" s="42">
        <f>IF(D342="","",IF(ISERROR(MATCH(A342&amp;"-"&amp;B342,設定!$Y$8:$Y$31,0)),"設定にない学年・組",IF(COUNTIF($F$2:$F$451,F342)&gt;1,"同じ学年・組・番号がいる",IF(COUNTIF($I$2:$I$451,I342)&gt;1,"同姓同名あり",""))))</f>
        <v/>
      </c>
    </row>
    <row r="343">
      <c r="A343" s="40" t="n">
        <v>3</v>
      </c>
      <c r="B343" s="40" t="inlineStr">
        <is>
          <t>月</t>
        </is>
      </c>
      <c r="C343" s="40" t="n">
        <v>12</v>
      </c>
      <c r="D343" s="41" t="inlineStr">
        <is>
          <t>中野　大翔</t>
        </is>
      </c>
      <c r="F343" s="8">
        <f>IF(D343="","",A343&amp;"-"&amp;B343&amp;"-"&amp;C343)</f>
        <v/>
      </c>
      <c r="G343" s="8">
        <f>IF(D343="","",IFERROR(MATCH(A343&amp;"-"&amp;B343,設定!$Y$8:$Y$31,0),99)*1000+C343+ROW()/1000000)</f>
        <v/>
      </c>
      <c r="H343" s="8">
        <f>IF(D343="","",A343+1)</f>
        <v/>
      </c>
      <c r="I343" s="8">
        <f>IF(D343="","",H343&amp;"|"&amp;SUBSTITUTE(SUBSTITUTE(D343," ",""),"　",""))</f>
        <v/>
      </c>
      <c r="J343" s="42">
        <f>IF(D343="","",IF(ISERROR(MATCH(A343&amp;"-"&amp;B343,設定!$Y$8:$Y$31,0)),"設定にない学年・組",IF(COUNTIF($F$2:$F$451,F343)&gt;1,"同じ学年・組・番号がいる",IF(COUNTIF($I$2:$I$451,I343)&gt;1,"同姓同名あり",""))))</f>
        <v/>
      </c>
    </row>
    <row r="344">
      <c r="A344" s="40" t="n">
        <v>3</v>
      </c>
      <c r="B344" s="40" t="inlineStr">
        <is>
          <t>月</t>
        </is>
      </c>
      <c r="C344" s="40" t="n">
        <v>13</v>
      </c>
      <c r="D344" s="41" t="inlineStr">
        <is>
          <t>石川　千尋</t>
        </is>
      </c>
      <c r="F344" s="8">
        <f>IF(D344="","",A344&amp;"-"&amp;B344&amp;"-"&amp;C344)</f>
        <v/>
      </c>
      <c r="G344" s="8">
        <f>IF(D344="","",IFERROR(MATCH(A344&amp;"-"&amp;B344,設定!$Y$8:$Y$31,0),99)*1000+C344+ROW()/1000000)</f>
        <v/>
      </c>
      <c r="H344" s="8">
        <f>IF(D344="","",A344+1)</f>
        <v/>
      </c>
      <c r="I344" s="8">
        <f>IF(D344="","",H344&amp;"|"&amp;SUBSTITUTE(SUBSTITUTE(D344," ",""),"　",""))</f>
        <v/>
      </c>
      <c r="J344" s="42">
        <f>IF(D344="","",IF(ISERROR(MATCH(A344&amp;"-"&amp;B344,設定!$Y$8:$Y$31,0)),"設定にない学年・組",IF(COUNTIF($F$2:$F$451,F344)&gt;1,"同じ学年・組・番号がいる",IF(COUNTIF($I$2:$I$451,I344)&gt;1,"同姓同名あり",""))))</f>
        <v/>
      </c>
    </row>
    <row r="345">
      <c r="A345" s="40" t="n">
        <v>3</v>
      </c>
      <c r="B345" s="40" t="inlineStr">
        <is>
          <t>月</t>
        </is>
      </c>
      <c r="C345" s="40" t="n">
        <v>14</v>
      </c>
      <c r="D345" s="41" t="inlineStr">
        <is>
          <t>青木　優斗</t>
        </is>
      </c>
      <c r="F345" s="8">
        <f>IF(D345="","",A345&amp;"-"&amp;B345&amp;"-"&amp;C345)</f>
        <v/>
      </c>
      <c r="G345" s="8">
        <f>IF(D345="","",IFERROR(MATCH(A345&amp;"-"&amp;B345,設定!$Y$8:$Y$31,0),99)*1000+C345+ROW()/1000000)</f>
        <v/>
      </c>
      <c r="H345" s="8">
        <f>IF(D345="","",A345+1)</f>
        <v/>
      </c>
      <c r="I345" s="8">
        <f>IF(D345="","",H345&amp;"|"&amp;SUBSTITUTE(SUBSTITUTE(D345," ",""),"　",""))</f>
        <v/>
      </c>
      <c r="J345" s="42">
        <f>IF(D345="","",IF(ISERROR(MATCH(A345&amp;"-"&amp;B345,設定!$Y$8:$Y$31,0)),"設定にない学年・組",IF(COUNTIF($F$2:$F$451,F345)&gt;1,"同じ学年・組・番号がいる",IF(COUNTIF($I$2:$I$451,I345)&gt;1,"同姓同名あり",""))))</f>
        <v/>
      </c>
    </row>
    <row r="346">
      <c r="A346" s="40" t="n">
        <v>3</v>
      </c>
      <c r="B346" s="40" t="inlineStr">
        <is>
          <t>月</t>
        </is>
      </c>
      <c r="C346" s="40" t="n">
        <v>15</v>
      </c>
      <c r="D346" s="41" t="inlineStr">
        <is>
          <t>長谷川　楓</t>
        </is>
      </c>
      <c r="F346" s="8">
        <f>IF(D346="","",A346&amp;"-"&amp;B346&amp;"-"&amp;C346)</f>
        <v/>
      </c>
      <c r="G346" s="8">
        <f>IF(D346="","",IFERROR(MATCH(A346&amp;"-"&amp;B346,設定!$Y$8:$Y$31,0),99)*1000+C346+ROW()/1000000)</f>
        <v/>
      </c>
      <c r="H346" s="8">
        <f>IF(D346="","",A346+1)</f>
        <v/>
      </c>
      <c r="I346" s="8">
        <f>IF(D346="","",H346&amp;"|"&amp;SUBSTITUTE(SUBSTITUTE(D346," ",""),"　",""))</f>
        <v/>
      </c>
      <c r="J346" s="42">
        <f>IF(D346="","",IF(ISERROR(MATCH(A346&amp;"-"&amp;B346,設定!$Y$8:$Y$31,0)),"設定にない学年・組",IF(COUNTIF($F$2:$F$451,F346)&gt;1,"同じ学年・組・番号がいる",IF(COUNTIF($I$2:$I$451,I346)&gt;1,"同姓同名あり",""))))</f>
        <v/>
      </c>
    </row>
    <row r="347">
      <c r="A347" s="40" t="n">
        <v>3</v>
      </c>
      <c r="B347" s="40" t="inlineStr">
        <is>
          <t>月</t>
        </is>
      </c>
      <c r="C347" s="40" t="n">
        <v>16</v>
      </c>
      <c r="D347" s="41" t="inlineStr">
        <is>
          <t>森　海斗</t>
        </is>
      </c>
      <c r="F347" s="8">
        <f>IF(D347="","",A347&amp;"-"&amp;B347&amp;"-"&amp;C347)</f>
        <v/>
      </c>
      <c r="G347" s="8">
        <f>IF(D347="","",IFERROR(MATCH(A347&amp;"-"&amp;B347,設定!$Y$8:$Y$31,0),99)*1000+C347+ROW()/1000000)</f>
        <v/>
      </c>
      <c r="H347" s="8">
        <f>IF(D347="","",A347+1)</f>
        <v/>
      </c>
      <c r="I347" s="8">
        <f>IF(D347="","",H347&amp;"|"&amp;SUBSTITUTE(SUBSTITUTE(D347," ",""),"　",""))</f>
        <v/>
      </c>
      <c r="J347" s="42">
        <f>IF(D347="","",IF(ISERROR(MATCH(A347&amp;"-"&amp;B347,設定!$Y$8:$Y$31,0)),"設定にない学年・組",IF(COUNTIF($F$2:$F$451,F347)&gt;1,"同じ学年・組・番号がいる",IF(COUNTIF($I$2:$I$451,I347)&gt;1,"同姓同名あり",""))))</f>
        <v/>
      </c>
    </row>
    <row r="348">
      <c r="A348" s="40" t="n">
        <v>3</v>
      </c>
      <c r="B348" s="40" t="inlineStr">
        <is>
          <t>月</t>
        </is>
      </c>
      <c r="C348" s="40" t="n">
        <v>17</v>
      </c>
      <c r="D348" s="41" t="inlineStr">
        <is>
          <t>林　陽太</t>
        </is>
      </c>
      <c r="F348" s="8">
        <f>IF(D348="","",A348&amp;"-"&amp;B348&amp;"-"&amp;C348)</f>
        <v/>
      </c>
      <c r="G348" s="8">
        <f>IF(D348="","",IFERROR(MATCH(A348&amp;"-"&amp;B348,設定!$Y$8:$Y$31,0),99)*1000+C348+ROW()/1000000)</f>
        <v/>
      </c>
      <c r="H348" s="8">
        <f>IF(D348="","",A348+1)</f>
        <v/>
      </c>
      <c r="I348" s="8">
        <f>IF(D348="","",H348&amp;"|"&amp;SUBSTITUTE(SUBSTITUTE(D348," ",""),"　",""))</f>
        <v/>
      </c>
      <c r="J348" s="42">
        <f>IF(D348="","",IF(ISERROR(MATCH(A348&amp;"-"&amp;B348,設定!$Y$8:$Y$31,0)),"設定にない学年・組",IF(COUNTIF($F$2:$F$451,F348)&gt;1,"同じ学年・組・番号がいる",IF(COUNTIF($I$2:$I$451,I348)&gt;1,"同姓同名あり",""))))</f>
        <v/>
      </c>
    </row>
    <row r="349">
      <c r="A349" s="40" t="n">
        <v>3</v>
      </c>
      <c r="B349" s="40" t="inlineStr">
        <is>
          <t>月</t>
        </is>
      </c>
      <c r="C349" s="40" t="n">
        <v>18</v>
      </c>
      <c r="D349" s="41" t="inlineStr">
        <is>
          <t>小野　晴</t>
        </is>
      </c>
      <c r="F349" s="8">
        <f>IF(D349="","",A349&amp;"-"&amp;B349&amp;"-"&amp;C349)</f>
        <v/>
      </c>
      <c r="G349" s="8">
        <f>IF(D349="","",IFERROR(MATCH(A349&amp;"-"&amp;B349,設定!$Y$8:$Y$31,0),99)*1000+C349+ROW()/1000000)</f>
        <v/>
      </c>
      <c r="H349" s="8">
        <f>IF(D349="","",A349+1)</f>
        <v/>
      </c>
      <c r="I349" s="8">
        <f>IF(D349="","",H349&amp;"|"&amp;SUBSTITUTE(SUBSTITUTE(D349," ",""),"　",""))</f>
        <v/>
      </c>
      <c r="J349" s="42">
        <f>IF(D349="","",IF(ISERROR(MATCH(A349&amp;"-"&amp;B349,設定!$Y$8:$Y$31,0)),"設定にない学年・組",IF(COUNTIF($F$2:$F$451,F349)&gt;1,"同じ学年・組・番号がいる",IF(COUNTIF($I$2:$I$451,I349)&gt;1,"同姓同名あり",""))))</f>
        <v/>
      </c>
    </row>
    <row r="350">
      <c r="A350" s="40" t="n">
        <v>3</v>
      </c>
      <c r="B350" s="40" t="inlineStr">
        <is>
          <t>月</t>
        </is>
      </c>
      <c r="C350" s="40" t="n">
        <v>19</v>
      </c>
      <c r="D350" s="41" t="inlineStr">
        <is>
          <t>金子　颯太</t>
        </is>
      </c>
      <c r="F350" s="8">
        <f>IF(D350="","",A350&amp;"-"&amp;B350&amp;"-"&amp;C350)</f>
        <v/>
      </c>
      <c r="G350" s="8">
        <f>IF(D350="","",IFERROR(MATCH(A350&amp;"-"&amp;B350,設定!$Y$8:$Y$31,0),99)*1000+C350+ROW()/1000000)</f>
        <v/>
      </c>
      <c r="H350" s="8">
        <f>IF(D350="","",A350+1)</f>
        <v/>
      </c>
      <c r="I350" s="8">
        <f>IF(D350="","",H350&amp;"|"&amp;SUBSTITUTE(SUBSTITUTE(D350," ",""),"　",""))</f>
        <v/>
      </c>
      <c r="J350" s="42">
        <f>IF(D350="","",IF(ISERROR(MATCH(A350&amp;"-"&amp;B350,設定!$Y$8:$Y$31,0)),"設定にない学年・組",IF(COUNTIF($F$2:$F$451,F350)&gt;1,"同じ学年・組・番号がいる",IF(COUNTIF($I$2:$I$451,I350)&gt;1,"同姓同名あり",""))))</f>
        <v/>
      </c>
    </row>
    <row r="351">
      <c r="A351" s="40" t="n">
        <v>3</v>
      </c>
      <c r="B351" s="40" t="inlineStr">
        <is>
          <t>月</t>
        </is>
      </c>
      <c r="C351" s="40" t="n">
        <v>20</v>
      </c>
      <c r="D351" s="41" t="inlineStr">
        <is>
          <t>石川　朝陽</t>
        </is>
      </c>
      <c r="F351" s="8">
        <f>IF(D351="","",A351&amp;"-"&amp;B351&amp;"-"&amp;C351)</f>
        <v/>
      </c>
      <c r="G351" s="8">
        <f>IF(D351="","",IFERROR(MATCH(A351&amp;"-"&amp;B351,設定!$Y$8:$Y$31,0),99)*1000+C351+ROW()/1000000)</f>
        <v/>
      </c>
      <c r="H351" s="8">
        <f>IF(D351="","",A351+1)</f>
        <v/>
      </c>
      <c r="I351" s="8">
        <f>IF(D351="","",H351&amp;"|"&amp;SUBSTITUTE(SUBSTITUTE(D351," ",""),"　",""))</f>
        <v/>
      </c>
      <c r="J351" s="42">
        <f>IF(D351="","",IF(ISERROR(MATCH(A351&amp;"-"&amp;B351,設定!$Y$8:$Y$31,0)),"設定にない学年・組",IF(COUNTIF($F$2:$F$451,F351)&gt;1,"同じ学年・組・番号がいる",IF(COUNTIF($I$2:$I$451,I351)&gt;1,"同姓同名あり",""))))</f>
        <v/>
      </c>
    </row>
    <row r="352">
      <c r="A352" s="40" t="n">
        <v>3</v>
      </c>
      <c r="B352" s="40" t="inlineStr">
        <is>
          <t>月</t>
        </is>
      </c>
      <c r="C352" s="40" t="n">
        <v>21</v>
      </c>
      <c r="D352" s="41" t="inlineStr">
        <is>
          <t>森　花音</t>
        </is>
      </c>
      <c r="F352" s="8">
        <f>IF(D352="","",A352&amp;"-"&amp;B352&amp;"-"&amp;C352)</f>
        <v/>
      </c>
      <c r="G352" s="8">
        <f>IF(D352="","",IFERROR(MATCH(A352&amp;"-"&amp;B352,設定!$Y$8:$Y$31,0),99)*1000+C352+ROW()/1000000)</f>
        <v/>
      </c>
      <c r="H352" s="8">
        <f>IF(D352="","",A352+1)</f>
        <v/>
      </c>
      <c r="I352" s="8">
        <f>IF(D352="","",H352&amp;"|"&amp;SUBSTITUTE(SUBSTITUTE(D352," ",""),"　",""))</f>
        <v/>
      </c>
      <c r="J352" s="42">
        <f>IF(D352="","",IF(ISERROR(MATCH(A352&amp;"-"&amp;B352,設定!$Y$8:$Y$31,0)),"設定にない学年・組",IF(COUNTIF($F$2:$F$451,F352)&gt;1,"同じ学年・組・番号がいる",IF(COUNTIF($I$2:$I$451,I352)&gt;1,"同姓同名あり",""))))</f>
        <v/>
      </c>
    </row>
    <row r="353">
      <c r="A353" s="40" t="n">
        <v>3</v>
      </c>
      <c r="B353" s="40" t="inlineStr">
        <is>
          <t>月</t>
        </is>
      </c>
      <c r="C353" s="40" t="n">
        <v>22</v>
      </c>
      <c r="D353" s="41" t="inlineStr">
        <is>
          <t>岡本　芽依</t>
        </is>
      </c>
      <c r="F353" s="8">
        <f>IF(D353="","",A353&amp;"-"&amp;B353&amp;"-"&amp;C353)</f>
        <v/>
      </c>
      <c r="G353" s="8">
        <f>IF(D353="","",IFERROR(MATCH(A353&amp;"-"&amp;B353,設定!$Y$8:$Y$31,0),99)*1000+C353+ROW()/1000000)</f>
        <v/>
      </c>
      <c r="H353" s="8">
        <f>IF(D353="","",A353+1)</f>
        <v/>
      </c>
      <c r="I353" s="8">
        <f>IF(D353="","",H353&amp;"|"&amp;SUBSTITUTE(SUBSTITUTE(D353," ",""),"　",""))</f>
        <v/>
      </c>
      <c r="J353" s="42">
        <f>IF(D353="","",IF(ISERROR(MATCH(A353&amp;"-"&amp;B353,設定!$Y$8:$Y$31,0)),"設定にない学年・組",IF(COUNTIF($F$2:$F$451,F353)&gt;1,"同じ学年・組・番号がいる",IF(COUNTIF($I$2:$I$451,I353)&gt;1,"同姓同名あり",""))))</f>
        <v/>
      </c>
    </row>
    <row r="354">
      <c r="A354" s="40" t="n">
        <v>3</v>
      </c>
      <c r="B354" s="40" t="inlineStr">
        <is>
          <t>月</t>
        </is>
      </c>
      <c r="C354" s="40" t="n">
        <v>23</v>
      </c>
      <c r="D354" s="41" t="inlineStr">
        <is>
          <t>金子　結衣</t>
        </is>
      </c>
      <c r="F354" s="8">
        <f>IF(D354="","",A354&amp;"-"&amp;B354&amp;"-"&amp;C354)</f>
        <v/>
      </c>
      <c r="G354" s="8">
        <f>IF(D354="","",IFERROR(MATCH(A354&amp;"-"&amp;B354,設定!$Y$8:$Y$31,0),99)*1000+C354+ROW()/1000000)</f>
        <v/>
      </c>
      <c r="H354" s="8">
        <f>IF(D354="","",A354+1)</f>
        <v/>
      </c>
      <c r="I354" s="8">
        <f>IF(D354="","",H354&amp;"|"&amp;SUBSTITUTE(SUBSTITUTE(D354," ",""),"　",""))</f>
        <v/>
      </c>
      <c r="J354" s="42">
        <f>IF(D354="","",IF(ISERROR(MATCH(A354&amp;"-"&amp;B354,設定!$Y$8:$Y$31,0)),"設定にない学年・組",IF(COUNTIF($F$2:$F$451,F354)&gt;1,"同じ学年・組・番号がいる",IF(COUNTIF($I$2:$I$451,I354)&gt;1,"同姓同名あり",""))))</f>
        <v/>
      </c>
    </row>
    <row r="355">
      <c r="A355" s="40" t="n">
        <v>3</v>
      </c>
      <c r="B355" s="40" t="inlineStr">
        <is>
          <t>月</t>
        </is>
      </c>
      <c r="C355" s="40" t="n">
        <v>24</v>
      </c>
      <c r="D355" s="41" t="inlineStr">
        <is>
          <t>竹内　結翔</t>
        </is>
      </c>
      <c r="F355" s="8">
        <f>IF(D355="","",A355&amp;"-"&amp;B355&amp;"-"&amp;C355)</f>
        <v/>
      </c>
      <c r="G355" s="8">
        <f>IF(D355="","",IFERROR(MATCH(A355&amp;"-"&amp;B355,設定!$Y$8:$Y$31,0),99)*1000+C355+ROW()/1000000)</f>
        <v/>
      </c>
      <c r="H355" s="8">
        <f>IF(D355="","",A355+1)</f>
        <v/>
      </c>
      <c r="I355" s="8">
        <f>IF(D355="","",H355&amp;"|"&amp;SUBSTITUTE(SUBSTITUTE(D355," ",""),"　",""))</f>
        <v/>
      </c>
      <c r="J355" s="42">
        <f>IF(D355="","",IF(ISERROR(MATCH(A355&amp;"-"&amp;B355,設定!$Y$8:$Y$31,0)),"設定にない学年・組",IF(COUNTIF($F$2:$F$451,F355)&gt;1,"同じ学年・組・番号がいる",IF(COUNTIF($I$2:$I$451,I355)&gt;1,"同姓同名あり",""))))</f>
        <v/>
      </c>
    </row>
    <row r="356">
      <c r="A356" s="40" t="n">
        <v>3</v>
      </c>
      <c r="B356" s="40" t="inlineStr">
        <is>
          <t>月</t>
        </is>
      </c>
      <c r="C356" s="40" t="n">
        <v>25</v>
      </c>
      <c r="D356" s="41" t="inlineStr">
        <is>
          <t>石川　奏太</t>
        </is>
      </c>
      <c r="F356" s="8">
        <f>IF(D356="","",A356&amp;"-"&amp;B356&amp;"-"&amp;C356)</f>
        <v/>
      </c>
      <c r="G356" s="8">
        <f>IF(D356="","",IFERROR(MATCH(A356&amp;"-"&amp;B356,設定!$Y$8:$Y$31,0),99)*1000+C356+ROW()/1000000)</f>
        <v/>
      </c>
      <c r="H356" s="8">
        <f>IF(D356="","",A356+1)</f>
        <v/>
      </c>
      <c r="I356" s="8">
        <f>IF(D356="","",H356&amp;"|"&amp;SUBSTITUTE(SUBSTITUTE(D356," ",""),"　",""))</f>
        <v/>
      </c>
      <c r="J356" s="42">
        <f>IF(D356="","",IF(ISERROR(MATCH(A356&amp;"-"&amp;B356,設定!$Y$8:$Y$31,0)),"設定にない学年・組",IF(COUNTIF($F$2:$F$451,F356)&gt;1,"同じ学年・組・番号がいる",IF(COUNTIF($I$2:$I$451,I356)&gt;1,"同姓同名あり",""))))</f>
        <v/>
      </c>
    </row>
    <row r="357">
      <c r="A357" s="40" t="n">
        <v>3</v>
      </c>
      <c r="B357" s="40" t="inlineStr">
        <is>
          <t>月</t>
        </is>
      </c>
      <c r="C357" s="40" t="n">
        <v>26</v>
      </c>
      <c r="D357" s="41" t="inlineStr">
        <is>
          <t>原田　結翔</t>
        </is>
      </c>
      <c r="F357" s="8">
        <f>IF(D357="","",A357&amp;"-"&amp;B357&amp;"-"&amp;C357)</f>
        <v/>
      </c>
      <c r="G357" s="8">
        <f>IF(D357="","",IFERROR(MATCH(A357&amp;"-"&amp;B357,設定!$Y$8:$Y$31,0),99)*1000+C357+ROW()/1000000)</f>
        <v/>
      </c>
      <c r="H357" s="8">
        <f>IF(D357="","",A357+1)</f>
        <v/>
      </c>
      <c r="I357" s="8">
        <f>IF(D357="","",H357&amp;"|"&amp;SUBSTITUTE(SUBSTITUTE(D357," ",""),"　",""))</f>
        <v/>
      </c>
      <c r="J357" s="42">
        <f>IF(D357="","",IF(ISERROR(MATCH(A357&amp;"-"&amp;B357,設定!$Y$8:$Y$31,0)),"設定にない学年・組",IF(COUNTIF($F$2:$F$451,F357)&gt;1,"同じ学年・組・番号がいる",IF(COUNTIF($I$2:$I$451,I357)&gt;1,"同姓同名あり",""))))</f>
        <v/>
      </c>
    </row>
    <row r="358">
      <c r="A358" s="40" t="n">
        <v>3</v>
      </c>
      <c r="B358" s="40" t="inlineStr">
        <is>
          <t>月</t>
        </is>
      </c>
      <c r="C358" s="40" t="n">
        <v>27</v>
      </c>
      <c r="D358" s="41" t="inlineStr">
        <is>
          <t>伊藤　凛</t>
        </is>
      </c>
      <c r="F358" s="8">
        <f>IF(D358="","",A358&amp;"-"&amp;B358&amp;"-"&amp;C358)</f>
        <v/>
      </c>
      <c r="G358" s="8">
        <f>IF(D358="","",IFERROR(MATCH(A358&amp;"-"&amp;B358,設定!$Y$8:$Y$31,0),99)*1000+C358+ROW()/1000000)</f>
        <v/>
      </c>
      <c r="H358" s="8">
        <f>IF(D358="","",A358+1)</f>
        <v/>
      </c>
      <c r="I358" s="8">
        <f>IF(D358="","",H358&amp;"|"&amp;SUBSTITUTE(SUBSTITUTE(D358," ",""),"　",""))</f>
        <v/>
      </c>
      <c r="J358" s="42">
        <f>IF(D358="","",IF(ISERROR(MATCH(A358&amp;"-"&amp;B358,設定!$Y$8:$Y$31,0)),"設定にない学年・組",IF(COUNTIF($F$2:$F$451,F358)&gt;1,"同じ学年・組・番号がいる",IF(COUNTIF($I$2:$I$451,I358)&gt;1,"同姓同名あり",""))))</f>
        <v/>
      </c>
    </row>
    <row r="359">
      <c r="A359" s="40" t="n">
        <v>3</v>
      </c>
      <c r="B359" s="40" t="inlineStr">
        <is>
          <t>月</t>
        </is>
      </c>
      <c r="C359" s="40" t="n">
        <v>28</v>
      </c>
      <c r="D359" s="41" t="inlineStr">
        <is>
          <t>清水　心春</t>
        </is>
      </c>
      <c r="F359" s="8">
        <f>IF(D359="","",A359&amp;"-"&amp;B359&amp;"-"&amp;C359)</f>
        <v/>
      </c>
      <c r="G359" s="8">
        <f>IF(D359="","",IFERROR(MATCH(A359&amp;"-"&amp;B359,設定!$Y$8:$Y$31,0),99)*1000+C359+ROW()/1000000)</f>
        <v/>
      </c>
      <c r="H359" s="8">
        <f>IF(D359="","",A359+1)</f>
        <v/>
      </c>
      <c r="I359" s="8">
        <f>IF(D359="","",H359&amp;"|"&amp;SUBSTITUTE(SUBSTITUTE(D359," ",""),"　",""))</f>
        <v/>
      </c>
      <c r="J359" s="42">
        <f>IF(D359="","",IF(ISERROR(MATCH(A359&amp;"-"&amp;B359,設定!$Y$8:$Y$31,0)),"設定にない学年・組",IF(COUNTIF($F$2:$F$451,F359)&gt;1,"同じ学年・組・番号がいる",IF(COUNTIF($I$2:$I$451,I359)&gt;1,"同姓同名あり",""))))</f>
        <v/>
      </c>
    </row>
    <row r="360">
      <c r="A360" s="40" t="n">
        <v>3</v>
      </c>
      <c r="B360" s="40" t="inlineStr">
        <is>
          <t>月</t>
        </is>
      </c>
      <c r="C360" s="40" t="n">
        <v>29</v>
      </c>
      <c r="D360" s="41" t="inlineStr">
        <is>
          <t>山本　蓮</t>
        </is>
      </c>
      <c r="F360" s="8">
        <f>IF(D360="","",A360&amp;"-"&amp;B360&amp;"-"&amp;C360)</f>
        <v/>
      </c>
      <c r="G360" s="8">
        <f>IF(D360="","",IFERROR(MATCH(A360&amp;"-"&amp;B360,設定!$Y$8:$Y$31,0),99)*1000+C360+ROW()/1000000)</f>
        <v/>
      </c>
      <c r="H360" s="8">
        <f>IF(D360="","",A360+1)</f>
        <v/>
      </c>
      <c r="I360" s="8">
        <f>IF(D360="","",H360&amp;"|"&amp;SUBSTITUTE(SUBSTITUTE(D360," ",""),"　",""))</f>
        <v/>
      </c>
      <c r="J360" s="42">
        <f>IF(D360="","",IF(ISERROR(MATCH(A360&amp;"-"&amp;B360,設定!$Y$8:$Y$31,0)),"設定にない学年・組",IF(COUNTIF($F$2:$F$451,F360)&gt;1,"同じ学年・組・番号がいる",IF(COUNTIF($I$2:$I$451,I360)&gt;1,"同姓同名あり",""))))</f>
        <v/>
      </c>
    </row>
    <row r="361">
      <c r="A361" s="40" t="n">
        <v>3</v>
      </c>
      <c r="B361" s="40" t="inlineStr">
        <is>
          <t>月</t>
        </is>
      </c>
      <c r="C361" s="40" t="n">
        <v>30</v>
      </c>
      <c r="D361" s="41" t="inlineStr">
        <is>
          <t>池田　大翔</t>
        </is>
      </c>
      <c r="F361" s="8">
        <f>IF(D361="","",A361&amp;"-"&amp;B361&amp;"-"&amp;C361)</f>
        <v/>
      </c>
      <c r="G361" s="8">
        <f>IF(D361="","",IFERROR(MATCH(A361&amp;"-"&amp;B361,設定!$Y$8:$Y$31,0),99)*1000+C361+ROW()/1000000)</f>
        <v/>
      </c>
      <c r="H361" s="8">
        <f>IF(D361="","",A361+1)</f>
        <v/>
      </c>
      <c r="I361" s="8">
        <f>IF(D361="","",H361&amp;"|"&amp;SUBSTITUTE(SUBSTITUTE(D361," ",""),"　",""))</f>
        <v/>
      </c>
      <c r="J361" s="42">
        <f>IF(D361="","",IF(ISERROR(MATCH(A361&amp;"-"&amp;B361,設定!$Y$8:$Y$31,0)),"設定にない学年・組",IF(COUNTIF($F$2:$F$451,F361)&gt;1,"同じ学年・組・番号がいる",IF(COUNTIF($I$2:$I$451,I361)&gt;1,"同姓同名あり",""))))</f>
        <v/>
      </c>
    </row>
    <row r="362">
      <c r="A362" s="40" t="n"/>
      <c r="B362" s="40" t="n"/>
      <c r="C362" s="40" t="n"/>
      <c r="D362" s="41" t="n"/>
      <c r="F362" s="8">
        <f>IF(D362="","",A362&amp;"-"&amp;B362&amp;"-"&amp;C362)</f>
        <v/>
      </c>
      <c r="G362" s="8">
        <f>IF(D362="","",IFERROR(MATCH(A362&amp;"-"&amp;B362,設定!$Y$8:$Y$31,0),99)*1000+C362+ROW()/1000000)</f>
        <v/>
      </c>
      <c r="H362" s="8">
        <f>IF(D362="","",A362+1)</f>
        <v/>
      </c>
      <c r="I362" s="8">
        <f>IF(D362="","",H362&amp;"|"&amp;SUBSTITUTE(SUBSTITUTE(D362," ",""),"　",""))</f>
        <v/>
      </c>
      <c r="J362" s="42">
        <f>IF(D362="","",IF(ISERROR(MATCH(A362&amp;"-"&amp;B362,設定!$Y$8:$Y$31,0)),"設定にない学年・組",IF(COUNTIF($F$2:$F$451,F362)&gt;1,"同じ学年・組・番号がいる",IF(COUNTIF($I$2:$I$451,I362)&gt;1,"同姓同名あり",""))))</f>
        <v/>
      </c>
    </row>
    <row r="363">
      <c r="A363" s="40" t="n"/>
      <c r="B363" s="40" t="n"/>
      <c r="C363" s="40" t="n"/>
      <c r="D363" s="41" t="n"/>
      <c r="F363" s="8">
        <f>IF(D363="","",A363&amp;"-"&amp;B363&amp;"-"&amp;C363)</f>
        <v/>
      </c>
      <c r="G363" s="8">
        <f>IF(D363="","",IFERROR(MATCH(A363&amp;"-"&amp;B363,設定!$Y$8:$Y$31,0),99)*1000+C363+ROW()/1000000)</f>
        <v/>
      </c>
      <c r="H363" s="8">
        <f>IF(D363="","",A363+1)</f>
        <v/>
      </c>
      <c r="I363" s="8">
        <f>IF(D363="","",H363&amp;"|"&amp;SUBSTITUTE(SUBSTITUTE(D363," ",""),"　",""))</f>
        <v/>
      </c>
      <c r="J363" s="42">
        <f>IF(D363="","",IF(ISERROR(MATCH(A363&amp;"-"&amp;B363,設定!$Y$8:$Y$31,0)),"設定にない学年・組",IF(COUNTIF($F$2:$F$451,F363)&gt;1,"同じ学年・組・番号がいる",IF(COUNTIF($I$2:$I$451,I363)&gt;1,"同姓同名あり",""))))</f>
        <v/>
      </c>
    </row>
    <row r="364">
      <c r="A364" s="40" t="n"/>
      <c r="B364" s="40" t="n"/>
      <c r="C364" s="40" t="n"/>
      <c r="D364" s="41" t="n"/>
      <c r="F364" s="8">
        <f>IF(D364="","",A364&amp;"-"&amp;B364&amp;"-"&amp;C364)</f>
        <v/>
      </c>
      <c r="G364" s="8">
        <f>IF(D364="","",IFERROR(MATCH(A364&amp;"-"&amp;B364,設定!$Y$8:$Y$31,0),99)*1000+C364+ROW()/1000000)</f>
        <v/>
      </c>
      <c r="H364" s="8">
        <f>IF(D364="","",A364+1)</f>
        <v/>
      </c>
      <c r="I364" s="8">
        <f>IF(D364="","",H364&amp;"|"&amp;SUBSTITUTE(SUBSTITUTE(D364," ",""),"　",""))</f>
        <v/>
      </c>
      <c r="J364" s="42">
        <f>IF(D364="","",IF(ISERROR(MATCH(A364&amp;"-"&amp;B364,設定!$Y$8:$Y$31,0)),"設定にない学年・組",IF(COUNTIF($F$2:$F$451,F364)&gt;1,"同じ学年・組・番号がいる",IF(COUNTIF($I$2:$I$451,I364)&gt;1,"同姓同名あり",""))))</f>
        <v/>
      </c>
    </row>
    <row r="365">
      <c r="A365" s="40" t="n"/>
      <c r="B365" s="40" t="n"/>
      <c r="C365" s="40" t="n"/>
      <c r="D365" s="41" t="n"/>
      <c r="F365" s="8">
        <f>IF(D365="","",A365&amp;"-"&amp;B365&amp;"-"&amp;C365)</f>
        <v/>
      </c>
      <c r="G365" s="8">
        <f>IF(D365="","",IFERROR(MATCH(A365&amp;"-"&amp;B365,設定!$Y$8:$Y$31,0),99)*1000+C365+ROW()/1000000)</f>
        <v/>
      </c>
      <c r="H365" s="8">
        <f>IF(D365="","",A365+1)</f>
        <v/>
      </c>
      <c r="I365" s="8">
        <f>IF(D365="","",H365&amp;"|"&amp;SUBSTITUTE(SUBSTITUTE(D365," ",""),"　",""))</f>
        <v/>
      </c>
      <c r="J365" s="42">
        <f>IF(D365="","",IF(ISERROR(MATCH(A365&amp;"-"&amp;B365,設定!$Y$8:$Y$31,0)),"設定にない学年・組",IF(COUNTIF($F$2:$F$451,F365)&gt;1,"同じ学年・組・番号がいる",IF(COUNTIF($I$2:$I$451,I365)&gt;1,"同姓同名あり",""))))</f>
        <v/>
      </c>
    </row>
    <row r="366">
      <c r="A366" s="40" t="n"/>
      <c r="B366" s="40" t="n"/>
      <c r="C366" s="40" t="n"/>
      <c r="D366" s="41" t="n"/>
      <c r="F366" s="8">
        <f>IF(D366="","",A366&amp;"-"&amp;B366&amp;"-"&amp;C366)</f>
        <v/>
      </c>
      <c r="G366" s="8">
        <f>IF(D366="","",IFERROR(MATCH(A366&amp;"-"&amp;B366,設定!$Y$8:$Y$31,0),99)*1000+C366+ROW()/1000000)</f>
        <v/>
      </c>
      <c r="H366" s="8">
        <f>IF(D366="","",A366+1)</f>
        <v/>
      </c>
      <c r="I366" s="8">
        <f>IF(D366="","",H366&amp;"|"&amp;SUBSTITUTE(SUBSTITUTE(D366," ",""),"　",""))</f>
        <v/>
      </c>
      <c r="J366" s="42">
        <f>IF(D366="","",IF(ISERROR(MATCH(A366&amp;"-"&amp;B366,設定!$Y$8:$Y$31,0)),"設定にない学年・組",IF(COUNTIF($F$2:$F$451,F366)&gt;1,"同じ学年・組・番号がいる",IF(COUNTIF($I$2:$I$451,I366)&gt;1,"同姓同名あり",""))))</f>
        <v/>
      </c>
    </row>
    <row r="367">
      <c r="A367" s="40" t="n"/>
      <c r="B367" s="40" t="n"/>
      <c r="C367" s="40" t="n"/>
      <c r="D367" s="41" t="n"/>
      <c r="F367" s="8">
        <f>IF(D367="","",A367&amp;"-"&amp;B367&amp;"-"&amp;C367)</f>
        <v/>
      </c>
      <c r="G367" s="8">
        <f>IF(D367="","",IFERROR(MATCH(A367&amp;"-"&amp;B367,設定!$Y$8:$Y$31,0),99)*1000+C367+ROW()/1000000)</f>
        <v/>
      </c>
      <c r="H367" s="8">
        <f>IF(D367="","",A367+1)</f>
        <v/>
      </c>
      <c r="I367" s="8">
        <f>IF(D367="","",H367&amp;"|"&amp;SUBSTITUTE(SUBSTITUTE(D367," ",""),"　",""))</f>
        <v/>
      </c>
      <c r="J367" s="42">
        <f>IF(D367="","",IF(ISERROR(MATCH(A367&amp;"-"&amp;B367,設定!$Y$8:$Y$31,0)),"設定にない学年・組",IF(COUNTIF($F$2:$F$451,F367)&gt;1,"同じ学年・組・番号がいる",IF(COUNTIF($I$2:$I$451,I367)&gt;1,"同姓同名あり",""))))</f>
        <v/>
      </c>
    </row>
    <row r="368">
      <c r="A368" s="40" t="n"/>
      <c r="B368" s="40" t="n"/>
      <c r="C368" s="40" t="n"/>
      <c r="D368" s="41" t="n"/>
      <c r="F368" s="8">
        <f>IF(D368="","",A368&amp;"-"&amp;B368&amp;"-"&amp;C368)</f>
        <v/>
      </c>
      <c r="G368" s="8">
        <f>IF(D368="","",IFERROR(MATCH(A368&amp;"-"&amp;B368,設定!$Y$8:$Y$31,0),99)*1000+C368+ROW()/1000000)</f>
        <v/>
      </c>
      <c r="H368" s="8">
        <f>IF(D368="","",A368+1)</f>
        <v/>
      </c>
      <c r="I368" s="8">
        <f>IF(D368="","",H368&amp;"|"&amp;SUBSTITUTE(SUBSTITUTE(D368," ",""),"　",""))</f>
        <v/>
      </c>
      <c r="J368" s="42">
        <f>IF(D368="","",IF(ISERROR(MATCH(A368&amp;"-"&amp;B368,設定!$Y$8:$Y$31,0)),"設定にない学年・組",IF(COUNTIF($F$2:$F$451,F368)&gt;1,"同じ学年・組・番号がいる",IF(COUNTIF($I$2:$I$451,I368)&gt;1,"同姓同名あり",""))))</f>
        <v/>
      </c>
    </row>
    <row r="369">
      <c r="A369" s="40" t="n"/>
      <c r="B369" s="40" t="n"/>
      <c r="C369" s="40" t="n"/>
      <c r="D369" s="41" t="n"/>
      <c r="F369" s="8">
        <f>IF(D369="","",A369&amp;"-"&amp;B369&amp;"-"&amp;C369)</f>
        <v/>
      </c>
      <c r="G369" s="8">
        <f>IF(D369="","",IFERROR(MATCH(A369&amp;"-"&amp;B369,設定!$Y$8:$Y$31,0),99)*1000+C369+ROW()/1000000)</f>
        <v/>
      </c>
      <c r="H369" s="8">
        <f>IF(D369="","",A369+1)</f>
        <v/>
      </c>
      <c r="I369" s="8">
        <f>IF(D369="","",H369&amp;"|"&amp;SUBSTITUTE(SUBSTITUTE(D369," ",""),"　",""))</f>
        <v/>
      </c>
      <c r="J369" s="42">
        <f>IF(D369="","",IF(ISERROR(MATCH(A369&amp;"-"&amp;B369,設定!$Y$8:$Y$31,0)),"設定にない学年・組",IF(COUNTIF($F$2:$F$451,F369)&gt;1,"同じ学年・組・番号がいる",IF(COUNTIF($I$2:$I$451,I369)&gt;1,"同姓同名あり",""))))</f>
        <v/>
      </c>
    </row>
    <row r="370">
      <c r="A370" s="40" t="n"/>
      <c r="B370" s="40" t="n"/>
      <c r="C370" s="40" t="n"/>
      <c r="D370" s="41" t="n"/>
      <c r="F370" s="8">
        <f>IF(D370="","",A370&amp;"-"&amp;B370&amp;"-"&amp;C370)</f>
        <v/>
      </c>
      <c r="G370" s="8">
        <f>IF(D370="","",IFERROR(MATCH(A370&amp;"-"&amp;B370,設定!$Y$8:$Y$31,0),99)*1000+C370+ROW()/1000000)</f>
        <v/>
      </c>
      <c r="H370" s="8">
        <f>IF(D370="","",A370+1)</f>
        <v/>
      </c>
      <c r="I370" s="8">
        <f>IF(D370="","",H370&amp;"|"&amp;SUBSTITUTE(SUBSTITUTE(D370," ",""),"　",""))</f>
        <v/>
      </c>
      <c r="J370" s="42">
        <f>IF(D370="","",IF(ISERROR(MATCH(A370&amp;"-"&amp;B370,設定!$Y$8:$Y$31,0)),"設定にない学年・組",IF(COUNTIF($F$2:$F$451,F370)&gt;1,"同じ学年・組・番号がいる",IF(COUNTIF($I$2:$I$451,I370)&gt;1,"同姓同名あり",""))))</f>
        <v/>
      </c>
    </row>
    <row r="371">
      <c r="A371" s="40" t="n"/>
      <c r="B371" s="40" t="n"/>
      <c r="C371" s="40" t="n"/>
      <c r="D371" s="41" t="n"/>
      <c r="F371" s="8">
        <f>IF(D371="","",A371&amp;"-"&amp;B371&amp;"-"&amp;C371)</f>
        <v/>
      </c>
      <c r="G371" s="8">
        <f>IF(D371="","",IFERROR(MATCH(A371&amp;"-"&amp;B371,設定!$Y$8:$Y$31,0),99)*1000+C371+ROW()/1000000)</f>
        <v/>
      </c>
      <c r="H371" s="8">
        <f>IF(D371="","",A371+1)</f>
        <v/>
      </c>
      <c r="I371" s="8">
        <f>IF(D371="","",H371&amp;"|"&amp;SUBSTITUTE(SUBSTITUTE(D371," ",""),"　",""))</f>
        <v/>
      </c>
      <c r="J371" s="42">
        <f>IF(D371="","",IF(ISERROR(MATCH(A371&amp;"-"&amp;B371,設定!$Y$8:$Y$31,0)),"設定にない学年・組",IF(COUNTIF($F$2:$F$451,F371)&gt;1,"同じ学年・組・番号がいる",IF(COUNTIF($I$2:$I$451,I371)&gt;1,"同姓同名あり",""))))</f>
        <v/>
      </c>
    </row>
    <row r="372">
      <c r="A372" s="40" t="n"/>
      <c r="B372" s="40" t="n"/>
      <c r="C372" s="40" t="n"/>
      <c r="D372" s="41" t="n"/>
      <c r="F372" s="8">
        <f>IF(D372="","",A372&amp;"-"&amp;B372&amp;"-"&amp;C372)</f>
        <v/>
      </c>
      <c r="G372" s="8">
        <f>IF(D372="","",IFERROR(MATCH(A372&amp;"-"&amp;B372,設定!$Y$8:$Y$31,0),99)*1000+C372+ROW()/1000000)</f>
        <v/>
      </c>
      <c r="H372" s="8">
        <f>IF(D372="","",A372+1)</f>
        <v/>
      </c>
      <c r="I372" s="8">
        <f>IF(D372="","",H372&amp;"|"&amp;SUBSTITUTE(SUBSTITUTE(D372," ",""),"　",""))</f>
        <v/>
      </c>
      <c r="J372" s="42">
        <f>IF(D372="","",IF(ISERROR(MATCH(A372&amp;"-"&amp;B372,設定!$Y$8:$Y$31,0)),"設定にない学年・組",IF(COUNTIF($F$2:$F$451,F372)&gt;1,"同じ学年・組・番号がいる",IF(COUNTIF($I$2:$I$451,I372)&gt;1,"同姓同名あり",""))))</f>
        <v/>
      </c>
    </row>
    <row r="373">
      <c r="A373" s="40" t="n"/>
      <c r="B373" s="40" t="n"/>
      <c r="C373" s="40" t="n"/>
      <c r="D373" s="41" t="n"/>
      <c r="F373" s="8">
        <f>IF(D373="","",A373&amp;"-"&amp;B373&amp;"-"&amp;C373)</f>
        <v/>
      </c>
      <c r="G373" s="8">
        <f>IF(D373="","",IFERROR(MATCH(A373&amp;"-"&amp;B373,設定!$Y$8:$Y$31,0),99)*1000+C373+ROW()/1000000)</f>
        <v/>
      </c>
      <c r="H373" s="8">
        <f>IF(D373="","",A373+1)</f>
        <v/>
      </c>
      <c r="I373" s="8">
        <f>IF(D373="","",H373&amp;"|"&amp;SUBSTITUTE(SUBSTITUTE(D373," ",""),"　",""))</f>
        <v/>
      </c>
      <c r="J373" s="42">
        <f>IF(D373="","",IF(ISERROR(MATCH(A373&amp;"-"&amp;B373,設定!$Y$8:$Y$31,0)),"設定にない学年・組",IF(COUNTIF($F$2:$F$451,F373)&gt;1,"同じ学年・組・番号がいる",IF(COUNTIF($I$2:$I$451,I373)&gt;1,"同姓同名あり",""))))</f>
        <v/>
      </c>
    </row>
    <row r="374">
      <c r="A374" s="40" t="n"/>
      <c r="B374" s="40" t="n"/>
      <c r="C374" s="40" t="n"/>
      <c r="D374" s="41" t="n"/>
      <c r="F374" s="8">
        <f>IF(D374="","",A374&amp;"-"&amp;B374&amp;"-"&amp;C374)</f>
        <v/>
      </c>
      <c r="G374" s="8">
        <f>IF(D374="","",IFERROR(MATCH(A374&amp;"-"&amp;B374,設定!$Y$8:$Y$31,0),99)*1000+C374+ROW()/1000000)</f>
        <v/>
      </c>
      <c r="H374" s="8">
        <f>IF(D374="","",A374+1)</f>
        <v/>
      </c>
      <c r="I374" s="8">
        <f>IF(D374="","",H374&amp;"|"&amp;SUBSTITUTE(SUBSTITUTE(D374," ",""),"　",""))</f>
        <v/>
      </c>
      <c r="J374" s="42">
        <f>IF(D374="","",IF(ISERROR(MATCH(A374&amp;"-"&amp;B374,設定!$Y$8:$Y$31,0)),"設定にない学年・組",IF(COUNTIF($F$2:$F$451,F374)&gt;1,"同じ学年・組・番号がいる",IF(COUNTIF($I$2:$I$451,I374)&gt;1,"同姓同名あり",""))))</f>
        <v/>
      </c>
    </row>
    <row r="375">
      <c r="A375" s="40" t="n"/>
      <c r="B375" s="40" t="n"/>
      <c r="C375" s="40" t="n"/>
      <c r="D375" s="41" t="n"/>
      <c r="F375" s="8">
        <f>IF(D375="","",A375&amp;"-"&amp;B375&amp;"-"&amp;C375)</f>
        <v/>
      </c>
      <c r="G375" s="8">
        <f>IF(D375="","",IFERROR(MATCH(A375&amp;"-"&amp;B375,設定!$Y$8:$Y$31,0),99)*1000+C375+ROW()/1000000)</f>
        <v/>
      </c>
      <c r="H375" s="8">
        <f>IF(D375="","",A375+1)</f>
        <v/>
      </c>
      <c r="I375" s="8">
        <f>IF(D375="","",H375&amp;"|"&amp;SUBSTITUTE(SUBSTITUTE(D375," ",""),"　",""))</f>
        <v/>
      </c>
      <c r="J375" s="42">
        <f>IF(D375="","",IF(ISERROR(MATCH(A375&amp;"-"&amp;B375,設定!$Y$8:$Y$31,0)),"設定にない学年・組",IF(COUNTIF($F$2:$F$451,F375)&gt;1,"同じ学年・組・番号がいる",IF(COUNTIF($I$2:$I$451,I375)&gt;1,"同姓同名あり",""))))</f>
        <v/>
      </c>
    </row>
    <row r="376">
      <c r="A376" s="40" t="n"/>
      <c r="B376" s="40" t="n"/>
      <c r="C376" s="40" t="n"/>
      <c r="D376" s="41" t="n"/>
      <c r="F376" s="8">
        <f>IF(D376="","",A376&amp;"-"&amp;B376&amp;"-"&amp;C376)</f>
        <v/>
      </c>
      <c r="G376" s="8">
        <f>IF(D376="","",IFERROR(MATCH(A376&amp;"-"&amp;B376,設定!$Y$8:$Y$31,0),99)*1000+C376+ROW()/1000000)</f>
        <v/>
      </c>
      <c r="H376" s="8">
        <f>IF(D376="","",A376+1)</f>
        <v/>
      </c>
      <c r="I376" s="8">
        <f>IF(D376="","",H376&amp;"|"&amp;SUBSTITUTE(SUBSTITUTE(D376," ",""),"　",""))</f>
        <v/>
      </c>
      <c r="J376" s="42">
        <f>IF(D376="","",IF(ISERROR(MATCH(A376&amp;"-"&amp;B376,設定!$Y$8:$Y$31,0)),"設定にない学年・組",IF(COUNTIF($F$2:$F$451,F376)&gt;1,"同じ学年・組・番号がいる",IF(COUNTIF($I$2:$I$451,I376)&gt;1,"同姓同名あり",""))))</f>
        <v/>
      </c>
    </row>
    <row r="377">
      <c r="A377" s="40" t="n"/>
      <c r="B377" s="40" t="n"/>
      <c r="C377" s="40" t="n"/>
      <c r="D377" s="41" t="n"/>
      <c r="F377" s="8">
        <f>IF(D377="","",A377&amp;"-"&amp;B377&amp;"-"&amp;C377)</f>
        <v/>
      </c>
      <c r="G377" s="8">
        <f>IF(D377="","",IFERROR(MATCH(A377&amp;"-"&amp;B377,設定!$Y$8:$Y$31,0),99)*1000+C377+ROW()/1000000)</f>
        <v/>
      </c>
      <c r="H377" s="8">
        <f>IF(D377="","",A377+1)</f>
        <v/>
      </c>
      <c r="I377" s="8">
        <f>IF(D377="","",H377&amp;"|"&amp;SUBSTITUTE(SUBSTITUTE(D377," ",""),"　",""))</f>
        <v/>
      </c>
      <c r="J377" s="42">
        <f>IF(D377="","",IF(ISERROR(MATCH(A377&amp;"-"&amp;B377,設定!$Y$8:$Y$31,0)),"設定にない学年・組",IF(COUNTIF($F$2:$F$451,F377)&gt;1,"同じ学年・組・番号がいる",IF(COUNTIF($I$2:$I$451,I377)&gt;1,"同姓同名あり",""))))</f>
        <v/>
      </c>
    </row>
    <row r="378">
      <c r="A378" s="40" t="n"/>
      <c r="B378" s="40" t="n"/>
      <c r="C378" s="40" t="n"/>
      <c r="D378" s="41" t="n"/>
      <c r="F378" s="8">
        <f>IF(D378="","",A378&amp;"-"&amp;B378&amp;"-"&amp;C378)</f>
        <v/>
      </c>
      <c r="G378" s="8">
        <f>IF(D378="","",IFERROR(MATCH(A378&amp;"-"&amp;B378,設定!$Y$8:$Y$31,0),99)*1000+C378+ROW()/1000000)</f>
        <v/>
      </c>
      <c r="H378" s="8">
        <f>IF(D378="","",A378+1)</f>
        <v/>
      </c>
      <c r="I378" s="8">
        <f>IF(D378="","",H378&amp;"|"&amp;SUBSTITUTE(SUBSTITUTE(D378," ",""),"　",""))</f>
        <v/>
      </c>
      <c r="J378" s="42">
        <f>IF(D378="","",IF(ISERROR(MATCH(A378&amp;"-"&amp;B378,設定!$Y$8:$Y$31,0)),"設定にない学年・組",IF(COUNTIF($F$2:$F$451,F378)&gt;1,"同じ学年・組・番号がいる",IF(COUNTIF($I$2:$I$451,I378)&gt;1,"同姓同名あり",""))))</f>
        <v/>
      </c>
    </row>
    <row r="379">
      <c r="A379" s="40" t="n"/>
      <c r="B379" s="40" t="n"/>
      <c r="C379" s="40" t="n"/>
      <c r="D379" s="41" t="n"/>
      <c r="F379" s="8">
        <f>IF(D379="","",A379&amp;"-"&amp;B379&amp;"-"&amp;C379)</f>
        <v/>
      </c>
      <c r="G379" s="8">
        <f>IF(D379="","",IFERROR(MATCH(A379&amp;"-"&amp;B379,設定!$Y$8:$Y$31,0),99)*1000+C379+ROW()/1000000)</f>
        <v/>
      </c>
      <c r="H379" s="8">
        <f>IF(D379="","",A379+1)</f>
        <v/>
      </c>
      <c r="I379" s="8">
        <f>IF(D379="","",H379&amp;"|"&amp;SUBSTITUTE(SUBSTITUTE(D379," ",""),"　",""))</f>
        <v/>
      </c>
      <c r="J379" s="42">
        <f>IF(D379="","",IF(ISERROR(MATCH(A379&amp;"-"&amp;B379,設定!$Y$8:$Y$31,0)),"設定にない学年・組",IF(COUNTIF($F$2:$F$451,F379)&gt;1,"同じ学年・組・番号がいる",IF(COUNTIF($I$2:$I$451,I379)&gt;1,"同姓同名あり",""))))</f>
        <v/>
      </c>
    </row>
    <row r="380">
      <c r="A380" s="40" t="n"/>
      <c r="B380" s="40" t="n"/>
      <c r="C380" s="40" t="n"/>
      <c r="D380" s="41" t="n"/>
      <c r="F380" s="8">
        <f>IF(D380="","",A380&amp;"-"&amp;B380&amp;"-"&amp;C380)</f>
        <v/>
      </c>
      <c r="G380" s="8">
        <f>IF(D380="","",IFERROR(MATCH(A380&amp;"-"&amp;B380,設定!$Y$8:$Y$31,0),99)*1000+C380+ROW()/1000000)</f>
        <v/>
      </c>
      <c r="H380" s="8">
        <f>IF(D380="","",A380+1)</f>
        <v/>
      </c>
      <c r="I380" s="8">
        <f>IF(D380="","",H380&amp;"|"&amp;SUBSTITUTE(SUBSTITUTE(D380," ",""),"　",""))</f>
        <v/>
      </c>
      <c r="J380" s="42">
        <f>IF(D380="","",IF(ISERROR(MATCH(A380&amp;"-"&amp;B380,設定!$Y$8:$Y$31,0)),"設定にない学年・組",IF(COUNTIF($F$2:$F$451,F380)&gt;1,"同じ学年・組・番号がいる",IF(COUNTIF($I$2:$I$451,I380)&gt;1,"同姓同名あり",""))))</f>
        <v/>
      </c>
    </row>
    <row r="381">
      <c r="A381" s="40" t="n"/>
      <c r="B381" s="40" t="n"/>
      <c r="C381" s="40" t="n"/>
      <c r="D381" s="41" t="n"/>
      <c r="F381" s="8">
        <f>IF(D381="","",A381&amp;"-"&amp;B381&amp;"-"&amp;C381)</f>
        <v/>
      </c>
      <c r="G381" s="8">
        <f>IF(D381="","",IFERROR(MATCH(A381&amp;"-"&amp;B381,設定!$Y$8:$Y$31,0),99)*1000+C381+ROW()/1000000)</f>
        <v/>
      </c>
      <c r="H381" s="8">
        <f>IF(D381="","",A381+1)</f>
        <v/>
      </c>
      <c r="I381" s="8">
        <f>IF(D381="","",H381&amp;"|"&amp;SUBSTITUTE(SUBSTITUTE(D381," ",""),"　",""))</f>
        <v/>
      </c>
      <c r="J381" s="42">
        <f>IF(D381="","",IF(ISERROR(MATCH(A381&amp;"-"&amp;B381,設定!$Y$8:$Y$31,0)),"設定にない学年・組",IF(COUNTIF($F$2:$F$451,F381)&gt;1,"同じ学年・組・番号がいる",IF(COUNTIF($I$2:$I$451,I381)&gt;1,"同姓同名あり",""))))</f>
        <v/>
      </c>
    </row>
    <row r="382">
      <c r="A382" s="40" t="n"/>
      <c r="B382" s="40" t="n"/>
      <c r="C382" s="40" t="n"/>
      <c r="D382" s="41" t="n"/>
      <c r="F382" s="8">
        <f>IF(D382="","",A382&amp;"-"&amp;B382&amp;"-"&amp;C382)</f>
        <v/>
      </c>
      <c r="G382" s="8">
        <f>IF(D382="","",IFERROR(MATCH(A382&amp;"-"&amp;B382,設定!$Y$8:$Y$31,0),99)*1000+C382+ROW()/1000000)</f>
        <v/>
      </c>
      <c r="H382" s="8">
        <f>IF(D382="","",A382+1)</f>
        <v/>
      </c>
      <c r="I382" s="8">
        <f>IF(D382="","",H382&amp;"|"&amp;SUBSTITUTE(SUBSTITUTE(D382," ",""),"　",""))</f>
        <v/>
      </c>
      <c r="J382" s="42">
        <f>IF(D382="","",IF(ISERROR(MATCH(A382&amp;"-"&amp;B382,設定!$Y$8:$Y$31,0)),"設定にない学年・組",IF(COUNTIF($F$2:$F$451,F382)&gt;1,"同じ学年・組・番号がいる",IF(COUNTIF($I$2:$I$451,I382)&gt;1,"同姓同名あり",""))))</f>
        <v/>
      </c>
    </row>
    <row r="383">
      <c r="A383" s="40" t="n"/>
      <c r="B383" s="40" t="n"/>
      <c r="C383" s="40" t="n"/>
      <c r="D383" s="41" t="n"/>
      <c r="F383" s="8">
        <f>IF(D383="","",A383&amp;"-"&amp;B383&amp;"-"&amp;C383)</f>
        <v/>
      </c>
      <c r="G383" s="8">
        <f>IF(D383="","",IFERROR(MATCH(A383&amp;"-"&amp;B383,設定!$Y$8:$Y$31,0),99)*1000+C383+ROW()/1000000)</f>
        <v/>
      </c>
      <c r="H383" s="8">
        <f>IF(D383="","",A383+1)</f>
        <v/>
      </c>
      <c r="I383" s="8">
        <f>IF(D383="","",H383&amp;"|"&amp;SUBSTITUTE(SUBSTITUTE(D383," ",""),"　",""))</f>
        <v/>
      </c>
      <c r="J383" s="42">
        <f>IF(D383="","",IF(ISERROR(MATCH(A383&amp;"-"&amp;B383,設定!$Y$8:$Y$31,0)),"設定にない学年・組",IF(COUNTIF($F$2:$F$451,F383)&gt;1,"同じ学年・組・番号がいる",IF(COUNTIF($I$2:$I$451,I383)&gt;1,"同姓同名あり",""))))</f>
        <v/>
      </c>
    </row>
    <row r="384">
      <c r="A384" s="40" t="n"/>
      <c r="B384" s="40" t="n"/>
      <c r="C384" s="40" t="n"/>
      <c r="D384" s="41" t="n"/>
      <c r="F384" s="8">
        <f>IF(D384="","",A384&amp;"-"&amp;B384&amp;"-"&amp;C384)</f>
        <v/>
      </c>
      <c r="G384" s="8">
        <f>IF(D384="","",IFERROR(MATCH(A384&amp;"-"&amp;B384,設定!$Y$8:$Y$31,0),99)*1000+C384+ROW()/1000000)</f>
        <v/>
      </c>
      <c r="H384" s="8">
        <f>IF(D384="","",A384+1)</f>
        <v/>
      </c>
      <c r="I384" s="8">
        <f>IF(D384="","",H384&amp;"|"&amp;SUBSTITUTE(SUBSTITUTE(D384," ",""),"　",""))</f>
        <v/>
      </c>
      <c r="J384" s="42">
        <f>IF(D384="","",IF(ISERROR(MATCH(A384&amp;"-"&amp;B384,設定!$Y$8:$Y$31,0)),"設定にない学年・組",IF(COUNTIF($F$2:$F$451,F384)&gt;1,"同じ学年・組・番号がいる",IF(COUNTIF($I$2:$I$451,I384)&gt;1,"同姓同名あり",""))))</f>
        <v/>
      </c>
    </row>
    <row r="385">
      <c r="A385" s="40" t="n"/>
      <c r="B385" s="40" t="n"/>
      <c r="C385" s="40" t="n"/>
      <c r="D385" s="41" t="n"/>
      <c r="F385" s="8">
        <f>IF(D385="","",A385&amp;"-"&amp;B385&amp;"-"&amp;C385)</f>
        <v/>
      </c>
      <c r="G385" s="8">
        <f>IF(D385="","",IFERROR(MATCH(A385&amp;"-"&amp;B385,設定!$Y$8:$Y$31,0),99)*1000+C385+ROW()/1000000)</f>
        <v/>
      </c>
      <c r="H385" s="8">
        <f>IF(D385="","",A385+1)</f>
        <v/>
      </c>
      <c r="I385" s="8">
        <f>IF(D385="","",H385&amp;"|"&amp;SUBSTITUTE(SUBSTITUTE(D385," ",""),"　",""))</f>
        <v/>
      </c>
      <c r="J385" s="42">
        <f>IF(D385="","",IF(ISERROR(MATCH(A385&amp;"-"&amp;B385,設定!$Y$8:$Y$31,0)),"設定にない学年・組",IF(COUNTIF($F$2:$F$451,F385)&gt;1,"同じ学年・組・番号がいる",IF(COUNTIF($I$2:$I$451,I385)&gt;1,"同姓同名あり",""))))</f>
        <v/>
      </c>
    </row>
    <row r="386">
      <c r="A386" s="40" t="n"/>
      <c r="B386" s="40" t="n"/>
      <c r="C386" s="40" t="n"/>
      <c r="D386" s="41" t="n"/>
      <c r="F386" s="8">
        <f>IF(D386="","",A386&amp;"-"&amp;B386&amp;"-"&amp;C386)</f>
        <v/>
      </c>
      <c r="G386" s="8">
        <f>IF(D386="","",IFERROR(MATCH(A386&amp;"-"&amp;B386,設定!$Y$8:$Y$31,0),99)*1000+C386+ROW()/1000000)</f>
        <v/>
      </c>
      <c r="H386" s="8">
        <f>IF(D386="","",A386+1)</f>
        <v/>
      </c>
      <c r="I386" s="8">
        <f>IF(D386="","",H386&amp;"|"&amp;SUBSTITUTE(SUBSTITUTE(D386," ",""),"　",""))</f>
        <v/>
      </c>
      <c r="J386" s="42">
        <f>IF(D386="","",IF(ISERROR(MATCH(A386&amp;"-"&amp;B386,設定!$Y$8:$Y$31,0)),"設定にない学年・組",IF(COUNTIF($F$2:$F$451,F386)&gt;1,"同じ学年・組・番号がいる",IF(COUNTIF($I$2:$I$451,I386)&gt;1,"同姓同名あり",""))))</f>
        <v/>
      </c>
    </row>
    <row r="387">
      <c r="A387" s="40" t="n"/>
      <c r="B387" s="40" t="n"/>
      <c r="C387" s="40" t="n"/>
      <c r="D387" s="41" t="n"/>
      <c r="F387" s="8">
        <f>IF(D387="","",A387&amp;"-"&amp;B387&amp;"-"&amp;C387)</f>
        <v/>
      </c>
      <c r="G387" s="8">
        <f>IF(D387="","",IFERROR(MATCH(A387&amp;"-"&amp;B387,設定!$Y$8:$Y$31,0),99)*1000+C387+ROW()/1000000)</f>
        <v/>
      </c>
      <c r="H387" s="8">
        <f>IF(D387="","",A387+1)</f>
        <v/>
      </c>
      <c r="I387" s="8">
        <f>IF(D387="","",H387&amp;"|"&amp;SUBSTITUTE(SUBSTITUTE(D387," ",""),"　",""))</f>
        <v/>
      </c>
      <c r="J387" s="42">
        <f>IF(D387="","",IF(ISERROR(MATCH(A387&amp;"-"&amp;B387,設定!$Y$8:$Y$31,0)),"設定にない学年・組",IF(COUNTIF($F$2:$F$451,F387)&gt;1,"同じ学年・組・番号がいる",IF(COUNTIF($I$2:$I$451,I387)&gt;1,"同姓同名あり",""))))</f>
        <v/>
      </c>
    </row>
    <row r="388">
      <c r="A388" s="40" t="n"/>
      <c r="B388" s="40" t="n"/>
      <c r="C388" s="40" t="n"/>
      <c r="D388" s="41" t="n"/>
      <c r="F388" s="8">
        <f>IF(D388="","",A388&amp;"-"&amp;B388&amp;"-"&amp;C388)</f>
        <v/>
      </c>
      <c r="G388" s="8">
        <f>IF(D388="","",IFERROR(MATCH(A388&amp;"-"&amp;B388,設定!$Y$8:$Y$31,0),99)*1000+C388+ROW()/1000000)</f>
        <v/>
      </c>
      <c r="H388" s="8">
        <f>IF(D388="","",A388+1)</f>
        <v/>
      </c>
      <c r="I388" s="8">
        <f>IF(D388="","",H388&amp;"|"&amp;SUBSTITUTE(SUBSTITUTE(D388," ",""),"　",""))</f>
        <v/>
      </c>
      <c r="J388" s="42">
        <f>IF(D388="","",IF(ISERROR(MATCH(A388&amp;"-"&amp;B388,設定!$Y$8:$Y$31,0)),"設定にない学年・組",IF(COUNTIF($F$2:$F$451,F388)&gt;1,"同じ学年・組・番号がいる",IF(COUNTIF($I$2:$I$451,I388)&gt;1,"同姓同名あり",""))))</f>
        <v/>
      </c>
    </row>
    <row r="389">
      <c r="A389" s="40" t="n"/>
      <c r="B389" s="40" t="n"/>
      <c r="C389" s="40" t="n"/>
      <c r="D389" s="41" t="n"/>
      <c r="F389" s="8">
        <f>IF(D389="","",A389&amp;"-"&amp;B389&amp;"-"&amp;C389)</f>
        <v/>
      </c>
      <c r="G389" s="8">
        <f>IF(D389="","",IFERROR(MATCH(A389&amp;"-"&amp;B389,設定!$Y$8:$Y$31,0),99)*1000+C389+ROW()/1000000)</f>
        <v/>
      </c>
      <c r="H389" s="8">
        <f>IF(D389="","",A389+1)</f>
        <v/>
      </c>
      <c r="I389" s="8">
        <f>IF(D389="","",H389&amp;"|"&amp;SUBSTITUTE(SUBSTITUTE(D389," ",""),"　",""))</f>
        <v/>
      </c>
      <c r="J389" s="42">
        <f>IF(D389="","",IF(ISERROR(MATCH(A389&amp;"-"&amp;B389,設定!$Y$8:$Y$31,0)),"設定にない学年・組",IF(COUNTIF($F$2:$F$451,F389)&gt;1,"同じ学年・組・番号がいる",IF(COUNTIF($I$2:$I$451,I389)&gt;1,"同姓同名あり",""))))</f>
        <v/>
      </c>
    </row>
    <row r="390">
      <c r="A390" s="40" t="n"/>
      <c r="B390" s="40" t="n"/>
      <c r="C390" s="40" t="n"/>
      <c r="D390" s="41" t="n"/>
      <c r="F390" s="8">
        <f>IF(D390="","",A390&amp;"-"&amp;B390&amp;"-"&amp;C390)</f>
        <v/>
      </c>
      <c r="G390" s="8">
        <f>IF(D390="","",IFERROR(MATCH(A390&amp;"-"&amp;B390,設定!$Y$8:$Y$31,0),99)*1000+C390+ROW()/1000000)</f>
        <v/>
      </c>
      <c r="H390" s="8">
        <f>IF(D390="","",A390+1)</f>
        <v/>
      </c>
      <c r="I390" s="8">
        <f>IF(D390="","",H390&amp;"|"&amp;SUBSTITUTE(SUBSTITUTE(D390," ",""),"　",""))</f>
        <v/>
      </c>
      <c r="J390" s="42">
        <f>IF(D390="","",IF(ISERROR(MATCH(A390&amp;"-"&amp;B390,設定!$Y$8:$Y$31,0)),"設定にない学年・組",IF(COUNTIF($F$2:$F$451,F390)&gt;1,"同じ学年・組・番号がいる",IF(COUNTIF($I$2:$I$451,I390)&gt;1,"同姓同名あり",""))))</f>
        <v/>
      </c>
    </row>
    <row r="391">
      <c r="A391" s="40" t="n"/>
      <c r="B391" s="40" t="n"/>
      <c r="C391" s="40" t="n"/>
      <c r="D391" s="41" t="n"/>
      <c r="F391" s="8">
        <f>IF(D391="","",A391&amp;"-"&amp;B391&amp;"-"&amp;C391)</f>
        <v/>
      </c>
      <c r="G391" s="8">
        <f>IF(D391="","",IFERROR(MATCH(A391&amp;"-"&amp;B391,設定!$Y$8:$Y$31,0),99)*1000+C391+ROW()/1000000)</f>
        <v/>
      </c>
      <c r="H391" s="8">
        <f>IF(D391="","",A391+1)</f>
        <v/>
      </c>
      <c r="I391" s="8">
        <f>IF(D391="","",H391&amp;"|"&amp;SUBSTITUTE(SUBSTITUTE(D391," ",""),"　",""))</f>
        <v/>
      </c>
      <c r="J391" s="42">
        <f>IF(D391="","",IF(ISERROR(MATCH(A391&amp;"-"&amp;B391,設定!$Y$8:$Y$31,0)),"設定にない学年・組",IF(COUNTIF($F$2:$F$451,F391)&gt;1,"同じ学年・組・番号がいる",IF(COUNTIF($I$2:$I$451,I391)&gt;1,"同姓同名あり",""))))</f>
        <v/>
      </c>
    </row>
    <row r="392">
      <c r="A392" s="40" t="n"/>
      <c r="B392" s="40" t="n"/>
      <c r="C392" s="40" t="n"/>
      <c r="D392" s="41" t="n"/>
      <c r="F392" s="8">
        <f>IF(D392="","",A392&amp;"-"&amp;B392&amp;"-"&amp;C392)</f>
        <v/>
      </c>
      <c r="G392" s="8">
        <f>IF(D392="","",IFERROR(MATCH(A392&amp;"-"&amp;B392,設定!$Y$8:$Y$31,0),99)*1000+C392+ROW()/1000000)</f>
        <v/>
      </c>
      <c r="H392" s="8">
        <f>IF(D392="","",A392+1)</f>
        <v/>
      </c>
      <c r="I392" s="8">
        <f>IF(D392="","",H392&amp;"|"&amp;SUBSTITUTE(SUBSTITUTE(D392," ",""),"　",""))</f>
        <v/>
      </c>
      <c r="J392" s="42">
        <f>IF(D392="","",IF(ISERROR(MATCH(A392&amp;"-"&amp;B392,設定!$Y$8:$Y$31,0)),"設定にない学年・組",IF(COUNTIF($F$2:$F$451,F392)&gt;1,"同じ学年・組・番号がいる",IF(COUNTIF($I$2:$I$451,I392)&gt;1,"同姓同名あり",""))))</f>
        <v/>
      </c>
    </row>
    <row r="393">
      <c r="A393" s="40" t="n"/>
      <c r="B393" s="40" t="n"/>
      <c r="C393" s="40" t="n"/>
      <c r="D393" s="41" t="n"/>
      <c r="F393" s="8">
        <f>IF(D393="","",A393&amp;"-"&amp;B393&amp;"-"&amp;C393)</f>
        <v/>
      </c>
      <c r="G393" s="8">
        <f>IF(D393="","",IFERROR(MATCH(A393&amp;"-"&amp;B393,設定!$Y$8:$Y$31,0),99)*1000+C393+ROW()/1000000)</f>
        <v/>
      </c>
      <c r="H393" s="8">
        <f>IF(D393="","",A393+1)</f>
        <v/>
      </c>
      <c r="I393" s="8">
        <f>IF(D393="","",H393&amp;"|"&amp;SUBSTITUTE(SUBSTITUTE(D393," ",""),"　",""))</f>
        <v/>
      </c>
      <c r="J393" s="42">
        <f>IF(D393="","",IF(ISERROR(MATCH(A393&amp;"-"&amp;B393,設定!$Y$8:$Y$31,0)),"設定にない学年・組",IF(COUNTIF($F$2:$F$451,F393)&gt;1,"同じ学年・組・番号がいる",IF(COUNTIF($I$2:$I$451,I393)&gt;1,"同姓同名あり",""))))</f>
        <v/>
      </c>
    </row>
    <row r="394">
      <c r="A394" s="40" t="n"/>
      <c r="B394" s="40" t="n"/>
      <c r="C394" s="40" t="n"/>
      <c r="D394" s="41" t="n"/>
      <c r="F394" s="8">
        <f>IF(D394="","",A394&amp;"-"&amp;B394&amp;"-"&amp;C394)</f>
        <v/>
      </c>
      <c r="G394" s="8">
        <f>IF(D394="","",IFERROR(MATCH(A394&amp;"-"&amp;B394,設定!$Y$8:$Y$31,0),99)*1000+C394+ROW()/1000000)</f>
        <v/>
      </c>
      <c r="H394" s="8">
        <f>IF(D394="","",A394+1)</f>
        <v/>
      </c>
      <c r="I394" s="8">
        <f>IF(D394="","",H394&amp;"|"&amp;SUBSTITUTE(SUBSTITUTE(D394," ",""),"　",""))</f>
        <v/>
      </c>
      <c r="J394" s="42">
        <f>IF(D394="","",IF(ISERROR(MATCH(A394&amp;"-"&amp;B394,設定!$Y$8:$Y$31,0)),"設定にない学年・組",IF(COUNTIF($F$2:$F$451,F394)&gt;1,"同じ学年・組・番号がいる",IF(COUNTIF($I$2:$I$451,I394)&gt;1,"同姓同名あり",""))))</f>
        <v/>
      </c>
    </row>
    <row r="395">
      <c r="A395" s="40" t="n"/>
      <c r="B395" s="40" t="n"/>
      <c r="C395" s="40" t="n"/>
      <c r="D395" s="41" t="n"/>
      <c r="F395" s="8">
        <f>IF(D395="","",A395&amp;"-"&amp;B395&amp;"-"&amp;C395)</f>
        <v/>
      </c>
      <c r="G395" s="8">
        <f>IF(D395="","",IFERROR(MATCH(A395&amp;"-"&amp;B395,設定!$Y$8:$Y$31,0),99)*1000+C395+ROW()/1000000)</f>
        <v/>
      </c>
      <c r="H395" s="8">
        <f>IF(D395="","",A395+1)</f>
        <v/>
      </c>
      <c r="I395" s="8">
        <f>IF(D395="","",H395&amp;"|"&amp;SUBSTITUTE(SUBSTITUTE(D395," ",""),"　",""))</f>
        <v/>
      </c>
      <c r="J395" s="42">
        <f>IF(D395="","",IF(ISERROR(MATCH(A395&amp;"-"&amp;B395,設定!$Y$8:$Y$31,0)),"設定にない学年・組",IF(COUNTIF($F$2:$F$451,F395)&gt;1,"同じ学年・組・番号がいる",IF(COUNTIF($I$2:$I$451,I395)&gt;1,"同姓同名あり",""))))</f>
        <v/>
      </c>
    </row>
    <row r="396">
      <c r="A396" s="40" t="n"/>
      <c r="B396" s="40" t="n"/>
      <c r="C396" s="40" t="n"/>
      <c r="D396" s="41" t="n"/>
      <c r="F396" s="8">
        <f>IF(D396="","",A396&amp;"-"&amp;B396&amp;"-"&amp;C396)</f>
        <v/>
      </c>
      <c r="G396" s="8">
        <f>IF(D396="","",IFERROR(MATCH(A396&amp;"-"&amp;B396,設定!$Y$8:$Y$31,0),99)*1000+C396+ROW()/1000000)</f>
        <v/>
      </c>
      <c r="H396" s="8">
        <f>IF(D396="","",A396+1)</f>
        <v/>
      </c>
      <c r="I396" s="8">
        <f>IF(D396="","",H396&amp;"|"&amp;SUBSTITUTE(SUBSTITUTE(D396," ",""),"　",""))</f>
        <v/>
      </c>
      <c r="J396" s="42">
        <f>IF(D396="","",IF(ISERROR(MATCH(A396&amp;"-"&amp;B396,設定!$Y$8:$Y$31,0)),"設定にない学年・組",IF(COUNTIF($F$2:$F$451,F396)&gt;1,"同じ学年・組・番号がいる",IF(COUNTIF($I$2:$I$451,I396)&gt;1,"同姓同名あり",""))))</f>
        <v/>
      </c>
    </row>
    <row r="397">
      <c r="A397" s="40" t="n"/>
      <c r="B397" s="40" t="n"/>
      <c r="C397" s="40" t="n"/>
      <c r="D397" s="41" t="n"/>
      <c r="F397" s="8">
        <f>IF(D397="","",A397&amp;"-"&amp;B397&amp;"-"&amp;C397)</f>
        <v/>
      </c>
      <c r="G397" s="8">
        <f>IF(D397="","",IFERROR(MATCH(A397&amp;"-"&amp;B397,設定!$Y$8:$Y$31,0),99)*1000+C397+ROW()/1000000)</f>
        <v/>
      </c>
      <c r="H397" s="8">
        <f>IF(D397="","",A397+1)</f>
        <v/>
      </c>
      <c r="I397" s="8">
        <f>IF(D397="","",H397&amp;"|"&amp;SUBSTITUTE(SUBSTITUTE(D397," ",""),"　",""))</f>
        <v/>
      </c>
      <c r="J397" s="42">
        <f>IF(D397="","",IF(ISERROR(MATCH(A397&amp;"-"&amp;B397,設定!$Y$8:$Y$31,0)),"設定にない学年・組",IF(COUNTIF($F$2:$F$451,F397)&gt;1,"同じ学年・組・番号がいる",IF(COUNTIF($I$2:$I$451,I397)&gt;1,"同姓同名あり",""))))</f>
        <v/>
      </c>
    </row>
    <row r="398">
      <c r="A398" s="40" t="n"/>
      <c r="B398" s="40" t="n"/>
      <c r="C398" s="40" t="n"/>
      <c r="D398" s="41" t="n"/>
      <c r="F398" s="8">
        <f>IF(D398="","",A398&amp;"-"&amp;B398&amp;"-"&amp;C398)</f>
        <v/>
      </c>
      <c r="G398" s="8">
        <f>IF(D398="","",IFERROR(MATCH(A398&amp;"-"&amp;B398,設定!$Y$8:$Y$31,0),99)*1000+C398+ROW()/1000000)</f>
        <v/>
      </c>
      <c r="H398" s="8">
        <f>IF(D398="","",A398+1)</f>
        <v/>
      </c>
      <c r="I398" s="8">
        <f>IF(D398="","",H398&amp;"|"&amp;SUBSTITUTE(SUBSTITUTE(D398," ",""),"　",""))</f>
        <v/>
      </c>
      <c r="J398" s="42">
        <f>IF(D398="","",IF(ISERROR(MATCH(A398&amp;"-"&amp;B398,設定!$Y$8:$Y$31,0)),"設定にない学年・組",IF(COUNTIF($F$2:$F$451,F398)&gt;1,"同じ学年・組・番号がいる",IF(COUNTIF($I$2:$I$451,I398)&gt;1,"同姓同名あり",""))))</f>
        <v/>
      </c>
    </row>
    <row r="399">
      <c r="A399" s="40" t="n"/>
      <c r="B399" s="40" t="n"/>
      <c r="C399" s="40" t="n"/>
      <c r="D399" s="41" t="n"/>
      <c r="F399" s="8">
        <f>IF(D399="","",A399&amp;"-"&amp;B399&amp;"-"&amp;C399)</f>
        <v/>
      </c>
      <c r="G399" s="8">
        <f>IF(D399="","",IFERROR(MATCH(A399&amp;"-"&amp;B399,設定!$Y$8:$Y$31,0),99)*1000+C399+ROW()/1000000)</f>
        <v/>
      </c>
      <c r="H399" s="8">
        <f>IF(D399="","",A399+1)</f>
        <v/>
      </c>
      <c r="I399" s="8">
        <f>IF(D399="","",H399&amp;"|"&amp;SUBSTITUTE(SUBSTITUTE(D399," ",""),"　",""))</f>
        <v/>
      </c>
      <c r="J399" s="42">
        <f>IF(D399="","",IF(ISERROR(MATCH(A399&amp;"-"&amp;B399,設定!$Y$8:$Y$31,0)),"設定にない学年・組",IF(COUNTIF($F$2:$F$451,F399)&gt;1,"同じ学年・組・番号がいる",IF(COUNTIF($I$2:$I$451,I399)&gt;1,"同姓同名あり",""))))</f>
        <v/>
      </c>
    </row>
    <row r="400">
      <c r="A400" s="40" t="n"/>
      <c r="B400" s="40" t="n"/>
      <c r="C400" s="40" t="n"/>
      <c r="D400" s="41" t="n"/>
      <c r="F400" s="8">
        <f>IF(D400="","",A400&amp;"-"&amp;B400&amp;"-"&amp;C400)</f>
        <v/>
      </c>
      <c r="G400" s="8">
        <f>IF(D400="","",IFERROR(MATCH(A400&amp;"-"&amp;B400,設定!$Y$8:$Y$31,0),99)*1000+C400+ROW()/1000000)</f>
        <v/>
      </c>
      <c r="H400" s="8">
        <f>IF(D400="","",A400+1)</f>
        <v/>
      </c>
      <c r="I400" s="8">
        <f>IF(D400="","",H400&amp;"|"&amp;SUBSTITUTE(SUBSTITUTE(D400," ",""),"　",""))</f>
        <v/>
      </c>
      <c r="J400" s="42">
        <f>IF(D400="","",IF(ISERROR(MATCH(A400&amp;"-"&amp;B400,設定!$Y$8:$Y$31,0)),"設定にない学年・組",IF(COUNTIF($F$2:$F$451,F400)&gt;1,"同じ学年・組・番号がいる",IF(COUNTIF($I$2:$I$451,I400)&gt;1,"同姓同名あり",""))))</f>
        <v/>
      </c>
    </row>
    <row r="401">
      <c r="A401" s="40" t="n"/>
      <c r="B401" s="40" t="n"/>
      <c r="C401" s="40" t="n"/>
      <c r="D401" s="41" t="n"/>
      <c r="F401" s="8">
        <f>IF(D401="","",A401&amp;"-"&amp;B401&amp;"-"&amp;C401)</f>
        <v/>
      </c>
      <c r="G401" s="8">
        <f>IF(D401="","",IFERROR(MATCH(A401&amp;"-"&amp;B401,設定!$Y$8:$Y$31,0),99)*1000+C401+ROW()/1000000)</f>
        <v/>
      </c>
      <c r="H401" s="8">
        <f>IF(D401="","",A401+1)</f>
        <v/>
      </c>
      <c r="I401" s="8">
        <f>IF(D401="","",H401&amp;"|"&amp;SUBSTITUTE(SUBSTITUTE(D401," ",""),"　",""))</f>
        <v/>
      </c>
      <c r="J401" s="42">
        <f>IF(D401="","",IF(ISERROR(MATCH(A401&amp;"-"&amp;B401,設定!$Y$8:$Y$31,0)),"設定にない学年・組",IF(COUNTIF($F$2:$F$451,F401)&gt;1,"同じ学年・組・番号がいる",IF(COUNTIF($I$2:$I$451,I401)&gt;1,"同姓同名あり",""))))</f>
        <v/>
      </c>
    </row>
    <row r="402">
      <c r="A402" s="40" t="n"/>
      <c r="B402" s="40" t="n"/>
      <c r="C402" s="40" t="n"/>
      <c r="D402" s="41" t="n"/>
      <c r="F402" s="8">
        <f>IF(D402="","",A402&amp;"-"&amp;B402&amp;"-"&amp;C402)</f>
        <v/>
      </c>
      <c r="G402" s="8">
        <f>IF(D402="","",IFERROR(MATCH(A402&amp;"-"&amp;B402,設定!$Y$8:$Y$31,0),99)*1000+C402+ROW()/1000000)</f>
        <v/>
      </c>
      <c r="H402" s="8">
        <f>IF(D402="","",A402+1)</f>
        <v/>
      </c>
      <c r="I402" s="8">
        <f>IF(D402="","",H402&amp;"|"&amp;SUBSTITUTE(SUBSTITUTE(D402," ",""),"　",""))</f>
        <v/>
      </c>
      <c r="J402" s="42">
        <f>IF(D402="","",IF(ISERROR(MATCH(A402&amp;"-"&amp;B402,設定!$Y$8:$Y$31,0)),"設定にない学年・組",IF(COUNTIF($F$2:$F$451,F402)&gt;1,"同じ学年・組・番号がいる",IF(COUNTIF($I$2:$I$451,I402)&gt;1,"同姓同名あり",""))))</f>
        <v/>
      </c>
    </row>
    <row r="403">
      <c r="A403" s="40" t="n"/>
      <c r="B403" s="40" t="n"/>
      <c r="C403" s="40" t="n"/>
      <c r="D403" s="41" t="n"/>
      <c r="F403" s="8">
        <f>IF(D403="","",A403&amp;"-"&amp;B403&amp;"-"&amp;C403)</f>
        <v/>
      </c>
      <c r="G403" s="8">
        <f>IF(D403="","",IFERROR(MATCH(A403&amp;"-"&amp;B403,設定!$Y$8:$Y$31,0),99)*1000+C403+ROW()/1000000)</f>
        <v/>
      </c>
      <c r="H403" s="8">
        <f>IF(D403="","",A403+1)</f>
        <v/>
      </c>
      <c r="I403" s="8">
        <f>IF(D403="","",H403&amp;"|"&amp;SUBSTITUTE(SUBSTITUTE(D403," ",""),"　",""))</f>
        <v/>
      </c>
      <c r="J403" s="42">
        <f>IF(D403="","",IF(ISERROR(MATCH(A403&amp;"-"&amp;B403,設定!$Y$8:$Y$31,0)),"設定にない学年・組",IF(COUNTIF($F$2:$F$451,F403)&gt;1,"同じ学年・組・番号がいる",IF(COUNTIF($I$2:$I$451,I403)&gt;1,"同姓同名あり",""))))</f>
        <v/>
      </c>
    </row>
    <row r="404">
      <c r="A404" s="40" t="n"/>
      <c r="B404" s="40" t="n"/>
      <c r="C404" s="40" t="n"/>
      <c r="D404" s="41" t="n"/>
      <c r="F404" s="8">
        <f>IF(D404="","",A404&amp;"-"&amp;B404&amp;"-"&amp;C404)</f>
        <v/>
      </c>
      <c r="G404" s="8">
        <f>IF(D404="","",IFERROR(MATCH(A404&amp;"-"&amp;B404,設定!$Y$8:$Y$31,0),99)*1000+C404+ROW()/1000000)</f>
        <v/>
      </c>
      <c r="H404" s="8">
        <f>IF(D404="","",A404+1)</f>
        <v/>
      </c>
      <c r="I404" s="8">
        <f>IF(D404="","",H404&amp;"|"&amp;SUBSTITUTE(SUBSTITUTE(D404," ",""),"　",""))</f>
        <v/>
      </c>
      <c r="J404" s="42">
        <f>IF(D404="","",IF(ISERROR(MATCH(A404&amp;"-"&amp;B404,設定!$Y$8:$Y$31,0)),"設定にない学年・組",IF(COUNTIF($F$2:$F$451,F404)&gt;1,"同じ学年・組・番号がいる",IF(COUNTIF($I$2:$I$451,I404)&gt;1,"同姓同名あり",""))))</f>
        <v/>
      </c>
    </row>
    <row r="405">
      <c r="A405" s="40" t="n"/>
      <c r="B405" s="40" t="n"/>
      <c r="C405" s="40" t="n"/>
      <c r="D405" s="41" t="n"/>
      <c r="F405" s="8">
        <f>IF(D405="","",A405&amp;"-"&amp;B405&amp;"-"&amp;C405)</f>
        <v/>
      </c>
      <c r="G405" s="8">
        <f>IF(D405="","",IFERROR(MATCH(A405&amp;"-"&amp;B405,設定!$Y$8:$Y$31,0),99)*1000+C405+ROW()/1000000)</f>
        <v/>
      </c>
      <c r="H405" s="8">
        <f>IF(D405="","",A405+1)</f>
        <v/>
      </c>
      <c r="I405" s="8">
        <f>IF(D405="","",H405&amp;"|"&amp;SUBSTITUTE(SUBSTITUTE(D405," ",""),"　",""))</f>
        <v/>
      </c>
      <c r="J405" s="42">
        <f>IF(D405="","",IF(ISERROR(MATCH(A405&amp;"-"&amp;B405,設定!$Y$8:$Y$31,0)),"設定にない学年・組",IF(COUNTIF($F$2:$F$451,F405)&gt;1,"同じ学年・組・番号がいる",IF(COUNTIF($I$2:$I$451,I405)&gt;1,"同姓同名あり",""))))</f>
        <v/>
      </c>
    </row>
    <row r="406">
      <c r="A406" s="40" t="n"/>
      <c r="B406" s="40" t="n"/>
      <c r="C406" s="40" t="n"/>
      <c r="D406" s="41" t="n"/>
      <c r="F406" s="8">
        <f>IF(D406="","",A406&amp;"-"&amp;B406&amp;"-"&amp;C406)</f>
        <v/>
      </c>
      <c r="G406" s="8">
        <f>IF(D406="","",IFERROR(MATCH(A406&amp;"-"&amp;B406,設定!$Y$8:$Y$31,0),99)*1000+C406+ROW()/1000000)</f>
        <v/>
      </c>
      <c r="H406" s="8">
        <f>IF(D406="","",A406+1)</f>
        <v/>
      </c>
      <c r="I406" s="8">
        <f>IF(D406="","",H406&amp;"|"&amp;SUBSTITUTE(SUBSTITUTE(D406," ",""),"　",""))</f>
        <v/>
      </c>
      <c r="J406" s="42">
        <f>IF(D406="","",IF(ISERROR(MATCH(A406&amp;"-"&amp;B406,設定!$Y$8:$Y$31,0)),"設定にない学年・組",IF(COUNTIF($F$2:$F$451,F406)&gt;1,"同じ学年・組・番号がいる",IF(COUNTIF($I$2:$I$451,I406)&gt;1,"同姓同名あり",""))))</f>
        <v/>
      </c>
    </row>
    <row r="407">
      <c r="A407" s="40" t="n"/>
      <c r="B407" s="40" t="n"/>
      <c r="C407" s="40" t="n"/>
      <c r="D407" s="41" t="n"/>
      <c r="F407" s="8">
        <f>IF(D407="","",A407&amp;"-"&amp;B407&amp;"-"&amp;C407)</f>
        <v/>
      </c>
      <c r="G407" s="8">
        <f>IF(D407="","",IFERROR(MATCH(A407&amp;"-"&amp;B407,設定!$Y$8:$Y$31,0),99)*1000+C407+ROW()/1000000)</f>
        <v/>
      </c>
      <c r="H407" s="8">
        <f>IF(D407="","",A407+1)</f>
        <v/>
      </c>
      <c r="I407" s="8">
        <f>IF(D407="","",H407&amp;"|"&amp;SUBSTITUTE(SUBSTITUTE(D407," ",""),"　",""))</f>
        <v/>
      </c>
      <c r="J407" s="42">
        <f>IF(D407="","",IF(ISERROR(MATCH(A407&amp;"-"&amp;B407,設定!$Y$8:$Y$31,0)),"設定にない学年・組",IF(COUNTIF($F$2:$F$451,F407)&gt;1,"同じ学年・組・番号がいる",IF(COUNTIF($I$2:$I$451,I407)&gt;1,"同姓同名あり",""))))</f>
        <v/>
      </c>
    </row>
    <row r="408">
      <c r="A408" s="40" t="n"/>
      <c r="B408" s="40" t="n"/>
      <c r="C408" s="40" t="n"/>
      <c r="D408" s="41" t="n"/>
      <c r="F408" s="8">
        <f>IF(D408="","",A408&amp;"-"&amp;B408&amp;"-"&amp;C408)</f>
        <v/>
      </c>
      <c r="G408" s="8">
        <f>IF(D408="","",IFERROR(MATCH(A408&amp;"-"&amp;B408,設定!$Y$8:$Y$31,0),99)*1000+C408+ROW()/1000000)</f>
        <v/>
      </c>
      <c r="H408" s="8">
        <f>IF(D408="","",A408+1)</f>
        <v/>
      </c>
      <c r="I408" s="8">
        <f>IF(D408="","",H408&amp;"|"&amp;SUBSTITUTE(SUBSTITUTE(D408," ",""),"　",""))</f>
        <v/>
      </c>
      <c r="J408" s="42">
        <f>IF(D408="","",IF(ISERROR(MATCH(A408&amp;"-"&amp;B408,設定!$Y$8:$Y$31,0)),"設定にない学年・組",IF(COUNTIF($F$2:$F$451,F408)&gt;1,"同じ学年・組・番号がいる",IF(COUNTIF($I$2:$I$451,I408)&gt;1,"同姓同名あり",""))))</f>
        <v/>
      </c>
    </row>
    <row r="409">
      <c r="A409" s="40" t="n"/>
      <c r="B409" s="40" t="n"/>
      <c r="C409" s="40" t="n"/>
      <c r="D409" s="41" t="n"/>
      <c r="F409" s="8">
        <f>IF(D409="","",A409&amp;"-"&amp;B409&amp;"-"&amp;C409)</f>
        <v/>
      </c>
      <c r="G409" s="8">
        <f>IF(D409="","",IFERROR(MATCH(A409&amp;"-"&amp;B409,設定!$Y$8:$Y$31,0),99)*1000+C409+ROW()/1000000)</f>
        <v/>
      </c>
      <c r="H409" s="8">
        <f>IF(D409="","",A409+1)</f>
        <v/>
      </c>
      <c r="I409" s="8">
        <f>IF(D409="","",H409&amp;"|"&amp;SUBSTITUTE(SUBSTITUTE(D409," ",""),"　",""))</f>
        <v/>
      </c>
      <c r="J409" s="42">
        <f>IF(D409="","",IF(ISERROR(MATCH(A409&amp;"-"&amp;B409,設定!$Y$8:$Y$31,0)),"設定にない学年・組",IF(COUNTIF($F$2:$F$451,F409)&gt;1,"同じ学年・組・番号がいる",IF(COUNTIF($I$2:$I$451,I409)&gt;1,"同姓同名あり",""))))</f>
        <v/>
      </c>
    </row>
    <row r="410">
      <c r="A410" s="40" t="n"/>
      <c r="B410" s="40" t="n"/>
      <c r="C410" s="40" t="n"/>
      <c r="D410" s="41" t="n"/>
      <c r="F410" s="8">
        <f>IF(D410="","",A410&amp;"-"&amp;B410&amp;"-"&amp;C410)</f>
        <v/>
      </c>
      <c r="G410" s="8">
        <f>IF(D410="","",IFERROR(MATCH(A410&amp;"-"&amp;B410,設定!$Y$8:$Y$31,0),99)*1000+C410+ROW()/1000000)</f>
        <v/>
      </c>
      <c r="H410" s="8">
        <f>IF(D410="","",A410+1)</f>
        <v/>
      </c>
      <c r="I410" s="8">
        <f>IF(D410="","",H410&amp;"|"&amp;SUBSTITUTE(SUBSTITUTE(D410," ",""),"　",""))</f>
        <v/>
      </c>
      <c r="J410" s="42">
        <f>IF(D410="","",IF(ISERROR(MATCH(A410&amp;"-"&amp;B410,設定!$Y$8:$Y$31,0)),"設定にない学年・組",IF(COUNTIF($F$2:$F$451,F410)&gt;1,"同じ学年・組・番号がいる",IF(COUNTIF($I$2:$I$451,I410)&gt;1,"同姓同名あり",""))))</f>
        <v/>
      </c>
    </row>
    <row r="411">
      <c r="A411" s="40" t="n"/>
      <c r="B411" s="40" t="n"/>
      <c r="C411" s="40" t="n"/>
      <c r="D411" s="41" t="n"/>
      <c r="F411" s="8">
        <f>IF(D411="","",A411&amp;"-"&amp;B411&amp;"-"&amp;C411)</f>
        <v/>
      </c>
      <c r="G411" s="8">
        <f>IF(D411="","",IFERROR(MATCH(A411&amp;"-"&amp;B411,設定!$Y$8:$Y$31,0),99)*1000+C411+ROW()/1000000)</f>
        <v/>
      </c>
      <c r="H411" s="8">
        <f>IF(D411="","",A411+1)</f>
        <v/>
      </c>
      <c r="I411" s="8">
        <f>IF(D411="","",H411&amp;"|"&amp;SUBSTITUTE(SUBSTITUTE(D411," ",""),"　",""))</f>
        <v/>
      </c>
      <c r="J411" s="42">
        <f>IF(D411="","",IF(ISERROR(MATCH(A411&amp;"-"&amp;B411,設定!$Y$8:$Y$31,0)),"設定にない学年・組",IF(COUNTIF($F$2:$F$451,F411)&gt;1,"同じ学年・組・番号がいる",IF(COUNTIF($I$2:$I$451,I411)&gt;1,"同姓同名あり",""))))</f>
        <v/>
      </c>
    </row>
    <row r="412">
      <c r="A412" s="40" t="n"/>
      <c r="B412" s="40" t="n"/>
      <c r="C412" s="40" t="n"/>
      <c r="D412" s="41" t="n"/>
      <c r="F412" s="8">
        <f>IF(D412="","",A412&amp;"-"&amp;B412&amp;"-"&amp;C412)</f>
        <v/>
      </c>
      <c r="G412" s="8">
        <f>IF(D412="","",IFERROR(MATCH(A412&amp;"-"&amp;B412,設定!$Y$8:$Y$31,0),99)*1000+C412+ROW()/1000000)</f>
        <v/>
      </c>
      <c r="H412" s="8">
        <f>IF(D412="","",A412+1)</f>
        <v/>
      </c>
      <c r="I412" s="8">
        <f>IF(D412="","",H412&amp;"|"&amp;SUBSTITUTE(SUBSTITUTE(D412," ",""),"　",""))</f>
        <v/>
      </c>
      <c r="J412" s="42">
        <f>IF(D412="","",IF(ISERROR(MATCH(A412&amp;"-"&amp;B412,設定!$Y$8:$Y$31,0)),"設定にない学年・組",IF(COUNTIF($F$2:$F$451,F412)&gt;1,"同じ学年・組・番号がいる",IF(COUNTIF($I$2:$I$451,I412)&gt;1,"同姓同名あり",""))))</f>
        <v/>
      </c>
    </row>
    <row r="413">
      <c r="A413" s="40" t="n"/>
      <c r="B413" s="40" t="n"/>
      <c r="C413" s="40" t="n"/>
      <c r="D413" s="41" t="n"/>
      <c r="F413" s="8">
        <f>IF(D413="","",A413&amp;"-"&amp;B413&amp;"-"&amp;C413)</f>
        <v/>
      </c>
      <c r="G413" s="8">
        <f>IF(D413="","",IFERROR(MATCH(A413&amp;"-"&amp;B413,設定!$Y$8:$Y$31,0),99)*1000+C413+ROW()/1000000)</f>
        <v/>
      </c>
      <c r="H413" s="8">
        <f>IF(D413="","",A413+1)</f>
        <v/>
      </c>
      <c r="I413" s="8">
        <f>IF(D413="","",H413&amp;"|"&amp;SUBSTITUTE(SUBSTITUTE(D413," ",""),"　",""))</f>
        <v/>
      </c>
      <c r="J413" s="42">
        <f>IF(D413="","",IF(ISERROR(MATCH(A413&amp;"-"&amp;B413,設定!$Y$8:$Y$31,0)),"設定にない学年・組",IF(COUNTIF($F$2:$F$451,F413)&gt;1,"同じ学年・組・番号がいる",IF(COUNTIF($I$2:$I$451,I413)&gt;1,"同姓同名あり",""))))</f>
        <v/>
      </c>
    </row>
    <row r="414">
      <c r="A414" s="40" t="n"/>
      <c r="B414" s="40" t="n"/>
      <c r="C414" s="40" t="n"/>
      <c r="D414" s="41" t="n"/>
      <c r="F414" s="8">
        <f>IF(D414="","",A414&amp;"-"&amp;B414&amp;"-"&amp;C414)</f>
        <v/>
      </c>
      <c r="G414" s="8">
        <f>IF(D414="","",IFERROR(MATCH(A414&amp;"-"&amp;B414,設定!$Y$8:$Y$31,0),99)*1000+C414+ROW()/1000000)</f>
        <v/>
      </c>
      <c r="H414" s="8">
        <f>IF(D414="","",A414+1)</f>
        <v/>
      </c>
      <c r="I414" s="8">
        <f>IF(D414="","",H414&amp;"|"&amp;SUBSTITUTE(SUBSTITUTE(D414," ",""),"　",""))</f>
        <v/>
      </c>
      <c r="J414" s="42">
        <f>IF(D414="","",IF(ISERROR(MATCH(A414&amp;"-"&amp;B414,設定!$Y$8:$Y$31,0)),"設定にない学年・組",IF(COUNTIF($F$2:$F$451,F414)&gt;1,"同じ学年・組・番号がいる",IF(COUNTIF($I$2:$I$451,I414)&gt;1,"同姓同名あり",""))))</f>
        <v/>
      </c>
    </row>
    <row r="415">
      <c r="A415" s="40" t="n"/>
      <c r="B415" s="40" t="n"/>
      <c r="C415" s="40" t="n"/>
      <c r="D415" s="41" t="n"/>
      <c r="F415" s="8">
        <f>IF(D415="","",A415&amp;"-"&amp;B415&amp;"-"&amp;C415)</f>
        <v/>
      </c>
      <c r="G415" s="8">
        <f>IF(D415="","",IFERROR(MATCH(A415&amp;"-"&amp;B415,設定!$Y$8:$Y$31,0),99)*1000+C415+ROW()/1000000)</f>
        <v/>
      </c>
      <c r="H415" s="8">
        <f>IF(D415="","",A415+1)</f>
        <v/>
      </c>
      <c r="I415" s="8">
        <f>IF(D415="","",H415&amp;"|"&amp;SUBSTITUTE(SUBSTITUTE(D415," ",""),"　",""))</f>
        <v/>
      </c>
      <c r="J415" s="42">
        <f>IF(D415="","",IF(ISERROR(MATCH(A415&amp;"-"&amp;B415,設定!$Y$8:$Y$31,0)),"設定にない学年・組",IF(COUNTIF($F$2:$F$451,F415)&gt;1,"同じ学年・組・番号がいる",IF(COUNTIF($I$2:$I$451,I415)&gt;1,"同姓同名あり",""))))</f>
        <v/>
      </c>
    </row>
    <row r="416">
      <c r="A416" s="40" t="n"/>
      <c r="B416" s="40" t="n"/>
      <c r="C416" s="40" t="n"/>
      <c r="D416" s="41" t="n"/>
      <c r="F416" s="8">
        <f>IF(D416="","",A416&amp;"-"&amp;B416&amp;"-"&amp;C416)</f>
        <v/>
      </c>
      <c r="G416" s="8">
        <f>IF(D416="","",IFERROR(MATCH(A416&amp;"-"&amp;B416,設定!$Y$8:$Y$31,0),99)*1000+C416+ROW()/1000000)</f>
        <v/>
      </c>
      <c r="H416" s="8">
        <f>IF(D416="","",A416+1)</f>
        <v/>
      </c>
      <c r="I416" s="8">
        <f>IF(D416="","",H416&amp;"|"&amp;SUBSTITUTE(SUBSTITUTE(D416," ",""),"　",""))</f>
        <v/>
      </c>
      <c r="J416" s="42">
        <f>IF(D416="","",IF(ISERROR(MATCH(A416&amp;"-"&amp;B416,設定!$Y$8:$Y$31,0)),"設定にない学年・組",IF(COUNTIF($F$2:$F$451,F416)&gt;1,"同じ学年・組・番号がいる",IF(COUNTIF($I$2:$I$451,I416)&gt;1,"同姓同名あり",""))))</f>
        <v/>
      </c>
    </row>
    <row r="417">
      <c r="A417" s="40" t="n"/>
      <c r="B417" s="40" t="n"/>
      <c r="C417" s="40" t="n"/>
      <c r="D417" s="41" t="n"/>
      <c r="F417" s="8">
        <f>IF(D417="","",A417&amp;"-"&amp;B417&amp;"-"&amp;C417)</f>
        <v/>
      </c>
      <c r="G417" s="8">
        <f>IF(D417="","",IFERROR(MATCH(A417&amp;"-"&amp;B417,設定!$Y$8:$Y$31,0),99)*1000+C417+ROW()/1000000)</f>
        <v/>
      </c>
      <c r="H417" s="8">
        <f>IF(D417="","",A417+1)</f>
        <v/>
      </c>
      <c r="I417" s="8">
        <f>IF(D417="","",H417&amp;"|"&amp;SUBSTITUTE(SUBSTITUTE(D417," ",""),"　",""))</f>
        <v/>
      </c>
      <c r="J417" s="42">
        <f>IF(D417="","",IF(ISERROR(MATCH(A417&amp;"-"&amp;B417,設定!$Y$8:$Y$31,0)),"設定にない学年・組",IF(COUNTIF($F$2:$F$451,F417)&gt;1,"同じ学年・組・番号がいる",IF(COUNTIF($I$2:$I$451,I417)&gt;1,"同姓同名あり",""))))</f>
        <v/>
      </c>
    </row>
    <row r="418">
      <c r="A418" s="40" t="n"/>
      <c r="B418" s="40" t="n"/>
      <c r="C418" s="40" t="n"/>
      <c r="D418" s="41" t="n"/>
      <c r="F418" s="8">
        <f>IF(D418="","",A418&amp;"-"&amp;B418&amp;"-"&amp;C418)</f>
        <v/>
      </c>
      <c r="G418" s="8">
        <f>IF(D418="","",IFERROR(MATCH(A418&amp;"-"&amp;B418,設定!$Y$8:$Y$31,0),99)*1000+C418+ROW()/1000000)</f>
        <v/>
      </c>
      <c r="H418" s="8">
        <f>IF(D418="","",A418+1)</f>
        <v/>
      </c>
      <c r="I418" s="8">
        <f>IF(D418="","",H418&amp;"|"&amp;SUBSTITUTE(SUBSTITUTE(D418," ",""),"　",""))</f>
        <v/>
      </c>
      <c r="J418" s="42">
        <f>IF(D418="","",IF(ISERROR(MATCH(A418&amp;"-"&amp;B418,設定!$Y$8:$Y$31,0)),"設定にない学年・組",IF(COUNTIF($F$2:$F$451,F418)&gt;1,"同じ学年・組・番号がいる",IF(COUNTIF($I$2:$I$451,I418)&gt;1,"同姓同名あり",""))))</f>
        <v/>
      </c>
    </row>
    <row r="419">
      <c r="A419" s="40" t="n"/>
      <c r="B419" s="40" t="n"/>
      <c r="C419" s="40" t="n"/>
      <c r="D419" s="41" t="n"/>
      <c r="F419" s="8">
        <f>IF(D419="","",A419&amp;"-"&amp;B419&amp;"-"&amp;C419)</f>
        <v/>
      </c>
      <c r="G419" s="8">
        <f>IF(D419="","",IFERROR(MATCH(A419&amp;"-"&amp;B419,設定!$Y$8:$Y$31,0),99)*1000+C419+ROW()/1000000)</f>
        <v/>
      </c>
      <c r="H419" s="8">
        <f>IF(D419="","",A419+1)</f>
        <v/>
      </c>
      <c r="I419" s="8">
        <f>IF(D419="","",H419&amp;"|"&amp;SUBSTITUTE(SUBSTITUTE(D419," ",""),"　",""))</f>
        <v/>
      </c>
      <c r="J419" s="42">
        <f>IF(D419="","",IF(ISERROR(MATCH(A419&amp;"-"&amp;B419,設定!$Y$8:$Y$31,0)),"設定にない学年・組",IF(COUNTIF($F$2:$F$451,F419)&gt;1,"同じ学年・組・番号がいる",IF(COUNTIF($I$2:$I$451,I419)&gt;1,"同姓同名あり",""))))</f>
        <v/>
      </c>
    </row>
    <row r="420">
      <c r="A420" s="40" t="n"/>
      <c r="B420" s="40" t="n"/>
      <c r="C420" s="40" t="n"/>
      <c r="D420" s="41" t="n"/>
      <c r="F420" s="8">
        <f>IF(D420="","",A420&amp;"-"&amp;B420&amp;"-"&amp;C420)</f>
        <v/>
      </c>
      <c r="G420" s="8">
        <f>IF(D420="","",IFERROR(MATCH(A420&amp;"-"&amp;B420,設定!$Y$8:$Y$31,0),99)*1000+C420+ROW()/1000000)</f>
        <v/>
      </c>
      <c r="H420" s="8">
        <f>IF(D420="","",A420+1)</f>
        <v/>
      </c>
      <c r="I420" s="8">
        <f>IF(D420="","",H420&amp;"|"&amp;SUBSTITUTE(SUBSTITUTE(D420," ",""),"　",""))</f>
        <v/>
      </c>
      <c r="J420" s="42">
        <f>IF(D420="","",IF(ISERROR(MATCH(A420&amp;"-"&amp;B420,設定!$Y$8:$Y$31,0)),"設定にない学年・組",IF(COUNTIF($F$2:$F$451,F420)&gt;1,"同じ学年・組・番号がいる",IF(COUNTIF($I$2:$I$451,I420)&gt;1,"同姓同名あり",""))))</f>
        <v/>
      </c>
    </row>
    <row r="421">
      <c r="A421" s="40" t="n"/>
      <c r="B421" s="40" t="n"/>
      <c r="C421" s="40" t="n"/>
      <c r="D421" s="41" t="n"/>
      <c r="F421" s="8">
        <f>IF(D421="","",A421&amp;"-"&amp;B421&amp;"-"&amp;C421)</f>
        <v/>
      </c>
      <c r="G421" s="8">
        <f>IF(D421="","",IFERROR(MATCH(A421&amp;"-"&amp;B421,設定!$Y$8:$Y$31,0),99)*1000+C421+ROW()/1000000)</f>
        <v/>
      </c>
      <c r="H421" s="8">
        <f>IF(D421="","",A421+1)</f>
        <v/>
      </c>
      <c r="I421" s="8">
        <f>IF(D421="","",H421&amp;"|"&amp;SUBSTITUTE(SUBSTITUTE(D421," ",""),"　",""))</f>
        <v/>
      </c>
      <c r="J421" s="42">
        <f>IF(D421="","",IF(ISERROR(MATCH(A421&amp;"-"&amp;B421,設定!$Y$8:$Y$31,0)),"設定にない学年・組",IF(COUNTIF($F$2:$F$451,F421)&gt;1,"同じ学年・組・番号がいる",IF(COUNTIF($I$2:$I$451,I421)&gt;1,"同姓同名あり",""))))</f>
        <v/>
      </c>
    </row>
    <row r="422">
      <c r="A422" s="40" t="n"/>
      <c r="B422" s="40" t="n"/>
      <c r="C422" s="40" t="n"/>
      <c r="D422" s="41" t="n"/>
      <c r="F422" s="8">
        <f>IF(D422="","",A422&amp;"-"&amp;B422&amp;"-"&amp;C422)</f>
        <v/>
      </c>
      <c r="G422" s="8">
        <f>IF(D422="","",IFERROR(MATCH(A422&amp;"-"&amp;B422,設定!$Y$8:$Y$31,0),99)*1000+C422+ROW()/1000000)</f>
        <v/>
      </c>
      <c r="H422" s="8">
        <f>IF(D422="","",A422+1)</f>
        <v/>
      </c>
      <c r="I422" s="8">
        <f>IF(D422="","",H422&amp;"|"&amp;SUBSTITUTE(SUBSTITUTE(D422," ",""),"　",""))</f>
        <v/>
      </c>
      <c r="J422" s="42">
        <f>IF(D422="","",IF(ISERROR(MATCH(A422&amp;"-"&amp;B422,設定!$Y$8:$Y$31,0)),"設定にない学年・組",IF(COUNTIF($F$2:$F$451,F422)&gt;1,"同じ学年・組・番号がいる",IF(COUNTIF($I$2:$I$451,I422)&gt;1,"同姓同名あり",""))))</f>
        <v/>
      </c>
    </row>
    <row r="423">
      <c r="A423" s="40" t="n"/>
      <c r="B423" s="40" t="n"/>
      <c r="C423" s="40" t="n"/>
      <c r="D423" s="41" t="n"/>
      <c r="F423" s="8">
        <f>IF(D423="","",A423&amp;"-"&amp;B423&amp;"-"&amp;C423)</f>
        <v/>
      </c>
      <c r="G423" s="8">
        <f>IF(D423="","",IFERROR(MATCH(A423&amp;"-"&amp;B423,設定!$Y$8:$Y$31,0),99)*1000+C423+ROW()/1000000)</f>
        <v/>
      </c>
      <c r="H423" s="8">
        <f>IF(D423="","",A423+1)</f>
        <v/>
      </c>
      <c r="I423" s="8">
        <f>IF(D423="","",H423&amp;"|"&amp;SUBSTITUTE(SUBSTITUTE(D423," ",""),"　",""))</f>
        <v/>
      </c>
      <c r="J423" s="42">
        <f>IF(D423="","",IF(ISERROR(MATCH(A423&amp;"-"&amp;B423,設定!$Y$8:$Y$31,0)),"設定にない学年・組",IF(COUNTIF($F$2:$F$451,F423)&gt;1,"同じ学年・組・番号がいる",IF(COUNTIF($I$2:$I$451,I423)&gt;1,"同姓同名あり",""))))</f>
        <v/>
      </c>
    </row>
    <row r="424">
      <c r="A424" s="40" t="n"/>
      <c r="B424" s="40" t="n"/>
      <c r="C424" s="40" t="n"/>
      <c r="D424" s="41" t="n"/>
      <c r="F424" s="8">
        <f>IF(D424="","",A424&amp;"-"&amp;B424&amp;"-"&amp;C424)</f>
        <v/>
      </c>
      <c r="G424" s="8">
        <f>IF(D424="","",IFERROR(MATCH(A424&amp;"-"&amp;B424,設定!$Y$8:$Y$31,0),99)*1000+C424+ROW()/1000000)</f>
        <v/>
      </c>
      <c r="H424" s="8">
        <f>IF(D424="","",A424+1)</f>
        <v/>
      </c>
      <c r="I424" s="8">
        <f>IF(D424="","",H424&amp;"|"&amp;SUBSTITUTE(SUBSTITUTE(D424," ",""),"　",""))</f>
        <v/>
      </c>
      <c r="J424" s="42">
        <f>IF(D424="","",IF(ISERROR(MATCH(A424&amp;"-"&amp;B424,設定!$Y$8:$Y$31,0)),"設定にない学年・組",IF(COUNTIF($F$2:$F$451,F424)&gt;1,"同じ学年・組・番号がいる",IF(COUNTIF($I$2:$I$451,I424)&gt;1,"同姓同名あり",""))))</f>
        <v/>
      </c>
    </row>
    <row r="425">
      <c r="A425" s="40" t="n"/>
      <c r="B425" s="40" t="n"/>
      <c r="C425" s="40" t="n"/>
      <c r="D425" s="41" t="n"/>
      <c r="F425" s="8">
        <f>IF(D425="","",A425&amp;"-"&amp;B425&amp;"-"&amp;C425)</f>
        <v/>
      </c>
      <c r="G425" s="8">
        <f>IF(D425="","",IFERROR(MATCH(A425&amp;"-"&amp;B425,設定!$Y$8:$Y$31,0),99)*1000+C425+ROW()/1000000)</f>
        <v/>
      </c>
      <c r="H425" s="8">
        <f>IF(D425="","",A425+1)</f>
        <v/>
      </c>
      <c r="I425" s="8">
        <f>IF(D425="","",H425&amp;"|"&amp;SUBSTITUTE(SUBSTITUTE(D425," ",""),"　",""))</f>
        <v/>
      </c>
      <c r="J425" s="42">
        <f>IF(D425="","",IF(ISERROR(MATCH(A425&amp;"-"&amp;B425,設定!$Y$8:$Y$31,0)),"設定にない学年・組",IF(COUNTIF($F$2:$F$451,F425)&gt;1,"同じ学年・組・番号がいる",IF(COUNTIF($I$2:$I$451,I425)&gt;1,"同姓同名あり",""))))</f>
        <v/>
      </c>
    </row>
    <row r="426">
      <c r="A426" s="40" t="n"/>
      <c r="B426" s="40" t="n"/>
      <c r="C426" s="40" t="n"/>
      <c r="D426" s="41" t="n"/>
      <c r="F426" s="8">
        <f>IF(D426="","",A426&amp;"-"&amp;B426&amp;"-"&amp;C426)</f>
        <v/>
      </c>
      <c r="G426" s="8">
        <f>IF(D426="","",IFERROR(MATCH(A426&amp;"-"&amp;B426,設定!$Y$8:$Y$31,0),99)*1000+C426+ROW()/1000000)</f>
        <v/>
      </c>
      <c r="H426" s="8">
        <f>IF(D426="","",A426+1)</f>
        <v/>
      </c>
      <c r="I426" s="8">
        <f>IF(D426="","",H426&amp;"|"&amp;SUBSTITUTE(SUBSTITUTE(D426," ",""),"　",""))</f>
        <v/>
      </c>
      <c r="J426" s="42">
        <f>IF(D426="","",IF(ISERROR(MATCH(A426&amp;"-"&amp;B426,設定!$Y$8:$Y$31,0)),"設定にない学年・組",IF(COUNTIF($F$2:$F$451,F426)&gt;1,"同じ学年・組・番号がいる",IF(COUNTIF($I$2:$I$451,I426)&gt;1,"同姓同名あり",""))))</f>
        <v/>
      </c>
    </row>
    <row r="427">
      <c r="A427" s="40" t="n"/>
      <c r="B427" s="40" t="n"/>
      <c r="C427" s="40" t="n"/>
      <c r="D427" s="41" t="n"/>
      <c r="F427" s="8">
        <f>IF(D427="","",A427&amp;"-"&amp;B427&amp;"-"&amp;C427)</f>
        <v/>
      </c>
      <c r="G427" s="8">
        <f>IF(D427="","",IFERROR(MATCH(A427&amp;"-"&amp;B427,設定!$Y$8:$Y$31,0),99)*1000+C427+ROW()/1000000)</f>
        <v/>
      </c>
      <c r="H427" s="8">
        <f>IF(D427="","",A427+1)</f>
        <v/>
      </c>
      <c r="I427" s="8">
        <f>IF(D427="","",H427&amp;"|"&amp;SUBSTITUTE(SUBSTITUTE(D427," ",""),"　",""))</f>
        <v/>
      </c>
      <c r="J427" s="42">
        <f>IF(D427="","",IF(ISERROR(MATCH(A427&amp;"-"&amp;B427,設定!$Y$8:$Y$31,0)),"設定にない学年・組",IF(COUNTIF($F$2:$F$451,F427)&gt;1,"同じ学年・組・番号がいる",IF(COUNTIF($I$2:$I$451,I427)&gt;1,"同姓同名あり",""))))</f>
        <v/>
      </c>
    </row>
    <row r="428">
      <c r="A428" s="40" t="n"/>
      <c r="B428" s="40" t="n"/>
      <c r="C428" s="40" t="n"/>
      <c r="D428" s="41" t="n"/>
      <c r="F428" s="8">
        <f>IF(D428="","",A428&amp;"-"&amp;B428&amp;"-"&amp;C428)</f>
        <v/>
      </c>
      <c r="G428" s="8">
        <f>IF(D428="","",IFERROR(MATCH(A428&amp;"-"&amp;B428,設定!$Y$8:$Y$31,0),99)*1000+C428+ROW()/1000000)</f>
        <v/>
      </c>
      <c r="H428" s="8">
        <f>IF(D428="","",A428+1)</f>
        <v/>
      </c>
      <c r="I428" s="8">
        <f>IF(D428="","",H428&amp;"|"&amp;SUBSTITUTE(SUBSTITUTE(D428," ",""),"　",""))</f>
        <v/>
      </c>
      <c r="J428" s="42">
        <f>IF(D428="","",IF(ISERROR(MATCH(A428&amp;"-"&amp;B428,設定!$Y$8:$Y$31,0)),"設定にない学年・組",IF(COUNTIF($F$2:$F$451,F428)&gt;1,"同じ学年・組・番号がいる",IF(COUNTIF($I$2:$I$451,I428)&gt;1,"同姓同名あり",""))))</f>
        <v/>
      </c>
    </row>
    <row r="429">
      <c r="A429" s="40" t="n"/>
      <c r="B429" s="40" t="n"/>
      <c r="C429" s="40" t="n"/>
      <c r="D429" s="41" t="n"/>
      <c r="F429" s="8">
        <f>IF(D429="","",A429&amp;"-"&amp;B429&amp;"-"&amp;C429)</f>
        <v/>
      </c>
      <c r="G429" s="8">
        <f>IF(D429="","",IFERROR(MATCH(A429&amp;"-"&amp;B429,設定!$Y$8:$Y$31,0),99)*1000+C429+ROW()/1000000)</f>
        <v/>
      </c>
      <c r="H429" s="8">
        <f>IF(D429="","",A429+1)</f>
        <v/>
      </c>
      <c r="I429" s="8">
        <f>IF(D429="","",H429&amp;"|"&amp;SUBSTITUTE(SUBSTITUTE(D429," ",""),"　",""))</f>
        <v/>
      </c>
      <c r="J429" s="42">
        <f>IF(D429="","",IF(ISERROR(MATCH(A429&amp;"-"&amp;B429,設定!$Y$8:$Y$31,0)),"設定にない学年・組",IF(COUNTIF($F$2:$F$451,F429)&gt;1,"同じ学年・組・番号がいる",IF(COUNTIF($I$2:$I$451,I429)&gt;1,"同姓同名あり",""))))</f>
        <v/>
      </c>
    </row>
    <row r="430">
      <c r="A430" s="40" t="n"/>
      <c r="B430" s="40" t="n"/>
      <c r="C430" s="40" t="n"/>
      <c r="D430" s="41" t="n"/>
      <c r="F430" s="8">
        <f>IF(D430="","",A430&amp;"-"&amp;B430&amp;"-"&amp;C430)</f>
        <v/>
      </c>
      <c r="G430" s="8">
        <f>IF(D430="","",IFERROR(MATCH(A430&amp;"-"&amp;B430,設定!$Y$8:$Y$31,0),99)*1000+C430+ROW()/1000000)</f>
        <v/>
      </c>
      <c r="H430" s="8">
        <f>IF(D430="","",A430+1)</f>
        <v/>
      </c>
      <c r="I430" s="8">
        <f>IF(D430="","",H430&amp;"|"&amp;SUBSTITUTE(SUBSTITUTE(D430," ",""),"　",""))</f>
        <v/>
      </c>
      <c r="J430" s="42">
        <f>IF(D430="","",IF(ISERROR(MATCH(A430&amp;"-"&amp;B430,設定!$Y$8:$Y$31,0)),"設定にない学年・組",IF(COUNTIF($F$2:$F$451,F430)&gt;1,"同じ学年・組・番号がいる",IF(COUNTIF($I$2:$I$451,I430)&gt;1,"同姓同名あり",""))))</f>
        <v/>
      </c>
    </row>
    <row r="431">
      <c r="A431" s="40" t="n"/>
      <c r="B431" s="40" t="n"/>
      <c r="C431" s="40" t="n"/>
      <c r="D431" s="41" t="n"/>
      <c r="F431" s="8">
        <f>IF(D431="","",A431&amp;"-"&amp;B431&amp;"-"&amp;C431)</f>
        <v/>
      </c>
      <c r="G431" s="8">
        <f>IF(D431="","",IFERROR(MATCH(A431&amp;"-"&amp;B431,設定!$Y$8:$Y$31,0),99)*1000+C431+ROW()/1000000)</f>
        <v/>
      </c>
      <c r="H431" s="8">
        <f>IF(D431="","",A431+1)</f>
        <v/>
      </c>
      <c r="I431" s="8">
        <f>IF(D431="","",H431&amp;"|"&amp;SUBSTITUTE(SUBSTITUTE(D431," ",""),"　",""))</f>
        <v/>
      </c>
      <c r="J431" s="42">
        <f>IF(D431="","",IF(ISERROR(MATCH(A431&amp;"-"&amp;B431,設定!$Y$8:$Y$31,0)),"設定にない学年・組",IF(COUNTIF($F$2:$F$451,F431)&gt;1,"同じ学年・組・番号がいる",IF(COUNTIF($I$2:$I$451,I431)&gt;1,"同姓同名あり",""))))</f>
        <v/>
      </c>
    </row>
    <row r="432">
      <c r="A432" s="40" t="n"/>
      <c r="B432" s="40" t="n"/>
      <c r="C432" s="40" t="n"/>
      <c r="D432" s="41" t="n"/>
      <c r="F432" s="8">
        <f>IF(D432="","",A432&amp;"-"&amp;B432&amp;"-"&amp;C432)</f>
        <v/>
      </c>
      <c r="G432" s="8">
        <f>IF(D432="","",IFERROR(MATCH(A432&amp;"-"&amp;B432,設定!$Y$8:$Y$31,0),99)*1000+C432+ROW()/1000000)</f>
        <v/>
      </c>
      <c r="H432" s="8">
        <f>IF(D432="","",A432+1)</f>
        <v/>
      </c>
      <c r="I432" s="8">
        <f>IF(D432="","",H432&amp;"|"&amp;SUBSTITUTE(SUBSTITUTE(D432," ",""),"　",""))</f>
        <v/>
      </c>
      <c r="J432" s="42">
        <f>IF(D432="","",IF(ISERROR(MATCH(A432&amp;"-"&amp;B432,設定!$Y$8:$Y$31,0)),"設定にない学年・組",IF(COUNTIF($F$2:$F$451,F432)&gt;1,"同じ学年・組・番号がいる",IF(COUNTIF($I$2:$I$451,I432)&gt;1,"同姓同名あり",""))))</f>
        <v/>
      </c>
    </row>
    <row r="433">
      <c r="A433" s="40" t="n"/>
      <c r="B433" s="40" t="n"/>
      <c r="C433" s="40" t="n"/>
      <c r="D433" s="41" t="n"/>
      <c r="F433" s="8">
        <f>IF(D433="","",A433&amp;"-"&amp;B433&amp;"-"&amp;C433)</f>
        <v/>
      </c>
      <c r="G433" s="8">
        <f>IF(D433="","",IFERROR(MATCH(A433&amp;"-"&amp;B433,設定!$Y$8:$Y$31,0),99)*1000+C433+ROW()/1000000)</f>
        <v/>
      </c>
      <c r="H433" s="8">
        <f>IF(D433="","",A433+1)</f>
        <v/>
      </c>
      <c r="I433" s="8">
        <f>IF(D433="","",H433&amp;"|"&amp;SUBSTITUTE(SUBSTITUTE(D433," ",""),"　",""))</f>
        <v/>
      </c>
      <c r="J433" s="42">
        <f>IF(D433="","",IF(ISERROR(MATCH(A433&amp;"-"&amp;B433,設定!$Y$8:$Y$31,0)),"設定にない学年・組",IF(COUNTIF($F$2:$F$451,F433)&gt;1,"同じ学年・組・番号がいる",IF(COUNTIF($I$2:$I$451,I433)&gt;1,"同姓同名あり",""))))</f>
        <v/>
      </c>
    </row>
    <row r="434">
      <c r="A434" s="40" t="n"/>
      <c r="B434" s="40" t="n"/>
      <c r="C434" s="40" t="n"/>
      <c r="D434" s="41" t="n"/>
      <c r="F434" s="8">
        <f>IF(D434="","",A434&amp;"-"&amp;B434&amp;"-"&amp;C434)</f>
        <v/>
      </c>
      <c r="G434" s="8">
        <f>IF(D434="","",IFERROR(MATCH(A434&amp;"-"&amp;B434,設定!$Y$8:$Y$31,0),99)*1000+C434+ROW()/1000000)</f>
        <v/>
      </c>
      <c r="H434" s="8">
        <f>IF(D434="","",A434+1)</f>
        <v/>
      </c>
      <c r="I434" s="8">
        <f>IF(D434="","",H434&amp;"|"&amp;SUBSTITUTE(SUBSTITUTE(D434," ",""),"　",""))</f>
        <v/>
      </c>
      <c r="J434" s="42">
        <f>IF(D434="","",IF(ISERROR(MATCH(A434&amp;"-"&amp;B434,設定!$Y$8:$Y$31,0)),"設定にない学年・組",IF(COUNTIF($F$2:$F$451,F434)&gt;1,"同じ学年・組・番号がいる",IF(COUNTIF($I$2:$I$451,I434)&gt;1,"同姓同名あり",""))))</f>
        <v/>
      </c>
    </row>
    <row r="435">
      <c r="A435" s="40" t="n"/>
      <c r="B435" s="40" t="n"/>
      <c r="C435" s="40" t="n"/>
      <c r="D435" s="41" t="n"/>
      <c r="F435" s="8">
        <f>IF(D435="","",A435&amp;"-"&amp;B435&amp;"-"&amp;C435)</f>
        <v/>
      </c>
      <c r="G435" s="8">
        <f>IF(D435="","",IFERROR(MATCH(A435&amp;"-"&amp;B435,設定!$Y$8:$Y$31,0),99)*1000+C435+ROW()/1000000)</f>
        <v/>
      </c>
      <c r="H435" s="8">
        <f>IF(D435="","",A435+1)</f>
        <v/>
      </c>
      <c r="I435" s="8">
        <f>IF(D435="","",H435&amp;"|"&amp;SUBSTITUTE(SUBSTITUTE(D435," ",""),"　",""))</f>
        <v/>
      </c>
      <c r="J435" s="42">
        <f>IF(D435="","",IF(ISERROR(MATCH(A435&amp;"-"&amp;B435,設定!$Y$8:$Y$31,0)),"設定にない学年・組",IF(COUNTIF($F$2:$F$451,F435)&gt;1,"同じ学年・組・番号がいる",IF(COUNTIF($I$2:$I$451,I435)&gt;1,"同姓同名あり",""))))</f>
        <v/>
      </c>
    </row>
    <row r="436">
      <c r="A436" s="40" t="n"/>
      <c r="B436" s="40" t="n"/>
      <c r="C436" s="40" t="n"/>
      <c r="D436" s="41" t="n"/>
      <c r="F436" s="8">
        <f>IF(D436="","",A436&amp;"-"&amp;B436&amp;"-"&amp;C436)</f>
        <v/>
      </c>
      <c r="G436" s="8">
        <f>IF(D436="","",IFERROR(MATCH(A436&amp;"-"&amp;B436,設定!$Y$8:$Y$31,0),99)*1000+C436+ROW()/1000000)</f>
        <v/>
      </c>
      <c r="H436" s="8">
        <f>IF(D436="","",A436+1)</f>
        <v/>
      </c>
      <c r="I436" s="8">
        <f>IF(D436="","",H436&amp;"|"&amp;SUBSTITUTE(SUBSTITUTE(D436," ",""),"　",""))</f>
        <v/>
      </c>
      <c r="J436" s="42">
        <f>IF(D436="","",IF(ISERROR(MATCH(A436&amp;"-"&amp;B436,設定!$Y$8:$Y$31,0)),"設定にない学年・組",IF(COUNTIF($F$2:$F$451,F436)&gt;1,"同じ学年・組・番号がいる",IF(COUNTIF($I$2:$I$451,I436)&gt;1,"同姓同名あり",""))))</f>
        <v/>
      </c>
    </row>
    <row r="437">
      <c r="A437" s="40" t="n"/>
      <c r="B437" s="40" t="n"/>
      <c r="C437" s="40" t="n"/>
      <c r="D437" s="41" t="n"/>
      <c r="F437" s="8">
        <f>IF(D437="","",A437&amp;"-"&amp;B437&amp;"-"&amp;C437)</f>
        <v/>
      </c>
      <c r="G437" s="8">
        <f>IF(D437="","",IFERROR(MATCH(A437&amp;"-"&amp;B437,設定!$Y$8:$Y$31,0),99)*1000+C437+ROW()/1000000)</f>
        <v/>
      </c>
      <c r="H437" s="8">
        <f>IF(D437="","",A437+1)</f>
        <v/>
      </c>
      <c r="I437" s="8">
        <f>IF(D437="","",H437&amp;"|"&amp;SUBSTITUTE(SUBSTITUTE(D437," ",""),"　",""))</f>
        <v/>
      </c>
      <c r="J437" s="42">
        <f>IF(D437="","",IF(ISERROR(MATCH(A437&amp;"-"&amp;B437,設定!$Y$8:$Y$31,0)),"設定にない学年・組",IF(COUNTIF($F$2:$F$451,F437)&gt;1,"同じ学年・組・番号がいる",IF(COUNTIF($I$2:$I$451,I437)&gt;1,"同姓同名あり",""))))</f>
        <v/>
      </c>
    </row>
    <row r="438">
      <c r="A438" s="40" t="n"/>
      <c r="B438" s="40" t="n"/>
      <c r="C438" s="40" t="n"/>
      <c r="D438" s="41" t="n"/>
      <c r="F438" s="8">
        <f>IF(D438="","",A438&amp;"-"&amp;B438&amp;"-"&amp;C438)</f>
        <v/>
      </c>
      <c r="G438" s="8">
        <f>IF(D438="","",IFERROR(MATCH(A438&amp;"-"&amp;B438,設定!$Y$8:$Y$31,0),99)*1000+C438+ROW()/1000000)</f>
        <v/>
      </c>
      <c r="H438" s="8">
        <f>IF(D438="","",A438+1)</f>
        <v/>
      </c>
      <c r="I438" s="8">
        <f>IF(D438="","",H438&amp;"|"&amp;SUBSTITUTE(SUBSTITUTE(D438," ",""),"　",""))</f>
        <v/>
      </c>
      <c r="J438" s="42">
        <f>IF(D438="","",IF(ISERROR(MATCH(A438&amp;"-"&amp;B438,設定!$Y$8:$Y$31,0)),"設定にない学年・組",IF(COUNTIF($F$2:$F$451,F438)&gt;1,"同じ学年・組・番号がいる",IF(COUNTIF($I$2:$I$451,I438)&gt;1,"同姓同名あり",""))))</f>
        <v/>
      </c>
    </row>
    <row r="439">
      <c r="A439" s="40" t="n"/>
      <c r="B439" s="40" t="n"/>
      <c r="C439" s="40" t="n"/>
      <c r="D439" s="41" t="n"/>
      <c r="F439" s="8">
        <f>IF(D439="","",A439&amp;"-"&amp;B439&amp;"-"&amp;C439)</f>
        <v/>
      </c>
      <c r="G439" s="8">
        <f>IF(D439="","",IFERROR(MATCH(A439&amp;"-"&amp;B439,設定!$Y$8:$Y$31,0),99)*1000+C439+ROW()/1000000)</f>
        <v/>
      </c>
      <c r="H439" s="8">
        <f>IF(D439="","",A439+1)</f>
        <v/>
      </c>
      <c r="I439" s="8">
        <f>IF(D439="","",H439&amp;"|"&amp;SUBSTITUTE(SUBSTITUTE(D439," ",""),"　",""))</f>
        <v/>
      </c>
      <c r="J439" s="42">
        <f>IF(D439="","",IF(ISERROR(MATCH(A439&amp;"-"&amp;B439,設定!$Y$8:$Y$31,0)),"設定にない学年・組",IF(COUNTIF($F$2:$F$451,F439)&gt;1,"同じ学年・組・番号がいる",IF(COUNTIF($I$2:$I$451,I439)&gt;1,"同姓同名あり",""))))</f>
        <v/>
      </c>
    </row>
    <row r="440">
      <c r="A440" s="40" t="n"/>
      <c r="B440" s="40" t="n"/>
      <c r="C440" s="40" t="n"/>
      <c r="D440" s="41" t="n"/>
      <c r="F440" s="8">
        <f>IF(D440="","",A440&amp;"-"&amp;B440&amp;"-"&amp;C440)</f>
        <v/>
      </c>
      <c r="G440" s="8">
        <f>IF(D440="","",IFERROR(MATCH(A440&amp;"-"&amp;B440,設定!$Y$8:$Y$31,0),99)*1000+C440+ROW()/1000000)</f>
        <v/>
      </c>
      <c r="H440" s="8">
        <f>IF(D440="","",A440+1)</f>
        <v/>
      </c>
      <c r="I440" s="8">
        <f>IF(D440="","",H440&amp;"|"&amp;SUBSTITUTE(SUBSTITUTE(D440," ",""),"　",""))</f>
        <v/>
      </c>
      <c r="J440" s="42">
        <f>IF(D440="","",IF(ISERROR(MATCH(A440&amp;"-"&amp;B440,設定!$Y$8:$Y$31,0)),"設定にない学年・組",IF(COUNTIF($F$2:$F$451,F440)&gt;1,"同じ学年・組・番号がいる",IF(COUNTIF($I$2:$I$451,I440)&gt;1,"同姓同名あり",""))))</f>
        <v/>
      </c>
    </row>
    <row r="441">
      <c r="A441" s="40" t="n"/>
      <c r="B441" s="40" t="n"/>
      <c r="C441" s="40" t="n"/>
      <c r="D441" s="41" t="n"/>
      <c r="F441" s="8">
        <f>IF(D441="","",A441&amp;"-"&amp;B441&amp;"-"&amp;C441)</f>
        <v/>
      </c>
      <c r="G441" s="8">
        <f>IF(D441="","",IFERROR(MATCH(A441&amp;"-"&amp;B441,設定!$Y$8:$Y$31,0),99)*1000+C441+ROW()/1000000)</f>
        <v/>
      </c>
      <c r="H441" s="8">
        <f>IF(D441="","",A441+1)</f>
        <v/>
      </c>
      <c r="I441" s="8">
        <f>IF(D441="","",H441&amp;"|"&amp;SUBSTITUTE(SUBSTITUTE(D441," ",""),"　",""))</f>
        <v/>
      </c>
      <c r="J441" s="42">
        <f>IF(D441="","",IF(ISERROR(MATCH(A441&amp;"-"&amp;B441,設定!$Y$8:$Y$31,0)),"設定にない学年・組",IF(COUNTIF($F$2:$F$451,F441)&gt;1,"同じ学年・組・番号がいる",IF(COUNTIF($I$2:$I$451,I441)&gt;1,"同姓同名あり",""))))</f>
        <v/>
      </c>
    </row>
    <row r="442">
      <c r="A442" s="40" t="n"/>
      <c r="B442" s="40" t="n"/>
      <c r="C442" s="40" t="n"/>
      <c r="D442" s="41" t="n"/>
      <c r="F442" s="8">
        <f>IF(D442="","",A442&amp;"-"&amp;B442&amp;"-"&amp;C442)</f>
        <v/>
      </c>
      <c r="G442" s="8">
        <f>IF(D442="","",IFERROR(MATCH(A442&amp;"-"&amp;B442,設定!$Y$8:$Y$31,0),99)*1000+C442+ROW()/1000000)</f>
        <v/>
      </c>
      <c r="H442" s="8">
        <f>IF(D442="","",A442+1)</f>
        <v/>
      </c>
      <c r="I442" s="8">
        <f>IF(D442="","",H442&amp;"|"&amp;SUBSTITUTE(SUBSTITUTE(D442," ",""),"　",""))</f>
        <v/>
      </c>
      <c r="J442" s="42">
        <f>IF(D442="","",IF(ISERROR(MATCH(A442&amp;"-"&amp;B442,設定!$Y$8:$Y$31,0)),"設定にない学年・組",IF(COUNTIF($F$2:$F$451,F442)&gt;1,"同じ学年・組・番号がいる",IF(COUNTIF($I$2:$I$451,I442)&gt;1,"同姓同名あり",""))))</f>
        <v/>
      </c>
    </row>
    <row r="443">
      <c r="A443" s="40" t="n"/>
      <c r="B443" s="40" t="n"/>
      <c r="C443" s="40" t="n"/>
      <c r="D443" s="41" t="n"/>
      <c r="F443" s="8">
        <f>IF(D443="","",A443&amp;"-"&amp;B443&amp;"-"&amp;C443)</f>
        <v/>
      </c>
      <c r="G443" s="8">
        <f>IF(D443="","",IFERROR(MATCH(A443&amp;"-"&amp;B443,設定!$Y$8:$Y$31,0),99)*1000+C443+ROW()/1000000)</f>
        <v/>
      </c>
      <c r="H443" s="8">
        <f>IF(D443="","",A443+1)</f>
        <v/>
      </c>
      <c r="I443" s="8">
        <f>IF(D443="","",H443&amp;"|"&amp;SUBSTITUTE(SUBSTITUTE(D443," ",""),"　",""))</f>
        <v/>
      </c>
      <c r="J443" s="42">
        <f>IF(D443="","",IF(ISERROR(MATCH(A443&amp;"-"&amp;B443,設定!$Y$8:$Y$31,0)),"設定にない学年・組",IF(COUNTIF($F$2:$F$451,F443)&gt;1,"同じ学年・組・番号がいる",IF(COUNTIF($I$2:$I$451,I443)&gt;1,"同姓同名あり",""))))</f>
        <v/>
      </c>
    </row>
    <row r="444">
      <c r="A444" s="40" t="n"/>
      <c r="B444" s="40" t="n"/>
      <c r="C444" s="40" t="n"/>
      <c r="D444" s="41" t="n"/>
      <c r="F444" s="8">
        <f>IF(D444="","",A444&amp;"-"&amp;B444&amp;"-"&amp;C444)</f>
        <v/>
      </c>
      <c r="G444" s="8">
        <f>IF(D444="","",IFERROR(MATCH(A444&amp;"-"&amp;B444,設定!$Y$8:$Y$31,0),99)*1000+C444+ROW()/1000000)</f>
        <v/>
      </c>
      <c r="H444" s="8">
        <f>IF(D444="","",A444+1)</f>
        <v/>
      </c>
      <c r="I444" s="8">
        <f>IF(D444="","",H444&amp;"|"&amp;SUBSTITUTE(SUBSTITUTE(D444," ",""),"　",""))</f>
        <v/>
      </c>
      <c r="J444" s="42">
        <f>IF(D444="","",IF(ISERROR(MATCH(A444&amp;"-"&amp;B444,設定!$Y$8:$Y$31,0)),"設定にない学年・組",IF(COUNTIF($F$2:$F$451,F444)&gt;1,"同じ学年・組・番号がいる",IF(COUNTIF($I$2:$I$451,I444)&gt;1,"同姓同名あり",""))))</f>
        <v/>
      </c>
    </row>
    <row r="445">
      <c r="A445" s="40" t="n"/>
      <c r="B445" s="40" t="n"/>
      <c r="C445" s="40" t="n"/>
      <c r="D445" s="41" t="n"/>
      <c r="F445" s="8">
        <f>IF(D445="","",A445&amp;"-"&amp;B445&amp;"-"&amp;C445)</f>
        <v/>
      </c>
      <c r="G445" s="8">
        <f>IF(D445="","",IFERROR(MATCH(A445&amp;"-"&amp;B445,設定!$Y$8:$Y$31,0),99)*1000+C445+ROW()/1000000)</f>
        <v/>
      </c>
      <c r="H445" s="8">
        <f>IF(D445="","",A445+1)</f>
        <v/>
      </c>
      <c r="I445" s="8">
        <f>IF(D445="","",H445&amp;"|"&amp;SUBSTITUTE(SUBSTITUTE(D445," ",""),"　",""))</f>
        <v/>
      </c>
      <c r="J445" s="42">
        <f>IF(D445="","",IF(ISERROR(MATCH(A445&amp;"-"&amp;B445,設定!$Y$8:$Y$31,0)),"設定にない学年・組",IF(COUNTIF($F$2:$F$451,F445)&gt;1,"同じ学年・組・番号がいる",IF(COUNTIF($I$2:$I$451,I445)&gt;1,"同姓同名あり",""))))</f>
        <v/>
      </c>
    </row>
    <row r="446">
      <c r="A446" s="40" t="n"/>
      <c r="B446" s="40" t="n"/>
      <c r="C446" s="40" t="n"/>
      <c r="D446" s="41" t="n"/>
      <c r="F446" s="8">
        <f>IF(D446="","",A446&amp;"-"&amp;B446&amp;"-"&amp;C446)</f>
        <v/>
      </c>
      <c r="G446" s="8">
        <f>IF(D446="","",IFERROR(MATCH(A446&amp;"-"&amp;B446,設定!$Y$8:$Y$31,0),99)*1000+C446+ROW()/1000000)</f>
        <v/>
      </c>
      <c r="H446" s="8">
        <f>IF(D446="","",A446+1)</f>
        <v/>
      </c>
      <c r="I446" s="8">
        <f>IF(D446="","",H446&amp;"|"&amp;SUBSTITUTE(SUBSTITUTE(D446," ",""),"　",""))</f>
        <v/>
      </c>
      <c r="J446" s="42">
        <f>IF(D446="","",IF(ISERROR(MATCH(A446&amp;"-"&amp;B446,設定!$Y$8:$Y$31,0)),"設定にない学年・組",IF(COUNTIF($F$2:$F$451,F446)&gt;1,"同じ学年・組・番号がいる",IF(COUNTIF($I$2:$I$451,I446)&gt;1,"同姓同名あり",""))))</f>
        <v/>
      </c>
    </row>
    <row r="447">
      <c r="A447" s="40" t="n"/>
      <c r="B447" s="40" t="n"/>
      <c r="C447" s="40" t="n"/>
      <c r="D447" s="41" t="n"/>
      <c r="F447" s="8">
        <f>IF(D447="","",A447&amp;"-"&amp;B447&amp;"-"&amp;C447)</f>
        <v/>
      </c>
      <c r="G447" s="8">
        <f>IF(D447="","",IFERROR(MATCH(A447&amp;"-"&amp;B447,設定!$Y$8:$Y$31,0),99)*1000+C447+ROW()/1000000)</f>
        <v/>
      </c>
      <c r="H447" s="8">
        <f>IF(D447="","",A447+1)</f>
        <v/>
      </c>
      <c r="I447" s="8">
        <f>IF(D447="","",H447&amp;"|"&amp;SUBSTITUTE(SUBSTITUTE(D447," ",""),"　",""))</f>
        <v/>
      </c>
      <c r="J447" s="42">
        <f>IF(D447="","",IF(ISERROR(MATCH(A447&amp;"-"&amp;B447,設定!$Y$8:$Y$31,0)),"設定にない学年・組",IF(COUNTIF($F$2:$F$451,F447)&gt;1,"同じ学年・組・番号がいる",IF(COUNTIF($I$2:$I$451,I447)&gt;1,"同姓同名あり",""))))</f>
        <v/>
      </c>
    </row>
    <row r="448">
      <c r="A448" s="40" t="n"/>
      <c r="B448" s="40" t="n"/>
      <c r="C448" s="40" t="n"/>
      <c r="D448" s="41" t="n"/>
      <c r="F448" s="8">
        <f>IF(D448="","",A448&amp;"-"&amp;B448&amp;"-"&amp;C448)</f>
        <v/>
      </c>
      <c r="G448" s="8">
        <f>IF(D448="","",IFERROR(MATCH(A448&amp;"-"&amp;B448,設定!$Y$8:$Y$31,0),99)*1000+C448+ROW()/1000000)</f>
        <v/>
      </c>
      <c r="H448" s="8">
        <f>IF(D448="","",A448+1)</f>
        <v/>
      </c>
      <c r="I448" s="8">
        <f>IF(D448="","",H448&amp;"|"&amp;SUBSTITUTE(SUBSTITUTE(D448," ",""),"　",""))</f>
        <v/>
      </c>
      <c r="J448" s="42">
        <f>IF(D448="","",IF(ISERROR(MATCH(A448&amp;"-"&amp;B448,設定!$Y$8:$Y$31,0)),"設定にない学年・組",IF(COUNTIF($F$2:$F$451,F448)&gt;1,"同じ学年・組・番号がいる",IF(COUNTIF($I$2:$I$451,I448)&gt;1,"同姓同名あり",""))))</f>
        <v/>
      </c>
    </row>
    <row r="449">
      <c r="A449" s="40" t="n"/>
      <c r="B449" s="40" t="n"/>
      <c r="C449" s="40" t="n"/>
      <c r="D449" s="41" t="n"/>
      <c r="F449" s="8">
        <f>IF(D449="","",A449&amp;"-"&amp;B449&amp;"-"&amp;C449)</f>
        <v/>
      </c>
      <c r="G449" s="8">
        <f>IF(D449="","",IFERROR(MATCH(A449&amp;"-"&amp;B449,設定!$Y$8:$Y$31,0),99)*1000+C449+ROW()/1000000)</f>
        <v/>
      </c>
      <c r="H449" s="8">
        <f>IF(D449="","",A449+1)</f>
        <v/>
      </c>
      <c r="I449" s="8">
        <f>IF(D449="","",H449&amp;"|"&amp;SUBSTITUTE(SUBSTITUTE(D449," ",""),"　",""))</f>
        <v/>
      </c>
      <c r="J449" s="42">
        <f>IF(D449="","",IF(ISERROR(MATCH(A449&amp;"-"&amp;B449,設定!$Y$8:$Y$31,0)),"設定にない学年・組",IF(COUNTIF($F$2:$F$451,F449)&gt;1,"同じ学年・組・番号がいる",IF(COUNTIF($I$2:$I$451,I449)&gt;1,"同姓同名あり",""))))</f>
        <v/>
      </c>
    </row>
    <row r="450">
      <c r="A450" s="40" t="n"/>
      <c r="B450" s="40" t="n"/>
      <c r="C450" s="40" t="n"/>
      <c r="D450" s="41" t="n"/>
      <c r="F450" s="8">
        <f>IF(D450="","",A450&amp;"-"&amp;B450&amp;"-"&amp;C450)</f>
        <v/>
      </c>
      <c r="G450" s="8">
        <f>IF(D450="","",IFERROR(MATCH(A450&amp;"-"&amp;B450,設定!$Y$8:$Y$31,0),99)*1000+C450+ROW()/1000000)</f>
        <v/>
      </c>
      <c r="H450" s="8">
        <f>IF(D450="","",A450+1)</f>
        <v/>
      </c>
      <c r="I450" s="8">
        <f>IF(D450="","",H450&amp;"|"&amp;SUBSTITUTE(SUBSTITUTE(D450," ",""),"　",""))</f>
        <v/>
      </c>
      <c r="J450" s="42">
        <f>IF(D450="","",IF(ISERROR(MATCH(A450&amp;"-"&amp;B450,設定!$Y$8:$Y$31,0)),"設定にない学年・組",IF(COUNTIF($F$2:$F$451,F450)&gt;1,"同じ学年・組・番号がいる",IF(COUNTIF($I$2:$I$451,I450)&gt;1,"同姓同名あり",""))))</f>
        <v/>
      </c>
    </row>
    <row r="451">
      <c r="A451" s="40" t="n"/>
      <c r="B451" s="40" t="n"/>
      <c r="C451" s="40" t="n"/>
      <c r="D451" s="41" t="n"/>
      <c r="F451" s="8">
        <f>IF(D451="","",A451&amp;"-"&amp;B451&amp;"-"&amp;C451)</f>
        <v/>
      </c>
      <c r="G451" s="8">
        <f>IF(D451="","",IFERROR(MATCH(A451&amp;"-"&amp;B451,設定!$Y$8:$Y$31,0),99)*1000+C451+ROW()/1000000)</f>
        <v/>
      </c>
      <c r="H451" s="8">
        <f>IF(D451="","",A451+1)</f>
        <v/>
      </c>
      <c r="I451" s="8">
        <f>IF(D451="","",H451&amp;"|"&amp;SUBSTITUTE(SUBSTITUTE(D451," ",""),"　",""))</f>
        <v/>
      </c>
      <c r="J451" s="42">
        <f>IF(D451="","",IF(ISERROR(MATCH(A451&amp;"-"&amp;B451,設定!$Y$8:$Y$31,0)),"設定にない学年・組",IF(COUNTIF($F$2:$F$451,F451)&gt;1,"同じ学年・組・番号がいる",IF(COUNTIF($I$2:$I$451,I451)&gt;1,"同姓同名あり",""))))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A2:D451">
    <cfRule type="expression" priority="1" dxfId="8">
      <formula>$J2&lt;&gt;""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16" customWidth="1" min="7" max="7"/>
    <col width="13" customWidth="1" min="8" max="8"/>
    <col width="13" customWidth="1" min="9" max="9"/>
    <col width="13" customWidth="1" min="10" max="10"/>
    <col width="26" customWidth="1" min="11" max="11"/>
    <col width="10" customWidth="1" min="12" max="12"/>
    <col width="10" customWidth="1" min="13" max="13"/>
  </cols>
  <sheetData>
    <row r="1">
      <c r="A1" s="9" t="inlineStr">
        <is>
          <t>学年</t>
        </is>
      </c>
      <c r="B1" s="9" t="inlineStr">
        <is>
          <t>組</t>
        </is>
      </c>
      <c r="C1" s="9" t="inlineStr">
        <is>
          <t>番号</t>
        </is>
      </c>
      <c r="D1" s="9" t="inlineStr">
        <is>
          <t>第1希望</t>
        </is>
      </c>
      <c r="E1" s="9" t="inlineStr">
        <is>
          <t>第2希望</t>
        </is>
      </c>
      <c r="F1" s="9" t="inlineStr">
        <is>
          <t>第3希望</t>
        </is>
      </c>
      <c r="G1" s="43" t="inlineStr">
        <is>
          <t>名前（自動）</t>
        </is>
      </c>
      <c r="H1" s="43" t="inlineStr">
        <is>
          <t>第1（クラブ名）</t>
        </is>
      </c>
      <c r="I1" s="43" t="inlineStr">
        <is>
          <t>第2（クラブ名）</t>
        </is>
      </c>
      <c r="J1" s="43" t="inlineStr">
        <is>
          <t>第3（クラブ名）</t>
        </is>
      </c>
      <c r="K1" s="43" t="inlineStr">
        <is>
          <t>チェック（自動）</t>
        </is>
      </c>
      <c r="L1" s="39" t="inlineStr">
        <is>
          <t>キー</t>
        </is>
      </c>
      <c r="M1" s="39" t="inlineStr">
        <is>
          <t>採用</t>
        </is>
      </c>
    </row>
    <row r="2">
      <c r="A2" s="40" t="n">
        <v>4</v>
      </c>
      <c r="B2" s="40" t="inlineStr">
        <is>
          <t>松</t>
        </is>
      </c>
      <c r="C2" s="40" t="n">
        <v>12</v>
      </c>
      <c r="D2" s="40" t="n">
        <v>1</v>
      </c>
      <c r="E2" s="40" t="n">
        <v>8</v>
      </c>
      <c r="F2" s="40" t="n">
        <v>7</v>
      </c>
      <c r="G2" s="3">
        <f>IF(L2="","",IFERROR(INDEX(前年度名簿!$D$2:$D$451,MATCH(L2,前年度名簿!$F$2:$F$451,0)),""))</f>
        <v/>
      </c>
      <c r="H2" s="44">
        <f>IF(D2="","",IF(ISERROR(VALUE(D2)),D2&amp;"",IF(AND(VALUE(D2)&gt;=1,VALUE(D2)&lt;=20),IF(INDEX(設定!$P$8:$P$27,VALUE(D2))="","？",INDEX(設定!$P$8:$P$27,VALUE(D2))),"？")))</f>
        <v/>
      </c>
      <c r="I2" s="44">
        <f>IF(E2="","",IF(ISERROR(VALUE(E2)),E2&amp;"",IF(AND(VALUE(E2)&gt;=1,VALUE(E2)&lt;=20),IF(INDEX(設定!$P$8:$P$27,VALUE(E2))="","？",INDEX(設定!$P$8:$P$27,VALUE(E2))),"？")))</f>
        <v/>
      </c>
      <c r="J2" s="44">
        <f>IF(F2="","",IF(ISERROR(VALUE(F2)),F2&amp;"",IF(AND(VALUE(F2)&gt;=1,VALUE(F2)&lt;=20),IF(INDEX(設定!$P$8:$P$27,VALUE(F2))="","？",INDEX(設定!$P$8:$P$27,VALUE(F2))),"？")))</f>
        <v/>
      </c>
      <c r="K2" s="45">
        <f>IF(L2="","",IF(G2="","名簿にいない",IF(COUNTIF(L3:L$552,L2)&gt;0,"2回提出（下の行を使います）",IF(OR(H2="？",I2="？",J2="？"),"クラブ番号がちがう",IF(OR(AND(H2&lt;&gt;"",H2&lt;&gt;"？",COUNTIF(設定!$P$8:$P$27,H2)=0),AND(I2&lt;&gt;"",I2&lt;&gt;"？",COUNTIF(設定!$P$8:$P$27,I2)=0),AND(J2&lt;&gt;"",J2&lt;&gt;"？",COUNTIF(設定!$P$8:$P$27,J2)=0)),"クラブ名がちがう",IF(H2="","第1希望がない",IF(OR(AND(H2&lt;&gt;"",H2=I2),AND(H2&lt;&gt;"",H2=J2),AND(I2&lt;&gt;"",I2=J2)),"同じクラブを重複して希望","OK")))))))</f>
        <v/>
      </c>
      <c r="L2" s="8">
        <f>IF(A2="","",A2&amp;"-"&amp;B2&amp;"-"&amp;C2)</f>
        <v/>
      </c>
      <c r="M2" s="8">
        <f>IF(OR(L2="",G2=""),"",IF(COUNTIF(L3:L$552,L2)=0,L2,""))</f>
        <v/>
      </c>
    </row>
    <row r="3">
      <c r="A3" s="40" t="n">
        <v>5</v>
      </c>
      <c r="B3" s="40" t="inlineStr">
        <is>
          <t>松</t>
        </is>
      </c>
      <c r="C3" s="40" t="n">
        <v>26</v>
      </c>
      <c r="D3" s="40" t="n">
        <v>3</v>
      </c>
      <c r="E3" s="40" t="n">
        <v>8</v>
      </c>
      <c r="F3" s="40" t="n">
        <v>5</v>
      </c>
      <c r="G3" s="3">
        <f>IF(L3="","",IFERROR(INDEX(前年度名簿!$D$2:$D$451,MATCH(L3,前年度名簿!$F$2:$F$451,0)),""))</f>
        <v/>
      </c>
      <c r="H3" s="44">
        <f>IF(D3="","",IF(ISERROR(VALUE(D3)),D3&amp;"",IF(AND(VALUE(D3)&gt;=1,VALUE(D3)&lt;=20),IF(INDEX(設定!$P$8:$P$27,VALUE(D3))="","？",INDEX(設定!$P$8:$P$27,VALUE(D3))),"？")))</f>
        <v/>
      </c>
      <c r="I3" s="44">
        <f>IF(E3="","",IF(ISERROR(VALUE(E3)),E3&amp;"",IF(AND(VALUE(E3)&gt;=1,VALUE(E3)&lt;=20),IF(INDEX(設定!$P$8:$P$27,VALUE(E3))="","？",INDEX(設定!$P$8:$P$27,VALUE(E3))),"？")))</f>
        <v/>
      </c>
      <c r="J3" s="44">
        <f>IF(F3="","",IF(ISERROR(VALUE(F3)),F3&amp;"",IF(AND(VALUE(F3)&gt;=1,VALUE(F3)&lt;=20),IF(INDEX(設定!$P$8:$P$27,VALUE(F3))="","？",INDEX(設定!$P$8:$P$27,VALUE(F3))),"？")))</f>
        <v/>
      </c>
      <c r="K3" s="45">
        <f>IF(L3="","",IF(G3="","名簿にいない",IF(COUNTIF(L4:L$552,L3)&gt;0,"2回提出（下の行を使います）",IF(OR(H3="？",I3="？",J3="？"),"クラブ番号がちがう",IF(OR(AND(H3&lt;&gt;"",H3&lt;&gt;"？",COUNTIF(設定!$P$8:$P$27,H3)=0),AND(I3&lt;&gt;"",I3&lt;&gt;"？",COUNTIF(設定!$P$8:$P$27,I3)=0),AND(J3&lt;&gt;"",J3&lt;&gt;"？",COUNTIF(設定!$P$8:$P$27,J3)=0)),"クラブ名がちがう",IF(H3="","第1希望がない",IF(OR(AND(H3&lt;&gt;"",H3=I3),AND(H3&lt;&gt;"",H3=J3),AND(I3&lt;&gt;"",I3=J3)),"同じクラブを重複して希望","OK")))))))</f>
        <v/>
      </c>
      <c r="L3" s="8">
        <f>IF(A3="","",A3&amp;"-"&amp;B3&amp;"-"&amp;C3)</f>
        <v/>
      </c>
      <c r="M3" s="8">
        <f>IF(OR(L3="",G3=""),"",IF(COUNTIF(L4:L$552,L3)=0,L3,""))</f>
        <v/>
      </c>
    </row>
    <row r="4">
      <c r="A4" s="40" t="n">
        <v>3</v>
      </c>
      <c r="B4" s="40" t="inlineStr">
        <is>
          <t>梅</t>
        </is>
      </c>
      <c r="C4" s="40" t="n">
        <v>21</v>
      </c>
      <c r="D4" s="40" t="n">
        <v>9</v>
      </c>
      <c r="E4" s="40" t="n">
        <v>2</v>
      </c>
      <c r="F4" s="40" t="n">
        <v>6</v>
      </c>
      <c r="G4" s="3">
        <f>IF(L4="","",IFERROR(INDEX(前年度名簿!$D$2:$D$451,MATCH(L4,前年度名簿!$F$2:$F$451,0)),""))</f>
        <v/>
      </c>
      <c r="H4" s="44">
        <f>IF(D4="","",IF(ISERROR(VALUE(D4)),D4&amp;"",IF(AND(VALUE(D4)&gt;=1,VALUE(D4)&lt;=20),IF(INDEX(設定!$P$8:$P$27,VALUE(D4))="","？",INDEX(設定!$P$8:$P$27,VALUE(D4))),"？")))</f>
        <v/>
      </c>
      <c r="I4" s="44">
        <f>IF(E4="","",IF(ISERROR(VALUE(E4)),E4&amp;"",IF(AND(VALUE(E4)&gt;=1,VALUE(E4)&lt;=20),IF(INDEX(設定!$P$8:$P$27,VALUE(E4))="","？",INDEX(設定!$P$8:$P$27,VALUE(E4))),"？")))</f>
        <v/>
      </c>
      <c r="J4" s="44">
        <f>IF(F4="","",IF(ISERROR(VALUE(F4)),F4&amp;"",IF(AND(VALUE(F4)&gt;=1,VALUE(F4)&lt;=20),IF(INDEX(設定!$P$8:$P$27,VALUE(F4))="","？",INDEX(設定!$P$8:$P$27,VALUE(F4))),"？")))</f>
        <v/>
      </c>
      <c r="K4" s="45">
        <f>IF(L4="","",IF(G4="","名簿にいない",IF(COUNTIF(L5:L$552,L4)&gt;0,"2回提出（下の行を使います）",IF(OR(H4="？",I4="？",J4="？"),"クラブ番号がちがう",IF(OR(AND(H4&lt;&gt;"",H4&lt;&gt;"？",COUNTIF(設定!$P$8:$P$27,H4)=0),AND(I4&lt;&gt;"",I4&lt;&gt;"？",COUNTIF(設定!$P$8:$P$27,I4)=0),AND(J4&lt;&gt;"",J4&lt;&gt;"？",COUNTIF(設定!$P$8:$P$27,J4)=0)),"クラブ名がちがう",IF(H4="","第1希望がない",IF(OR(AND(H4&lt;&gt;"",H4=I4),AND(H4&lt;&gt;"",H4=J4),AND(I4&lt;&gt;"",I4=J4)),"同じクラブを重複して希望","OK")))))))</f>
        <v/>
      </c>
      <c r="L4" s="8">
        <f>IF(A4="","",A4&amp;"-"&amp;B4&amp;"-"&amp;C4)</f>
        <v/>
      </c>
      <c r="M4" s="8">
        <f>IF(OR(L4="",G4=""),"",IF(COUNTIF(L5:L$552,L4)=0,L4,""))</f>
        <v/>
      </c>
    </row>
    <row r="5">
      <c r="A5" s="40" t="n">
        <v>4</v>
      </c>
      <c r="B5" s="40" t="inlineStr">
        <is>
          <t>竹</t>
        </is>
      </c>
      <c r="C5" s="40" t="n">
        <v>10</v>
      </c>
      <c r="D5" s="40" t="n">
        <v>10</v>
      </c>
      <c r="E5" s="40" t="n">
        <v>5</v>
      </c>
      <c r="F5" s="40" t="n">
        <v>2</v>
      </c>
      <c r="G5" s="3">
        <f>IF(L5="","",IFERROR(INDEX(前年度名簿!$D$2:$D$451,MATCH(L5,前年度名簿!$F$2:$F$451,0)),""))</f>
        <v/>
      </c>
      <c r="H5" s="44">
        <f>IF(D5="","",IF(ISERROR(VALUE(D5)),D5&amp;"",IF(AND(VALUE(D5)&gt;=1,VALUE(D5)&lt;=20),IF(INDEX(設定!$P$8:$P$27,VALUE(D5))="","？",INDEX(設定!$P$8:$P$27,VALUE(D5))),"？")))</f>
        <v/>
      </c>
      <c r="I5" s="44">
        <f>IF(E5="","",IF(ISERROR(VALUE(E5)),E5&amp;"",IF(AND(VALUE(E5)&gt;=1,VALUE(E5)&lt;=20),IF(INDEX(設定!$P$8:$P$27,VALUE(E5))="","？",INDEX(設定!$P$8:$P$27,VALUE(E5))),"？")))</f>
        <v/>
      </c>
      <c r="J5" s="44">
        <f>IF(F5="","",IF(ISERROR(VALUE(F5)),F5&amp;"",IF(AND(VALUE(F5)&gt;=1,VALUE(F5)&lt;=20),IF(INDEX(設定!$P$8:$P$27,VALUE(F5))="","？",INDEX(設定!$P$8:$P$27,VALUE(F5))),"？")))</f>
        <v/>
      </c>
      <c r="K5" s="45">
        <f>IF(L5="","",IF(G5="","名簿にいない",IF(COUNTIF(L6:L$552,L5)&gt;0,"2回提出（下の行を使います）",IF(OR(H5="？",I5="？",J5="？"),"クラブ番号がちがう",IF(OR(AND(H5&lt;&gt;"",H5&lt;&gt;"？",COUNTIF(設定!$P$8:$P$27,H5)=0),AND(I5&lt;&gt;"",I5&lt;&gt;"？",COUNTIF(設定!$P$8:$P$27,I5)=0),AND(J5&lt;&gt;"",J5&lt;&gt;"？",COUNTIF(設定!$P$8:$P$27,J5)=0)),"クラブ名がちがう",IF(H5="","第1希望がない",IF(OR(AND(H5&lt;&gt;"",H5=I5),AND(H5&lt;&gt;"",H5=J5),AND(I5&lt;&gt;"",I5=J5)),"同じクラブを重複して希望","OK")))))))</f>
        <v/>
      </c>
      <c r="L5" s="8">
        <f>IF(A5="","",A5&amp;"-"&amp;B5&amp;"-"&amp;C5)</f>
        <v/>
      </c>
      <c r="M5" s="8">
        <f>IF(OR(L5="",G5=""),"",IF(COUNTIF(L6:L$552,L5)=0,L5,""))</f>
        <v/>
      </c>
    </row>
    <row r="6">
      <c r="A6" s="40" t="n">
        <v>3</v>
      </c>
      <c r="B6" s="40" t="inlineStr">
        <is>
          <t>梅</t>
        </is>
      </c>
      <c r="C6" s="40" t="n">
        <v>18</v>
      </c>
      <c r="D6" s="40" t="n">
        <v>1</v>
      </c>
      <c r="E6" s="40" t="n">
        <v>6</v>
      </c>
      <c r="F6" s="40" t="n">
        <v>3</v>
      </c>
      <c r="G6" s="3">
        <f>IF(L6="","",IFERROR(INDEX(前年度名簿!$D$2:$D$451,MATCH(L6,前年度名簿!$F$2:$F$451,0)),""))</f>
        <v/>
      </c>
      <c r="H6" s="44">
        <f>IF(D6="","",IF(ISERROR(VALUE(D6)),D6&amp;"",IF(AND(VALUE(D6)&gt;=1,VALUE(D6)&lt;=20),IF(INDEX(設定!$P$8:$P$27,VALUE(D6))="","？",INDEX(設定!$P$8:$P$27,VALUE(D6))),"？")))</f>
        <v/>
      </c>
      <c r="I6" s="44">
        <f>IF(E6="","",IF(ISERROR(VALUE(E6)),E6&amp;"",IF(AND(VALUE(E6)&gt;=1,VALUE(E6)&lt;=20),IF(INDEX(設定!$P$8:$P$27,VALUE(E6))="","？",INDEX(設定!$P$8:$P$27,VALUE(E6))),"？")))</f>
        <v/>
      </c>
      <c r="J6" s="44">
        <f>IF(F6="","",IF(ISERROR(VALUE(F6)),F6&amp;"",IF(AND(VALUE(F6)&gt;=1,VALUE(F6)&lt;=20),IF(INDEX(設定!$P$8:$P$27,VALUE(F6))="","？",INDEX(設定!$P$8:$P$27,VALUE(F6))),"？")))</f>
        <v/>
      </c>
      <c r="K6" s="45">
        <f>IF(L6="","",IF(G6="","名簿にいない",IF(COUNTIF(L7:L$552,L6)&gt;0,"2回提出（下の行を使います）",IF(OR(H6="？",I6="？",J6="？"),"クラブ番号がちがう",IF(OR(AND(H6&lt;&gt;"",H6&lt;&gt;"？",COUNTIF(設定!$P$8:$P$27,H6)=0),AND(I6&lt;&gt;"",I6&lt;&gt;"？",COUNTIF(設定!$P$8:$P$27,I6)=0),AND(J6&lt;&gt;"",J6&lt;&gt;"？",COUNTIF(設定!$P$8:$P$27,J6)=0)),"クラブ名がちがう",IF(H6="","第1希望がない",IF(OR(AND(H6&lt;&gt;"",H6=I6),AND(H6&lt;&gt;"",H6=J6),AND(I6&lt;&gt;"",I6=J6)),"同じクラブを重複して希望","OK")))))))</f>
        <v/>
      </c>
      <c r="L6" s="8">
        <f>IF(A6="","",A6&amp;"-"&amp;B6&amp;"-"&amp;C6)</f>
        <v/>
      </c>
      <c r="M6" s="8">
        <f>IF(OR(L6="",G6=""),"",IF(COUNTIF(L7:L$552,L6)=0,L6,""))</f>
        <v/>
      </c>
    </row>
    <row r="7">
      <c r="A7" s="40" t="n">
        <v>3</v>
      </c>
      <c r="B7" s="40" t="inlineStr">
        <is>
          <t>梅</t>
        </is>
      </c>
      <c r="C7" s="40" t="n">
        <v>15</v>
      </c>
      <c r="D7" s="40" t="n">
        <v>5</v>
      </c>
      <c r="E7" s="40" t="n">
        <v>2</v>
      </c>
      <c r="F7" s="40" t="n">
        <v>12</v>
      </c>
      <c r="G7" s="3">
        <f>IF(L7="","",IFERROR(INDEX(前年度名簿!$D$2:$D$451,MATCH(L7,前年度名簿!$F$2:$F$451,0)),""))</f>
        <v/>
      </c>
      <c r="H7" s="44">
        <f>IF(D7="","",IF(ISERROR(VALUE(D7)),D7&amp;"",IF(AND(VALUE(D7)&gt;=1,VALUE(D7)&lt;=20),IF(INDEX(設定!$P$8:$P$27,VALUE(D7))="","？",INDEX(設定!$P$8:$P$27,VALUE(D7))),"？")))</f>
        <v/>
      </c>
      <c r="I7" s="44">
        <f>IF(E7="","",IF(ISERROR(VALUE(E7)),E7&amp;"",IF(AND(VALUE(E7)&gt;=1,VALUE(E7)&lt;=20),IF(INDEX(設定!$P$8:$P$27,VALUE(E7))="","？",INDEX(設定!$P$8:$P$27,VALUE(E7))),"？")))</f>
        <v/>
      </c>
      <c r="J7" s="44">
        <f>IF(F7="","",IF(ISERROR(VALUE(F7)),F7&amp;"",IF(AND(VALUE(F7)&gt;=1,VALUE(F7)&lt;=20),IF(INDEX(設定!$P$8:$P$27,VALUE(F7))="","？",INDEX(設定!$P$8:$P$27,VALUE(F7))),"？")))</f>
        <v/>
      </c>
      <c r="K7" s="45">
        <f>IF(L7="","",IF(G7="","名簿にいない",IF(COUNTIF(L8:L$552,L7)&gt;0,"2回提出（下の行を使います）",IF(OR(H7="？",I7="？",J7="？"),"クラブ番号がちがう",IF(OR(AND(H7&lt;&gt;"",H7&lt;&gt;"？",COUNTIF(設定!$P$8:$P$27,H7)=0),AND(I7&lt;&gt;"",I7&lt;&gt;"？",COUNTIF(設定!$P$8:$P$27,I7)=0),AND(J7&lt;&gt;"",J7&lt;&gt;"？",COUNTIF(設定!$P$8:$P$27,J7)=0)),"クラブ名がちがう",IF(H7="","第1希望がない",IF(OR(AND(H7&lt;&gt;"",H7=I7),AND(H7&lt;&gt;"",H7=J7),AND(I7&lt;&gt;"",I7=J7)),"同じクラブを重複して希望","OK")))))))</f>
        <v/>
      </c>
      <c r="L7" s="8">
        <f>IF(A7="","",A7&amp;"-"&amp;B7&amp;"-"&amp;C7)</f>
        <v/>
      </c>
      <c r="M7" s="8">
        <f>IF(OR(L7="",G7=""),"",IF(COUNTIF(L8:L$552,L7)=0,L7,""))</f>
        <v/>
      </c>
    </row>
    <row r="8">
      <c r="A8" s="40" t="n">
        <v>4</v>
      </c>
      <c r="B8" s="40" t="inlineStr">
        <is>
          <t>梅</t>
        </is>
      </c>
      <c r="C8" s="40" t="n">
        <v>26</v>
      </c>
      <c r="D8" s="40" t="n">
        <v>5</v>
      </c>
      <c r="E8" s="40" t="n">
        <v>12</v>
      </c>
      <c r="F8" s="40" t="n">
        <v>10</v>
      </c>
      <c r="G8" s="3">
        <f>IF(L8="","",IFERROR(INDEX(前年度名簿!$D$2:$D$451,MATCH(L8,前年度名簿!$F$2:$F$451,0)),""))</f>
        <v/>
      </c>
      <c r="H8" s="44">
        <f>IF(D8="","",IF(ISERROR(VALUE(D8)),D8&amp;"",IF(AND(VALUE(D8)&gt;=1,VALUE(D8)&lt;=20),IF(INDEX(設定!$P$8:$P$27,VALUE(D8))="","？",INDEX(設定!$P$8:$P$27,VALUE(D8))),"？")))</f>
        <v/>
      </c>
      <c r="I8" s="44">
        <f>IF(E8="","",IF(ISERROR(VALUE(E8)),E8&amp;"",IF(AND(VALUE(E8)&gt;=1,VALUE(E8)&lt;=20),IF(INDEX(設定!$P$8:$P$27,VALUE(E8))="","？",INDEX(設定!$P$8:$P$27,VALUE(E8))),"？")))</f>
        <v/>
      </c>
      <c r="J8" s="44">
        <f>IF(F8="","",IF(ISERROR(VALUE(F8)),F8&amp;"",IF(AND(VALUE(F8)&gt;=1,VALUE(F8)&lt;=20),IF(INDEX(設定!$P$8:$P$27,VALUE(F8))="","？",INDEX(設定!$P$8:$P$27,VALUE(F8))),"？")))</f>
        <v/>
      </c>
      <c r="K8" s="45">
        <f>IF(L8="","",IF(G8="","名簿にいない",IF(COUNTIF(L9:L$552,L8)&gt;0,"2回提出（下の行を使います）",IF(OR(H8="？",I8="？",J8="？"),"クラブ番号がちがう",IF(OR(AND(H8&lt;&gt;"",H8&lt;&gt;"？",COUNTIF(設定!$P$8:$P$27,H8)=0),AND(I8&lt;&gt;"",I8&lt;&gt;"？",COUNTIF(設定!$P$8:$P$27,I8)=0),AND(J8&lt;&gt;"",J8&lt;&gt;"？",COUNTIF(設定!$P$8:$P$27,J8)=0)),"クラブ名がちがう",IF(H8="","第1希望がない",IF(OR(AND(H8&lt;&gt;"",H8=I8),AND(H8&lt;&gt;"",H8=J8),AND(I8&lt;&gt;"",I8=J8)),"同じクラブを重複して希望","OK")))))))</f>
        <v/>
      </c>
      <c r="L8" s="8">
        <f>IF(A8="","",A8&amp;"-"&amp;B8&amp;"-"&amp;C8)</f>
        <v/>
      </c>
      <c r="M8" s="8">
        <f>IF(OR(L8="",G8=""),"",IF(COUNTIF(L9:L$552,L8)=0,L8,""))</f>
        <v/>
      </c>
    </row>
    <row r="9">
      <c r="A9" s="40" t="n">
        <v>4</v>
      </c>
      <c r="B9" s="40" t="inlineStr">
        <is>
          <t>松</t>
        </is>
      </c>
      <c r="C9" s="40" t="n">
        <v>2</v>
      </c>
      <c r="D9" s="40" t="n">
        <v>10</v>
      </c>
      <c r="E9" s="40" t="n">
        <v>5</v>
      </c>
      <c r="F9" s="40" t="n">
        <v>9</v>
      </c>
      <c r="G9" s="3">
        <f>IF(L9="","",IFERROR(INDEX(前年度名簿!$D$2:$D$451,MATCH(L9,前年度名簿!$F$2:$F$451,0)),""))</f>
        <v/>
      </c>
      <c r="H9" s="44">
        <f>IF(D9="","",IF(ISERROR(VALUE(D9)),D9&amp;"",IF(AND(VALUE(D9)&gt;=1,VALUE(D9)&lt;=20),IF(INDEX(設定!$P$8:$P$27,VALUE(D9))="","？",INDEX(設定!$P$8:$P$27,VALUE(D9))),"？")))</f>
        <v/>
      </c>
      <c r="I9" s="44">
        <f>IF(E9="","",IF(ISERROR(VALUE(E9)),E9&amp;"",IF(AND(VALUE(E9)&gt;=1,VALUE(E9)&lt;=20),IF(INDEX(設定!$P$8:$P$27,VALUE(E9))="","？",INDEX(設定!$P$8:$P$27,VALUE(E9))),"？")))</f>
        <v/>
      </c>
      <c r="J9" s="44">
        <f>IF(F9="","",IF(ISERROR(VALUE(F9)),F9&amp;"",IF(AND(VALUE(F9)&gt;=1,VALUE(F9)&lt;=20),IF(INDEX(設定!$P$8:$P$27,VALUE(F9))="","？",INDEX(設定!$P$8:$P$27,VALUE(F9))),"？")))</f>
        <v/>
      </c>
      <c r="K9" s="45">
        <f>IF(L9="","",IF(G9="","名簿にいない",IF(COUNTIF(L10:L$552,L9)&gt;0,"2回提出（下の行を使います）",IF(OR(H9="？",I9="？",J9="？"),"クラブ番号がちがう",IF(OR(AND(H9&lt;&gt;"",H9&lt;&gt;"？",COUNTIF(設定!$P$8:$P$27,H9)=0),AND(I9&lt;&gt;"",I9&lt;&gt;"？",COUNTIF(設定!$P$8:$P$27,I9)=0),AND(J9&lt;&gt;"",J9&lt;&gt;"？",COUNTIF(設定!$P$8:$P$27,J9)=0)),"クラブ名がちがう",IF(H9="","第1希望がない",IF(OR(AND(H9&lt;&gt;"",H9=I9),AND(H9&lt;&gt;"",H9=J9),AND(I9&lt;&gt;"",I9=J9)),"同じクラブを重複して希望","OK")))))))</f>
        <v/>
      </c>
      <c r="L9" s="8">
        <f>IF(A9="","",A9&amp;"-"&amp;B9&amp;"-"&amp;C9)</f>
        <v/>
      </c>
      <c r="M9" s="8">
        <f>IF(OR(L9="",G9=""),"",IF(COUNTIF(L10:L$552,L9)=0,L9,""))</f>
        <v/>
      </c>
    </row>
    <row r="10">
      <c r="A10" s="40" t="n">
        <v>4</v>
      </c>
      <c r="B10" s="40" t="inlineStr">
        <is>
          <t>月</t>
        </is>
      </c>
      <c r="C10" s="40" t="n">
        <v>7</v>
      </c>
      <c r="D10" s="40" t="n">
        <v>3</v>
      </c>
      <c r="E10" s="40" t="n">
        <v>5</v>
      </c>
      <c r="F10" s="40" t="n">
        <v>10</v>
      </c>
      <c r="G10" s="3">
        <f>IF(L10="","",IFERROR(INDEX(前年度名簿!$D$2:$D$451,MATCH(L10,前年度名簿!$F$2:$F$451,0)),""))</f>
        <v/>
      </c>
      <c r="H10" s="44">
        <f>IF(D10="","",IF(ISERROR(VALUE(D10)),D10&amp;"",IF(AND(VALUE(D10)&gt;=1,VALUE(D10)&lt;=20),IF(INDEX(設定!$P$8:$P$27,VALUE(D10))="","？",INDEX(設定!$P$8:$P$27,VALUE(D10))),"？")))</f>
        <v/>
      </c>
      <c r="I10" s="44">
        <f>IF(E10="","",IF(ISERROR(VALUE(E10)),E10&amp;"",IF(AND(VALUE(E10)&gt;=1,VALUE(E10)&lt;=20),IF(INDEX(設定!$P$8:$P$27,VALUE(E10))="","？",INDEX(設定!$P$8:$P$27,VALUE(E10))),"？")))</f>
        <v/>
      </c>
      <c r="J10" s="44">
        <f>IF(F10="","",IF(ISERROR(VALUE(F10)),F10&amp;"",IF(AND(VALUE(F10)&gt;=1,VALUE(F10)&lt;=20),IF(INDEX(設定!$P$8:$P$27,VALUE(F10))="","？",INDEX(設定!$P$8:$P$27,VALUE(F10))),"？")))</f>
        <v/>
      </c>
      <c r="K10" s="45">
        <f>IF(L10="","",IF(G10="","名簿にいない",IF(COUNTIF(L11:L$552,L10)&gt;0,"2回提出（下の行を使います）",IF(OR(H10="？",I10="？",J10="？"),"クラブ番号がちがう",IF(OR(AND(H10&lt;&gt;"",H10&lt;&gt;"？",COUNTIF(設定!$P$8:$P$27,H10)=0),AND(I10&lt;&gt;"",I10&lt;&gt;"？",COUNTIF(設定!$P$8:$P$27,I10)=0),AND(J10&lt;&gt;"",J10&lt;&gt;"？",COUNTIF(設定!$P$8:$P$27,J10)=0)),"クラブ名がちがう",IF(H10="","第1希望がない",IF(OR(AND(H10&lt;&gt;"",H10=I10),AND(H10&lt;&gt;"",H10=J10),AND(I10&lt;&gt;"",I10=J10)),"同じクラブを重複して希望","OK")))))))</f>
        <v/>
      </c>
      <c r="L10" s="8">
        <f>IF(A10="","",A10&amp;"-"&amp;B10&amp;"-"&amp;C10)</f>
        <v/>
      </c>
      <c r="M10" s="8">
        <f>IF(OR(L10="",G10=""),"",IF(COUNTIF(L11:L$552,L10)=0,L10,""))</f>
        <v/>
      </c>
    </row>
    <row r="11">
      <c r="A11" s="40" t="n">
        <v>5</v>
      </c>
      <c r="B11" s="40" t="inlineStr">
        <is>
          <t>梅</t>
        </is>
      </c>
      <c r="C11" s="40" t="n">
        <v>12</v>
      </c>
      <c r="D11" s="40" t="n">
        <v>3</v>
      </c>
      <c r="E11" s="40" t="n">
        <v>8</v>
      </c>
      <c r="F11" s="40" t="n">
        <v>7</v>
      </c>
      <c r="G11" s="3">
        <f>IF(L11="","",IFERROR(INDEX(前年度名簿!$D$2:$D$451,MATCH(L11,前年度名簿!$F$2:$F$451,0)),""))</f>
        <v/>
      </c>
      <c r="H11" s="44">
        <f>IF(D11="","",IF(ISERROR(VALUE(D11)),D11&amp;"",IF(AND(VALUE(D11)&gt;=1,VALUE(D11)&lt;=20),IF(INDEX(設定!$P$8:$P$27,VALUE(D11))="","？",INDEX(設定!$P$8:$P$27,VALUE(D11))),"？")))</f>
        <v/>
      </c>
      <c r="I11" s="44">
        <f>IF(E11="","",IF(ISERROR(VALUE(E11)),E11&amp;"",IF(AND(VALUE(E11)&gt;=1,VALUE(E11)&lt;=20),IF(INDEX(設定!$P$8:$P$27,VALUE(E11))="","？",INDEX(設定!$P$8:$P$27,VALUE(E11))),"？")))</f>
        <v/>
      </c>
      <c r="J11" s="44">
        <f>IF(F11="","",IF(ISERROR(VALUE(F11)),F11&amp;"",IF(AND(VALUE(F11)&gt;=1,VALUE(F11)&lt;=20),IF(INDEX(設定!$P$8:$P$27,VALUE(F11))="","？",INDEX(設定!$P$8:$P$27,VALUE(F11))),"？")))</f>
        <v/>
      </c>
      <c r="K11" s="45">
        <f>IF(L11="","",IF(G11="","名簿にいない",IF(COUNTIF(L12:L$552,L11)&gt;0,"2回提出（下の行を使います）",IF(OR(H11="？",I11="？",J11="？"),"クラブ番号がちがう",IF(OR(AND(H11&lt;&gt;"",H11&lt;&gt;"？",COUNTIF(設定!$P$8:$P$27,H11)=0),AND(I11&lt;&gt;"",I11&lt;&gt;"？",COUNTIF(設定!$P$8:$P$27,I11)=0),AND(J11&lt;&gt;"",J11&lt;&gt;"？",COUNTIF(設定!$P$8:$P$27,J11)=0)),"クラブ名がちがう",IF(H11="","第1希望がない",IF(OR(AND(H11&lt;&gt;"",H11=I11),AND(H11&lt;&gt;"",H11=J11),AND(I11&lt;&gt;"",I11=J11)),"同じクラブを重複して希望","OK")))))))</f>
        <v/>
      </c>
      <c r="L11" s="8">
        <f>IF(A11="","",A11&amp;"-"&amp;B11&amp;"-"&amp;C11)</f>
        <v/>
      </c>
      <c r="M11" s="8">
        <f>IF(OR(L11="",G11=""),"",IF(COUNTIF(L12:L$552,L11)=0,L11,""))</f>
        <v/>
      </c>
    </row>
    <row r="12">
      <c r="A12" s="40" t="n">
        <v>3</v>
      </c>
      <c r="B12" s="40" t="inlineStr">
        <is>
          <t>松</t>
        </is>
      </c>
      <c r="C12" s="40" t="n">
        <v>1</v>
      </c>
      <c r="D12" s="40" t="n">
        <v>2</v>
      </c>
      <c r="E12" s="40" t="n">
        <v>12</v>
      </c>
      <c r="F12" s="40" t="n">
        <v>9</v>
      </c>
      <c r="G12" s="3">
        <f>IF(L12="","",IFERROR(INDEX(前年度名簿!$D$2:$D$451,MATCH(L12,前年度名簿!$F$2:$F$451,0)),""))</f>
        <v/>
      </c>
      <c r="H12" s="44">
        <f>IF(D12="","",IF(ISERROR(VALUE(D12)),D12&amp;"",IF(AND(VALUE(D12)&gt;=1,VALUE(D12)&lt;=20),IF(INDEX(設定!$P$8:$P$27,VALUE(D12))="","？",INDEX(設定!$P$8:$P$27,VALUE(D12))),"？")))</f>
        <v/>
      </c>
      <c r="I12" s="44">
        <f>IF(E12="","",IF(ISERROR(VALUE(E12)),E12&amp;"",IF(AND(VALUE(E12)&gt;=1,VALUE(E12)&lt;=20),IF(INDEX(設定!$P$8:$P$27,VALUE(E12))="","？",INDEX(設定!$P$8:$P$27,VALUE(E12))),"？")))</f>
        <v/>
      </c>
      <c r="J12" s="44">
        <f>IF(F12="","",IF(ISERROR(VALUE(F12)),F12&amp;"",IF(AND(VALUE(F12)&gt;=1,VALUE(F12)&lt;=20),IF(INDEX(設定!$P$8:$P$27,VALUE(F12))="","？",INDEX(設定!$P$8:$P$27,VALUE(F12))),"？")))</f>
        <v/>
      </c>
      <c r="K12" s="45">
        <f>IF(L12="","",IF(G12="","名簿にいない",IF(COUNTIF(L13:L$552,L12)&gt;0,"2回提出（下の行を使います）",IF(OR(H12="？",I12="？",J12="？"),"クラブ番号がちがう",IF(OR(AND(H12&lt;&gt;"",H12&lt;&gt;"？",COUNTIF(設定!$P$8:$P$27,H12)=0),AND(I12&lt;&gt;"",I12&lt;&gt;"？",COUNTIF(設定!$P$8:$P$27,I12)=0),AND(J12&lt;&gt;"",J12&lt;&gt;"？",COUNTIF(設定!$P$8:$P$27,J12)=0)),"クラブ名がちがう",IF(H12="","第1希望がない",IF(OR(AND(H12&lt;&gt;"",H12=I12),AND(H12&lt;&gt;"",H12=J12),AND(I12&lt;&gt;"",I12=J12)),"同じクラブを重複して希望","OK")))))))</f>
        <v/>
      </c>
      <c r="L12" s="8">
        <f>IF(A12="","",A12&amp;"-"&amp;B12&amp;"-"&amp;C12)</f>
        <v/>
      </c>
      <c r="M12" s="8">
        <f>IF(OR(L12="",G12=""),"",IF(COUNTIF(L13:L$552,L12)=0,L12,""))</f>
        <v/>
      </c>
    </row>
    <row r="13">
      <c r="A13" s="40" t="n">
        <v>3</v>
      </c>
      <c r="B13" s="40" t="inlineStr">
        <is>
          <t>竹</t>
        </is>
      </c>
      <c r="C13" s="40" t="n">
        <v>12</v>
      </c>
      <c r="D13" s="40" t="n">
        <v>3</v>
      </c>
      <c r="E13" s="40" t="n">
        <v>4</v>
      </c>
      <c r="F13" s="40" t="n">
        <v>2</v>
      </c>
      <c r="G13" s="3">
        <f>IF(L13="","",IFERROR(INDEX(前年度名簿!$D$2:$D$451,MATCH(L13,前年度名簿!$F$2:$F$451,0)),""))</f>
        <v/>
      </c>
      <c r="H13" s="44">
        <f>IF(D13="","",IF(ISERROR(VALUE(D13)),D13&amp;"",IF(AND(VALUE(D13)&gt;=1,VALUE(D13)&lt;=20),IF(INDEX(設定!$P$8:$P$27,VALUE(D13))="","？",INDEX(設定!$P$8:$P$27,VALUE(D13))),"？")))</f>
        <v/>
      </c>
      <c r="I13" s="44">
        <f>IF(E13="","",IF(ISERROR(VALUE(E13)),E13&amp;"",IF(AND(VALUE(E13)&gt;=1,VALUE(E13)&lt;=20),IF(INDEX(設定!$P$8:$P$27,VALUE(E13))="","？",INDEX(設定!$P$8:$P$27,VALUE(E13))),"？")))</f>
        <v/>
      </c>
      <c r="J13" s="44">
        <f>IF(F13="","",IF(ISERROR(VALUE(F13)),F13&amp;"",IF(AND(VALUE(F13)&gt;=1,VALUE(F13)&lt;=20),IF(INDEX(設定!$P$8:$P$27,VALUE(F13))="","？",INDEX(設定!$P$8:$P$27,VALUE(F13))),"？")))</f>
        <v/>
      </c>
      <c r="K13" s="45">
        <f>IF(L13="","",IF(G13="","名簿にいない",IF(COUNTIF(L14:L$552,L13)&gt;0,"2回提出（下の行を使います）",IF(OR(H13="？",I13="？",J13="？"),"クラブ番号がちがう",IF(OR(AND(H13&lt;&gt;"",H13&lt;&gt;"？",COUNTIF(設定!$P$8:$P$27,H13)=0),AND(I13&lt;&gt;"",I13&lt;&gt;"？",COUNTIF(設定!$P$8:$P$27,I13)=0),AND(J13&lt;&gt;"",J13&lt;&gt;"？",COUNTIF(設定!$P$8:$P$27,J13)=0)),"クラブ名がちがう",IF(H13="","第1希望がない",IF(OR(AND(H13&lt;&gt;"",H13=I13),AND(H13&lt;&gt;"",H13=J13),AND(I13&lt;&gt;"",I13=J13)),"同じクラブを重複して希望","OK")))))))</f>
        <v/>
      </c>
      <c r="L13" s="8">
        <f>IF(A13="","",A13&amp;"-"&amp;B13&amp;"-"&amp;C13)</f>
        <v/>
      </c>
      <c r="M13" s="8">
        <f>IF(OR(L13="",G13=""),"",IF(COUNTIF(L14:L$552,L13)=0,L13,""))</f>
        <v/>
      </c>
    </row>
    <row r="14">
      <c r="A14" s="40" t="n">
        <v>3</v>
      </c>
      <c r="B14" s="40" t="inlineStr">
        <is>
          <t>月</t>
        </is>
      </c>
      <c r="C14" s="40" t="n">
        <v>9</v>
      </c>
      <c r="D14" s="40" t="n">
        <v>8</v>
      </c>
      <c r="E14" s="40" t="n">
        <v>11</v>
      </c>
      <c r="F14" s="40" t="n">
        <v>2</v>
      </c>
      <c r="G14" s="3">
        <f>IF(L14="","",IFERROR(INDEX(前年度名簿!$D$2:$D$451,MATCH(L14,前年度名簿!$F$2:$F$451,0)),""))</f>
        <v/>
      </c>
      <c r="H14" s="44">
        <f>IF(D14="","",IF(ISERROR(VALUE(D14)),D14&amp;"",IF(AND(VALUE(D14)&gt;=1,VALUE(D14)&lt;=20),IF(INDEX(設定!$P$8:$P$27,VALUE(D14))="","？",INDEX(設定!$P$8:$P$27,VALUE(D14))),"？")))</f>
        <v/>
      </c>
      <c r="I14" s="44">
        <f>IF(E14="","",IF(ISERROR(VALUE(E14)),E14&amp;"",IF(AND(VALUE(E14)&gt;=1,VALUE(E14)&lt;=20),IF(INDEX(設定!$P$8:$P$27,VALUE(E14))="","？",INDEX(設定!$P$8:$P$27,VALUE(E14))),"？")))</f>
        <v/>
      </c>
      <c r="J14" s="44">
        <f>IF(F14="","",IF(ISERROR(VALUE(F14)),F14&amp;"",IF(AND(VALUE(F14)&gt;=1,VALUE(F14)&lt;=20),IF(INDEX(設定!$P$8:$P$27,VALUE(F14))="","？",INDEX(設定!$P$8:$P$27,VALUE(F14))),"？")))</f>
        <v/>
      </c>
      <c r="K14" s="45">
        <f>IF(L14="","",IF(G14="","名簿にいない",IF(COUNTIF(L15:L$552,L14)&gt;0,"2回提出（下の行を使います）",IF(OR(H14="？",I14="？",J14="？"),"クラブ番号がちがう",IF(OR(AND(H14&lt;&gt;"",H14&lt;&gt;"？",COUNTIF(設定!$P$8:$P$27,H14)=0),AND(I14&lt;&gt;"",I14&lt;&gt;"？",COUNTIF(設定!$P$8:$P$27,I14)=0),AND(J14&lt;&gt;"",J14&lt;&gt;"？",COUNTIF(設定!$P$8:$P$27,J14)=0)),"クラブ名がちがう",IF(H14="","第1希望がない",IF(OR(AND(H14&lt;&gt;"",H14=I14),AND(H14&lt;&gt;"",H14=J14),AND(I14&lt;&gt;"",I14=J14)),"同じクラブを重複して希望","OK")))))))</f>
        <v/>
      </c>
      <c r="L14" s="8">
        <f>IF(A14="","",A14&amp;"-"&amp;B14&amp;"-"&amp;C14)</f>
        <v/>
      </c>
      <c r="M14" s="8">
        <f>IF(OR(L14="",G14=""),"",IF(COUNTIF(L15:L$552,L14)=0,L14,""))</f>
        <v/>
      </c>
    </row>
    <row r="15">
      <c r="A15" s="40" t="n">
        <v>5</v>
      </c>
      <c r="B15" s="40" t="inlineStr">
        <is>
          <t>竹</t>
        </is>
      </c>
      <c r="C15" s="40" t="n">
        <v>10</v>
      </c>
      <c r="D15" s="40" t="n">
        <v>3</v>
      </c>
      <c r="E15" s="40" t="n">
        <v>12</v>
      </c>
      <c r="F15" s="40" t="n">
        <v>10</v>
      </c>
      <c r="G15" s="3">
        <f>IF(L15="","",IFERROR(INDEX(前年度名簿!$D$2:$D$451,MATCH(L15,前年度名簿!$F$2:$F$451,0)),""))</f>
        <v/>
      </c>
      <c r="H15" s="44">
        <f>IF(D15="","",IF(ISERROR(VALUE(D15)),D15&amp;"",IF(AND(VALUE(D15)&gt;=1,VALUE(D15)&lt;=20),IF(INDEX(設定!$P$8:$P$27,VALUE(D15))="","？",INDEX(設定!$P$8:$P$27,VALUE(D15))),"？")))</f>
        <v/>
      </c>
      <c r="I15" s="44">
        <f>IF(E15="","",IF(ISERROR(VALUE(E15)),E15&amp;"",IF(AND(VALUE(E15)&gt;=1,VALUE(E15)&lt;=20),IF(INDEX(設定!$P$8:$P$27,VALUE(E15))="","？",INDEX(設定!$P$8:$P$27,VALUE(E15))),"？")))</f>
        <v/>
      </c>
      <c r="J15" s="44">
        <f>IF(F15="","",IF(ISERROR(VALUE(F15)),F15&amp;"",IF(AND(VALUE(F15)&gt;=1,VALUE(F15)&lt;=20),IF(INDEX(設定!$P$8:$P$27,VALUE(F15))="","？",INDEX(設定!$P$8:$P$27,VALUE(F15))),"？")))</f>
        <v/>
      </c>
      <c r="K15" s="45">
        <f>IF(L15="","",IF(G15="","名簿にいない",IF(COUNTIF(L16:L$552,L15)&gt;0,"2回提出（下の行を使います）",IF(OR(H15="？",I15="？",J15="？"),"クラブ番号がちがう",IF(OR(AND(H15&lt;&gt;"",H15&lt;&gt;"？",COUNTIF(設定!$P$8:$P$27,H15)=0),AND(I15&lt;&gt;"",I15&lt;&gt;"？",COUNTIF(設定!$P$8:$P$27,I15)=0),AND(J15&lt;&gt;"",J15&lt;&gt;"？",COUNTIF(設定!$P$8:$P$27,J15)=0)),"クラブ名がちがう",IF(H15="","第1希望がない",IF(OR(AND(H15&lt;&gt;"",H15=I15),AND(H15&lt;&gt;"",H15=J15),AND(I15&lt;&gt;"",I15=J15)),"同じクラブを重複して希望","OK")))))))</f>
        <v/>
      </c>
      <c r="L15" s="8">
        <f>IF(A15="","",A15&amp;"-"&amp;B15&amp;"-"&amp;C15)</f>
        <v/>
      </c>
      <c r="M15" s="8">
        <f>IF(OR(L15="",G15=""),"",IF(COUNTIF(L16:L$552,L15)=0,L15,""))</f>
        <v/>
      </c>
    </row>
    <row r="16">
      <c r="A16" s="40" t="n">
        <v>4</v>
      </c>
      <c r="B16" s="40" t="inlineStr">
        <is>
          <t>松</t>
        </is>
      </c>
      <c r="C16" s="40" t="n">
        <v>20</v>
      </c>
      <c r="D16" s="40" t="n">
        <v>9</v>
      </c>
      <c r="E16" s="40" t="n">
        <v>3</v>
      </c>
      <c r="F16" s="40" t="n">
        <v>1</v>
      </c>
      <c r="G16" s="3">
        <f>IF(L16="","",IFERROR(INDEX(前年度名簿!$D$2:$D$451,MATCH(L16,前年度名簿!$F$2:$F$451,0)),""))</f>
        <v/>
      </c>
      <c r="H16" s="44">
        <f>IF(D16="","",IF(ISERROR(VALUE(D16)),D16&amp;"",IF(AND(VALUE(D16)&gt;=1,VALUE(D16)&lt;=20),IF(INDEX(設定!$P$8:$P$27,VALUE(D16))="","？",INDEX(設定!$P$8:$P$27,VALUE(D16))),"？")))</f>
        <v/>
      </c>
      <c r="I16" s="44">
        <f>IF(E16="","",IF(ISERROR(VALUE(E16)),E16&amp;"",IF(AND(VALUE(E16)&gt;=1,VALUE(E16)&lt;=20),IF(INDEX(設定!$P$8:$P$27,VALUE(E16))="","？",INDEX(設定!$P$8:$P$27,VALUE(E16))),"？")))</f>
        <v/>
      </c>
      <c r="J16" s="44">
        <f>IF(F16="","",IF(ISERROR(VALUE(F16)),F16&amp;"",IF(AND(VALUE(F16)&gt;=1,VALUE(F16)&lt;=20),IF(INDEX(設定!$P$8:$P$27,VALUE(F16))="","？",INDEX(設定!$P$8:$P$27,VALUE(F16))),"？")))</f>
        <v/>
      </c>
      <c r="K16" s="45">
        <f>IF(L16="","",IF(G16="","名簿にいない",IF(COUNTIF(L17:L$552,L16)&gt;0,"2回提出（下の行を使います）",IF(OR(H16="？",I16="？",J16="？"),"クラブ番号がちがう",IF(OR(AND(H16&lt;&gt;"",H16&lt;&gt;"？",COUNTIF(設定!$P$8:$P$27,H16)=0),AND(I16&lt;&gt;"",I16&lt;&gt;"？",COUNTIF(設定!$P$8:$P$27,I16)=0),AND(J16&lt;&gt;"",J16&lt;&gt;"？",COUNTIF(設定!$P$8:$P$27,J16)=0)),"クラブ名がちがう",IF(H16="","第1希望がない",IF(OR(AND(H16&lt;&gt;"",H16=I16),AND(H16&lt;&gt;"",H16=J16),AND(I16&lt;&gt;"",I16=J16)),"同じクラブを重複して希望","OK")))))))</f>
        <v/>
      </c>
      <c r="L16" s="8">
        <f>IF(A16="","",A16&amp;"-"&amp;B16&amp;"-"&amp;C16)</f>
        <v/>
      </c>
      <c r="M16" s="8">
        <f>IF(OR(L16="",G16=""),"",IF(COUNTIF(L17:L$552,L16)=0,L16,""))</f>
        <v/>
      </c>
    </row>
    <row r="17">
      <c r="A17" s="40" t="n">
        <v>5</v>
      </c>
      <c r="B17" s="40" t="inlineStr">
        <is>
          <t>松</t>
        </is>
      </c>
      <c r="C17" s="40" t="n">
        <v>9</v>
      </c>
      <c r="D17" s="40" t="n">
        <v>3</v>
      </c>
      <c r="E17" s="40" t="n">
        <v>11</v>
      </c>
      <c r="F17" s="40" t="n">
        <v>1</v>
      </c>
      <c r="G17" s="3">
        <f>IF(L17="","",IFERROR(INDEX(前年度名簿!$D$2:$D$451,MATCH(L17,前年度名簿!$F$2:$F$451,0)),""))</f>
        <v/>
      </c>
      <c r="H17" s="44">
        <f>IF(D17="","",IF(ISERROR(VALUE(D17)),D17&amp;"",IF(AND(VALUE(D17)&gt;=1,VALUE(D17)&lt;=20),IF(INDEX(設定!$P$8:$P$27,VALUE(D17))="","？",INDEX(設定!$P$8:$P$27,VALUE(D17))),"？")))</f>
        <v/>
      </c>
      <c r="I17" s="44">
        <f>IF(E17="","",IF(ISERROR(VALUE(E17)),E17&amp;"",IF(AND(VALUE(E17)&gt;=1,VALUE(E17)&lt;=20),IF(INDEX(設定!$P$8:$P$27,VALUE(E17))="","？",INDEX(設定!$P$8:$P$27,VALUE(E17))),"？")))</f>
        <v/>
      </c>
      <c r="J17" s="44">
        <f>IF(F17="","",IF(ISERROR(VALUE(F17)),F17&amp;"",IF(AND(VALUE(F17)&gt;=1,VALUE(F17)&lt;=20),IF(INDEX(設定!$P$8:$P$27,VALUE(F17))="","？",INDEX(設定!$P$8:$P$27,VALUE(F17))),"？")))</f>
        <v/>
      </c>
      <c r="K17" s="45">
        <f>IF(L17="","",IF(G17="","名簿にいない",IF(COUNTIF(L18:L$552,L17)&gt;0,"2回提出（下の行を使います）",IF(OR(H17="？",I17="？",J17="？"),"クラブ番号がちがう",IF(OR(AND(H17&lt;&gt;"",H17&lt;&gt;"？",COUNTIF(設定!$P$8:$P$27,H17)=0),AND(I17&lt;&gt;"",I17&lt;&gt;"？",COUNTIF(設定!$P$8:$P$27,I17)=0),AND(J17&lt;&gt;"",J17&lt;&gt;"？",COUNTIF(設定!$P$8:$P$27,J17)=0)),"クラブ名がちがう",IF(H17="","第1希望がない",IF(OR(AND(H17&lt;&gt;"",H17=I17),AND(H17&lt;&gt;"",H17=J17),AND(I17&lt;&gt;"",I17=J17)),"同じクラブを重複して希望","OK")))))))</f>
        <v/>
      </c>
      <c r="L17" s="8">
        <f>IF(A17="","",A17&amp;"-"&amp;B17&amp;"-"&amp;C17)</f>
        <v/>
      </c>
      <c r="M17" s="8">
        <f>IF(OR(L17="",G17=""),"",IF(COUNTIF(L18:L$552,L17)=0,L17,""))</f>
        <v/>
      </c>
    </row>
    <row r="18">
      <c r="A18" s="40" t="n">
        <v>4</v>
      </c>
      <c r="B18" s="40" t="inlineStr">
        <is>
          <t>松</t>
        </is>
      </c>
      <c r="C18" s="40" t="n">
        <v>16</v>
      </c>
      <c r="D18" s="40" t="n">
        <v>2</v>
      </c>
      <c r="E18" s="40" t="n">
        <v>11</v>
      </c>
      <c r="F18" s="40" t="n">
        <v>5</v>
      </c>
      <c r="G18" s="3">
        <f>IF(L18="","",IFERROR(INDEX(前年度名簿!$D$2:$D$451,MATCH(L18,前年度名簿!$F$2:$F$451,0)),""))</f>
        <v/>
      </c>
      <c r="H18" s="44">
        <f>IF(D18="","",IF(ISERROR(VALUE(D18)),D18&amp;"",IF(AND(VALUE(D18)&gt;=1,VALUE(D18)&lt;=20),IF(INDEX(設定!$P$8:$P$27,VALUE(D18))="","？",INDEX(設定!$P$8:$P$27,VALUE(D18))),"？")))</f>
        <v/>
      </c>
      <c r="I18" s="44">
        <f>IF(E18="","",IF(ISERROR(VALUE(E18)),E18&amp;"",IF(AND(VALUE(E18)&gt;=1,VALUE(E18)&lt;=20),IF(INDEX(設定!$P$8:$P$27,VALUE(E18))="","？",INDEX(設定!$P$8:$P$27,VALUE(E18))),"？")))</f>
        <v/>
      </c>
      <c r="J18" s="44">
        <f>IF(F18="","",IF(ISERROR(VALUE(F18)),F18&amp;"",IF(AND(VALUE(F18)&gt;=1,VALUE(F18)&lt;=20),IF(INDEX(設定!$P$8:$P$27,VALUE(F18))="","？",INDEX(設定!$P$8:$P$27,VALUE(F18))),"？")))</f>
        <v/>
      </c>
      <c r="K18" s="45">
        <f>IF(L18="","",IF(G18="","名簿にいない",IF(COUNTIF(L19:L$552,L18)&gt;0,"2回提出（下の行を使います）",IF(OR(H18="？",I18="？",J18="？"),"クラブ番号がちがう",IF(OR(AND(H18&lt;&gt;"",H18&lt;&gt;"？",COUNTIF(設定!$P$8:$P$27,H18)=0),AND(I18&lt;&gt;"",I18&lt;&gt;"？",COUNTIF(設定!$P$8:$P$27,I18)=0),AND(J18&lt;&gt;"",J18&lt;&gt;"？",COUNTIF(設定!$P$8:$P$27,J18)=0)),"クラブ名がちがう",IF(H18="","第1希望がない",IF(OR(AND(H18&lt;&gt;"",H18=I18),AND(H18&lt;&gt;"",H18=J18),AND(I18&lt;&gt;"",I18=J18)),"同じクラブを重複して希望","OK")))))))</f>
        <v/>
      </c>
      <c r="L18" s="8">
        <f>IF(A18="","",A18&amp;"-"&amp;B18&amp;"-"&amp;C18)</f>
        <v/>
      </c>
      <c r="M18" s="8">
        <f>IF(OR(L18="",G18=""),"",IF(COUNTIF(L19:L$552,L18)=0,L18,""))</f>
        <v/>
      </c>
    </row>
    <row r="19">
      <c r="A19" s="40" t="n">
        <v>3</v>
      </c>
      <c r="B19" s="40" t="inlineStr">
        <is>
          <t>月</t>
        </is>
      </c>
      <c r="C19" s="40" t="n">
        <v>2</v>
      </c>
      <c r="D19" s="40" t="n">
        <v>8</v>
      </c>
      <c r="E19" s="40" t="n">
        <v>6</v>
      </c>
      <c r="F19" s="40" t="n">
        <v>7</v>
      </c>
      <c r="G19" s="3">
        <f>IF(L19="","",IFERROR(INDEX(前年度名簿!$D$2:$D$451,MATCH(L19,前年度名簿!$F$2:$F$451,0)),""))</f>
        <v/>
      </c>
      <c r="H19" s="44">
        <f>IF(D19="","",IF(ISERROR(VALUE(D19)),D19&amp;"",IF(AND(VALUE(D19)&gt;=1,VALUE(D19)&lt;=20),IF(INDEX(設定!$P$8:$P$27,VALUE(D19))="","？",INDEX(設定!$P$8:$P$27,VALUE(D19))),"？")))</f>
        <v/>
      </c>
      <c r="I19" s="44">
        <f>IF(E19="","",IF(ISERROR(VALUE(E19)),E19&amp;"",IF(AND(VALUE(E19)&gt;=1,VALUE(E19)&lt;=20),IF(INDEX(設定!$P$8:$P$27,VALUE(E19))="","？",INDEX(設定!$P$8:$P$27,VALUE(E19))),"？")))</f>
        <v/>
      </c>
      <c r="J19" s="44">
        <f>IF(F19="","",IF(ISERROR(VALUE(F19)),F19&amp;"",IF(AND(VALUE(F19)&gt;=1,VALUE(F19)&lt;=20),IF(INDEX(設定!$P$8:$P$27,VALUE(F19))="","？",INDEX(設定!$P$8:$P$27,VALUE(F19))),"？")))</f>
        <v/>
      </c>
      <c r="K19" s="45">
        <f>IF(L19="","",IF(G19="","名簿にいない",IF(COUNTIF(L20:L$552,L19)&gt;0,"2回提出（下の行を使います）",IF(OR(H19="？",I19="？",J19="？"),"クラブ番号がちがう",IF(OR(AND(H19&lt;&gt;"",H19&lt;&gt;"？",COUNTIF(設定!$P$8:$P$27,H19)=0),AND(I19&lt;&gt;"",I19&lt;&gt;"？",COUNTIF(設定!$P$8:$P$27,I19)=0),AND(J19&lt;&gt;"",J19&lt;&gt;"？",COUNTIF(設定!$P$8:$P$27,J19)=0)),"クラブ名がちがう",IF(H19="","第1希望がない",IF(OR(AND(H19&lt;&gt;"",H19=I19),AND(H19&lt;&gt;"",H19=J19),AND(I19&lt;&gt;"",I19=J19)),"同じクラブを重複して希望","OK")))))))</f>
        <v/>
      </c>
      <c r="L19" s="8">
        <f>IF(A19="","",A19&amp;"-"&amp;B19&amp;"-"&amp;C19)</f>
        <v/>
      </c>
      <c r="M19" s="8">
        <f>IF(OR(L19="",G19=""),"",IF(COUNTIF(L20:L$552,L19)=0,L19,""))</f>
        <v/>
      </c>
    </row>
    <row r="20">
      <c r="A20" s="40" t="n">
        <v>4</v>
      </c>
      <c r="B20" s="40" t="inlineStr">
        <is>
          <t>松</t>
        </is>
      </c>
      <c r="C20" s="40" t="n">
        <v>29</v>
      </c>
      <c r="D20" s="40" t="n">
        <v>8</v>
      </c>
      <c r="E20" s="40" t="n">
        <v>5</v>
      </c>
      <c r="F20" s="40" t="n">
        <v>10</v>
      </c>
      <c r="G20" s="3">
        <f>IF(L20="","",IFERROR(INDEX(前年度名簿!$D$2:$D$451,MATCH(L20,前年度名簿!$F$2:$F$451,0)),""))</f>
        <v/>
      </c>
      <c r="H20" s="44">
        <f>IF(D20="","",IF(ISERROR(VALUE(D20)),D20&amp;"",IF(AND(VALUE(D20)&gt;=1,VALUE(D20)&lt;=20),IF(INDEX(設定!$P$8:$P$27,VALUE(D20))="","？",INDEX(設定!$P$8:$P$27,VALUE(D20))),"？")))</f>
        <v/>
      </c>
      <c r="I20" s="44">
        <f>IF(E20="","",IF(ISERROR(VALUE(E20)),E20&amp;"",IF(AND(VALUE(E20)&gt;=1,VALUE(E20)&lt;=20),IF(INDEX(設定!$P$8:$P$27,VALUE(E20))="","？",INDEX(設定!$P$8:$P$27,VALUE(E20))),"？")))</f>
        <v/>
      </c>
      <c r="J20" s="44">
        <f>IF(F20="","",IF(ISERROR(VALUE(F20)),F20&amp;"",IF(AND(VALUE(F20)&gt;=1,VALUE(F20)&lt;=20),IF(INDEX(設定!$P$8:$P$27,VALUE(F20))="","？",INDEX(設定!$P$8:$P$27,VALUE(F20))),"？")))</f>
        <v/>
      </c>
      <c r="K20" s="45">
        <f>IF(L20="","",IF(G20="","名簿にいない",IF(COUNTIF(L21:L$552,L20)&gt;0,"2回提出（下の行を使います）",IF(OR(H20="？",I20="？",J20="？"),"クラブ番号がちがう",IF(OR(AND(H20&lt;&gt;"",H20&lt;&gt;"？",COUNTIF(設定!$P$8:$P$27,H20)=0),AND(I20&lt;&gt;"",I20&lt;&gt;"？",COUNTIF(設定!$P$8:$P$27,I20)=0),AND(J20&lt;&gt;"",J20&lt;&gt;"？",COUNTIF(設定!$P$8:$P$27,J20)=0)),"クラブ名がちがう",IF(H20="","第1希望がない",IF(OR(AND(H20&lt;&gt;"",H20=I20),AND(H20&lt;&gt;"",H20=J20),AND(I20&lt;&gt;"",I20=J20)),"同じクラブを重複して希望","OK")))))))</f>
        <v/>
      </c>
      <c r="L20" s="8">
        <f>IF(A20="","",A20&amp;"-"&amp;B20&amp;"-"&amp;C20)</f>
        <v/>
      </c>
      <c r="M20" s="8">
        <f>IF(OR(L20="",G20=""),"",IF(COUNTIF(L21:L$552,L20)=0,L20,""))</f>
        <v/>
      </c>
    </row>
    <row r="21">
      <c r="A21" s="40" t="n">
        <v>4</v>
      </c>
      <c r="B21" s="40" t="inlineStr">
        <is>
          <t>松</t>
        </is>
      </c>
      <c r="C21" s="40" t="n">
        <v>23</v>
      </c>
      <c r="D21" s="40" t="n">
        <v>10</v>
      </c>
      <c r="E21" s="40" t="n">
        <v>8</v>
      </c>
      <c r="F21" s="40" t="n">
        <v>9</v>
      </c>
      <c r="G21" s="3">
        <f>IF(L21="","",IFERROR(INDEX(前年度名簿!$D$2:$D$451,MATCH(L21,前年度名簿!$F$2:$F$451,0)),""))</f>
        <v/>
      </c>
      <c r="H21" s="44">
        <f>IF(D21="","",IF(ISERROR(VALUE(D21)),D21&amp;"",IF(AND(VALUE(D21)&gt;=1,VALUE(D21)&lt;=20),IF(INDEX(設定!$P$8:$P$27,VALUE(D21))="","？",INDEX(設定!$P$8:$P$27,VALUE(D21))),"？")))</f>
        <v/>
      </c>
      <c r="I21" s="44">
        <f>IF(E21="","",IF(ISERROR(VALUE(E21)),E21&amp;"",IF(AND(VALUE(E21)&gt;=1,VALUE(E21)&lt;=20),IF(INDEX(設定!$P$8:$P$27,VALUE(E21))="","？",INDEX(設定!$P$8:$P$27,VALUE(E21))),"？")))</f>
        <v/>
      </c>
      <c r="J21" s="44">
        <f>IF(F21="","",IF(ISERROR(VALUE(F21)),F21&amp;"",IF(AND(VALUE(F21)&gt;=1,VALUE(F21)&lt;=20),IF(INDEX(設定!$P$8:$P$27,VALUE(F21))="","？",INDEX(設定!$P$8:$P$27,VALUE(F21))),"？")))</f>
        <v/>
      </c>
      <c r="K21" s="45">
        <f>IF(L21="","",IF(G21="","名簿にいない",IF(COUNTIF(L22:L$552,L21)&gt;0,"2回提出（下の行を使います）",IF(OR(H21="？",I21="？",J21="？"),"クラブ番号がちがう",IF(OR(AND(H21&lt;&gt;"",H21&lt;&gt;"？",COUNTIF(設定!$P$8:$P$27,H21)=0),AND(I21&lt;&gt;"",I21&lt;&gt;"？",COUNTIF(設定!$P$8:$P$27,I21)=0),AND(J21&lt;&gt;"",J21&lt;&gt;"？",COUNTIF(設定!$P$8:$P$27,J21)=0)),"クラブ名がちがう",IF(H21="","第1希望がない",IF(OR(AND(H21&lt;&gt;"",H21=I21),AND(H21&lt;&gt;"",H21=J21),AND(I21&lt;&gt;"",I21=J21)),"同じクラブを重複して希望","OK")))))))</f>
        <v/>
      </c>
      <c r="L21" s="8">
        <f>IF(A21="","",A21&amp;"-"&amp;B21&amp;"-"&amp;C21)</f>
        <v/>
      </c>
      <c r="M21" s="8">
        <f>IF(OR(L21="",G21=""),"",IF(COUNTIF(L22:L$552,L21)=0,L21,""))</f>
        <v/>
      </c>
    </row>
    <row r="22">
      <c r="A22" s="40" t="n">
        <v>5</v>
      </c>
      <c r="B22" s="40" t="inlineStr">
        <is>
          <t>竹</t>
        </is>
      </c>
      <c r="C22" s="40" t="n">
        <v>13</v>
      </c>
      <c r="D22" s="40" t="n">
        <v>3</v>
      </c>
      <c r="E22" s="40" t="n">
        <v>1</v>
      </c>
      <c r="F22" s="40" t="n">
        <v>11</v>
      </c>
      <c r="G22" s="3">
        <f>IF(L22="","",IFERROR(INDEX(前年度名簿!$D$2:$D$451,MATCH(L22,前年度名簿!$F$2:$F$451,0)),""))</f>
        <v/>
      </c>
      <c r="H22" s="44">
        <f>IF(D22="","",IF(ISERROR(VALUE(D22)),D22&amp;"",IF(AND(VALUE(D22)&gt;=1,VALUE(D22)&lt;=20),IF(INDEX(設定!$P$8:$P$27,VALUE(D22))="","？",INDEX(設定!$P$8:$P$27,VALUE(D22))),"？")))</f>
        <v/>
      </c>
      <c r="I22" s="44">
        <f>IF(E22="","",IF(ISERROR(VALUE(E22)),E22&amp;"",IF(AND(VALUE(E22)&gt;=1,VALUE(E22)&lt;=20),IF(INDEX(設定!$P$8:$P$27,VALUE(E22))="","？",INDEX(設定!$P$8:$P$27,VALUE(E22))),"？")))</f>
        <v/>
      </c>
      <c r="J22" s="44">
        <f>IF(F22="","",IF(ISERROR(VALUE(F22)),F22&amp;"",IF(AND(VALUE(F22)&gt;=1,VALUE(F22)&lt;=20),IF(INDEX(設定!$P$8:$P$27,VALUE(F22))="","？",INDEX(設定!$P$8:$P$27,VALUE(F22))),"？")))</f>
        <v/>
      </c>
      <c r="K22" s="45">
        <f>IF(L22="","",IF(G22="","名簿にいない",IF(COUNTIF(L23:L$552,L22)&gt;0,"2回提出（下の行を使います）",IF(OR(H22="？",I22="？",J22="？"),"クラブ番号がちがう",IF(OR(AND(H22&lt;&gt;"",H22&lt;&gt;"？",COUNTIF(設定!$P$8:$P$27,H22)=0),AND(I22&lt;&gt;"",I22&lt;&gt;"？",COUNTIF(設定!$P$8:$P$27,I22)=0),AND(J22&lt;&gt;"",J22&lt;&gt;"？",COUNTIF(設定!$P$8:$P$27,J22)=0)),"クラブ名がちがう",IF(H22="","第1希望がない",IF(OR(AND(H22&lt;&gt;"",H22=I22),AND(H22&lt;&gt;"",H22=J22),AND(I22&lt;&gt;"",I22=J22)),"同じクラブを重複して希望","OK")))))))</f>
        <v/>
      </c>
      <c r="L22" s="8">
        <f>IF(A22="","",A22&amp;"-"&amp;B22&amp;"-"&amp;C22)</f>
        <v/>
      </c>
      <c r="M22" s="8">
        <f>IF(OR(L22="",G22=""),"",IF(COUNTIF(L23:L$552,L22)=0,L22,""))</f>
        <v/>
      </c>
    </row>
    <row r="23">
      <c r="A23" s="40" t="n">
        <v>4</v>
      </c>
      <c r="B23" s="40" t="inlineStr">
        <is>
          <t>竹</t>
        </is>
      </c>
      <c r="C23" s="40" t="n">
        <v>19</v>
      </c>
      <c r="D23" s="40" t="n">
        <v>8</v>
      </c>
      <c r="E23" s="40" t="n">
        <v>6</v>
      </c>
      <c r="F23" s="40" t="n">
        <v>5</v>
      </c>
      <c r="G23" s="3">
        <f>IF(L23="","",IFERROR(INDEX(前年度名簿!$D$2:$D$451,MATCH(L23,前年度名簿!$F$2:$F$451,0)),""))</f>
        <v/>
      </c>
      <c r="H23" s="44">
        <f>IF(D23="","",IF(ISERROR(VALUE(D23)),D23&amp;"",IF(AND(VALUE(D23)&gt;=1,VALUE(D23)&lt;=20),IF(INDEX(設定!$P$8:$P$27,VALUE(D23))="","？",INDEX(設定!$P$8:$P$27,VALUE(D23))),"？")))</f>
        <v/>
      </c>
      <c r="I23" s="44">
        <f>IF(E23="","",IF(ISERROR(VALUE(E23)),E23&amp;"",IF(AND(VALUE(E23)&gt;=1,VALUE(E23)&lt;=20),IF(INDEX(設定!$P$8:$P$27,VALUE(E23))="","？",INDEX(設定!$P$8:$P$27,VALUE(E23))),"？")))</f>
        <v/>
      </c>
      <c r="J23" s="44">
        <f>IF(F23="","",IF(ISERROR(VALUE(F23)),F23&amp;"",IF(AND(VALUE(F23)&gt;=1,VALUE(F23)&lt;=20),IF(INDEX(設定!$P$8:$P$27,VALUE(F23))="","？",INDEX(設定!$P$8:$P$27,VALUE(F23))),"？")))</f>
        <v/>
      </c>
      <c r="K23" s="45">
        <f>IF(L23="","",IF(G23="","名簿にいない",IF(COUNTIF(L24:L$552,L23)&gt;0,"2回提出（下の行を使います）",IF(OR(H23="？",I23="？",J23="？"),"クラブ番号がちがう",IF(OR(AND(H23&lt;&gt;"",H23&lt;&gt;"？",COUNTIF(設定!$P$8:$P$27,H23)=0),AND(I23&lt;&gt;"",I23&lt;&gt;"？",COUNTIF(設定!$P$8:$P$27,I23)=0),AND(J23&lt;&gt;"",J23&lt;&gt;"？",COUNTIF(設定!$P$8:$P$27,J23)=0)),"クラブ名がちがう",IF(H23="","第1希望がない",IF(OR(AND(H23&lt;&gt;"",H23=I23),AND(H23&lt;&gt;"",H23=J23),AND(I23&lt;&gt;"",I23=J23)),"同じクラブを重複して希望","OK")))))))</f>
        <v/>
      </c>
      <c r="L23" s="8">
        <f>IF(A23="","",A23&amp;"-"&amp;B23&amp;"-"&amp;C23)</f>
        <v/>
      </c>
      <c r="M23" s="8">
        <f>IF(OR(L23="",G23=""),"",IF(COUNTIF(L24:L$552,L23)=0,L23,""))</f>
        <v/>
      </c>
    </row>
    <row r="24">
      <c r="A24" s="40" t="n">
        <v>5</v>
      </c>
      <c r="B24" s="40" t="inlineStr">
        <is>
          <t>月</t>
        </is>
      </c>
      <c r="C24" s="40" t="n">
        <v>27</v>
      </c>
      <c r="D24" s="40" t="n">
        <v>3</v>
      </c>
      <c r="E24" s="40" t="n">
        <v>7</v>
      </c>
      <c r="F24" s="40" t="n">
        <v>2</v>
      </c>
      <c r="G24" s="3">
        <f>IF(L24="","",IFERROR(INDEX(前年度名簿!$D$2:$D$451,MATCH(L24,前年度名簿!$F$2:$F$451,0)),""))</f>
        <v/>
      </c>
      <c r="H24" s="44">
        <f>IF(D24="","",IF(ISERROR(VALUE(D24)),D24&amp;"",IF(AND(VALUE(D24)&gt;=1,VALUE(D24)&lt;=20),IF(INDEX(設定!$P$8:$P$27,VALUE(D24))="","？",INDEX(設定!$P$8:$P$27,VALUE(D24))),"？")))</f>
        <v/>
      </c>
      <c r="I24" s="44">
        <f>IF(E24="","",IF(ISERROR(VALUE(E24)),E24&amp;"",IF(AND(VALUE(E24)&gt;=1,VALUE(E24)&lt;=20),IF(INDEX(設定!$P$8:$P$27,VALUE(E24))="","？",INDEX(設定!$P$8:$P$27,VALUE(E24))),"？")))</f>
        <v/>
      </c>
      <c r="J24" s="44">
        <f>IF(F24="","",IF(ISERROR(VALUE(F24)),F24&amp;"",IF(AND(VALUE(F24)&gt;=1,VALUE(F24)&lt;=20),IF(INDEX(設定!$P$8:$P$27,VALUE(F24))="","？",INDEX(設定!$P$8:$P$27,VALUE(F24))),"？")))</f>
        <v/>
      </c>
      <c r="K24" s="45">
        <f>IF(L24="","",IF(G24="","名簿にいない",IF(COUNTIF(L25:L$552,L24)&gt;0,"2回提出（下の行を使います）",IF(OR(H24="？",I24="？",J24="？"),"クラブ番号がちがう",IF(OR(AND(H24&lt;&gt;"",H24&lt;&gt;"？",COUNTIF(設定!$P$8:$P$27,H24)=0),AND(I24&lt;&gt;"",I24&lt;&gt;"？",COUNTIF(設定!$P$8:$P$27,I24)=0),AND(J24&lt;&gt;"",J24&lt;&gt;"？",COUNTIF(設定!$P$8:$P$27,J24)=0)),"クラブ名がちがう",IF(H24="","第1希望がない",IF(OR(AND(H24&lt;&gt;"",H24=I24),AND(H24&lt;&gt;"",H24=J24),AND(I24&lt;&gt;"",I24=J24)),"同じクラブを重複して希望","OK")))))))</f>
        <v/>
      </c>
      <c r="L24" s="8">
        <f>IF(A24="","",A24&amp;"-"&amp;B24&amp;"-"&amp;C24)</f>
        <v/>
      </c>
      <c r="M24" s="8">
        <f>IF(OR(L24="",G24=""),"",IF(COUNTIF(L25:L$552,L24)=0,L24,""))</f>
        <v/>
      </c>
    </row>
    <row r="25">
      <c r="A25" s="40" t="n">
        <v>4</v>
      </c>
      <c r="B25" s="40" t="inlineStr">
        <is>
          <t>梅</t>
        </is>
      </c>
      <c r="C25" s="40" t="n">
        <v>10</v>
      </c>
      <c r="D25" s="40" t="n">
        <v>8</v>
      </c>
      <c r="E25" s="40" t="n">
        <v>6</v>
      </c>
      <c r="F25" s="40" t="n">
        <v>11</v>
      </c>
      <c r="G25" s="3">
        <f>IF(L25="","",IFERROR(INDEX(前年度名簿!$D$2:$D$451,MATCH(L25,前年度名簿!$F$2:$F$451,0)),""))</f>
        <v/>
      </c>
      <c r="H25" s="44">
        <f>IF(D25="","",IF(ISERROR(VALUE(D25)),D25&amp;"",IF(AND(VALUE(D25)&gt;=1,VALUE(D25)&lt;=20),IF(INDEX(設定!$P$8:$P$27,VALUE(D25))="","？",INDEX(設定!$P$8:$P$27,VALUE(D25))),"？")))</f>
        <v/>
      </c>
      <c r="I25" s="44">
        <f>IF(E25="","",IF(ISERROR(VALUE(E25)),E25&amp;"",IF(AND(VALUE(E25)&gt;=1,VALUE(E25)&lt;=20),IF(INDEX(設定!$P$8:$P$27,VALUE(E25))="","？",INDEX(設定!$P$8:$P$27,VALUE(E25))),"？")))</f>
        <v/>
      </c>
      <c r="J25" s="44">
        <f>IF(F25="","",IF(ISERROR(VALUE(F25)),F25&amp;"",IF(AND(VALUE(F25)&gt;=1,VALUE(F25)&lt;=20),IF(INDEX(設定!$P$8:$P$27,VALUE(F25))="","？",INDEX(設定!$P$8:$P$27,VALUE(F25))),"？")))</f>
        <v/>
      </c>
      <c r="K25" s="45">
        <f>IF(L25="","",IF(G25="","名簿にいない",IF(COUNTIF(L26:L$552,L25)&gt;0,"2回提出（下の行を使います）",IF(OR(H25="？",I25="？",J25="？"),"クラブ番号がちがう",IF(OR(AND(H25&lt;&gt;"",H25&lt;&gt;"？",COUNTIF(設定!$P$8:$P$27,H25)=0),AND(I25&lt;&gt;"",I25&lt;&gt;"？",COUNTIF(設定!$P$8:$P$27,I25)=0),AND(J25&lt;&gt;"",J25&lt;&gt;"？",COUNTIF(設定!$P$8:$P$27,J25)=0)),"クラブ名がちがう",IF(H25="","第1希望がない",IF(OR(AND(H25&lt;&gt;"",H25=I25),AND(H25&lt;&gt;"",H25=J25),AND(I25&lt;&gt;"",I25=J25)),"同じクラブを重複して希望","OK")))))))</f>
        <v/>
      </c>
      <c r="L25" s="8">
        <f>IF(A25="","",A25&amp;"-"&amp;B25&amp;"-"&amp;C25)</f>
        <v/>
      </c>
      <c r="M25" s="8">
        <f>IF(OR(L25="",G25=""),"",IF(COUNTIF(L26:L$552,L25)=0,L25,""))</f>
        <v/>
      </c>
    </row>
    <row r="26">
      <c r="A26" s="40" t="n">
        <v>5</v>
      </c>
      <c r="B26" s="40" t="inlineStr">
        <is>
          <t>竹</t>
        </is>
      </c>
      <c r="C26" s="40" t="n">
        <v>9</v>
      </c>
      <c r="D26" s="40" t="n">
        <v>3</v>
      </c>
      <c r="E26" s="40" t="n">
        <v>6</v>
      </c>
      <c r="F26" s="40" t="n">
        <v>10</v>
      </c>
      <c r="G26" s="3">
        <f>IF(L26="","",IFERROR(INDEX(前年度名簿!$D$2:$D$451,MATCH(L26,前年度名簿!$F$2:$F$451,0)),""))</f>
        <v/>
      </c>
      <c r="H26" s="44">
        <f>IF(D26="","",IF(ISERROR(VALUE(D26)),D26&amp;"",IF(AND(VALUE(D26)&gt;=1,VALUE(D26)&lt;=20),IF(INDEX(設定!$P$8:$P$27,VALUE(D26))="","？",INDEX(設定!$P$8:$P$27,VALUE(D26))),"？")))</f>
        <v/>
      </c>
      <c r="I26" s="44">
        <f>IF(E26="","",IF(ISERROR(VALUE(E26)),E26&amp;"",IF(AND(VALUE(E26)&gt;=1,VALUE(E26)&lt;=20),IF(INDEX(設定!$P$8:$P$27,VALUE(E26))="","？",INDEX(設定!$P$8:$P$27,VALUE(E26))),"？")))</f>
        <v/>
      </c>
      <c r="J26" s="44">
        <f>IF(F26="","",IF(ISERROR(VALUE(F26)),F26&amp;"",IF(AND(VALUE(F26)&gt;=1,VALUE(F26)&lt;=20),IF(INDEX(設定!$P$8:$P$27,VALUE(F26))="","？",INDEX(設定!$P$8:$P$27,VALUE(F26))),"？")))</f>
        <v/>
      </c>
      <c r="K26" s="45">
        <f>IF(L26="","",IF(G26="","名簿にいない",IF(COUNTIF(L27:L$552,L26)&gt;0,"2回提出（下の行を使います）",IF(OR(H26="？",I26="？",J26="？"),"クラブ番号がちがう",IF(OR(AND(H26&lt;&gt;"",H26&lt;&gt;"？",COUNTIF(設定!$P$8:$P$27,H26)=0),AND(I26&lt;&gt;"",I26&lt;&gt;"？",COUNTIF(設定!$P$8:$P$27,I26)=0),AND(J26&lt;&gt;"",J26&lt;&gt;"？",COUNTIF(設定!$P$8:$P$27,J26)=0)),"クラブ名がちがう",IF(H26="","第1希望がない",IF(OR(AND(H26&lt;&gt;"",H26=I26),AND(H26&lt;&gt;"",H26=J26),AND(I26&lt;&gt;"",I26=J26)),"同じクラブを重複して希望","OK")))))))</f>
        <v/>
      </c>
      <c r="L26" s="8">
        <f>IF(A26="","",A26&amp;"-"&amp;B26&amp;"-"&amp;C26)</f>
        <v/>
      </c>
      <c r="M26" s="8">
        <f>IF(OR(L26="",G26=""),"",IF(COUNTIF(L27:L$552,L26)=0,L26,""))</f>
        <v/>
      </c>
    </row>
    <row r="27">
      <c r="A27" s="40" t="n">
        <v>4</v>
      </c>
      <c r="B27" s="40" t="inlineStr">
        <is>
          <t>竹</t>
        </is>
      </c>
      <c r="C27" s="40" t="n">
        <v>5</v>
      </c>
      <c r="D27" s="40" t="n">
        <v>4</v>
      </c>
      <c r="E27" s="40" t="n">
        <v>7</v>
      </c>
      <c r="F27" s="40" t="n">
        <v>11</v>
      </c>
      <c r="G27" s="3">
        <f>IF(L27="","",IFERROR(INDEX(前年度名簿!$D$2:$D$451,MATCH(L27,前年度名簿!$F$2:$F$451,0)),""))</f>
        <v/>
      </c>
      <c r="H27" s="44">
        <f>IF(D27="","",IF(ISERROR(VALUE(D27)),D27&amp;"",IF(AND(VALUE(D27)&gt;=1,VALUE(D27)&lt;=20),IF(INDEX(設定!$P$8:$P$27,VALUE(D27))="","？",INDEX(設定!$P$8:$P$27,VALUE(D27))),"？")))</f>
        <v/>
      </c>
      <c r="I27" s="44">
        <f>IF(E27="","",IF(ISERROR(VALUE(E27)),E27&amp;"",IF(AND(VALUE(E27)&gt;=1,VALUE(E27)&lt;=20),IF(INDEX(設定!$P$8:$P$27,VALUE(E27))="","？",INDEX(設定!$P$8:$P$27,VALUE(E27))),"？")))</f>
        <v/>
      </c>
      <c r="J27" s="44">
        <f>IF(F27="","",IF(ISERROR(VALUE(F27)),F27&amp;"",IF(AND(VALUE(F27)&gt;=1,VALUE(F27)&lt;=20),IF(INDEX(設定!$P$8:$P$27,VALUE(F27))="","？",INDEX(設定!$P$8:$P$27,VALUE(F27))),"？")))</f>
        <v/>
      </c>
      <c r="K27" s="45">
        <f>IF(L27="","",IF(G27="","名簿にいない",IF(COUNTIF(L28:L$552,L27)&gt;0,"2回提出（下の行を使います）",IF(OR(H27="？",I27="？",J27="？"),"クラブ番号がちがう",IF(OR(AND(H27&lt;&gt;"",H27&lt;&gt;"？",COUNTIF(設定!$P$8:$P$27,H27)=0),AND(I27&lt;&gt;"",I27&lt;&gt;"？",COUNTIF(設定!$P$8:$P$27,I27)=0),AND(J27&lt;&gt;"",J27&lt;&gt;"？",COUNTIF(設定!$P$8:$P$27,J27)=0)),"クラブ名がちがう",IF(H27="","第1希望がない",IF(OR(AND(H27&lt;&gt;"",H27=I27),AND(H27&lt;&gt;"",H27=J27),AND(I27&lt;&gt;"",I27=J27)),"同じクラブを重複して希望","OK")))))))</f>
        <v/>
      </c>
      <c r="L27" s="8">
        <f>IF(A27="","",A27&amp;"-"&amp;B27&amp;"-"&amp;C27)</f>
        <v/>
      </c>
      <c r="M27" s="8">
        <f>IF(OR(L27="",G27=""),"",IF(COUNTIF(L28:L$552,L27)=0,L27,""))</f>
        <v/>
      </c>
    </row>
    <row r="28">
      <c r="A28" s="40" t="n">
        <v>3</v>
      </c>
      <c r="B28" s="40" t="inlineStr">
        <is>
          <t>梅</t>
        </is>
      </c>
      <c r="C28" s="40" t="n">
        <v>5</v>
      </c>
      <c r="D28" s="40" t="n">
        <v>10</v>
      </c>
      <c r="E28" s="40" t="n">
        <v>7</v>
      </c>
      <c r="F28" s="40" t="n">
        <v>9</v>
      </c>
      <c r="G28" s="3">
        <f>IF(L28="","",IFERROR(INDEX(前年度名簿!$D$2:$D$451,MATCH(L28,前年度名簿!$F$2:$F$451,0)),""))</f>
        <v/>
      </c>
      <c r="H28" s="44">
        <f>IF(D28="","",IF(ISERROR(VALUE(D28)),D28&amp;"",IF(AND(VALUE(D28)&gt;=1,VALUE(D28)&lt;=20),IF(INDEX(設定!$P$8:$P$27,VALUE(D28))="","？",INDEX(設定!$P$8:$P$27,VALUE(D28))),"？")))</f>
        <v/>
      </c>
      <c r="I28" s="44">
        <f>IF(E28="","",IF(ISERROR(VALUE(E28)),E28&amp;"",IF(AND(VALUE(E28)&gt;=1,VALUE(E28)&lt;=20),IF(INDEX(設定!$P$8:$P$27,VALUE(E28))="","？",INDEX(設定!$P$8:$P$27,VALUE(E28))),"？")))</f>
        <v/>
      </c>
      <c r="J28" s="44">
        <f>IF(F28="","",IF(ISERROR(VALUE(F28)),F28&amp;"",IF(AND(VALUE(F28)&gt;=1,VALUE(F28)&lt;=20),IF(INDEX(設定!$P$8:$P$27,VALUE(F28))="","？",INDEX(設定!$P$8:$P$27,VALUE(F28))),"？")))</f>
        <v/>
      </c>
      <c r="K28" s="45">
        <f>IF(L28="","",IF(G28="","名簿にいない",IF(COUNTIF(L29:L$552,L28)&gt;0,"2回提出（下の行を使います）",IF(OR(H28="？",I28="？",J28="？"),"クラブ番号がちがう",IF(OR(AND(H28&lt;&gt;"",H28&lt;&gt;"？",COUNTIF(設定!$P$8:$P$27,H28)=0),AND(I28&lt;&gt;"",I28&lt;&gt;"？",COUNTIF(設定!$P$8:$P$27,I28)=0),AND(J28&lt;&gt;"",J28&lt;&gt;"？",COUNTIF(設定!$P$8:$P$27,J28)=0)),"クラブ名がちがう",IF(H28="","第1希望がない",IF(OR(AND(H28&lt;&gt;"",H28=I28),AND(H28&lt;&gt;"",H28=J28),AND(I28&lt;&gt;"",I28=J28)),"同じクラブを重複して希望","OK")))))))</f>
        <v/>
      </c>
      <c r="L28" s="8">
        <f>IF(A28="","",A28&amp;"-"&amp;B28&amp;"-"&amp;C28)</f>
        <v/>
      </c>
      <c r="M28" s="8">
        <f>IF(OR(L28="",G28=""),"",IF(COUNTIF(L29:L$552,L28)=0,L28,""))</f>
        <v/>
      </c>
    </row>
    <row r="29">
      <c r="A29" s="40" t="n">
        <v>5</v>
      </c>
      <c r="B29" s="40" t="inlineStr">
        <is>
          <t>月</t>
        </is>
      </c>
      <c r="C29" s="40" t="n">
        <v>25</v>
      </c>
      <c r="D29" s="40" t="n">
        <v>3</v>
      </c>
      <c r="E29" s="40" t="n">
        <v>9</v>
      </c>
      <c r="F29" s="40" t="n">
        <v>4</v>
      </c>
      <c r="G29" s="3">
        <f>IF(L29="","",IFERROR(INDEX(前年度名簿!$D$2:$D$451,MATCH(L29,前年度名簿!$F$2:$F$451,0)),""))</f>
        <v/>
      </c>
      <c r="H29" s="44">
        <f>IF(D29="","",IF(ISERROR(VALUE(D29)),D29&amp;"",IF(AND(VALUE(D29)&gt;=1,VALUE(D29)&lt;=20),IF(INDEX(設定!$P$8:$P$27,VALUE(D29))="","？",INDEX(設定!$P$8:$P$27,VALUE(D29))),"？")))</f>
        <v/>
      </c>
      <c r="I29" s="44">
        <f>IF(E29="","",IF(ISERROR(VALUE(E29)),E29&amp;"",IF(AND(VALUE(E29)&gt;=1,VALUE(E29)&lt;=20),IF(INDEX(設定!$P$8:$P$27,VALUE(E29))="","？",INDEX(設定!$P$8:$P$27,VALUE(E29))),"？")))</f>
        <v/>
      </c>
      <c r="J29" s="44">
        <f>IF(F29="","",IF(ISERROR(VALUE(F29)),F29&amp;"",IF(AND(VALUE(F29)&gt;=1,VALUE(F29)&lt;=20),IF(INDEX(設定!$P$8:$P$27,VALUE(F29))="","？",INDEX(設定!$P$8:$P$27,VALUE(F29))),"？")))</f>
        <v/>
      </c>
      <c r="K29" s="45">
        <f>IF(L29="","",IF(G29="","名簿にいない",IF(COUNTIF(L30:L$552,L29)&gt;0,"2回提出（下の行を使います）",IF(OR(H29="？",I29="？",J29="？"),"クラブ番号がちがう",IF(OR(AND(H29&lt;&gt;"",H29&lt;&gt;"？",COUNTIF(設定!$P$8:$P$27,H29)=0),AND(I29&lt;&gt;"",I29&lt;&gt;"？",COUNTIF(設定!$P$8:$P$27,I29)=0),AND(J29&lt;&gt;"",J29&lt;&gt;"？",COUNTIF(設定!$P$8:$P$27,J29)=0)),"クラブ名がちがう",IF(H29="","第1希望がない",IF(OR(AND(H29&lt;&gt;"",H29=I29),AND(H29&lt;&gt;"",H29=J29),AND(I29&lt;&gt;"",I29=J29)),"同じクラブを重複して希望","OK")))))))</f>
        <v/>
      </c>
      <c r="L29" s="8">
        <f>IF(A29="","",A29&amp;"-"&amp;B29&amp;"-"&amp;C29)</f>
        <v/>
      </c>
      <c r="M29" s="8">
        <f>IF(OR(L29="",G29=""),"",IF(COUNTIF(L30:L$552,L29)=0,L29,""))</f>
        <v/>
      </c>
    </row>
    <row r="30">
      <c r="A30" s="40" t="n">
        <v>5</v>
      </c>
      <c r="B30" s="40" t="inlineStr">
        <is>
          <t>梅</t>
        </is>
      </c>
      <c r="C30" s="40" t="n">
        <v>18</v>
      </c>
      <c r="D30" s="40" t="n">
        <v>3</v>
      </c>
      <c r="E30" s="40" t="n">
        <v>8</v>
      </c>
      <c r="F30" s="40" t="n">
        <v>6</v>
      </c>
      <c r="G30" s="3">
        <f>IF(L30="","",IFERROR(INDEX(前年度名簿!$D$2:$D$451,MATCH(L30,前年度名簿!$F$2:$F$451,0)),""))</f>
        <v/>
      </c>
      <c r="H30" s="44">
        <f>IF(D30="","",IF(ISERROR(VALUE(D30)),D30&amp;"",IF(AND(VALUE(D30)&gt;=1,VALUE(D30)&lt;=20),IF(INDEX(設定!$P$8:$P$27,VALUE(D30))="","？",INDEX(設定!$P$8:$P$27,VALUE(D30))),"？")))</f>
        <v/>
      </c>
      <c r="I30" s="44">
        <f>IF(E30="","",IF(ISERROR(VALUE(E30)),E30&amp;"",IF(AND(VALUE(E30)&gt;=1,VALUE(E30)&lt;=20),IF(INDEX(設定!$P$8:$P$27,VALUE(E30))="","？",INDEX(設定!$P$8:$P$27,VALUE(E30))),"？")))</f>
        <v/>
      </c>
      <c r="J30" s="44">
        <f>IF(F30="","",IF(ISERROR(VALUE(F30)),F30&amp;"",IF(AND(VALUE(F30)&gt;=1,VALUE(F30)&lt;=20),IF(INDEX(設定!$P$8:$P$27,VALUE(F30))="","？",INDEX(設定!$P$8:$P$27,VALUE(F30))),"？")))</f>
        <v/>
      </c>
      <c r="K30" s="45">
        <f>IF(L30="","",IF(G30="","名簿にいない",IF(COUNTIF(L31:L$552,L30)&gt;0,"2回提出（下の行を使います）",IF(OR(H30="？",I30="？",J30="？"),"クラブ番号がちがう",IF(OR(AND(H30&lt;&gt;"",H30&lt;&gt;"？",COUNTIF(設定!$P$8:$P$27,H30)=0),AND(I30&lt;&gt;"",I30&lt;&gt;"？",COUNTIF(設定!$P$8:$P$27,I30)=0),AND(J30&lt;&gt;"",J30&lt;&gt;"？",COUNTIF(設定!$P$8:$P$27,J30)=0)),"クラブ名がちがう",IF(H30="","第1希望がない",IF(OR(AND(H30&lt;&gt;"",H30=I30),AND(H30&lt;&gt;"",H30=J30),AND(I30&lt;&gt;"",I30=J30)),"同じクラブを重複して希望","OK")))))))</f>
        <v/>
      </c>
      <c r="L30" s="8">
        <f>IF(A30="","",A30&amp;"-"&amp;B30&amp;"-"&amp;C30)</f>
        <v/>
      </c>
      <c r="M30" s="8">
        <f>IF(OR(L30="",G30=""),"",IF(COUNTIF(L31:L$552,L30)=0,L30,""))</f>
        <v/>
      </c>
    </row>
    <row r="31">
      <c r="A31" s="40" t="n">
        <v>4</v>
      </c>
      <c r="B31" s="40" t="inlineStr">
        <is>
          <t>月</t>
        </is>
      </c>
      <c r="C31" s="40" t="n">
        <v>12</v>
      </c>
      <c r="D31" s="40" t="n">
        <v>7</v>
      </c>
      <c r="E31" s="40" t="n">
        <v>2</v>
      </c>
      <c r="F31" s="40" t="n">
        <v>1</v>
      </c>
      <c r="G31" s="3">
        <f>IF(L31="","",IFERROR(INDEX(前年度名簿!$D$2:$D$451,MATCH(L31,前年度名簿!$F$2:$F$451,0)),""))</f>
        <v/>
      </c>
      <c r="H31" s="44">
        <f>IF(D31="","",IF(ISERROR(VALUE(D31)),D31&amp;"",IF(AND(VALUE(D31)&gt;=1,VALUE(D31)&lt;=20),IF(INDEX(設定!$P$8:$P$27,VALUE(D31))="","？",INDEX(設定!$P$8:$P$27,VALUE(D31))),"？")))</f>
        <v/>
      </c>
      <c r="I31" s="44">
        <f>IF(E31="","",IF(ISERROR(VALUE(E31)),E31&amp;"",IF(AND(VALUE(E31)&gt;=1,VALUE(E31)&lt;=20),IF(INDEX(設定!$P$8:$P$27,VALUE(E31))="","？",INDEX(設定!$P$8:$P$27,VALUE(E31))),"？")))</f>
        <v/>
      </c>
      <c r="J31" s="44">
        <f>IF(F31="","",IF(ISERROR(VALUE(F31)),F31&amp;"",IF(AND(VALUE(F31)&gt;=1,VALUE(F31)&lt;=20),IF(INDEX(設定!$P$8:$P$27,VALUE(F31))="","？",INDEX(設定!$P$8:$P$27,VALUE(F31))),"？")))</f>
        <v/>
      </c>
      <c r="K31" s="45">
        <f>IF(L31="","",IF(G31="","名簿にいない",IF(COUNTIF(L32:L$552,L31)&gt;0,"2回提出（下の行を使います）",IF(OR(H31="？",I31="？",J31="？"),"クラブ番号がちがう",IF(OR(AND(H31&lt;&gt;"",H31&lt;&gt;"？",COUNTIF(設定!$P$8:$P$27,H31)=0),AND(I31&lt;&gt;"",I31&lt;&gt;"？",COUNTIF(設定!$P$8:$P$27,I31)=0),AND(J31&lt;&gt;"",J31&lt;&gt;"？",COUNTIF(設定!$P$8:$P$27,J31)=0)),"クラブ名がちがう",IF(H31="","第1希望がない",IF(OR(AND(H31&lt;&gt;"",H31=I31),AND(H31&lt;&gt;"",H31=J31),AND(I31&lt;&gt;"",I31=J31)),"同じクラブを重複して希望","OK")))))))</f>
        <v/>
      </c>
      <c r="L31" s="8">
        <f>IF(A31="","",A31&amp;"-"&amp;B31&amp;"-"&amp;C31)</f>
        <v/>
      </c>
      <c r="M31" s="8">
        <f>IF(OR(L31="",G31=""),"",IF(COUNTIF(L32:L$552,L31)=0,L31,""))</f>
        <v/>
      </c>
    </row>
    <row r="32">
      <c r="A32" s="40" t="n">
        <v>5</v>
      </c>
      <c r="B32" s="40" t="inlineStr">
        <is>
          <t>松</t>
        </is>
      </c>
      <c r="C32" s="40" t="n">
        <v>14</v>
      </c>
      <c r="D32" s="40" t="n">
        <v>3</v>
      </c>
      <c r="E32" s="40" t="n">
        <v>5</v>
      </c>
      <c r="F32" s="40" t="n">
        <v>7</v>
      </c>
      <c r="G32" s="3">
        <f>IF(L32="","",IFERROR(INDEX(前年度名簿!$D$2:$D$451,MATCH(L32,前年度名簿!$F$2:$F$451,0)),""))</f>
        <v/>
      </c>
      <c r="H32" s="44">
        <f>IF(D32="","",IF(ISERROR(VALUE(D32)),D32&amp;"",IF(AND(VALUE(D32)&gt;=1,VALUE(D32)&lt;=20),IF(INDEX(設定!$P$8:$P$27,VALUE(D32))="","？",INDEX(設定!$P$8:$P$27,VALUE(D32))),"？")))</f>
        <v/>
      </c>
      <c r="I32" s="44">
        <f>IF(E32="","",IF(ISERROR(VALUE(E32)),E32&amp;"",IF(AND(VALUE(E32)&gt;=1,VALUE(E32)&lt;=20),IF(INDEX(設定!$P$8:$P$27,VALUE(E32))="","？",INDEX(設定!$P$8:$P$27,VALUE(E32))),"？")))</f>
        <v/>
      </c>
      <c r="J32" s="44">
        <f>IF(F32="","",IF(ISERROR(VALUE(F32)),F32&amp;"",IF(AND(VALUE(F32)&gt;=1,VALUE(F32)&lt;=20),IF(INDEX(設定!$P$8:$P$27,VALUE(F32))="","？",INDEX(設定!$P$8:$P$27,VALUE(F32))),"？")))</f>
        <v/>
      </c>
      <c r="K32" s="45">
        <f>IF(L32="","",IF(G32="","名簿にいない",IF(COUNTIF(L33:L$552,L32)&gt;0,"2回提出（下の行を使います）",IF(OR(H32="？",I32="？",J32="？"),"クラブ番号がちがう",IF(OR(AND(H32&lt;&gt;"",H32&lt;&gt;"？",COUNTIF(設定!$P$8:$P$27,H32)=0),AND(I32&lt;&gt;"",I32&lt;&gt;"？",COUNTIF(設定!$P$8:$P$27,I32)=0),AND(J32&lt;&gt;"",J32&lt;&gt;"？",COUNTIF(設定!$P$8:$P$27,J32)=0)),"クラブ名がちがう",IF(H32="","第1希望がない",IF(OR(AND(H32&lt;&gt;"",H32=I32),AND(H32&lt;&gt;"",H32=J32),AND(I32&lt;&gt;"",I32=J32)),"同じクラブを重複して希望","OK")))))))</f>
        <v/>
      </c>
      <c r="L32" s="8">
        <f>IF(A32="","",A32&amp;"-"&amp;B32&amp;"-"&amp;C32)</f>
        <v/>
      </c>
      <c r="M32" s="8">
        <f>IF(OR(L32="",G32=""),"",IF(COUNTIF(L33:L$552,L32)=0,L32,""))</f>
        <v/>
      </c>
    </row>
    <row r="33">
      <c r="A33" s="40" t="n">
        <v>5</v>
      </c>
      <c r="B33" s="40" t="inlineStr">
        <is>
          <t>竹</t>
        </is>
      </c>
      <c r="C33" s="40" t="n">
        <v>20</v>
      </c>
      <c r="D33" s="40" t="n">
        <v>3</v>
      </c>
      <c r="E33" s="40" t="n">
        <v>11</v>
      </c>
      <c r="F33" s="40" t="n">
        <v>9</v>
      </c>
      <c r="G33" s="3">
        <f>IF(L33="","",IFERROR(INDEX(前年度名簿!$D$2:$D$451,MATCH(L33,前年度名簿!$F$2:$F$451,0)),""))</f>
        <v/>
      </c>
      <c r="H33" s="44">
        <f>IF(D33="","",IF(ISERROR(VALUE(D33)),D33&amp;"",IF(AND(VALUE(D33)&gt;=1,VALUE(D33)&lt;=20),IF(INDEX(設定!$P$8:$P$27,VALUE(D33))="","？",INDEX(設定!$P$8:$P$27,VALUE(D33))),"？")))</f>
        <v/>
      </c>
      <c r="I33" s="44">
        <f>IF(E33="","",IF(ISERROR(VALUE(E33)),E33&amp;"",IF(AND(VALUE(E33)&gt;=1,VALUE(E33)&lt;=20),IF(INDEX(設定!$P$8:$P$27,VALUE(E33))="","？",INDEX(設定!$P$8:$P$27,VALUE(E33))),"？")))</f>
        <v/>
      </c>
      <c r="J33" s="44">
        <f>IF(F33="","",IF(ISERROR(VALUE(F33)),F33&amp;"",IF(AND(VALUE(F33)&gt;=1,VALUE(F33)&lt;=20),IF(INDEX(設定!$P$8:$P$27,VALUE(F33))="","？",INDEX(設定!$P$8:$P$27,VALUE(F33))),"？")))</f>
        <v/>
      </c>
      <c r="K33" s="45">
        <f>IF(L33="","",IF(G33="","名簿にいない",IF(COUNTIF(L34:L$552,L33)&gt;0,"2回提出（下の行を使います）",IF(OR(H33="？",I33="？",J33="？"),"クラブ番号がちがう",IF(OR(AND(H33&lt;&gt;"",H33&lt;&gt;"？",COUNTIF(設定!$P$8:$P$27,H33)=0),AND(I33&lt;&gt;"",I33&lt;&gt;"？",COUNTIF(設定!$P$8:$P$27,I33)=0),AND(J33&lt;&gt;"",J33&lt;&gt;"？",COUNTIF(設定!$P$8:$P$27,J33)=0)),"クラブ名がちがう",IF(H33="","第1希望がない",IF(OR(AND(H33&lt;&gt;"",H33=I33),AND(H33&lt;&gt;"",H33=J33),AND(I33&lt;&gt;"",I33=J33)),"同じクラブを重複して希望","OK")))))))</f>
        <v/>
      </c>
      <c r="L33" s="8">
        <f>IF(A33="","",A33&amp;"-"&amp;B33&amp;"-"&amp;C33)</f>
        <v/>
      </c>
      <c r="M33" s="8">
        <f>IF(OR(L33="",G33=""),"",IF(COUNTIF(L34:L$552,L33)=0,L33,""))</f>
        <v/>
      </c>
    </row>
    <row r="34">
      <c r="A34" s="40" t="n">
        <v>5</v>
      </c>
      <c r="B34" s="40" t="inlineStr">
        <is>
          <t>竹</t>
        </is>
      </c>
      <c r="C34" s="40" t="n">
        <v>12</v>
      </c>
      <c r="D34" s="40" t="n">
        <v>3</v>
      </c>
      <c r="E34" s="40" t="n">
        <v>11</v>
      </c>
      <c r="F34" s="40" t="n">
        <v>4</v>
      </c>
      <c r="G34" s="3">
        <f>IF(L34="","",IFERROR(INDEX(前年度名簿!$D$2:$D$451,MATCH(L34,前年度名簿!$F$2:$F$451,0)),""))</f>
        <v/>
      </c>
      <c r="H34" s="44">
        <f>IF(D34="","",IF(ISERROR(VALUE(D34)),D34&amp;"",IF(AND(VALUE(D34)&gt;=1,VALUE(D34)&lt;=20),IF(INDEX(設定!$P$8:$P$27,VALUE(D34))="","？",INDEX(設定!$P$8:$P$27,VALUE(D34))),"？")))</f>
        <v/>
      </c>
      <c r="I34" s="44">
        <f>IF(E34="","",IF(ISERROR(VALUE(E34)),E34&amp;"",IF(AND(VALUE(E34)&gt;=1,VALUE(E34)&lt;=20),IF(INDEX(設定!$P$8:$P$27,VALUE(E34))="","？",INDEX(設定!$P$8:$P$27,VALUE(E34))),"？")))</f>
        <v/>
      </c>
      <c r="J34" s="44">
        <f>IF(F34="","",IF(ISERROR(VALUE(F34)),F34&amp;"",IF(AND(VALUE(F34)&gt;=1,VALUE(F34)&lt;=20),IF(INDEX(設定!$P$8:$P$27,VALUE(F34))="","？",INDEX(設定!$P$8:$P$27,VALUE(F34))),"？")))</f>
        <v/>
      </c>
      <c r="K34" s="45">
        <f>IF(L34="","",IF(G34="","名簿にいない",IF(COUNTIF(L35:L$552,L34)&gt;0,"2回提出（下の行を使います）",IF(OR(H34="？",I34="？",J34="？"),"クラブ番号がちがう",IF(OR(AND(H34&lt;&gt;"",H34&lt;&gt;"？",COUNTIF(設定!$P$8:$P$27,H34)=0),AND(I34&lt;&gt;"",I34&lt;&gt;"？",COUNTIF(設定!$P$8:$P$27,I34)=0),AND(J34&lt;&gt;"",J34&lt;&gt;"？",COUNTIF(設定!$P$8:$P$27,J34)=0)),"クラブ名がちがう",IF(H34="","第1希望がない",IF(OR(AND(H34&lt;&gt;"",H34=I34),AND(H34&lt;&gt;"",H34=J34),AND(I34&lt;&gt;"",I34=J34)),"同じクラブを重複して希望","OK")))))))</f>
        <v/>
      </c>
      <c r="L34" s="8">
        <f>IF(A34="","",A34&amp;"-"&amp;B34&amp;"-"&amp;C34)</f>
        <v/>
      </c>
      <c r="M34" s="8">
        <f>IF(OR(L34="",G34=""),"",IF(COUNTIF(L35:L$552,L34)=0,L34,""))</f>
        <v/>
      </c>
    </row>
    <row r="35">
      <c r="A35" s="40" t="n">
        <v>5</v>
      </c>
      <c r="B35" s="40" t="inlineStr">
        <is>
          <t>月</t>
        </is>
      </c>
      <c r="C35" s="40" t="n">
        <v>10</v>
      </c>
      <c r="D35" s="40" t="n">
        <v>3</v>
      </c>
      <c r="E35" s="40" t="n">
        <v>11</v>
      </c>
      <c r="F35" s="40" t="n">
        <v>1</v>
      </c>
      <c r="G35" s="3">
        <f>IF(L35="","",IFERROR(INDEX(前年度名簿!$D$2:$D$451,MATCH(L35,前年度名簿!$F$2:$F$451,0)),""))</f>
        <v/>
      </c>
      <c r="H35" s="44">
        <f>IF(D35="","",IF(ISERROR(VALUE(D35)),D35&amp;"",IF(AND(VALUE(D35)&gt;=1,VALUE(D35)&lt;=20),IF(INDEX(設定!$P$8:$P$27,VALUE(D35))="","？",INDEX(設定!$P$8:$P$27,VALUE(D35))),"？")))</f>
        <v/>
      </c>
      <c r="I35" s="44">
        <f>IF(E35="","",IF(ISERROR(VALUE(E35)),E35&amp;"",IF(AND(VALUE(E35)&gt;=1,VALUE(E35)&lt;=20),IF(INDEX(設定!$P$8:$P$27,VALUE(E35))="","？",INDEX(設定!$P$8:$P$27,VALUE(E35))),"？")))</f>
        <v/>
      </c>
      <c r="J35" s="44">
        <f>IF(F35="","",IF(ISERROR(VALUE(F35)),F35&amp;"",IF(AND(VALUE(F35)&gt;=1,VALUE(F35)&lt;=20),IF(INDEX(設定!$P$8:$P$27,VALUE(F35))="","？",INDEX(設定!$P$8:$P$27,VALUE(F35))),"？")))</f>
        <v/>
      </c>
      <c r="K35" s="45">
        <f>IF(L35="","",IF(G35="","名簿にいない",IF(COUNTIF(L36:L$552,L35)&gt;0,"2回提出（下の行を使います）",IF(OR(H35="？",I35="？",J35="？"),"クラブ番号がちがう",IF(OR(AND(H35&lt;&gt;"",H35&lt;&gt;"？",COUNTIF(設定!$P$8:$P$27,H35)=0),AND(I35&lt;&gt;"",I35&lt;&gt;"？",COUNTIF(設定!$P$8:$P$27,I35)=0),AND(J35&lt;&gt;"",J35&lt;&gt;"？",COUNTIF(設定!$P$8:$P$27,J35)=0)),"クラブ名がちがう",IF(H35="","第1希望がない",IF(OR(AND(H35&lt;&gt;"",H35=I35),AND(H35&lt;&gt;"",H35=J35),AND(I35&lt;&gt;"",I35=J35)),"同じクラブを重複して希望","OK")))))))</f>
        <v/>
      </c>
      <c r="L35" s="8">
        <f>IF(A35="","",A35&amp;"-"&amp;B35&amp;"-"&amp;C35)</f>
        <v/>
      </c>
      <c r="M35" s="8">
        <f>IF(OR(L35="",G35=""),"",IF(COUNTIF(L36:L$552,L35)=0,L35,""))</f>
        <v/>
      </c>
    </row>
    <row r="36">
      <c r="A36" s="40" t="n">
        <v>4</v>
      </c>
      <c r="B36" s="40" t="inlineStr">
        <is>
          <t>月</t>
        </is>
      </c>
      <c r="C36" s="40" t="n">
        <v>3</v>
      </c>
      <c r="D36" s="40" t="n">
        <v>8</v>
      </c>
      <c r="E36" s="40" t="n">
        <v>12</v>
      </c>
      <c r="F36" s="40" t="n">
        <v>4</v>
      </c>
      <c r="G36" s="3">
        <f>IF(L36="","",IFERROR(INDEX(前年度名簿!$D$2:$D$451,MATCH(L36,前年度名簿!$F$2:$F$451,0)),""))</f>
        <v/>
      </c>
      <c r="H36" s="44">
        <f>IF(D36="","",IF(ISERROR(VALUE(D36)),D36&amp;"",IF(AND(VALUE(D36)&gt;=1,VALUE(D36)&lt;=20),IF(INDEX(設定!$P$8:$P$27,VALUE(D36))="","？",INDEX(設定!$P$8:$P$27,VALUE(D36))),"？")))</f>
        <v/>
      </c>
      <c r="I36" s="44">
        <f>IF(E36="","",IF(ISERROR(VALUE(E36)),E36&amp;"",IF(AND(VALUE(E36)&gt;=1,VALUE(E36)&lt;=20),IF(INDEX(設定!$P$8:$P$27,VALUE(E36))="","？",INDEX(設定!$P$8:$P$27,VALUE(E36))),"？")))</f>
        <v/>
      </c>
      <c r="J36" s="44">
        <f>IF(F36="","",IF(ISERROR(VALUE(F36)),F36&amp;"",IF(AND(VALUE(F36)&gt;=1,VALUE(F36)&lt;=20),IF(INDEX(設定!$P$8:$P$27,VALUE(F36))="","？",INDEX(設定!$P$8:$P$27,VALUE(F36))),"？")))</f>
        <v/>
      </c>
      <c r="K36" s="45">
        <f>IF(L36="","",IF(G36="","名簿にいない",IF(COUNTIF(L37:L$552,L36)&gt;0,"2回提出（下の行を使います）",IF(OR(H36="？",I36="？",J36="？"),"クラブ番号がちがう",IF(OR(AND(H36&lt;&gt;"",H36&lt;&gt;"？",COUNTIF(設定!$P$8:$P$27,H36)=0),AND(I36&lt;&gt;"",I36&lt;&gt;"？",COUNTIF(設定!$P$8:$P$27,I36)=0),AND(J36&lt;&gt;"",J36&lt;&gt;"？",COUNTIF(設定!$P$8:$P$27,J36)=0)),"クラブ名がちがう",IF(H36="","第1希望がない",IF(OR(AND(H36&lt;&gt;"",H36=I36),AND(H36&lt;&gt;"",H36=J36),AND(I36&lt;&gt;"",I36=J36)),"同じクラブを重複して希望","OK")))))))</f>
        <v/>
      </c>
      <c r="L36" s="8">
        <f>IF(A36="","",A36&amp;"-"&amp;B36&amp;"-"&amp;C36)</f>
        <v/>
      </c>
      <c r="M36" s="8">
        <f>IF(OR(L36="",G36=""),"",IF(COUNTIF(L37:L$552,L36)=0,L36,""))</f>
        <v/>
      </c>
    </row>
    <row r="37">
      <c r="A37" s="40" t="n">
        <v>4</v>
      </c>
      <c r="B37" s="40" t="inlineStr">
        <is>
          <t>梅</t>
        </is>
      </c>
      <c r="C37" s="40" t="n">
        <v>13</v>
      </c>
      <c r="D37" s="40" t="n">
        <v>6</v>
      </c>
      <c r="E37" s="40" t="n">
        <v>12</v>
      </c>
      <c r="F37" s="40" t="n">
        <v>9</v>
      </c>
      <c r="G37" s="3">
        <f>IF(L37="","",IFERROR(INDEX(前年度名簿!$D$2:$D$451,MATCH(L37,前年度名簿!$F$2:$F$451,0)),""))</f>
        <v/>
      </c>
      <c r="H37" s="44">
        <f>IF(D37="","",IF(ISERROR(VALUE(D37)),D37&amp;"",IF(AND(VALUE(D37)&gt;=1,VALUE(D37)&lt;=20),IF(INDEX(設定!$P$8:$P$27,VALUE(D37))="","？",INDEX(設定!$P$8:$P$27,VALUE(D37))),"？")))</f>
        <v/>
      </c>
      <c r="I37" s="44">
        <f>IF(E37="","",IF(ISERROR(VALUE(E37)),E37&amp;"",IF(AND(VALUE(E37)&gt;=1,VALUE(E37)&lt;=20),IF(INDEX(設定!$P$8:$P$27,VALUE(E37))="","？",INDEX(設定!$P$8:$P$27,VALUE(E37))),"？")))</f>
        <v/>
      </c>
      <c r="J37" s="44">
        <f>IF(F37="","",IF(ISERROR(VALUE(F37)),F37&amp;"",IF(AND(VALUE(F37)&gt;=1,VALUE(F37)&lt;=20),IF(INDEX(設定!$P$8:$P$27,VALUE(F37))="","？",INDEX(設定!$P$8:$P$27,VALUE(F37))),"？")))</f>
        <v/>
      </c>
      <c r="K37" s="45">
        <f>IF(L37="","",IF(G37="","名簿にいない",IF(COUNTIF(L38:L$552,L37)&gt;0,"2回提出（下の行を使います）",IF(OR(H37="？",I37="？",J37="？"),"クラブ番号がちがう",IF(OR(AND(H37&lt;&gt;"",H37&lt;&gt;"？",COUNTIF(設定!$P$8:$P$27,H37)=0),AND(I37&lt;&gt;"",I37&lt;&gt;"？",COUNTIF(設定!$P$8:$P$27,I37)=0),AND(J37&lt;&gt;"",J37&lt;&gt;"？",COUNTIF(設定!$P$8:$P$27,J37)=0)),"クラブ名がちがう",IF(H37="","第1希望がない",IF(OR(AND(H37&lt;&gt;"",H37=I37),AND(H37&lt;&gt;"",H37=J37),AND(I37&lt;&gt;"",I37=J37)),"同じクラブを重複して希望","OK")))))))</f>
        <v/>
      </c>
      <c r="L37" s="8">
        <f>IF(A37="","",A37&amp;"-"&amp;B37&amp;"-"&amp;C37)</f>
        <v/>
      </c>
      <c r="M37" s="8">
        <f>IF(OR(L37="",G37=""),"",IF(COUNTIF(L38:L$552,L37)=0,L37,""))</f>
        <v/>
      </c>
    </row>
    <row r="38">
      <c r="A38" s="40" t="n">
        <v>5</v>
      </c>
      <c r="B38" s="40" t="inlineStr">
        <is>
          <t>月</t>
        </is>
      </c>
      <c r="C38" s="40" t="n">
        <v>14</v>
      </c>
      <c r="D38" s="40" t="n">
        <v>3</v>
      </c>
      <c r="E38" s="40" t="n">
        <v>4</v>
      </c>
      <c r="F38" s="40" t="n">
        <v>8</v>
      </c>
      <c r="G38" s="3">
        <f>IF(L38="","",IFERROR(INDEX(前年度名簿!$D$2:$D$451,MATCH(L38,前年度名簿!$F$2:$F$451,0)),""))</f>
        <v/>
      </c>
      <c r="H38" s="44">
        <f>IF(D38="","",IF(ISERROR(VALUE(D38)),D38&amp;"",IF(AND(VALUE(D38)&gt;=1,VALUE(D38)&lt;=20),IF(INDEX(設定!$P$8:$P$27,VALUE(D38))="","？",INDEX(設定!$P$8:$P$27,VALUE(D38))),"？")))</f>
        <v/>
      </c>
      <c r="I38" s="44">
        <f>IF(E38="","",IF(ISERROR(VALUE(E38)),E38&amp;"",IF(AND(VALUE(E38)&gt;=1,VALUE(E38)&lt;=20),IF(INDEX(設定!$P$8:$P$27,VALUE(E38))="","？",INDEX(設定!$P$8:$P$27,VALUE(E38))),"？")))</f>
        <v/>
      </c>
      <c r="J38" s="44">
        <f>IF(F38="","",IF(ISERROR(VALUE(F38)),F38&amp;"",IF(AND(VALUE(F38)&gt;=1,VALUE(F38)&lt;=20),IF(INDEX(設定!$P$8:$P$27,VALUE(F38))="","？",INDEX(設定!$P$8:$P$27,VALUE(F38))),"？")))</f>
        <v/>
      </c>
      <c r="K38" s="45">
        <f>IF(L38="","",IF(G38="","名簿にいない",IF(COUNTIF(L39:L$552,L38)&gt;0,"2回提出（下の行を使います）",IF(OR(H38="？",I38="？",J38="？"),"クラブ番号がちがう",IF(OR(AND(H38&lt;&gt;"",H38&lt;&gt;"？",COUNTIF(設定!$P$8:$P$27,H38)=0),AND(I38&lt;&gt;"",I38&lt;&gt;"？",COUNTIF(設定!$P$8:$P$27,I38)=0),AND(J38&lt;&gt;"",J38&lt;&gt;"？",COUNTIF(設定!$P$8:$P$27,J38)=0)),"クラブ名がちがう",IF(H38="","第1希望がない",IF(OR(AND(H38&lt;&gt;"",H38=I38),AND(H38&lt;&gt;"",H38=J38),AND(I38&lt;&gt;"",I38=J38)),"同じクラブを重複して希望","OK")))))))</f>
        <v/>
      </c>
      <c r="L38" s="8">
        <f>IF(A38="","",A38&amp;"-"&amp;B38&amp;"-"&amp;C38)</f>
        <v/>
      </c>
      <c r="M38" s="8">
        <f>IF(OR(L38="",G38=""),"",IF(COUNTIF(L39:L$552,L38)=0,L38,""))</f>
        <v/>
      </c>
    </row>
    <row r="39">
      <c r="A39" s="40" t="n">
        <v>4</v>
      </c>
      <c r="B39" s="40" t="inlineStr">
        <is>
          <t>梅</t>
        </is>
      </c>
      <c r="C39" s="40" t="n">
        <v>2</v>
      </c>
      <c r="D39" s="40" t="n">
        <v>7</v>
      </c>
      <c r="E39" s="40" t="n">
        <v>2</v>
      </c>
      <c r="F39" s="40" t="n">
        <v>8</v>
      </c>
      <c r="G39" s="3">
        <f>IF(L39="","",IFERROR(INDEX(前年度名簿!$D$2:$D$451,MATCH(L39,前年度名簿!$F$2:$F$451,0)),""))</f>
        <v/>
      </c>
      <c r="H39" s="44">
        <f>IF(D39="","",IF(ISERROR(VALUE(D39)),D39&amp;"",IF(AND(VALUE(D39)&gt;=1,VALUE(D39)&lt;=20),IF(INDEX(設定!$P$8:$P$27,VALUE(D39))="","？",INDEX(設定!$P$8:$P$27,VALUE(D39))),"？")))</f>
        <v/>
      </c>
      <c r="I39" s="44">
        <f>IF(E39="","",IF(ISERROR(VALUE(E39)),E39&amp;"",IF(AND(VALUE(E39)&gt;=1,VALUE(E39)&lt;=20),IF(INDEX(設定!$P$8:$P$27,VALUE(E39))="","？",INDEX(設定!$P$8:$P$27,VALUE(E39))),"？")))</f>
        <v/>
      </c>
      <c r="J39" s="44">
        <f>IF(F39="","",IF(ISERROR(VALUE(F39)),F39&amp;"",IF(AND(VALUE(F39)&gt;=1,VALUE(F39)&lt;=20),IF(INDEX(設定!$P$8:$P$27,VALUE(F39))="","？",INDEX(設定!$P$8:$P$27,VALUE(F39))),"？")))</f>
        <v/>
      </c>
      <c r="K39" s="45">
        <f>IF(L39="","",IF(G39="","名簿にいない",IF(COUNTIF(L40:L$552,L39)&gt;0,"2回提出（下の行を使います）",IF(OR(H39="？",I39="？",J39="？"),"クラブ番号がちがう",IF(OR(AND(H39&lt;&gt;"",H39&lt;&gt;"？",COUNTIF(設定!$P$8:$P$27,H39)=0),AND(I39&lt;&gt;"",I39&lt;&gt;"？",COUNTIF(設定!$P$8:$P$27,I39)=0),AND(J39&lt;&gt;"",J39&lt;&gt;"？",COUNTIF(設定!$P$8:$P$27,J39)=0)),"クラブ名がちがう",IF(H39="","第1希望がない",IF(OR(AND(H39&lt;&gt;"",H39=I39),AND(H39&lt;&gt;"",H39=J39),AND(I39&lt;&gt;"",I39=J39)),"同じクラブを重複して希望","OK")))))))</f>
        <v/>
      </c>
      <c r="L39" s="8">
        <f>IF(A39="","",A39&amp;"-"&amp;B39&amp;"-"&amp;C39)</f>
        <v/>
      </c>
      <c r="M39" s="8">
        <f>IF(OR(L39="",G39=""),"",IF(COUNTIF(L40:L$552,L39)=0,L39,""))</f>
        <v/>
      </c>
    </row>
    <row r="40">
      <c r="A40" s="40" t="n">
        <v>5</v>
      </c>
      <c r="B40" s="40" t="inlineStr">
        <is>
          <t>竹</t>
        </is>
      </c>
      <c r="C40" s="40" t="n">
        <v>16</v>
      </c>
      <c r="D40" s="40" t="n">
        <v>3</v>
      </c>
      <c r="E40" s="40" t="n">
        <v>10</v>
      </c>
      <c r="F40" s="40" t="n">
        <v>5</v>
      </c>
      <c r="G40" s="3">
        <f>IF(L40="","",IFERROR(INDEX(前年度名簿!$D$2:$D$451,MATCH(L40,前年度名簿!$F$2:$F$451,0)),""))</f>
        <v/>
      </c>
      <c r="H40" s="44">
        <f>IF(D40="","",IF(ISERROR(VALUE(D40)),D40&amp;"",IF(AND(VALUE(D40)&gt;=1,VALUE(D40)&lt;=20),IF(INDEX(設定!$P$8:$P$27,VALUE(D40))="","？",INDEX(設定!$P$8:$P$27,VALUE(D40))),"？")))</f>
        <v/>
      </c>
      <c r="I40" s="44">
        <f>IF(E40="","",IF(ISERROR(VALUE(E40)),E40&amp;"",IF(AND(VALUE(E40)&gt;=1,VALUE(E40)&lt;=20),IF(INDEX(設定!$P$8:$P$27,VALUE(E40))="","？",INDEX(設定!$P$8:$P$27,VALUE(E40))),"？")))</f>
        <v/>
      </c>
      <c r="J40" s="44">
        <f>IF(F40="","",IF(ISERROR(VALUE(F40)),F40&amp;"",IF(AND(VALUE(F40)&gt;=1,VALUE(F40)&lt;=20),IF(INDEX(設定!$P$8:$P$27,VALUE(F40))="","？",INDEX(設定!$P$8:$P$27,VALUE(F40))),"？")))</f>
        <v/>
      </c>
      <c r="K40" s="45">
        <f>IF(L40="","",IF(G40="","名簿にいない",IF(COUNTIF(L41:L$552,L40)&gt;0,"2回提出（下の行を使います）",IF(OR(H40="？",I40="？",J40="？"),"クラブ番号がちがう",IF(OR(AND(H40&lt;&gt;"",H40&lt;&gt;"？",COUNTIF(設定!$P$8:$P$27,H40)=0),AND(I40&lt;&gt;"",I40&lt;&gt;"？",COUNTIF(設定!$P$8:$P$27,I40)=0),AND(J40&lt;&gt;"",J40&lt;&gt;"？",COUNTIF(設定!$P$8:$P$27,J40)=0)),"クラブ名がちがう",IF(H40="","第1希望がない",IF(OR(AND(H40&lt;&gt;"",H40=I40),AND(H40&lt;&gt;"",H40=J40),AND(I40&lt;&gt;"",I40=J40)),"同じクラブを重複して希望","OK")))))))</f>
        <v/>
      </c>
      <c r="L40" s="8">
        <f>IF(A40="","",A40&amp;"-"&amp;B40&amp;"-"&amp;C40)</f>
        <v/>
      </c>
      <c r="M40" s="8">
        <f>IF(OR(L40="",G40=""),"",IF(COUNTIF(L41:L$552,L40)=0,L40,""))</f>
        <v/>
      </c>
    </row>
    <row r="41">
      <c r="A41" s="40" t="n">
        <v>3</v>
      </c>
      <c r="B41" s="40" t="inlineStr">
        <is>
          <t>月</t>
        </is>
      </c>
      <c r="C41" s="40" t="n">
        <v>27</v>
      </c>
      <c r="D41" s="40" t="n">
        <v>10</v>
      </c>
      <c r="E41" s="40" t="n">
        <v>2</v>
      </c>
      <c r="F41" s="40" t="n">
        <v>11</v>
      </c>
      <c r="G41" s="3">
        <f>IF(L41="","",IFERROR(INDEX(前年度名簿!$D$2:$D$451,MATCH(L41,前年度名簿!$F$2:$F$451,0)),""))</f>
        <v/>
      </c>
      <c r="H41" s="44">
        <f>IF(D41="","",IF(ISERROR(VALUE(D41)),D41&amp;"",IF(AND(VALUE(D41)&gt;=1,VALUE(D41)&lt;=20),IF(INDEX(設定!$P$8:$P$27,VALUE(D41))="","？",INDEX(設定!$P$8:$P$27,VALUE(D41))),"？")))</f>
        <v/>
      </c>
      <c r="I41" s="44">
        <f>IF(E41="","",IF(ISERROR(VALUE(E41)),E41&amp;"",IF(AND(VALUE(E41)&gt;=1,VALUE(E41)&lt;=20),IF(INDEX(設定!$P$8:$P$27,VALUE(E41))="","？",INDEX(設定!$P$8:$P$27,VALUE(E41))),"？")))</f>
        <v/>
      </c>
      <c r="J41" s="44">
        <f>IF(F41="","",IF(ISERROR(VALUE(F41)),F41&amp;"",IF(AND(VALUE(F41)&gt;=1,VALUE(F41)&lt;=20),IF(INDEX(設定!$P$8:$P$27,VALUE(F41))="","？",INDEX(設定!$P$8:$P$27,VALUE(F41))),"？")))</f>
        <v/>
      </c>
      <c r="K41" s="45">
        <f>IF(L41="","",IF(G41="","名簿にいない",IF(COUNTIF(L42:L$552,L41)&gt;0,"2回提出（下の行を使います）",IF(OR(H41="？",I41="？",J41="？"),"クラブ番号がちがう",IF(OR(AND(H41&lt;&gt;"",H41&lt;&gt;"？",COUNTIF(設定!$P$8:$P$27,H41)=0),AND(I41&lt;&gt;"",I41&lt;&gt;"？",COUNTIF(設定!$P$8:$P$27,I41)=0),AND(J41&lt;&gt;"",J41&lt;&gt;"？",COUNTIF(設定!$P$8:$P$27,J41)=0)),"クラブ名がちがう",IF(H41="","第1希望がない",IF(OR(AND(H41&lt;&gt;"",H41=I41),AND(H41&lt;&gt;"",H41=J41),AND(I41&lt;&gt;"",I41=J41)),"同じクラブを重複して希望","OK")))))))</f>
        <v/>
      </c>
      <c r="L41" s="8">
        <f>IF(A41="","",A41&amp;"-"&amp;B41&amp;"-"&amp;C41)</f>
        <v/>
      </c>
      <c r="M41" s="8">
        <f>IF(OR(L41="",G41=""),"",IF(COUNTIF(L42:L$552,L41)=0,L41,""))</f>
        <v/>
      </c>
    </row>
    <row r="42">
      <c r="A42" s="40" t="n">
        <v>4</v>
      </c>
      <c r="B42" s="40" t="inlineStr">
        <is>
          <t>竹</t>
        </is>
      </c>
      <c r="C42" s="40" t="n">
        <v>21</v>
      </c>
      <c r="D42" s="40" t="inlineStr">
        <is>
          <t>バドミントン</t>
        </is>
      </c>
      <c r="E42" s="40" t="inlineStr">
        <is>
          <t>イラスト</t>
        </is>
      </c>
      <c r="F42" s="40" t="inlineStr">
        <is>
          <t>手芸</t>
        </is>
      </c>
      <c r="G42" s="3">
        <f>IF(L42="","",IFERROR(INDEX(前年度名簿!$D$2:$D$451,MATCH(L42,前年度名簿!$F$2:$F$451,0)),""))</f>
        <v/>
      </c>
      <c r="H42" s="44">
        <f>IF(D42="","",IF(ISERROR(VALUE(D42)),D42&amp;"",IF(AND(VALUE(D42)&gt;=1,VALUE(D42)&lt;=20),IF(INDEX(設定!$P$8:$P$27,VALUE(D42))="","？",INDEX(設定!$P$8:$P$27,VALUE(D42))),"？")))</f>
        <v/>
      </c>
      <c r="I42" s="44">
        <f>IF(E42="","",IF(ISERROR(VALUE(E42)),E42&amp;"",IF(AND(VALUE(E42)&gt;=1,VALUE(E42)&lt;=20),IF(INDEX(設定!$P$8:$P$27,VALUE(E42))="","？",INDEX(設定!$P$8:$P$27,VALUE(E42))),"？")))</f>
        <v/>
      </c>
      <c r="J42" s="44">
        <f>IF(F42="","",IF(ISERROR(VALUE(F42)),F42&amp;"",IF(AND(VALUE(F42)&gt;=1,VALUE(F42)&lt;=20),IF(INDEX(設定!$P$8:$P$27,VALUE(F42))="","？",INDEX(設定!$P$8:$P$27,VALUE(F42))),"？")))</f>
        <v/>
      </c>
      <c r="K42" s="45">
        <f>IF(L42="","",IF(G42="","名簿にいない",IF(COUNTIF(L43:L$552,L42)&gt;0,"2回提出（下の行を使います）",IF(OR(H42="？",I42="？",J42="？"),"クラブ番号がちがう",IF(OR(AND(H42&lt;&gt;"",H42&lt;&gt;"？",COUNTIF(設定!$P$8:$P$27,H42)=0),AND(I42&lt;&gt;"",I42&lt;&gt;"？",COUNTIF(設定!$P$8:$P$27,I42)=0),AND(J42&lt;&gt;"",J42&lt;&gt;"？",COUNTIF(設定!$P$8:$P$27,J42)=0)),"クラブ名がちがう",IF(H42="","第1希望がない",IF(OR(AND(H42&lt;&gt;"",H42=I42),AND(H42&lt;&gt;"",H42=J42),AND(I42&lt;&gt;"",I42=J42)),"同じクラブを重複して希望","OK")))))))</f>
        <v/>
      </c>
      <c r="L42" s="8">
        <f>IF(A42="","",A42&amp;"-"&amp;B42&amp;"-"&amp;C42)</f>
        <v/>
      </c>
      <c r="M42" s="8">
        <f>IF(OR(L42="",G42=""),"",IF(COUNTIF(L43:L$552,L42)=0,L42,""))</f>
        <v/>
      </c>
    </row>
    <row r="43">
      <c r="A43" s="40" t="n">
        <v>3</v>
      </c>
      <c r="B43" s="40" t="inlineStr">
        <is>
          <t>松</t>
        </is>
      </c>
      <c r="C43" s="40" t="n">
        <v>16</v>
      </c>
      <c r="D43" s="40" t="inlineStr">
        <is>
          <t>室内ゲーム</t>
        </is>
      </c>
      <c r="E43" s="40" t="inlineStr">
        <is>
          <t>手芸</t>
        </is>
      </c>
      <c r="F43" s="40" t="inlineStr">
        <is>
          <t>音楽</t>
        </is>
      </c>
      <c r="G43" s="3">
        <f>IF(L43="","",IFERROR(INDEX(前年度名簿!$D$2:$D$451,MATCH(L43,前年度名簿!$F$2:$F$451,0)),""))</f>
        <v/>
      </c>
      <c r="H43" s="44">
        <f>IF(D43="","",IF(ISERROR(VALUE(D43)),D43&amp;"",IF(AND(VALUE(D43)&gt;=1,VALUE(D43)&lt;=20),IF(INDEX(設定!$P$8:$P$27,VALUE(D43))="","？",INDEX(設定!$P$8:$P$27,VALUE(D43))),"？")))</f>
        <v/>
      </c>
      <c r="I43" s="44">
        <f>IF(E43="","",IF(ISERROR(VALUE(E43)),E43&amp;"",IF(AND(VALUE(E43)&gt;=1,VALUE(E43)&lt;=20),IF(INDEX(設定!$P$8:$P$27,VALUE(E43))="","？",INDEX(設定!$P$8:$P$27,VALUE(E43))),"？")))</f>
        <v/>
      </c>
      <c r="J43" s="44">
        <f>IF(F43="","",IF(ISERROR(VALUE(F43)),F43&amp;"",IF(AND(VALUE(F43)&gt;=1,VALUE(F43)&lt;=20),IF(INDEX(設定!$P$8:$P$27,VALUE(F43))="","？",INDEX(設定!$P$8:$P$27,VALUE(F43))),"？")))</f>
        <v/>
      </c>
      <c r="K43" s="45">
        <f>IF(L43="","",IF(G43="","名簿にいない",IF(COUNTIF(L44:L$552,L43)&gt;0,"2回提出（下の行を使います）",IF(OR(H43="？",I43="？",J43="？"),"クラブ番号がちがう",IF(OR(AND(H43&lt;&gt;"",H43&lt;&gt;"？",COUNTIF(設定!$P$8:$P$27,H43)=0),AND(I43&lt;&gt;"",I43&lt;&gt;"？",COUNTIF(設定!$P$8:$P$27,I43)=0),AND(J43&lt;&gt;"",J43&lt;&gt;"？",COUNTIF(設定!$P$8:$P$27,J43)=0)),"クラブ名がちがう",IF(H43="","第1希望がない",IF(OR(AND(H43&lt;&gt;"",H43=I43),AND(H43&lt;&gt;"",H43=J43),AND(I43&lt;&gt;"",I43=J43)),"同じクラブを重複して希望","OK")))))))</f>
        <v/>
      </c>
      <c r="L43" s="8">
        <f>IF(A43="","",A43&amp;"-"&amp;B43&amp;"-"&amp;C43)</f>
        <v/>
      </c>
      <c r="M43" s="8">
        <f>IF(OR(L43="",G43=""),"",IF(COUNTIF(L44:L$552,L43)=0,L43,""))</f>
        <v/>
      </c>
    </row>
    <row r="44">
      <c r="A44" s="40" t="n">
        <v>3</v>
      </c>
      <c r="B44" s="40" t="inlineStr">
        <is>
          <t>松</t>
        </is>
      </c>
      <c r="C44" s="40" t="n">
        <v>13</v>
      </c>
      <c r="D44" s="40" t="inlineStr">
        <is>
          <t>パソコン</t>
        </is>
      </c>
      <c r="E44" s="40" t="inlineStr">
        <is>
          <t>手芸</t>
        </is>
      </c>
      <c r="F44" s="40" t="inlineStr">
        <is>
          <t>音楽</t>
        </is>
      </c>
      <c r="G44" s="3">
        <f>IF(L44="","",IFERROR(INDEX(前年度名簿!$D$2:$D$451,MATCH(L44,前年度名簿!$F$2:$F$451,0)),""))</f>
        <v/>
      </c>
      <c r="H44" s="44">
        <f>IF(D44="","",IF(ISERROR(VALUE(D44)),D44&amp;"",IF(AND(VALUE(D44)&gt;=1,VALUE(D44)&lt;=20),IF(INDEX(設定!$P$8:$P$27,VALUE(D44))="","？",INDEX(設定!$P$8:$P$27,VALUE(D44))),"？")))</f>
        <v/>
      </c>
      <c r="I44" s="44">
        <f>IF(E44="","",IF(ISERROR(VALUE(E44)),E44&amp;"",IF(AND(VALUE(E44)&gt;=1,VALUE(E44)&lt;=20),IF(INDEX(設定!$P$8:$P$27,VALUE(E44))="","？",INDEX(設定!$P$8:$P$27,VALUE(E44))),"？")))</f>
        <v/>
      </c>
      <c r="J44" s="44">
        <f>IF(F44="","",IF(ISERROR(VALUE(F44)),F44&amp;"",IF(AND(VALUE(F44)&gt;=1,VALUE(F44)&lt;=20),IF(INDEX(設定!$P$8:$P$27,VALUE(F44))="","？",INDEX(設定!$P$8:$P$27,VALUE(F44))),"？")))</f>
        <v/>
      </c>
      <c r="K44" s="45">
        <f>IF(L44="","",IF(G44="","名簿にいない",IF(COUNTIF(L45:L$552,L44)&gt;0,"2回提出（下の行を使います）",IF(OR(H44="？",I44="？",J44="？"),"クラブ番号がちがう",IF(OR(AND(H44&lt;&gt;"",H44&lt;&gt;"？",COUNTIF(設定!$P$8:$P$27,H44)=0),AND(I44&lt;&gt;"",I44&lt;&gt;"？",COUNTIF(設定!$P$8:$P$27,I44)=0),AND(J44&lt;&gt;"",J44&lt;&gt;"？",COUNTIF(設定!$P$8:$P$27,J44)=0)),"クラブ名がちがう",IF(H44="","第1希望がない",IF(OR(AND(H44&lt;&gt;"",H44=I44),AND(H44&lt;&gt;"",H44=J44),AND(I44&lt;&gt;"",I44=J44)),"同じクラブを重複して希望","OK")))))))</f>
        <v/>
      </c>
      <c r="L44" s="8">
        <f>IF(A44="","",A44&amp;"-"&amp;B44&amp;"-"&amp;C44)</f>
        <v/>
      </c>
      <c r="M44" s="8">
        <f>IF(OR(L44="",G44=""),"",IF(COUNTIF(L45:L$552,L44)=0,L44,""))</f>
        <v/>
      </c>
    </row>
    <row r="45">
      <c r="A45" s="40" t="n">
        <v>5</v>
      </c>
      <c r="B45" s="40" t="inlineStr">
        <is>
          <t>松</t>
        </is>
      </c>
      <c r="C45" s="40" t="n">
        <v>5</v>
      </c>
      <c r="D45" s="40" t="n">
        <v>3</v>
      </c>
      <c r="E45" s="40" t="n">
        <v>4</v>
      </c>
      <c r="F45" s="40" t="n">
        <v>5</v>
      </c>
      <c r="G45" s="3">
        <f>IF(L45="","",IFERROR(INDEX(前年度名簿!$D$2:$D$451,MATCH(L45,前年度名簿!$F$2:$F$451,0)),""))</f>
        <v/>
      </c>
      <c r="H45" s="44">
        <f>IF(D45="","",IF(ISERROR(VALUE(D45)),D45&amp;"",IF(AND(VALUE(D45)&gt;=1,VALUE(D45)&lt;=20),IF(INDEX(設定!$P$8:$P$27,VALUE(D45))="","？",INDEX(設定!$P$8:$P$27,VALUE(D45))),"？")))</f>
        <v/>
      </c>
      <c r="I45" s="44">
        <f>IF(E45="","",IF(ISERROR(VALUE(E45)),E45&amp;"",IF(AND(VALUE(E45)&gt;=1,VALUE(E45)&lt;=20),IF(INDEX(設定!$P$8:$P$27,VALUE(E45))="","？",INDEX(設定!$P$8:$P$27,VALUE(E45))),"？")))</f>
        <v/>
      </c>
      <c r="J45" s="44">
        <f>IF(F45="","",IF(ISERROR(VALUE(F45)),F45&amp;"",IF(AND(VALUE(F45)&gt;=1,VALUE(F45)&lt;=20),IF(INDEX(設定!$P$8:$P$27,VALUE(F45))="","？",INDEX(設定!$P$8:$P$27,VALUE(F45))),"？")))</f>
        <v/>
      </c>
      <c r="K45" s="45">
        <f>IF(L45="","",IF(G45="","名簿にいない",IF(COUNTIF(L46:L$552,L45)&gt;0,"2回提出（下の行を使います）",IF(OR(H45="？",I45="？",J45="？"),"クラブ番号がちがう",IF(OR(AND(H45&lt;&gt;"",H45&lt;&gt;"？",COUNTIF(設定!$P$8:$P$27,H45)=0),AND(I45&lt;&gt;"",I45&lt;&gt;"？",COUNTIF(設定!$P$8:$P$27,I45)=0),AND(J45&lt;&gt;"",J45&lt;&gt;"？",COUNTIF(設定!$P$8:$P$27,J45)=0)),"クラブ名がちがう",IF(H45="","第1希望がない",IF(OR(AND(H45&lt;&gt;"",H45=I45),AND(H45&lt;&gt;"",H45=J45),AND(I45&lt;&gt;"",I45=J45)),"同じクラブを重複して希望","OK")))))))</f>
        <v/>
      </c>
      <c r="L45" s="8">
        <f>IF(A45="","",A45&amp;"-"&amp;B45&amp;"-"&amp;C45)</f>
        <v/>
      </c>
      <c r="M45" s="8">
        <f>IF(OR(L45="",G45=""),"",IF(COUNTIF(L46:L$552,L45)=0,L45,""))</f>
        <v/>
      </c>
    </row>
    <row r="46">
      <c r="A46" s="40" t="n">
        <v>5</v>
      </c>
      <c r="B46" s="40" t="inlineStr">
        <is>
          <t>竹</t>
        </is>
      </c>
      <c r="C46" s="40" t="n">
        <v>19</v>
      </c>
      <c r="D46" s="40" t="n">
        <v>2</v>
      </c>
      <c r="E46" s="40" t="n">
        <v>5</v>
      </c>
      <c r="F46" s="40" t="n">
        <v>11</v>
      </c>
      <c r="G46" s="3">
        <f>IF(L46="","",IFERROR(INDEX(前年度名簿!$D$2:$D$451,MATCH(L46,前年度名簿!$F$2:$F$451,0)),""))</f>
        <v/>
      </c>
      <c r="H46" s="44">
        <f>IF(D46="","",IF(ISERROR(VALUE(D46)),D46&amp;"",IF(AND(VALUE(D46)&gt;=1,VALUE(D46)&lt;=20),IF(INDEX(設定!$P$8:$P$27,VALUE(D46))="","？",INDEX(設定!$P$8:$P$27,VALUE(D46))),"？")))</f>
        <v/>
      </c>
      <c r="I46" s="44">
        <f>IF(E46="","",IF(ISERROR(VALUE(E46)),E46&amp;"",IF(AND(VALUE(E46)&gt;=1,VALUE(E46)&lt;=20),IF(INDEX(設定!$P$8:$P$27,VALUE(E46))="","？",INDEX(設定!$P$8:$P$27,VALUE(E46))),"？")))</f>
        <v/>
      </c>
      <c r="J46" s="44">
        <f>IF(F46="","",IF(ISERROR(VALUE(F46)),F46&amp;"",IF(AND(VALUE(F46)&gt;=1,VALUE(F46)&lt;=20),IF(INDEX(設定!$P$8:$P$27,VALUE(F46))="","？",INDEX(設定!$P$8:$P$27,VALUE(F46))),"？")))</f>
        <v/>
      </c>
      <c r="K46" s="45">
        <f>IF(L46="","",IF(G46="","名簿にいない",IF(COUNTIF(L47:L$552,L46)&gt;0,"2回提出（下の行を使います）",IF(OR(H46="？",I46="？",J46="？"),"クラブ番号がちがう",IF(OR(AND(H46&lt;&gt;"",H46&lt;&gt;"？",COUNTIF(設定!$P$8:$P$27,H46)=0),AND(I46&lt;&gt;"",I46&lt;&gt;"？",COUNTIF(設定!$P$8:$P$27,I46)=0),AND(J46&lt;&gt;"",J46&lt;&gt;"？",COUNTIF(設定!$P$8:$P$27,J46)=0)),"クラブ名がちがう",IF(H46="","第1希望がない",IF(OR(AND(H46&lt;&gt;"",H46=I46),AND(H46&lt;&gt;"",H46=J46),AND(I46&lt;&gt;"",I46=J46)),"同じクラブを重複して希望","OK")))))))</f>
        <v/>
      </c>
      <c r="L46" s="8">
        <f>IF(A46="","",A46&amp;"-"&amp;B46&amp;"-"&amp;C46)</f>
        <v/>
      </c>
      <c r="M46" s="8">
        <f>IF(OR(L46="",G46=""),"",IF(COUNTIF(L47:L$552,L46)=0,L46,""))</f>
        <v/>
      </c>
    </row>
    <row r="47">
      <c r="A47" s="40" t="n">
        <v>3</v>
      </c>
      <c r="B47" s="40" t="inlineStr">
        <is>
          <t>松</t>
        </is>
      </c>
      <c r="C47" s="40" t="n">
        <v>26</v>
      </c>
      <c r="D47" s="40" t="n">
        <v>7</v>
      </c>
      <c r="E47" s="40" t="n">
        <v>1</v>
      </c>
      <c r="F47" s="40" t="n">
        <v>3</v>
      </c>
      <c r="G47" s="3">
        <f>IF(L47="","",IFERROR(INDEX(前年度名簿!$D$2:$D$451,MATCH(L47,前年度名簿!$F$2:$F$451,0)),""))</f>
        <v/>
      </c>
      <c r="H47" s="44">
        <f>IF(D47="","",IF(ISERROR(VALUE(D47)),D47&amp;"",IF(AND(VALUE(D47)&gt;=1,VALUE(D47)&lt;=20),IF(INDEX(設定!$P$8:$P$27,VALUE(D47))="","？",INDEX(設定!$P$8:$P$27,VALUE(D47))),"？")))</f>
        <v/>
      </c>
      <c r="I47" s="44">
        <f>IF(E47="","",IF(ISERROR(VALUE(E47)),E47&amp;"",IF(AND(VALUE(E47)&gt;=1,VALUE(E47)&lt;=20),IF(INDEX(設定!$P$8:$P$27,VALUE(E47))="","？",INDEX(設定!$P$8:$P$27,VALUE(E47))),"？")))</f>
        <v/>
      </c>
      <c r="J47" s="44">
        <f>IF(F47="","",IF(ISERROR(VALUE(F47)),F47&amp;"",IF(AND(VALUE(F47)&gt;=1,VALUE(F47)&lt;=20),IF(INDEX(設定!$P$8:$P$27,VALUE(F47))="","？",INDEX(設定!$P$8:$P$27,VALUE(F47))),"？")))</f>
        <v/>
      </c>
      <c r="K47" s="45">
        <f>IF(L47="","",IF(G47="","名簿にいない",IF(COUNTIF(L48:L$552,L47)&gt;0,"2回提出（下の行を使います）",IF(OR(H47="？",I47="？",J47="？"),"クラブ番号がちがう",IF(OR(AND(H47&lt;&gt;"",H47&lt;&gt;"？",COUNTIF(設定!$P$8:$P$27,H47)=0),AND(I47&lt;&gt;"",I47&lt;&gt;"？",COUNTIF(設定!$P$8:$P$27,I47)=0),AND(J47&lt;&gt;"",J47&lt;&gt;"？",COUNTIF(設定!$P$8:$P$27,J47)=0)),"クラブ名がちがう",IF(H47="","第1希望がない",IF(OR(AND(H47&lt;&gt;"",H47=I47),AND(H47&lt;&gt;"",H47=J47),AND(I47&lt;&gt;"",I47=J47)),"同じクラブを重複して希望","OK")))))))</f>
        <v/>
      </c>
      <c r="L47" s="8">
        <f>IF(A47="","",A47&amp;"-"&amp;B47&amp;"-"&amp;C47)</f>
        <v/>
      </c>
      <c r="M47" s="8">
        <f>IF(OR(L47="",G47=""),"",IF(COUNTIF(L48:L$552,L47)=0,L47,""))</f>
        <v/>
      </c>
    </row>
    <row r="48">
      <c r="A48" s="40" t="n">
        <v>5</v>
      </c>
      <c r="B48" s="40" t="inlineStr">
        <is>
          <t>梅</t>
        </is>
      </c>
      <c r="C48" s="40" t="n">
        <v>9</v>
      </c>
      <c r="D48" s="40" t="n">
        <v>3</v>
      </c>
      <c r="E48" s="40" t="n">
        <v>10</v>
      </c>
      <c r="F48" s="40" t="n">
        <v>6</v>
      </c>
      <c r="G48" s="3">
        <f>IF(L48="","",IFERROR(INDEX(前年度名簿!$D$2:$D$451,MATCH(L48,前年度名簿!$F$2:$F$451,0)),""))</f>
        <v/>
      </c>
      <c r="H48" s="44">
        <f>IF(D48="","",IF(ISERROR(VALUE(D48)),D48&amp;"",IF(AND(VALUE(D48)&gt;=1,VALUE(D48)&lt;=20),IF(INDEX(設定!$P$8:$P$27,VALUE(D48))="","？",INDEX(設定!$P$8:$P$27,VALUE(D48))),"？")))</f>
        <v/>
      </c>
      <c r="I48" s="44">
        <f>IF(E48="","",IF(ISERROR(VALUE(E48)),E48&amp;"",IF(AND(VALUE(E48)&gt;=1,VALUE(E48)&lt;=20),IF(INDEX(設定!$P$8:$P$27,VALUE(E48))="","？",INDEX(設定!$P$8:$P$27,VALUE(E48))),"？")))</f>
        <v/>
      </c>
      <c r="J48" s="44">
        <f>IF(F48="","",IF(ISERROR(VALUE(F48)),F48&amp;"",IF(AND(VALUE(F48)&gt;=1,VALUE(F48)&lt;=20),IF(INDEX(設定!$P$8:$P$27,VALUE(F48))="","？",INDEX(設定!$P$8:$P$27,VALUE(F48))),"？")))</f>
        <v/>
      </c>
      <c r="K48" s="45">
        <f>IF(L48="","",IF(G48="","名簿にいない",IF(COUNTIF(L49:L$552,L48)&gt;0,"2回提出（下の行を使います）",IF(OR(H48="？",I48="？",J48="？"),"クラブ番号がちがう",IF(OR(AND(H48&lt;&gt;"",H48&lt;&gt;"？",COUNTIF(設定!$P$8:$P$27,H48)=0),AND(I48&lt;&gt;"",I48&lt;&gt;"？",COUNTIF(設定!$P$8:$P$27,I48)=0),AND(J48&lt;&gt;"",J48&lt;&gt;"？",COUNTIF(設定!$P$8:$P$27,J48)=0)),"クラブ名がちがう",IF(H48="","第1希望がない",IF(OR(AND(H48&lt;&gt;"",H48=I48),AND(H48&lt;&gt;"",H48=J48),AND(I48&lt;&gt;"",I48=J48)),"同じクラブを重複して希望","OK")))))))</f>
        <v/>
      </c>
      <c r="L48" s="8">
        <f>IF(A48="","",A48&amp;"-"&amp;B48&amp;"-"&amp;C48)</f>
        <v/>
      </c>
      <c r="M48" s="8">
        <f>IF(OR(L48="",G48=""),"",IF(COUNTIF(L49:L$552,L48)=0,L48,""))</f>
        <v/>
      </c>
    </row>
    <row r="49">
      <c r="A49" s="40" t="n">
        <v>4</v>
      </c>
      <c r="B49" s="40" t="inlineStr">
        <is>
          <t>月</t>
        </is>
      </c>
      <c r="C49" s="40" t="n">
        <v>21</v>
      </c>
      <c r="D49" s="40" t="n">
        <v>10</v>
      </c>
      <c r="E49" s="40" t="n">
        <v>12</v>
      </c>
      <c r="F49" s="40" t="n">
        <v>9</v>
      </c>
      <c r="G49" s="3">
        <f>IF(L49="","",IFERROR(INDEX(前年度名簿!$D$2:$D$451,MATCH(L49,前年度名簿!$F$2:$F$451,0)),""))</f>
        <v/>
      </c>
      <c r="H49" s="44">
        <f>IF(D49="","",IF(ISERROR(VALUE(D49)),D49&amp;"",IF(AND(VALUE(D49)&gt;=1,VALUE(D49)&lt;=20),IF(INDEX(設定!$P$8:$P$27,VALUE(D49))="","？",INDEX(設定!$P$8:$P$27,VALUE(D49))),"？")))</f>
        <v/>
      </c>
      <c r="I49" s="44">
        <f>IF(E49="","",IF(ISERROR(VALUE(E49)),E49&amp;"",IF(AND(VALUE(E49)&gt;=1,VALUE(E49)&lt;=20),IF(INDEX(設定!$P$8:$P$27,VALUE(E49))="","？",INDEX(設定!$P$8:$P$27,VALUE(E49))),"？")))</f>
        <v/>
      </c>
      <c r="J49" s="44">
        <f>IF(F49="","",IF(ISERROR(VALUE(F49)),F49&amp;"",IF(AND(VALUE(F49)&gt;=1,VALUE(F49)&lt;=20),IF(INDEX(設定!$P$8:$P$27,VALUE(F49))="","？",INDEX(設定!$P$8:$P$27,VALUE(F49))),"？")))</f>
        <v/>
      </c>
      <c r="K49" s="45">
        <f>IF(L49="","",IF(G49="","名簿にいない",IF(COUNTIF(L50:L$552,L49)&gt;0,"2回提出（下の行を使います）",IF(OR(H49="？",I49="？",J49="？"),"クラブ番号がちがう",IF(OR(AND(H49&lt;&gt;"",H49&lt;&gt;"？",COUNTIF(設定!$P$8:$P$27,H49)=0),AND(I49&lt;&gt;"",I49&lt;&gt;"？",COUNTIF(設定!$P$8:$P$27,I49)=0),AND(J49&lt;&gt;"",J49&lt;&gt;"？",COUNTIF(設定!$P$8:$P$27,J49)=0)),"クラブ名がちがう",IF(H49="","第1希望がない",IF(OR(AND(H49&lt;&gt;"",H49=I49),AND(H49&lt;&gt;"",H49=J49),AND(I49&lt;&gt;"",I49=J49)),"同じクラブを重複して希望","OK")))))))</f>
        <v/>
      </c>
      <c r="L49" s="8">
        <f>IF(A49="","",A49&amp;"-"&amp;B49&amp;"-"&amp;C49)</f>
        <v/>
      </c>
      <c r="M49" s="8">
        <f>IF(OR(L49="",G49=""),"",IF(COUNTIF(L50:L$552,L49)=0,L49,""))</f>
        <v/>
      </c>
    </row>
    <row r="50">
      <c r="A50" s="40" t="n">
        <v>3</v>
      </c>
      <c r="B50" s="40" t="inlineStr">
        <is>
          <t>松</t>
        </is>
      </c>
      <c r="C50" s="40" t="n">
        <v>30</v>
      </c>
      <c r="D50" s="40" t="n">
        <v>2</v>
      </c>
      <c r="E50" s="40" t="n">
        <v>3</v>
      </c>
      <c r="F50" s="40" t="n">
        <v>8</v>
      </c>
      <c r="G50" s="3">
        <f>IF(L50="","",IFERROR(INDEX(前年度名簿!$D$2:$D$451,MATCH(L50,前年度名簿!$F$2:$F$451,0)),""))</f>
        <v/>
      </c>
      <c r="H50" s="44">
        <f>IF(D50="","",IF(ISERROR(VALUE(D50)),D50&amp;"",IF(AND(VALUE(D50)&gt;=1,VALUE(D50)&lt;=20),IF(INDEX(設定!$P$8:$P$27,VALUE(D50))="","？",INDEX(設定!$P$8:$P$27,VALUE(D50))),"？")))</f>
        <v/>
      </c>
      <c r="I50" s="44">
        <f>IF(E50="","",IF(ISERROR(VALUE(E50)),E50&amp;"",IF(AND(VALUE(E50)&gt;=1,VALUE(E50)&lt;=20),IF(INDEX(設定!$P$8:$P$27,VALUE(E50))="","？",INDEX(設定!$P$8:$P$27,VALUE(E50))),"？")))</f>
        <v/>
      </c>
      <c r="J50" s="44">
        <f>IF(F50="","",IF(ISERROR(VALUE(F50)),F50&amp;"",IF(AND(VALUE(F50)&gt;=1,VALUE(F50)&lt;=20),IF(INDEX(設定!$P$8:$P$27,VALUE(F50))="","？",INDEX(設定!$P$8:$P$27,VALUE(F50))),"？")))</f>
        <v/>
      </c>
      <c r="K50" s="45">
        <f>IF(L50="","",IF(G50="","名簿にいない",IF(COUNTIF(L51:L$552,L50)&gt;0,"2回提出（下の行を使います）",IF(OR(H50="？",I50="？",J50="？"),"クラブ番号がちがう",IF(OR(AND(H50&lt;&gt;"",H50&lt;&gt;"？",COUNTIF(設定!$P$8:$P$27,H50)=0),AND(I50&lt;&gt;"",I50&lt;&gt;"？",COUNTIF(設定!$P$8:$P$27,I50)=0),AND(J50&lt;&gt;"",J50&lt;&gt;"？",COUNTIF(設定!$P$8:$P$27,J50)=0)),"クラブ名がちがう",IF(H50="","第1希望がない",IF(OR(AND(H50&lt;&gt;"",H50=I50),AND(H50&lt;&gt;"",H50=J50),AND(I50&lt;&gt;"",I50=J50)),"同じクラブを重複して希望","OK")))))))</f>
        <v/>
      </c>
      <c r="L50" s="8">
        <f>IF(A50="","",A50&amp;"-"&amp;B50&amp;"-"&amp;C50)</f>
        <v/>
      </c>
      <c r="M50" s="8">
        <f>IF(OR(L50="",G50=""),"",IF(COUNTIF(L51:L$552,L50)=0,L50,""))</f>
        <v/>
      </c>
    </row>
    <row r="51">
      <c r="A51" s="40" t="n">
        <v>4</v>
      </c>
      <c r="B51" s="40" t="inlineStr">
        <is>
          <t>月</t>
        </is>
      </c>
      <c r="C51" s="40" t="n">
        <v>27</v>
      </c>
      <c r="D51" s="40" t="n">
        <v>3</v>
      </c>
      <c r="E51" s="40" t="n">
        <v>4</v>
      </c>
      <c r="F51" s="40" t="n">
        <v>2</v>
      </c>
      <c r="G51" s="3">
        <f>IF(L51="","",IFERROR(INDEX(前年度名簿!$D$2:$D$451,MATCH(L51,前年度名簿!$F$2:$F$451,0)),""))</f>
        <v/>
      </c>
      <c r="H51" s="44">
        <f>IF(D51="","",IF(ISERROR(VALUE(D51)),D51&amp;"",IF(AND(VALUE(D51)&gt;=1,VALUE(D51)&lt;=20),IF(INDEX(設定!$P$8:$P$27,VALUE(D51))="","？",INDEX(設定!$P$8:$P$27,VALUE(D51))),"？")))</f>
        <v/>
      </c>
      <c r="I51" s="44">
        <f>IF(E51="","",IF(ISERROR(VALUE(E51)),E51&amp;"",IF(AND(VALUE(E51)&gt;=1,VALUE(E51)&lt;=20),IF(INDEX(設定!$P$8:$P$27,VALUE(E51))="","？",INDEX(設定!$P$8:$P$27,VALUE(E51))),"？")))</f>
        <v/>
      </c>
      <c r="J51" s="44">
        <f>IF(F51="","",IF(ISERROR(VALUE(F51)),F51&amp;"",IF(AND(VALUE(F51)&gt;=1,VALUE(F51)&lt;=20),IF(INDEX(設定!$P$8:$P$27,VALUE(F51))="","？",INDEX(設定!$P$8:$P$27,VALUE(F51))),"？")))</f>
        <v/>
      </c>
      <c r="K51" s="45">
        <f>IF(L51="","",IF(G51="","名簿にいない",IF(COUNTIF(L52:L$552,L51)&gt;0,"2回提出（下の行を使います）",IF(OR(H51="？",I51="？",J51="？"),"クラブ番号がちがう",IF(OR(AND(H51&lt;&gt;"",H51&lt;&gt;"？",COUNTIF(設定!$P$8:$P$27,H51)=0),AND(I51&lt;&gt;"",I51&lt;&gt;"？",COUNTIF(設定!$P$8:$P$27,I51)=0),AND(J51&lt;&gt;"",J51&lt;&gt;"？",COUNTIF(設定!$P$8:$P$27,J51)=0)),"クラブ名がちがう",IF(H51="","第1希望がない",IF(OR(AND(H51&lt;&gt;"",H51=I51),AND(H51&lt;&gt;"",H51=J51),AND(I51&lt;&gt;"",I51=J51)),"同じクラブを重複して希望","OK")))))))</f>
        <v/>
      </c>
      <c r="L51" s="8">
        <f>IF(A51="","",A51&amp;"-"&amp;B51&amp;"-"&amp;C51)</f>
        <v/>
      </c>
      <c r="M51" s="8">
        <f>IF(OR(L51="",G51=""),"",IF(COUNTIF(L52:L$552,L51)=0,L51,""))</f>
        <v/>
      </c>
    </row>
    <row r="52">
      <c r="A52" s="40" t="n">
        <v>3</v>
      </c>
      <c r="B52" s="40" t="inlineStr">
        <is>
          <t>月</t>
        </is>
      </c>
      <c r="C52" s="40" t="n">
        <v>25</v>
      </c>
      <c r="D52" s="40" t="n">
        <v>9</v>
      </c>
      <c r="E52" s="40" t="n">
        <v>3</v>
      </c>
      <c r="F52" s="40" t="n">
        <v>6</v>
      </c>
      <c r="G52" s="3">
        <f>IF(L52="","",IFERROR(INDEX(前年度名簿!$D$2:$D$451,MATCH(L52,前年度名簿!$F$2:$F$451,0)),""))</f>
        <v/>
      </c>
      <c r="H52" s="44">
        <f>IF(D52="","",IF(ISERROR(VALUE(D52)),D52&amp;"",IF(AND(VALUE(D52)&gt;=1,VALUE(D52)&lt;=20),IF(INDEX(設定!$P$8:$P$27,VALUE(D52))="","？",INDEX(設定!$P$8:$P$27,VALUE(D52))),"？")))</f>
        <v/>
      </c>
      <c r="I52" s="44">
        <f>IF(E52="","",IF(ISERROR(VALUE(E52)),E52&amp;"",IF(AND(VALUE(E52)&gt;=1,VALUE(E52)&lt;=20),IF(INDEX(設定!$P$8:$P$27,VALUE(E52))="","？",INDEX(設定!$P$8:$P$27,VALUE(E52))),"？")))</f>
        <v/>
      </c>
      <c r="J52" s="44">
        <f>IF(F52="","",IF(ISERROR(VALUE(F52)),F52&amp;"",IF(AND(VALUE(F52)&gt;=1,VALUE(F52)&lt;=20),IF(INDEX(設定!$P$8:$P$27,VALUE(F52))="","？",INDEX(設定!$P$8:$P$27,VALUE(F52))),"？")))</f>
        <v/>
      </c>
      <c r="K52" s="45">
        <f>IF(L52="","",IF(G52="","名簿にいない",IF(COUNTIF(L53:L$552,L52)&gt;0,"2回提出（下の行を使います）",IF(OR(H52="？",I52="？",J52="？"),"クラブ番号がちがう",IF(OR(AND(H52&lt;&gt;"",H52&lt;&gt;"？",COUNTIF(設定!$P$8:$P$27,H52)=0),AND(I52&lt;&gt;"",I52&lt;&gt;"？",COUNTIF(設定!$P$8:$P$27,I52)=0),AND(J52&lt;&gt;"",J52&lt;&gt;"？",COUNTIF(設定!$P$8:$P$27,J52)=0)),"クラブ名がちがう",IF(H52="","第1希望がない",IF(OR(AND(H52&lt;&gt;"",H52=I52),AND(H52&lt;&gt;"",H52=J52),AND(I52&lt;&gt;"",I52=J52)),"同じクラブを重複して希望","OK")))))))</f>
        <v/>
      </c>
      <c r="L52" s="8">
        <f>IF(A52="","",A52&amp;"-"&amp;B52&amp;"-"&amp;C52)</f>
        <v/>
      </c>
      <c r="M52" s="8">
        <f>IF(OR(L52="",G52=""),"",IF(COUNTIF(L53:L$552,L52)=0,L52,""))</f>
        <v/>
      </c>
    </row>
    <row r="53">
      <c r="A53" s="40" t="n">
        <v>3</v>
      </c>
      <c r="B53" s="40" t="inlineStr">
        <is>
          <t>月</t>
        </is>
      </c>
      <c r="C53" s="40" t="n">
        <v>28</v>
      </c>
      <c r="D53" s="40" t="n">
        <v>11</v>
      </c>
      <c r="E53" s="40" t="n">
        <v>6</v>
      </c>
      <c r="F53" s="40" t="n">
        <v>7</v>
      </c>
      <c r="G53" s="3">
        <f>IF(L53="","",IFERROR(INDEX(前年度名簿!$D$2:$D$451,MATCH(L53,前年度名簿!$F$2:$F$451,0)),""))</f>
        <v/>
      </c>
      <c r="H53" s="44">
        <f>IF(D53="","",IF(ISERROR(VALUE(D53)),D53&amp;"",IF(AND(VALUE(D53)&gt;=1,VALUE(D53)&lt;=20),IF(INDEX(設定!$P$8:$P$27,VALUE(D53))="","？",INDEX(設定!$P$8:$P$27,VALUE(D53))),"？")))</f>
        <v/>
      </c>
      <c r="I53" s="44">
        <f>IF(E53="","",IF(ISERROR(VALUE(E53)),E53&amp;"",IF(AND(VALUE(E53)&gt;=1,VALUE(E53)&lt;=20),IF(INDEX(設定!$P$8:$P$27,VALUE(E53))="","？",INDEX(設定!$P$8:$P$27,VALUE(E53))),"？")))</f>
        <v/>
      </c>
      <c r="J53" s="44">
        <f>IF(F53="","",IF(ISERROR(VALUE(F53)),F53&amp;"",IF(AND(VALUE(F53)&gt;=1,VALUE(F53)&lt;=20),IF(INDEX(設定!$P$8:$P$27,VALUE(F53))="","？",INDEX(設定!$P$8:$P$27,VALUE(F53))),"？")))</f>
        <v/>
      </c>
      <c r="K53" s="45">
        <f>IF(L53="","",IF(G53="","名簿にいない",IF(COUNTIF(L54:L$552,L53)&gt;0,"2回提出（下の行を使います）",IF(OR(H53="？",I53="？",J53="？"),"クラブ番号がちがう",IF(OR(AND(H53&lt;&gt;"",H53&lt;&gt;"？",COUNTIF(設定!$P$8:$P$27,H53)=0),AND(I53&lt;&gt;"",I53&lt;&gt;"？",COUNTIF(設定!$P$8:$P$27,I53)=0),AND(J53&lt;&gt;"",J53&lt;&gt;"？",COUNTIF(設定!$P$8:$P$27,J53)=0)),"クラブ名がちがう",IF(H53="","第1希望がない",IF(OR(AND(H53&lt;&gt;"",H53=I53),AND(H53&lt;&gt;"",H53=J53),AND(I53&lt;&gt;"",I53=J53)),"同じクラブを重複して希望","OK")))))))</f>
        <v/>
      </c>
      <c r="L53" s="8">
        <f>IF(A53="","",A53&amp;"-"&amp;B53&amp;"-"&amp;C53)</f>
        <v/>
      </c>
      <c r="M53" s="8">
        <f>IF(OR(L53="",G53=""),"",IF(COUNTIF(L54:L$552,L53)=0,L53,""))</f>
        <v/>
      </c>
    </row>
    <row r="54">
      <c r="A54" s="40" t="n">
        <v>4</v>
      </c>
      <c r="B54" s="40" t="inlineStr">
        <is>
          <t>竹</t>
        </is>
      </c>
      <c r="C54" s="40" t="n">
        <v>22</v>
      </c>
      <c r="D54" s="40" t="n">
        <v>7</v>
      </c>
      <c r="E54" s="40" t="n">
        <v>8</v>
      </c>
      <c r="F54" s="40" t="n">
        <v>4</v>
      </c>
      <c r="G54" s="3">
        <f>IF(L54="","",IFERROR(INDEX(前年度名簿!$D$2:$D$451,MATCH(L54,前年度名簿!$F$2:$F$451,0)),""))</f>
        <v/>
      </c>
      <c r="H54" s="44">
        <f>IF(D54="","",IF(ISERROR(VALUE(D54)),D54&amp;"",IF(AND(VALUE(D54)&gt;=1,VALUE(D54)&lt;=20),IF(INDEX(設定!$P$8:$P$27,VALUE(D54))="","？",INDEX(設定!$P$8:$P$27,VALUE(D54))),"？")))</f>
        <v/>
      </c>
      <c r="I54" s="44">
        <f>IF(E54="","",IF(ISERROR(VALUE(E54)),E54&amp;"",IF(AND(VALUE(E54)&gt;=1,VALUE(E54)&lt;=20),IF(INDEX(設定!$P$8:$P$27,VALUE(E54))="","？",INDEX(設定!$P$8:$P$27,VALUE(E54))),"？")))</f>
        <v/>
      </c>
      <c r="J54" s="44">
        <f>IF(F54="","",IF(ISERROR(VALUE(F54)),F54&amp;"",IF(AND(VALUE(F54)&gt;=1,VALUE(F54)&lt;=20),IF(INDEX(設定!$P$8:$P$27,VALUE(F54))="","？",INDEX(設定!$P$8:$P$27,VALUE(F54))),"？")))</f>
        <v/>
      </c>
      <c r="K54" s="45">
        <f>IF(L54="","",IF(G54="","名簿にいない",IF(COUNTIF(L55:L$552,L54)&gt;0,"2回提出（下の行を使います）",IF(OR(H54="？",I54="？",J54="？"),"クラブ番号がちがう",IF(OR(AND(H54&lt;&gt;"",H54&lt;&gt;"？",COUNTIF(設定!$P$8:$P$27,H54)=0),AND(I54&lt;&gt;"",I54&lt;&gt;"？",COUNTIF(設定!$P$8:$P$27,I54)=0),AND(J54&lt;&gt;"",J54&lt;&gt;"？",COUNTIF(設定!$P$8:$P$27,J54)=0)),"クラブ名がちがう",IF(H54="","第1希望がない",IF(OR(AND(H54&lt;&gt;"",H54=I54),AND(H54&lt;&gt;"",H54=J54),AND(I54&lt;&gt;"",I54=J54)),"同じクラブを重複して希望","OK")))))))</f>
        <v/>
      </c>
      <c r="L54" s="8">
        <f>IF(A54="","",A54&amp;"-"&amp;B54&amp;"-"&amp;C54)</f>
        <v/>
      </c>
      <c r="M54" s="8">
        <f>IF(OR(L54="",G54=""),"",IF(COUNTIF(L55:L$552,L54)=0,L54,""))</f>
        <v/>
      </c>
    </row>
    <row r="55">
      <c r="A55" s="40" t="n">
        <v>3</v>
      </c>
      <c r="B55" s="40" t="inlineStr">
        <is>
          <t>梅</t>
        </is>
      </c>
      <c r="C55" s="40" t="n">
        <v>2</v>
      </c>
      <c r="D55" s="40" t="n">
        <v>7</v>
      </c>
      <c r="E55" s="40" t="n">
        <v>8</v>
      </c>
      <c r="F55" s="40" t="n">
        <v>9</v>
      </c>
      <c r="G55" s="3">
        <f>IF(L55="","",IFERROR(INDEX(前年度名簿!$D$2:$D$451,MATCH(L55,前年度名簿!$F$2:$F$451,0)),""))</f>
        <v/>
      </c>
      <c r="H55" s="44">
        <f>IF(D55="","",IF(ISERROR(VALUE(D55)),D55&amp;"",IF(AND(VALUE(D55)&gt;=1,VALUE(D55)&lt;=20),IF(INDEX(設定!$P$8:$P$27,VALUE(D55))="","？",INDEX(設定!$P$8:$P$27,VALUE(D55))),"？")))</f>
        <v/>
      </c>
      <c r="I55" s="44">
        <f>IF(E55="","",IF(ISERROR(VALUE(E55)),E55&amp;"",IF(AND(VALUE(E55)&gt;=1,VALUE(E55)&lt;=20),IF(INDEX(設定!$P$8:$P$27,VALUE(E55))="","？",INDEX(設定!$P$8:$P$27,VALUE(E55))),"？")))</f>
        <v/>
      </c>
      <c r="J55" s="44">
        <f>IF(F55="","",IF(ISERROR(VALUE(F55)),F55&amp;"",IF(AND(VALUE(F55)&gt;=1,VALUE(F55)&lt;=20),IF(INDEX(設定!$P$8:$P$27,VALUE(F55))="","？",INDEX(設定!$P$8:$P$27,VALUE(F55))),"？")))</f>
        <v/>
      </c>
      <c r="K55" s="45">
        <f>IF(L55="","",IF(G55="","名簿にいない",IF(COUNTIF(L56:L$552,L55)&gt;0,"2回提出（下の行を使います）",IF(OR(H55="？",I55="？",J55="？"),"クラブ番号がちがう",IF(OR(AND(H55&lt;&gt;"",H55&lt;&gt;"？",COUNTIF(設定!$P$8:$P$27,H55)=0),AND(I55&lt;&gt;"",I55&lt;&gt;"？",COUNTIF(設定!$P$8:$P$27,I55)=0),AND(J55&lt;&gt;"",J55&lt;&gt;"？",COUNTIF(設定!$P$8:$P$27,J55)=0)),"クラブ名がちがう",IF(H55="","第1希望がない",IF(OR(AND(H55&lt;&gt;"",H55=I55),AND(H55&lt;&gt;"",H55=J55),AND(I55&lt;&gt;"",I55=J55)),"同じクラブを重複して希望","OK")))))))</f>
        <v/>
      </c>
      <c r="L55" s="8">
        <f>IF(A55="","",A55&amp;"-"&amp;B55&amp;"-"&amp;C55)</f>
        <v/>
      </c>
      <c r="M55" s="8">
        <f>IF(OR(L55="",G55=""),"",IF(COUNTIF(L56:L$552,L55)=0,L55,""))</f>
        <v/>
      </c>
    </row>
    <row r="56">
      <c r="A56" s="40" t="n">
        <v>3</v>
      </c>
      <c r="B56" s="40" t="inlineStr">
        <is>
          <t>竹</t>
        </is>
      </c>
      <c r="C56" s="40" t="n">
        <v>10</v>
      </c>
      <c r="D56" s="40" t="n">
        <v>4</v>
      </c>
      <c r="E56" s="40" t="n">
        <v>10</v>
      </c>
      <c r="F56" s="40" t="n">
        <v>6</v>
      </c>
      <c r="G56" s="3">
        <f>IF(L56="","",IFERROR(INDEX(前年度名簿!$D$2:$D$451,MATCH(L56,前年度名簿!$F$2:$F$451,0)),""))</f>
        <v/>
      </c>
      <c r="H56" s="44">
        <f>IF(D56="","",IF(ISERROR(VALUE(D56)),D56&amp;"",IF(AND(VALUE(D56)&gt;=1,VALUE(D56)&lt;=20),IF(INDEX(設定!$P$8:$P$27,VALUE(D56))="","？",INDEX(設定!$P$8:$P$27,VALUE(D56))),"？")))</f>
        <v/>
      </c>
      <c r="I56" s="44">
        <f>IF(E56="","",IF(ISERROR(VALUE(E56)),E56&amp;"",IF(AND(VALUE(E56)&gt;=1,VALUE(E56)&lt;=20),IF(INDEX(設定!$P$8:$P$27,VALUE(E56))="","？",INDEX(設定!$P$8:$P$27,VALUE(E56))),"？")))</f>
        <v/>
      </c>
      <c r="J56" s="44">
        <f>IF(F56="","",IF(ISERROR(VALUE(F56)),F56&amp;"",IF(AND(VALUE(F56)&gt;=1,VALUE(F56)&lt;=20),IF(INDEX(設定!$P$8:$P$27,VALUE(F56))="","？",INDEX(設定!$P$8:$P$27,VALUE(F56))),"？")))</f>
        <v/>
      </c>
      <c r="K56" s="45">
        <f>IF(L56="","",IF(G56="","名簿にいない",IF(COUNTIF(L57:L$552,L56)&gt;0,"2回提出（下の行を使います）",IF(OR(H56="？",I56="？",J56="？"),"クラブ番号がちがう",IF(OR(AND(H56&lt;&gt;"",H56&lt;&gt;"？",COUNTIF(設定!$P$8:$P$27,H56)=0),AND(I56&lt;&gt;"",I56&lt;&gt;"？",COUNTIF(設定!$P$8:$P$27,I56)=0),AND(J56&lt;&gt;"",J56&lt;&gt;"？",COUNTIF(設定!$P$8:$P$27,J56)=0)),"クラブ名がちがう",IF(H56="","第1希望がない",IF(OR(AND(H56&lt;&gt;"",H56=I56),AND(H56&lt;&gt;"",H56=J56),AND(I56&lt;&gt;"",I56=J56)),"同じクラブを重複して希望","OK")))))))</f>
        <v/>
      </c>
      <c r="L56" s="8">
        <f>IF(A56="","",A56&amp;"-"&amp;B56&amp;"-"&amp;C56)</f>
        <v/>
      </c>
      <c r="M56" s="8">
        <f>IF(OR(L56="",G56=""),"",IF(COUNTIF(L57:L$552,L56)=0,L56,""))</f>
        <v/>
      </c>
    </row>
    <row r="57">
      <c r="A57" s="40" t="n">
        <v>5</v>
      </c>
      <c r="B57" s="40" t="inlineStr">
        <is>
          <t>松</t>
        </is>
      </c>
      <c r="C57" s="40" t="n">
        <v>7</v>
      </c>
      <c r="D57" s="40" t="n">
        <v>3</v>
      </c>
      <c r="E57" s="40" t="n">
        <v>5</v>
      </c>
      <c r="F57" s="40" t="n">
        <v>11</v>
      </c>
      <c r="G57" s="3">
        <f>IF(L57="","",IFERROR(INDEX(前年度名簿!$D$2:$D$451,MATCH(L57,前年度名簿!$F$2:$F$451,0)),""))</f>
        <v/>
      </c>
      <c r="H57" s="44">
        <f>IF(D57="","",IF(ISERROR(VALUE(D57)),D57&amp;"",IF(AND(VALUE(D57)&gt;=1,VALUE(D57)&lt;=20),IF(INDEX(設定!$P$8:$P$27,VALUE(D57))="","？",INDEX(設定!$P$8:$P$27,VALUE(D57))),"？")))</f>
        <v/>
      </c>
      <c r="I57" s="44">
        <f>IF(E57="","",IF(ISERROR(VALUE(E57)),E57&amp;"",IF(AND(VALUE(E57)&gt;=1,VALUE(E57)&lt;=20),IF(INDEX(設定!$P$8:$P$27,VALUE(E57))="","？",INDEX(設定!$P$8:$P$27,VALUE(E57))),"？")))</f>
        <v/>
      </c>
      <c r="J57" s="44">
        <f>IF(F57="","",IF(ISERROR(VALUE(F57)),F57&amp;"",IF(AND(VALUE(F57)&gt;=1,VALUE(F57)&lt;=20),IF(INDEX(設定!$P$8:$P$27,VALUE(F57))="","？",INDEX(設定!$P$8:$P$27,VALUE(F57))),"？")))</f>
        <v/>
      </c>
      <c r="K57" s="45">
        <f>IF(L57="","",IF(G57="","名簿にいない",IF(COUNTIF(L58:L$552,L57)&gt;0,"2回提出（下の行を使います）",IF(OR(H57="？",I57="？",J57="？"),"クラブ番号がちがう",IF(OR(AND(H57&lt;&gt;"",H57&lt;&gt;"？",COUNTIF(設定!$P$8:$P$27,H57)=0),AND(I57&lt;&gt;"",I57&lt;&gt;"？",COUNTIF(設定!$P$8:$P$27,I57)=0),AND(J57&lt;&gt;"",J57&lt;&gt;"？",COUNTIF(設定!$P$8:$P$27,J57)=0)),"クラブ名がちがう",IF(H57="","第1希望がない",IF(OR(AND(H57&lt;&gt;"",H57=I57),AND(H57&lt;&gt;"",H57=J57),AND(I57&lt;&gt;"",I57=J57)),"同じクラブを重複して希望","OK")))))))</f>
        <v/>
      </c>
      <c r="L57" s="8">
        <f>IF(A57="","",A57&amp;"-"&amp;B57&amp;"-"&amp;C57)</f>
        <v/>
      </c>
      <c r="M57" s="8">
        <f>IF(OR(L57="",G57=""),"",IF(COUNTIF(L58:L$552,L57)=0,L57,""))</f>
        <v/>
      </c>
    </row>
    <row r="58">
      <c r="A58" s="40" t="n">
        <v>5</v>
      </c>
      <c r="B58" s="40" t="inlineStr">
        <is>
          <t>月</t>
        </is>
      </c>
      <c r="C58" s="40" t="n">
        <v>9</v>
      </c>
      <c r="D58" s="40" t="n">
        <v>3</v>
      </c>
      <c r="E58" s="40" t="n">
        <v>9</v>
      </c>
      <c r="F58" s="40" t="n">
        <v>7</v>
      </c>
      <c r="G58" s="3">
        <f>IF(L58="","",IFERROR(INDEX(前年度名簿!$D$2:$D$451,MATCH(L58,前年度名簿!$F$2:$F$451,0)),""))</f>
        <v/>
      </c>
      <c r="H58" s="44">
        <f>IF(D58="","",IF(ISERROR(VALUE(D58)),D58&amp;"",IF(AND(VALUE(D58)&gt;=1,VALUE(D58)&lt;=20),IF(INDEX(設定!$P$8:$P$27,VALUE(D58))="","？",INDEX(設定!$P$8:$P$27,VALUE(D58))),"？")))</f>
        <v/>
      </c>
      <c r="I58" s="44">
        <f>IF(E58="","",IF(ISERROR(VALUE(E58)),E58&amp;"",IF(AND(VALUE(E58)&gt;=1,VALUE(E58)&lt;=20),IF(INDEX(設定!$P$8:$P$27,VALUE(E58))="","？",INDEX(設定!$P$8:$P$27,VALUE(E58))),"？")))</f>
        <v/>
      </c>
      <c r="J58" s="44">
        <f>IF(F58="","",IF(ISERROR(VALUE(F58)),F58&amp;"",IF(AND(VALUE(F58)&gt;=1,VALUE(F58)&lt;=20),IF(INDEX(設定!$P$8:$P$27,VALUE(F58))="","？",INDEX(設定!$P$8:$P$27,VALUE(F58))),"？")))</f>
        <v/>
      </c>
      <c r="K58" s="45">
        <f>IF(L58="","",IF(G58="","名簿にいない",IF(COUNTIF(L59:L$552,L58)&gt;0,"2回提出（下の行を使います）",IF(OR(H58="？",I58="？",J58="？"),"クラブ番号がちがう",IF(OR(AND(H58&lt;&gt;"",H58&lt;&gt;"？",COUNTIF(設定!$P$8:$P$27,H58)=0),AND(I58&lt;&gt;"",I58&lt;&gt;"？",COUNTIF(設定!$P$8:$P$27,I58)=0),AND(J58&lt;&gt;"",J58&lt;&gt;"？",COUNTIF(設定!$P$8:$P$27,J58)=0)),"クラブ名がちがう",IF(H58="","第1希望がない",IF(OR(AND(H58&lt;&gt;"",H58=I58),AND(H58&lt;&gt;"",H58=J58),AND(I58&lt;&gt;"",I58=J58)),"同じクラブを重複して希望","OK")))))))</f>
        <v/>
      </c>
      <c r="L58" s="8">
        <f>IF(A58="","",A58&amp;"-"&amp;B58&amp;"-"&amp;C58)</f>
        <v/>
      </c>
      <c r="M58" s="8">
        <f>IF(OR(L58="",G58=""),"",IF(COUNTIF(L59:L$552,L58)=0,L58,""))</f>
        <v/>
      </c>
    </row>
    <row r="59">
      <c r="A59" s="40" t="n">
        <v>4</v>
      </c>
      <c r="B59" s="40" t="inlineStr">
        <is>
          <t>竹</t>
        </is>
      </c>
      <c r="C59" s="40" t="n">
        <v>1</v>
      </c>
      <c r="D59" s="40" t="n">
        <v>4</v>
      </c>
      <c r="E59" s="40" t="n">
        <v>3</v>
      </c>
      <c r="F59" s="40" t="n">
        <v>8</v>
      </c>
      <c r="G59" s="3">
        <f>IF(L59="","",IFERROR(INDEX(前年度名簿!$D$2:$D$451,MATCH(L59,前年度名簿!$F$2:$F$451,0)),""))</f>
        <v/>
      </c>
      <c r="H59" s="44">
        <f>IF(D59="","",IF(ISERROR(VALUE(D59)),D59&amp;"",IF(AND(VALUE(D59)&gt;=1,VALUE(D59)&lt;=20),IF(INDEX(設定!$P$8:$P$27,VALUE(D59))="","？",INDEX(設定!$P$8:$P$27,VALUE(D59))),"？")))</f>
        <v/>
      </c>
      <c r="I59" s="44">
        <f>IF(E59="","",IF(ISERROR(VALUE(E59)),E59&amp;"",IF(AND(VALUE(E59)&gt;=1,VALUE(E59)&lt;=20),IF(INDEX(設定!$P$8:$P$27,VALUE(E59))="","？",INDEX(設定!$P$8:$P$27,VALUE(E59))),"？")))</f>
        <v/>
      </c>
      <c r="J59" s="44">
        <f>IF(F59="","",IF(ISERROR(VALUE(F59)),F59&amp;"",IF(AND(VALUE(F59)&gt;=1,VALUE(F59)&lt;=20),IF(INDEX(設定!$P$8:$P$27,VALUE(F59))="","？",INDEX(設定!$P$8:$P$27,VALUE(F59))),"？")))</f>
        <v/>
      </c>
      <c r="K59" s="45">
        <f>IF(L59="","",IF(G59="","名簿にいない",IF(COUNTIF(L60:L$552,L59)&gt;0,"2回提出（下の行を使います）",IF(OR(H59="？",I59="？",J59="？"),"クラブ番号がちがう",IF(OR(AND(H59&lt;&gt;"",H59&lt;&gt;"？",COUNTIF(設定!$P$8:$P$27,H59)=0),AND(I59&lt;&gt;"",I59&lt;&gt;"？",COUNTIF(設定!$P$8:$P$27,I59)=0),AND(J59&lt;&gt;"",J59&lt;&gt;"？",COUNTIF(設定!$P$8:$P$27,J59)=0)),"クラブ名がちがう",IF(H59="","第1希望がない",IF(OR(AND(H59&lt;&gt;"",H59=I59),AND(H59&lt;&gt;"",H59=J59),AND(I59&lt;&gt;"",I59=J59)),"同じクラブを重複して希望","OK")))))))</f>
        <v/>
      </c>
      <c r="L59" s="8">
        <f>IF(A59="","",A59&amp;"-"&amp;B59&amp;"-"&amp;C59)</f>
        <v/>
      </c>
      <c r="M59" s="8">
        <f>IF(OR(L59="",G59=""),"",IF(COUNTIF(L60:L$552,L59)=0,L59,""))</f>
        <v/>
      </c>
    </row>
    <row r="60">
      <c r="A60" s="40" t="n">
        <v>4</v>
      </c>
      <c r="B60" s="40" t="inlineStr">
        <is>
          <t>梅</t>
        </is>
      </c>
      <c r="C60" s="40" t="n">
        <v>30</v>
      </c>
      <c r="D60" s="40" t="n">
        <v>2</v>
      </c>
      <c r="E60" s="40" t="n">
        <v>4</v>
      </c>
      <c r="F60" s="40" t="n">
        <v>11</v>
      </c>
      <c r="G60" s="3">
        <f>IF(L60="","",IFERROR(INDEX(前年度名簿!$D$2:$D$451,MATCH(L60,前年度名簿!$F$2:$F$451,0)),""))</f>
        <v/>
      </c>
      <c r="H60" s="44">
        <f>IF(D60="","",IF(ISERROR(VALUE(D60)),D60&amp;"",IF(AND(VALUE(D60)&gt;=1,VALUE(D60)&lt;=20),IF(INDEX(設定!$P$8:$P$27,VALUE(D60))="","？",INDEX(設定!$P$8:$P$27,VALUE(D60))),"？")))</f>
        <v/>
      </c>
      <c r="I60" s="44">
        <f>IF(E60="","",IF(ISERROR(VALUE(E60)),E60&amp;"",IF(AND(VALUE(E60)&gt;=1,VALUE(E60)&lt;=20),IF(INDEX(設定!$P$8:$P$27,VALUE(E60))="","？",INDEX(設定!$P$8:$P$27,VALUE(E60))),"？")))</f>
        <v/>
      </c>
      <c r="J60" s="44">
        <f>IF(F60="","",IF(ISERROR(VALUE(F60)),F60&amp;"",IF(AND(VALUE(F60)&gt;=1,VALUE(F60)&lt;=20),IF(INDEX(設定!$P$8:$P$27,VALUE(F60))="","？",INDEX(設定!$P$8:$P$27,VALUE(F60))),"？")))</f>
        <v/>
      </c>
      <c r="K60" s="45">
        <f>IF(L60="","",IF(G60="","名簿にいない",IF(COUNTIF(L61:L$552,L60)&gt;0,"2回提出（下の行を使います）",IF(OR(H60="？",I60="？",J60="？"),"クラブ番号がちがう",IF(OR(AND(H60&lt;&gt;"",H60&lt;&gt;"？",COUNTIF(設定!$P$8:$P$27,H60)=0),AND(I60&lt;&gt;"",I60&lt;&gt;"？",COUNTIF(設定!$P$8:$P$27,I60)=0),AND(J60&lt;&gt;"",J60&lt;&gt;"？",COUNTIF(設定!$P$8:$P$27,J60)=0)),"クラブ名がちがう",IF(H60="","第1希望がない",IF(OR(AND(H60&lt;&gt;"",H60=I60),AND(H60&lt;&gt;"",H60=J60),AND(I60&lt;&gt;"",I60=J60)),"同じクラブを重複して希望","OK")))))))</f>
        <v/>
      </c>
      <c r="L60" s="8">
        <f>IF(A60="","",A60&amp;"-"&amp;B60&amp;"-"&amp;C60)</f>
        <v/>
      </c>
      <c r="M60" s="8">
        <f>IF(OR(L60="",G60=""),"",IF(COUNTIF(L61:L$552,L60)=0,L60,""))</f>
        <v/>
      </c>
    </row>
    <row r="61">
      <c r="A61" s="40" t="n">
        <v>4</v>
      </c>
      <c r="B61" s="40" t="inlineStr">
        <is>
          <t>梅</t>
        </is>
      </c>
      <c r="C61" s="40" t="n">
        <v>7</v>
      </c>
      <c r="D61" s="40" t="n">
        <v>12</v>
      </c>
      <c r="E61" s="40" t="n">
        <v>5</v>
      </c>
      <c r="F61" s="40" t="n">
        <v>2</v>
      </c>
      <c r="G61" s="3">
        <f>IF(L61="","",IFERROR(INDEX(前年度名簿!$D$2:$D$451,MATCH(L61,前年度名簿!$F$2:$F$451,0)),""))</f>
        <v/>
      </c>
      <c r="H61" s="44">
        <f>IF(D61="","",IF(ISERROR(VALUE(D61)),D61&amp;"",IF(AND(VALUE(D61)&gt;=1,VALUE(D61)&lt;=20),IF(INDEX(設定!$P$8:$P$27,VALUE(D61))="","？",INDEX(設定!$P$8:$P$27,VALUE(D61))),"？")))</f>
        <v/>
      </c>
      <c r="I61" s="44">
        <f>IF(E61="","",IF(ISERROR(VALUE(E61)),E61&amp;"",IF(AND(VALUE(E61)&gt;=1,VALUE(E61)&lt;=20),IF(INDEX(設定!$P$8:$P$27,VALUE(E61))="","？",INDEX(設定!$P$8:$P$27,VALUE(E61))),"？")))</f>
        <v/>
      </c>
      <c r="J61" s="44">
        <f>IF(F61="","",IF(ISERROR(VALUE(F61)),F61&amp;"",IF(AND(VALUE(F61)&gt;=1,VALUE(F61)&lt;=20),IF(INDEX(設定!$P$8:$P$27,VALUE(F61))="","？",INDEX(設定!$P$8:$P$27,VALUE(F61))),"？")))</f>
        <v/>
      </c>
      <c r="K61" s="45">
        <f>IF(L61="","",IF(G61="","名簿にいない",IF(COUNTIF(L62:L$552,L61)&gt;0,"2回提出（下の行を使います）",IF(OR(H61="？",I61="？",J61="？"),"クラブ番号がちがう",IF(OR(AND(H61&lt;&gt;"",H61&lt;&gt;"？",COUNTIF(設定!$P$8:$P$27,H61)=0),AND(I61&lt;&gt;"",I61&lt;&gt;"？",COUNTIF(設定!$P$8:$P$27,I61)=0),AND(J61&lt;&gt;"",J61&lt;&gt;"？",COUNTIF(設定!$P$8:$P$27,J61)=0)),"クラブ名がちがう",IF(H61="","第1希望がない",IF(OR(AND(H61&lt;&gt;"",H61=I61),AND(H61&lt;&gt;"",H61=J61),AND(I61&lt;&gt;"",I61=J61)),"同じクラブを重複して希望","OK")))))))</f>
        <v/>
      </c>
      <c r="L61" s="8">
        <f>IF(A61="","",A61&amp;"-"&amp;B61&amp;"-"&amp;C61)</f>
        <v/>
      </c>
      <c r="M61" s="8">
        <f>IF(OR(L61="",G61=""),"",IF(COUNTIF(L62:L$552,L61)=0,L61,""))</f>
        <v/>
      </c>
    </row>
    <row r="62">
      <c r="A62" s="40" t="n">
        <v>4</v>
      </c>
      <c r="B62" s="40" t="inlineStr">
        <is>
          <t>松</t>
        </is>
      </c>
      <c r="C62" s="40" t="n">
        <v>14</v>
      </c>
      <c r="D62" s="40" t="n">
        <v>11</v>
      </c>
      <c r="E62" s="40" t="n">
        <v>25</v>
      </c>
      <c r="F62" s="40" t="n">
        <v>1</v>
      </c>
      <c r="G62" s="3">
        <f>IF(L62="","",IFERROR(INDEX(前年度名簿!$D$2:$D$451,MATCH(L62,前年度名簿!$F$2:$F$451,0)),""))</f>
        <v/>
      </c>
      <c r="H62" s="44">
        <f>IF(D62="","",IF(ISERROR(VALUE(D62)),D62&amp;"",IF(AND(VALUE(D62)&gt;=1,VALUE(D62)&lt;=20),IF(INDEX(設定!$P$8:$P$27,VALUE(D62))="","？",INDEX(設定!$P$8:$P$27,VALUE(D62))),"？")))</f>
        <v/>
      </c>
      <c r="I62" s="44">
        <f>IF(E62="","",IF(ISERROR(VALUE(E62)),E62&amp;"",IF(AND(VALUE(E62)&gt;=1,VALUE(E62)&lt;=20),IF(INDEX(設定!$P$8:$P$27,VALUE(E62))="","？",INDEX(設定!$P$8:$P$27,VALUE(E62))),"？")))</f>
        <v/>
      </c>
      <c r="J62" s="44">
        <f>IF(F62="","",IF(ISERROR(VALUE(F62)),F62&amp;"",IF(AND(VALUE(F62)&gt;=1,VALUE(F62)&lt;=20),IF(INDEX(設定!$P$8:$P$27,VALUE(F62))="","？",INDEX(設定!$P$8:$P$27,VALUE(F62))),"？")))</f>
        <v/>
      </c>
      <c r="K62" s="45">
        <f>IF(L62="","",IF(G62="","名簿にいない",IF(COUNTIF(L63:L$552,L62)&gt;0,"2回提出（下の行を使います）",IF(OR(H62="？",I62="？",J62="？"),"クラブ番号がちがう",IF(OR(AND(H62&lt;&gt;"",H62&lt;&gt;"？",COUNTIF(設定!$P$8:$P$27,H62)=0),AND(I62&lt;&gt;"",I62&lt;&gt;"？",COUNTIF(設定!$P$8:$P$27,I62)=0),AND(J62&lt;&gt;"",J62&lt;&gt;"？",COUNTIF(設定!$P$8:$P$27,J62)=0)),"クラブ名がちがう",IF(H62="","第1希望がない",IF(OR(AND(H62&lt;&gt;"",H62=I62),AND(H62&lt;&gt;"",H62=J62),AND(I62&lt;&gt;"",I62=J62)),"同じクラブを重複して希望","OK")))))))</f>
        <v/>
      </c>
      <c r="L62" s="8">
        <f>IF(A62="","",A62&amp;"-"&amp;B62&amp;"-"&amp;C62)</f>
        <v/>
      </c>
      <c r="M62" s="8">
        <f>IF(OR(L62="",G62=""),"",IF(COUNTIF(L63:L$552,L62)=0,L62,""))</f>
        <v/>
      </c>
    </row>
    <row r="63">
      <c r="A63" s="40" t="n">
        <v>3</v>
      </c>
      <c r="B63" s="40" t="inlineStr">
        <is>
          <t>梅</t>
        </is>
      </c>
      <c r="C63" s="40" t="n">
        <v>14</v>
      </c>
      <c r="D63" s="40" t="n">
        <v>6</v>
      </c>
      <c r="E63" s="40" t="n">
        <v>3</v>
      </c>
      <c r="F63" s="40" t="n">
        <v>10</v>
      </c>
      <c r="G63" s="3">
        <f>IF(L63="","",IFERROR(INDEX(前年度名簿!$D$2:$D$451,MATCH(L63,前年度名簿!$F$2:$F$451,0)),""))</f>
        <v/>
      </c>
      <c r="H63" s="44">
        <f>IF(D63="","",IF(ISERROR(VALUE(D63)),D63&amp;"",IF(AND(VALUE(D63)&gt;=1,VALUE(D63)&lt;=20),IF(INDEX(設定!$P$8:$P$27,VALUE(D63))="","？",INDEX(設定!$P$8:$P$27,VALUE(D63))),"？")))</f>
        <v/>
      </c>
      <c r="I63" s="44">
        <f>IF(E63="","",IF(ISERROR(VALUE(E63)),E63&amp;"",IF(AND(VALUE(E63)&gt;=1,VALUE(E63)&lt;=20),IF(INDEX(設定!$P$8:$P$27,VALUE(E63))="","？",INDEX(設定!$P$8:$P$27,VALUE(E63))),"？")))</f>
        <v/>
      </c>
      <c r="J63" s="44">
        <f>IF(F63="","",IF(ISERROR(VALUE(F63)),F63&amp;"",IF(AND(VALUE(F63)&gt;=1,VALUE(F63)&lt;=20),IF(INDEX(設定!$P$8:$P$27,VALUE(F63))="","？",INDEX(設定!$P$8:$P$27,VALUE(F63))),"？")))</f>
        <v/>
      </c>
      <c r="K63" s="45">
        <f>IF(L63="","",IF(G63="","名簿にいない",IF(COUNTIF(L64:L$552,L63)&gt;0,"2回提出（下の行を使います）",IF(OR(H63="？",I63="？",J63="？"),"クラブ番号がちがう",IF(OR(AND(H63&lt;&gt;"",H63&lt;&gt;"？",COUNTIF(設定!$P$8:$P$27,H63)=0),AND(I63&lt;&gt;"",I63&lt;&gt;"？",COUNTIF(設定!$P$8:$P$27,I63)=0),AND(J63&lt;&gt;"",J63&lt;&gt;"？",COUNTIF(設定!$P$8:$P$27,J63)=0)),"クラブ名がちがう",IF(H63="","第1希望がない",IF(OR(AND(H63&lt;&gt;"",H63=I63),AND(H63&lt;&gt;"",H63=J63),AND(I63&lt;&gt;"",I63=J63)),"同じクラブを重複して希望","OK")))))))</f>
        <v/>
      </c>
      <c r="L63" s="8">
        <f>IF(A63="","",A63&amp;"-"&amp;B63&amp;"-"&amp;C63)</f>
        <v/>
      </c>
      <c r="M63" s="8">
        <f>IF(OR(L63="",G63=""),"",IF(COUNTIF(L64:L$552,L63)=0,L63,""))</f>
        <v/>
      </c>
    </row>
    <row r="64">
      <c r="A64" s="40" t="n">
        <v>5</v>
      </c>
      <c r="B64" s="40" t="inlineStr">
        <is>
          <t>松</t>
        </is>
      </c>
      <c r="C64" s="40" t="n">
        <v>2</v>
      </c>
      <c r="D64" s="40" t="n">
        <v>3</v>
      </c>
      <c r="E64" s="40" t="n">
        <v>4</v>
      </c>
      <c r="F64" s="40" t="n">
        <v>7</v>
      </c>
      <c r="G64" s="3">
        <f>IF(L64="","",IFERROR(INDEX(前年度名簿!$D$2:$D$451,MATCH(L64,前年度名簿!$F$2:$F$451,0)),""))</f>
        <v/>
      </c>
      <c r="H64" s="44">
        <f>IF(D64="","",IF(ISERROR(VALUE(D64)),D64&amp;"",IF(AND(VALUE(D64)&gt;=1,VALUE(D64)&lt;=20),IF(INDEX(設定!$P$8:$P$27,VALUE(D64))="","？",INDEX(設定!$P$8:$P$27,VALUE(D64))),"？")))</f>
        <v/>
      </c>
      <c r="I64" s="44">
        <f>IF(E64="","",IF(ISERROR(VALUE(E64)),E64&amp;"",IF(AND(VALUE(E64)&gt;=1,VALUE(E64)&lt;=20),IF(INDEX(設定!$P$8:$P$27,VALUE(E64))="","？",INDEX(設定!$P$8:$P$27,VALUE(E64))),"？")))</f>
        <v/>
      </c>
      <c r="J64" s="44">
        <f>IF(F64="","",IF(ISERROR(VALUE(F64)),F64&amp;"",IF(AND(VALUE(F64)&gt;=1,VALUE(F64)&lt;=20),IF(INDEX(設定!$P$8:$P$27,VALUE(F64))="","？",INDEX(設定!$P$8:$P$27,VALUE(F64))),"？")))</f>
        <v/>
      </c>
      <c r="K64" s="45">
        <f>IF(L64="","",IF(G64="","名簿にいない",IF(COUNTIF(L65:L$552,L64)&gt;0,"2回提出（下の行を使います）",IF(OR(H64="？",I64="？",J64="？"),"クラブ番号がちがう",IF(OR(AND(H64&lt;&gt;"",H64&lt;&gt;"？",COUNTIF(設定!$P$8:$P$27,H64)=0),AND(I64&lt;&gt;"",I64&lt;&gt;"？",COUNTIF(設定!$P$8:$P$27,I64)=0),AND(J64&lt;&gt;"",J64&lt;&gt;"？",COUNTIF(設定!$P$8:$P$27,J64)=0)),"クラブ名がちがう",IF(H64="","第1希望がない",IF(OR(AND(H64&lt;&gt;"",H64=I64),AND(H64&lt;&gt;"",H64=J64),AND(I64&lt;&gt;"",I64=J64)),"同じクラブを重複して希望","OK")))))))</f>
        <v/>
      </c>
      <c r="L64" s="8">
        <f>IF(A64="","",A64&amp;"-"&amp;B64&amp;"-"&amp;C64)</f>
        <v/>
      </c>
      <c r="M64" s="8">
        <f>IF(OR(L64="",G64=""),"",IF(COUNTIF(L65:L$552,L64)=0,L64,""))</f>
        <v/>
      </c>
    </row>
    <row r="65">
      <c r="A65" s="40" t="n">
        <v>5</v>
      </c>
      <c r="B65" s="40" t="inlineStr">
        <is>
          <t>月</t>
        </is>
      </c>
      <c r="C65" s="40" t="n">
        <v>15</v>
      </c>
      <c r="D65" s="40" t="n">
        <v>3</v>
      </c>
      <c r="E65" s="40" t="n">
        <v>8</v>
      </c>
      <c r="F65" s="40" t="n">
        <v>2</v>
      </c>
      <c r="G65" s="3">
        <f>IF(L65="","",IFERROR(INDEX(前年度名簿!$D$2:$D$451,MATCH(L65,前年度名簿!$F$2:$F$451,0)),""))</f>
        <v/>
      </c>
      <c r="H65" s="44">
        <f>IF(D65="","",IF(ISERROR(VALUE(D65)),D65&amp;"",IF(AND(VALUE(D65)&gt;=1,VALUE(D65)&lt;=20),IF(INDEX(設定!$P$8:$P$27,VALUE(D65))="","？",INDEX(設定!$P$8:$P$27,VALUE(D65))),"？")))</f>
        <v/>
      </c>
      <c r="I65" s="44">
        <f>IF(E65="","",IF(ISERROR(VALUE(E65)),E65&amp;"",IF(AND(VALUE(E65)&gt;=1,VALUE(E65)&lt;=20),IF(INDEX(設定!$P$8:$P$27,VALUE(E65))="","？",INDEX(設定!$P$8:$P$27,VALUE(E65))),"？")))</f>
        <v/>
      </c>
      <c r="J65" s="44">
        <f>IF(F65="","",IF(ISERROR(VALUE(F65)),F65&amp;"",IF(AND(VALUE(F65)&gt;=1,VALUE(F65)&lt;=20),IF(INDEX(設定!$P$8:$P$27,VALUE(F65))="","？",INDEX(設定!$P$8:$P$27,VALUE(F65))),"？")))</f>
        <v/>
      </c>
      <c r="K65" s="45">
        <f>IF(L65="","",IF(G65="","名簿にいない",IF(COUNTIF(L66:L$552,L65)&gt;0,"2回提出（下の行を使います）",IF(OR(H65="？",I65="？",J65="？"),"クラブ番号がちがう",IF(OR(AND(H65&lt;&gt;"",H65&lt;&gt;"？",COUNTIF(設定!$P$8:$P$27,H65)=0),AND(I65&lt;&gt;"",I65&lt;&gt;"？",COUNTIF(設定!$P$8:$P$27,I65)=0),AND(J65&lt;&gt;"",J65&lt;&gt;"？",COUNTIF(設定!$P$8:$P$27,J65)=0)),"クラブ名がちがう",IF(H65="","第1希望がない",IF(OR(AND(H65&lt;&gt;"",H65=I65),AND(H65&lt;&gt;"",H65=J65),AND(I65&lt;&gt;"",I65=J65)),"同じクラブを重複して希望","OK")))))))</f>
        <v/>
      </c>
      <c r="L65" s="8">
        <f>IF(A65="","",A65&amp;"-"&amp;B65&amp;"-"&amp;C65)</f>
        <v/>
      </c>
      <c r="M65" s="8">
        <f>IF(OR(L65="",G65=""),"",IF(COUNTIF(L66:L$552,L65)=0,L65,""))</f>
        <v/>
      </c>
    </row>
    <row r="66">
      <c r="A66" s="40" t="n">
        <v>5</v>
      </c>
      <c r="B66" s="40" t="inlineStr">
        <is>
          <t>梅</t>
        </is>
      </c>
      <c r="C66" s="40" t="n">
        <v>24</v>
      </c>
      <c r="D66" s="40" t="n">
        <v>3</v>
      </c>
      <c r="E66" s="40" t="n">
        <v>1</v>
      </c>
      <c r="F66" s="40" t="n">
        <v>4</v>
      </c>
      <c r="G66" s="3">
        <f>IF(L66="","",IFERROR(INDEX(前年度名簿!$D$2:$D$451,MATCH(L66,前年度名簿!$F$2:$F$451,0)),""))</f>
        <v/>
      </c>
      <c r="H66" s="44">
        <f>IF(D66="","",IF(ISERROR(VALUE(D66)),D66&amp;"",IF(AND(VALUE(D66)&gt;=1,VALUE(D66)&lt;=20),IF(INDEX(設定!$P$8:$P$27,VALUE(D66))="","？",INDEX(設定!$P$8:$P$27,VALUE(D66))),"？")))</f>
        <v/>
      </c>
      <c r="I66" s="44">
        <f>IF(E66="","",IF(ISERROR(VALUE(E66)),E66&amp;"",IF(AND(VALUE(E66)&gt;=1,VALUE(E66)&lt;=20),IF(INDEX(設定!$P$8:$P$27,VALUE(E66))="","？",INDEX(設定!$P$8:$P$27,VALUE(E66))),"？")))</f>
        <v/>
      </c>
      <c r="J66" s="44">
        <f>IF(F66="","",IF(ISERROR(VALUE(F66)),F66&amp;"",IF(AND(VALUE(F66)&gt;=1,VALUE(F66)&lt;=20),IF(INDEX(設定!$P$8:$P$27,VALUE(F66))="","？",INDEX(設定!$P$8:$P$27,VALUE(F66))),"？")))</f>
        <v/>
      </c>
      <c r="K66" s="45">
        <f>IF(L66="","",IF(G66="","名簿にいない",IF(COUNTIF(L67:L$552,L66)&gt;0,"2回提出（下の行を使います）",IF(OR(H66="？",I66="？",J66="？"),"クラブ番号がちがう",IF(OR(AND(H66&lt;&gt;"",H66&lt;&gt;"？",COUNTIF(設定!$P$8:$P$27,H66)=0),AND(I66&lt;&gt;"",I66&lt;&gt;"？",COUNTIF(設定!$P$8:$P$27,I66)=0),AND(J66&lt;&gt;"",J66&lt;&gt;"？",COUNTIF(設定!$P$8:$P$27,J66)=0)),"クラブ名がちがう",IF(H66="","第1希望がない",IF(OR(AND(H66&lt;&gt;"",H66=I66),AND(H66&lt;&gt;"",H66=J66),AND(I66&lt;&gt;"",I66=J66)),"同じクラブを重複して希望","OK")))))))</f>
        <v/>
      </c>
      <c r="L66" s="8">
        <f>IF(A66="","",A66&amp;"-"&amp;B66&amp;"-"&amp;C66)</f>
        <v/>
      </c>
      <c r="M66" s="8">
        <f>IF(OR(L66="",G66=""),"",IF(COUNTIF(L67:L$552,L66)=0,L66,""))</f>
        <v/>
      </c>
    </row>
    <row r="67">
      <c r="A67" s="40" t="n">
        <v>5</v>
      </c>
      <c r="B67" s="40" t="inlineStr">
        <is>
          <t>月</t>
        </is>
      </c>
      <c r="C67" s="40" t="n">
        <v>23</v>
      </c>
      <c r="D67" s="40" t="n">
        <v>3</v>
      </c>
      <c r="E67" s="40" t="n">
        <v>9</v>
      </c>
      <c r="F67" s="40" t="n">
        <v>12</v>
      </c>
      <c r="G67" s="3">
        <f>IF(L67="","",IFERROR(INDEX(前年度名簿!$D$2:$D$451,MATCH(L67,前年度名簿!$F$2:$F$451,0)),""))</f>
        <v/>
      </c>
      <c r="H67" s="44">
        <f>IF(D67="","",IF(ISERROR(VALUE(D67)),D67&amp;"",IF(AND(VALUE(D67)&gt;=1,VALUE(D67)&lt;=20),IF(INDEX(設定!$P$8:$P$27,VALUE(D67))="","？",INDEX(設定!$P$8:$P$27,VALUE(D67))),"？")))</f>
        <v/>
      </c>
      <c r="I67" s="44">
        <f>IF(E67="","",IF(ISERROR(VALUE(E67)),E67&amp;"",IF(AND(VALUE(E67)&gt;=1,VALUE(E67)&lt;=20),IF(INDEX(設定!$P$8:$P$27,VALUE(E67))="","？",INDEX(設定!$P$8:$P$27,VALUE(E67))),"？")))</f>
        <v/>
      </c>
      <c r="J67" s="44">
        <f>IF(F67="","",IF(ISERROR(VALUE(F67)),F67&amp;"",IF(AND(VALUE(F67)&gt;=1,VALUE(F67)&lt;=20),IF(INDEX(設定!$P$8:$P$27,VALUE(F67))="","？",INDEX(設定!$P$8:$P$27,VALUE(F67))),"？")))</f>
        <v/>
      </c>
      <c r="K67" s="45">
        <f>IF(L67="","",IF(G67="","名簿にいない",IF(COUNTIF(L68:L$552,L67)&gt;0,"2回提出（下の行を使います）",IF(OR(H67="？",I67="？",J67="？"),"クラブ番号がちがう",IF(OR(AND(H67&lt;&gt;"",H67&lt;&gt;"？",COUNTIF(設定!$P$8:$P$27,H67)=0),AND(I67&lt;&gt;"",I67&lt;&gt;"？",COUNTIF(設定!$P$8:$P$27,I67)=0),AND(J67&lt;&gt;"",J67&lt;&gt;"？",COUNTIF(設定!$P$8:$P$27,J67)=0)),"クラブ名がちがう",IF(H67="","第1希望がない",IF(OR(AND(H67&lt;&gt;"",H67=I67),AND(H67&lt;&gt;"",H67=J67),AND(I67&lt;&gt;"",I67=J67)),"同じクラブを重複して希望","OK")))))))</f>
        <v/>
      </c>
      <c r="L67" s="8">
        <f>IF(A67="","",A67&amp;"-"&amp;B67&amp;"-"&amp;C67)</f>
        <v/>
      </c>
      <c r="M67" s="8">
        <f>IF(OR(L67="",G67=""),"",IF(COUNTIF(L68:L$552,L67)=0,L67,""))</f>
        <v/>
      </c>
    </row>
    <row r="68">
      <c r="A68" s="40" t="n">
        <v>5</v>
      </c>
      <c r="B68" s="40" t="inlineStr">
        <is>
          <t>松</t>
        </is>
      </c>
      <c r="C68" s="40" t="n">
        <v>16</v>
      </c>
      <c r="D68" s="40" t="n">
        <v>3</v>
      </c>
      <c r="E68" s="40" t="n">
        <v>6</v>
      </c>
      <c r="F68" s="40" t="n">
        <v>4</v>
      </c>
      <c r="G68" s="3">
        <f>IF(L68="","",IFERROR(INDEX(前年度名簿!$D$2:$D$451,MATCH(L68,前年度名簿!$F$2:$F$451,0)),""))</f>
        <v/>
      </c>
      <c r="H68" s="44">
        <f>IF(D68="","",IF(ISERROR(VALUE(D68)),D68&amp;"",IF(AND(VALUE(D68)&gt;=1,VALUE(D68)&lt;=20),IF(INDEX(設定!$P$8:$P$27,VALUE(D68))="","？",INDEX(設定!$P$8:$P$27,VALUE(D68))),"？")))</f>
        <v/>
      </c>
      <c r="I68" s="44">
        <f>IF(E68="","",IF(ISERROR(VALUE(E68)),E68&amp;"",IF(AND(VALUE(E68)&gt;=1,VALUE(E68)&lt;=20),IF(INDEX(設定!$P$8:$P$27,VALUE(E68))="","？",INDEX(設定!$P$8:$P$27,VALUE(E68))),"？")))</f>
        <v/>
      </c>
      <c r="J68" s="44">
        <f>IF(F68="","",IF(ISERROR(VALUE(F68)),F68&amp;"",IF(AND(VALUE(F68)&gt;=1,VALUE(F68)&lt;=20),IF(INDEX(設定!$P$8:$P$27,VALUE(F68))="","？",INDEX(設定!$P$8:$P$27,VALUE(F68))),"？")))</f>
        <v/>
      </c>
      <c r="K68" s="45">
        <f>IF(L68="","",IF(G68="","名簿にいない",IF(COUNTIF(L69:L$552,L68)&gt;0,"2回提出（下の行を使います）",IF(OR(H68="？",I68="？",J68="？"),"クラブ番号がちがう",IF(OR(AND(H68&lt;&gt;"",H68&lt;&gt;"？",COUNTIF(設定!$P$8:$P$27,H68)=0),AND(I68&lt;&gt;"",I68&lt;&gt;"？",COUNTIF(設定!$P$8:$P$27,I68)=0),AND(J68&lt;&gt;"",J68&lt;&gt;"？",COUNTIF(設定!$P$8:$P$27,J68)=0)),"クラブ名がちがう",IF(H68="","第1希望がない",IF(OR(AND(H68&lt;&gt;"",H68=I68),AND(H68&lt;&gt;"",H68=J68),AND(I68&lt;&gt;"",I68=J68)),"同じクラブを重複して希望","OK")))))))</f>
        <v/>
      </c>
      <c r="L68" s="8">
        <f>IF(A68="","",A68&amp;"-"&amp;B68&amp;"-"&amp;C68)</f>
        <v/>
      </c>
      <c r="M68" s="8">
        <f>IF(OR(L68="",G68=""),"",IF(COUNTIF(L69:L$552,L68)=0,L68,""))</f>
        <v/>
      </c>
    </row>
    <row r="69">
      <c r="A69" s="40" t="n">
        <v>5</v>
      </c>
      <c r="B69" s="40" t="inlineStr">
        <is>
          <t>月</t>
        </is>
      </c>
      <c r="C69" s="40" t="n">
        <v>21</v>
      </c>
      <c r="D69" s="40" t="n">
        <v>12</v>
      </c>
      <c r="E69" s="40" t="n">
        <v>4</v>
      </c>
      <c r="F69" s="40" t="n">
        <v>10</v>
      </c>
      <c r="G69" s="3">
        <f>IF(L69="","",IFERROR(INDEX(前年度名簿!$D$2:$D$451,MATCH(L69,前年度名簿!$F$2:$F$451,0)),""))</f>
        <v/>
      </c>
      <c r="H69" s="44">
        <f>IF(D69="","",IF(ISERROR(VALUE(D69)),D69&amp;"",IF(AND(VALUE(D69)&gt;=1,VALUE(D69)&lt;=20),IF(INDEX(設定!$P$8:$P$27,VALUE(D69))="","？",INDEX(設定!$P$8:$P$27,VALUE(D69))),"？")))</f>
        <v/>
      </c>
      <c r="I69" s="44">
        <f>IF(E69="","",IF(ISERROR(VALUE(E69)),E69&amp;"",IF(AND(VALUE(E69)&gt;=1,VALUE(E69)&lt;=20),IF(INDEX(設定!$P$8:$P$27,VALUE(E69))="","？",INDEX(設定!$P$8:$P$27,VALUE(E69))),"？")))</f>
        <v/>
      </c>
      <c r="J69" s="44">
        <f>IF(F69="","",IF(ISERROR(VALUE(F69)),F69&amp;"",IF(AND(VALUE(F69)&gt;=1,VALUE(F69)&lt;=20),IF(INDEX(設定!$P$8:$P$27,VALUE(F69))="","？",INDEX(設定!$P$8:$P$27,VALUE(F69))),"？")))</f>
        <v/>
      </c>
      <c r="K69" s="45">
        <f>IF(L69="","",IF(G69="","名簿にいない",IF(COUNTIF(L70:L$552,L69)&gt;0,"2回提出（下の行を使います）",IF(OR(H69="？",I69="？",J69="？"),"クラブ番号がちがう",IF(OR(AND(H69&lt;&gt;"",H69&lt;&gt;"？",COUNTIF(設定!$P$8:$P$27,H69)=0),AND(I69&lt;&gt;"",I69&lt;&gt;"？",COUNTIF(設定!$P$8:$P$27,I69)=0),AND(J69&lt;&gt;"",J69&lt;&gt;"？",COUNTIF(設定!$P$8:$P$27,J69)=0)),"クラブ名がちがう",IF(H69="","第1希望がない",IF(OR(AND(H69&lt;&gt;"",H69=I69),AND(H69&lt;&gt;"",H69=J69),AND(I69&lt;&gt;"",I69=J69)),"同じクラブを重複して希望","OK")))))))</f>
        <v/>
      </c>
      <c r="L69" s="8">
        <f>IF(A69="","",A69&amp;"-"&amp;B69&amp;"-"&amp;C69)</f>
        <v/>
      </c>
      <c r="M69" s="8">
        <f>IF(OR(L69="",G69=""),"",IF(COUNTIF(L70:L$552,L69)=0,L69,""))</f>
        <v/>
      </c>
    </row>
    <row r="70">
      <c r="A70" s="40" t="n">
        <v>3</v>
      </c>
      <c r="B70" s="40" t="inlineStr">
        <is>
          <t>梅</t>
        </is>
      </c>
      <c r="C70" s="40" t="n">
        <v>1</v>
      </c>
      <c r="D70" s="40" t="n">
        <v>12</v>
      </c>
      <c r="E70" s="40" t="n">
        <v>3</v>
      </c>
      <c r="F70" s="40" t="n">
        <v>4</v>
      </c>
      <c r="G70" s="3">
        <f>IF(L70="","",IFERROR(INDEX(前年度名簿!$D$2:$D$451,MATCH(L70,前年度名簿!$F$2:$F$451,0)),""))</f>
        <v/>
      </c>
      <c r="H70" s="44">
        <f>IF(D70="","",IF(ISERROR(VALUE(D70)),D70&amp;"",IF(AND(VALUE(D70)&gt;=1,VALUE(D70)&lt;=20),IF(INDEX(設定!$P$8:$P$27,VALUE(D70))="","？",INDEX(設定!$P$8:$P$27,VALUE(D70))),"？")))</f>
        <v/>
      </c>
      <c r="I70" s="44">
        <f>IF(E70="","",IF(ISERROR(VALUE(E70)),E70&amp;"",IF(AND(VALUE(E70)&gt;=1,VALUE(E70)&lt;=20),IF(INDEX(設定!$P$8:$P$27,VALUE(E70))="","？",INDEX(設定!$P$8:$P$27,VALUE(E70))),"？")))</f>
        <v/>
      </c>
      <c r="J70" s="44">
        <f>IF(F70="","",IF(ISERROR(VALUE(F70)),F70&amp;"",IF(AND(VALUE(F70)&gt;=1,VALUE(F70)&lt;=20),IF(INDEX(設定!$P$8:$P$27,VALUE(F70))="","？",INDEX(設定!$P$8:$P$27,VALUE(F70))),"？")))</f>
        <v/>
      </c>
      <c r="K70" s="45">
        <f>IF(L70="","",IF(G70="","名簿にいない",IF(COUNTIF(L71:L$552,L70)&gt;0,"2回提出（下の行を使います）",IF(OR(H70="？",I70="？",J70="？"),"クラブ番号がちがう",IF(OR(AND(H70&lt;&gt;"",H70&lt;&gt;"？",COUNTIF(設定!$P$8:$P$27,H70)=0),AND(I70&lt;&gt;"",I70&lt;&gt;"？",COUNTIF(設定!$P$8:$P$27,I70)=0),AND(J70&lt;&gt;"",J70&lt;&gt;"？",COUNTIF(設定!$P$8:$P$27,J70)=0)),"クラブ名がちがう",IF(H70="","第1希望がない",IF(OR(AND(H70&lt;&gt;"",H70=I70),AND(H70&lt;&gt;"",H70=J70),AND(I70&lt;&gt;"",I70=J70)),"同じクラブを重複して希望","OK")))))))</f>
        <v/>
      </c>
      <c r="L70" s="8">
        <f>IF(A70="","",A70&amp;"-"&amp;B70&amp;"-"&amp;C70)</f>
        <v/>
      </c>
      <c r="M70" s="8">
        <f>IF(OR(L70="",G70=""),"",IF(COUNTIF(L71:L$552,L70)=0,L70,""))</f>
        <v/>
      </c>
    </row>
    <row r="71">
      <c r="A71" s="40" t="n">
        <v>4</v>
      </c>
      <c r="B71" s="40" t="inlineStr">
        <is>
          <t>梅</t>
        </is>
      </c>
      <c r="C71" s="40" t="n">
        <v>23</v>
      </c>
      <c r="D71" s="40" t="n">
        <v>10</v>
      </c>
      <c r="E71" s="40" t="n">
        <v>8</v>
      </c>
      <c r="F71" s="40" t="n">
        <v>12</v>
      </c>
      <c r="G71" s="3">
        <f>IF(L71="","",IFERROR(INDEX(前年度名簿!$D$2:$D$451,MATCH(L71,前年度名簿!$F$2:$F$451,0)),""))</f>
        <v/>
      </c>
      <c r="H71" s="44">
        <f>IF(D71="","",IF(ISERROR(VALUE(D71)),D71&amp;"",IF(AND(VALUE(D71)&gt;=1,VALUE(D71)&lt;=20),IF(INDEX(設定!$P$8:$P$27,VALUE(D71))="","？",INDEX(設定!$P$8:$P$27,VALUE(D71))),"？")))</f>
        <v/>
      </c>
      <c r="I71" s="44">
        <f>IF(E71="","",IF(ISERROR(VALUE(E71)),E71&amp;"",IF(AND(VALUE(E71)&gt;=1,VALUE(E71)&lt;=20),IF(INDEX(設定!$P$8:$P$27,VALUE(E71))="","？",INDEX(設定!$P$8:$P$27,VALUE(E71))),"？")))</f>
        <v/>
      </c>
      <c r="J71" s="44">
        <f>IF(F71="","",IF(ISERROR(VALUE(F71)),F71&amp;"",IF(AND(VALUE(F71)&gt;=1,VALUE(F71)&lt;=20),IF(INDEX(設定!$P$8:$P$27,VALUE(F71))="","？",INDEX(設定!$P$8:$P$27,VALUE(F71))),"？")))</f>
        <v/>
      </c>
      <c r="K71" s="45">
        <f>IF(L71="","",IF(G71="","名簿にいない",IF(COUNTIF(L72:L$552,L71)&gt;0,"2回提出（下の行を使います）",IF(OR(H71="？",I71="？",J71="？"),"クラブ番号がちがう",IF(OR(AND(H71&lt;&gt;"",H71&lt;&gt;"？",COUNTIF(設定!$P$8:$P$27,H71)=0),AND(I71&lt;&gt;"",I71&lt;&gt;"？",COUNTIF(設定!$P$8:$P$27,I71)=0),AND(J71&lt;&gt;"",J71&lt;&gt;"？",COUNTIF(設定!$P$8:$P$27,J71)=0)),"クラブ名がちがう",IF(H71="","第1希望がない",IF(OR(AND(H71&lt;&gt;"",H71=I71),AND(H71&lt;&gt;"",H71=J71),AND(I71&lt;&gt;"",I71=J71)),"同じクラブを重複して希望","OK")))))))</f>
        <v/>
      </c>
      <c r="L71" s="8">
        <f>IF(A71="","",A71&amp;"-"&amp;B71&amp;"-"&amp;C71)</f>
        <v/>
      </c>
      <c r="M71" s="8">
        <f>IF(OR(L71="",G71=""),"",IF(COUNTIF(L72:L$552,L71)=0,L71,""))</f>
        <v/>
      </c>
    </row>
    <row r="72">
      <c r="A72" s="40" t="n">
        <v>5</v>
      </c>
      <c r="B72" s="40" t="inlineStr">
        <is>
          <t>松</t>
        </is>
      </c>
      <c r="C72" s="40" t="n">
        <v>1</v>
      </c>
      <c r="D72" s="40" t="n">
        <v>9</v>
      </c>
      <c r="E72" s="40" t="n">
        <v>5</v>
      </c>
      <c r="F72" s="40" t="n">
        <v>7</v>
      </c>
      <c r="G72" s="3">
        <f>IF(L72="","",IFERROR(INDEX(前年度名簿!$D$2:$D$451,MATCH(L72,前年度名簿!$F$2:$F$451,0)),""))</f>
        <v/>
      </c>
      <c r="H72" s="44">
        <f>IF(D72="","",IF(ISERROR(VALUE(D72)),D72&amp;"",IF(AND(VALUE(D72)&gt;=1,VALUE(D72)&lt;=20),IF(INDEX(設定!$P$8:$P$27,VALUE(D72))="","？",INDEX(設定!$P$8:$P$27,VALUE(D72))),"？")))</f>
        <v/>
      </c>
      <c r="I72" s="44">
        <f>IF(E72="","",IF(ISERROR(VALUE(E72)),E72&amp;"",IF(AND(VALUE(E72)&gt;=1,VALUE(E72)&lt;=20),IF(INDEX(設定!$P$8:$P$27,VALUE(E72))="","？",INDEX(設定!$P$8:$P$27,VALUE(E72))),"？")))</f>
        <v/>
      </c>
      <c r="J72" s="44">
        <f>IF(F72="","",IF(ISERROR(VALUE(F72)),F72&amp;"",IF(AND(VALUE(F72)&gt;=1,VALUE(F72)&lt;=20),IF(INDEX(設定!$P$8:$P$27,VALUE(F72))="","？",INDEX(設定!$P$8:$P$27,VALUE(F72))),"？")))</f>
        <v/>
      </c>
      <c r="K72" s="45">
        <f>IF(L72="","",IF(G72="","名簿にいない",IF(COUNTIF(L73:L$552,L72)&gt;0,"2回提出（下の行を使います）",IF(OR(H72="？",I72="？",J72="？"),"クラブ番号がちがう",IF(OR(AND(H72&lt;&gt;"",H72&lt;&gt;"？",COUNTIF(設定!$P$8:$P$27,H72)=0),AND(I72&lt;&gt;"",I72&lt;&gt;"？",COUNTIF(設定!$P$8:$P$27,I72)=0),AND(J72&lt;&gt;"",J72&lt;&gt;"？",COUNTIF(設定!$P$8:$P$27,J72)=0)),"クラブ名がちがう",IF(H72="","第1希望がない",IF(OR(AND(H72&lt;&gt;"",H72=I72),AND(H72&lt;&gt;"",H72=J72),AND(I72&lt;&gt;"",I72=J72)),"同じクラブを重複して希望","OK")))))))</f>
        <v/>
      </c>
      <c r="L72" s="8">
        <f>IF(A72="","",A72&amp;"-"&amp;B72&amp;"-"&amp;C72)</f>
        <v/>
      </c>
      <c r="M72" s="8">
        <f>IF(OR(L72="",G72=""),"",IF(COUNTIF(L73:L$552,L72)=0,L72,""))</f>
        <v/>
      </c>
    </row>
    <row r="73">
      <c r="A73" s="40" t="n">
        <v>4</v>
      </c>
      <c r="B73" s="40" t="inlineStr">
        <is>
          <t>梅</t>
        </is>
      </c>
      <c r="C73" s="40" t="n">
        <v>22</v>
      </c>
      <c r="D73" s="40" t="n">
        <v>6</v>
      </c>
      <c r="E73" s="40" t="n">
        <v>5</v>
      </c>
      <c r="F73" s="40" t="n">
        <v>2</v>
      </c>
      <c r="G73" s="3">
        <f>IF(L73="","",IFERROR(INDEX(前年度名簿!$D$2:$D$451,MATCH(L73,前年度名簿!$F$2:$F$451,0)),""))</f>
        <v/>
      </c>
      <c r="H73" s="44">
        <f>IF(D73="","",IF(ISERROR(VALUE(D73)),D73&amp;"",IF(AND(VALUE(D73)&gt;=1,VALUE(D73)&lt;=20),IF(INDEX(設定!$P$8:$P$27,VALUE(D73))="","？",INDEX(設定!$P$8:$P$27,VALUE(D73))),"？")))</f>
        <v/>
      </c>
      <c r="I73" s="44">
        <f>IF(E73="","",IF(ISERROR(VALUE(E73)),E73&amp;"",IF(AND(VALUE(E73)&gt;=1,VALUE(E73)&lt;=20),IF(INDEX(設定!$P$8:$P$27,VALUE(E73))="","？",INDEX(設定!$P$8:$P$27,VALUE(E73))),"？")))</f>
        <v/>
      </c>
      <c r="J73" s="44">
        <f>IF(F73="","",IF(ISERROR(VALUE(F73)),F73&amp;"",IF(AND(VALUE(F73)&gt;=1,VALUE(F73)&lt;=20),IF(INDEX(設定!$P$8:$P$27,VALUE(F73))="","？",INDEX(設定!$P$8:$P$27,VALUE(F73))),"？")))</f>
        <v/>
      </c>
      <c r="K73" s="45">
        <f>IF(L73="","",IF(G73="","名簿にいない",IF(COUNTIF(L74:L$552,L73)&gt;0,"2回提出（下の行を使います）",IF(OR(H73="？",I73="？",J73="？"),"クラブ番号がちがう",IF(OR(AND(H73&lt;&gt;"",H73&lt;&gt;"？",COUNTIF(設定!$P$8:$P$27,H73)=0),AND(I73&lt;&gt;"",I73&lt;&gt;"？",COUNTIF(設定!$P$8:$P$27,I73)=0),AND(J73&lt;&gt;"",J73&lt;&gt;"？",COUNTIF(設定!$P$8:$P$27,J73)=0)),"クラブ名がちがう",IF(H73="","第1希望がない",IF(OR(AND(H73&lt;&gt;"",H73=I73),AND(H73&lt;&gt;"",H73=J73),AND(I73&lt;&gt;"",I73=J73)),"同じクラブを重複して希望","OK")))))))</f>
        <v/>
      </c>
      <c r="L73" s="8">
        <f>IF(A73="","",A73&amp;"-"&amp;B73&amp;"-"&amp;C73)</f>
        <v/>
      </c>
      <c r="M73" s="8">
        <f>IF(OR(L73="",G73=""),"",IF(COUNTIF(L74:L$552,L73)=0,L73,""))</f>
        <v/>
      </c>
    </row>
    <row r="74">
      <c r="A74" s="40" t="n">
        <v>4</v>
      </c>
      <c r="B74" s="40" t="inlineStr">
        <is>
          <t>松</t>
        </is>
      </c>
      <c r="C74" s="40" t="n">
        <v>6</v>
      </c>
      <c r="D74" s="40" t="n">
        <v>8</v>
      </c>
      <c r="E74" s="40" t="n">
        <v>6</v>
      </c>
      <c r="F74" s="40" t="n">
        <v>1</v>
      </c>
      <c r="G74" s="3">
        <f>IF(L74="","",IFERROR(INDEX(前年度名簿!$D$2:$D$451,MATCH(L74,前年度名簿!$F$2:$F$451,0)),""))</f>
        <v/>
      </c>
      <c r="H74" s="44">
        <f>IF(D74="","",IF(ISERROR(VALUE(D74)),D74&amp;"",IF(AND(VALUE(D74)&gt;=1,VALUE(D74)&lt;=20),IF(INDEX(設定!$P$8:$P$27,VALUE(D74))="","？",INDEX(設定!$P$8:$P$27,VALUE(D74))),"？")))</f>
        <v/>
      </c>
      <c r="I74" s="44">
        <f>IF(E74="","",IF(ISERROR(VALUE(E74)),E74&amp;"",IF(AND(VALUE(E74)&gt;=1,VALUE(E74)&lt;=20),IF(INDEX(設定!$P$8:$P$27,VALUE(E74))="","？",INDEX(設定!$P$8:$P$27,VALUE(E74))),"？")))</f>
        <v/>
      </c>
      <c r="J74" s="44">
        <f>IF(F74="","",IF(ISERROR(VALUE(F74)),F74&amp;"",IF(AND(VALUE(F74)&gt;=1,VALUE(F74)&lt;=20),IF(INDEX(設定!$P$8:$P$27,VALUE(F74))="","？",INDEX(設定!$P$8:$P$27,VALUE(F74))),"？")))</f>
        <v/>
      </c>
      <c r="K74" s="45">
        <f>IF(L74="","",IF(G74="","名簿にいない",IF(COUNTIF(L75:L$552,L74)&gt;0,"2回提出（下の行を使います）",IF(OR(H74="？",I74="？",J74="？"),"クラブ番号がちがう",IF(OR(AND(H74&lt;&gt;"",H74&lt;&gt;"？",COUNTIF(設定!$P$8:$P$27,H74)=0),AND(I74&lt;&gt;"",I74&lt;&gt;"？",COUNTIF(設定!$P$8:$P$27,I74)=0),AND(J74&lt;&gt;"",J74&lt;&gt;"？",COUNTIF(設定!$P$8:$P$27,J74)=0)),"クラブ名がちがう",IF(H74="","第1希望がない",IF(OR(AND(H74&lt;&gt;"",H74=I74),AND(H74&lt;&gt;"",H74=J74),AND(I74&lt;&gt;"",I74=J74)),"同じクラブを重複して希望","OK")))))))</f>
        <v/>
      </c>
      <c r="L74" s="8">
        <f>IF(A74="","",A74&amp;"-"&amp;B74&amp;"-"&amp;C74)</f>
        <v/>
      </c>
      <c r="M74" s="8">
        <f>IF(OR(L74="",G74=""),"",IF(COUNTIF(L75:L$552,L74)=0,L74,""))</f>
        <v/>
      </c>
    </row>
    <row r="75">
      <c r="A75" s="40" t="n">
        <v>5</v>
      </c>
      <c r="B75" s="40" t="inlineStr">
        <is>
          <t>月</t>
        </is>
      </c>
      <c r="C75" s="40" t="n">
        <v>2</v>
      </c>
      <c r="D75" s="40" t="n">
        <v>11</v>
      </c>
      <c r="E75" s="40" t="n">
        <v>5</v>
      </c>
      <c r="F75" s="40" t="n">
        <v>2</v>
      </c>
      <c r="G75" s="3">
        <f>IF(L75="","",IFERROR(INDEX(前年度名簿!$D$2:$D$451,MATCH(L75,前年度名簿!$F$2:$F$451,0)),""))</f>
        <v/>
      </c>
      <c r="H75" s="44">
        <f>IF(D75="","",IF(ISERROR(VALUE(D75)),D75&amp;"",IF(AND(VALUE(D75)&gt;=1,VALUE(D75)&lt;=20),IF(INDEX(設定!$P$8:$P$27,VALUE(D75))="","？",INDEX(設定!$P$8:$P$27,VALUE(D75))),"？")))</f>
        <v/>
      </c>
      <c r="I75" s="44">
        <f>IF(E75="","",IF(ISERROR(VALUE(E75)),E75&amp;"",IF(AND(VALUE(E75)&gt;=1,VALUE(E75)&lt;=20),IF(INDEX(設定!$P$8:$P$27,VALUE(E75))="","？",INDEX(設定!$P$8:$P$27,VALUE(E75))),"？")))</f>
        <v/>
      </c>
      <c r="J75" s="44">
        <f>IF(F75="","",IF(ISERROR(VALUE(F75)),F75&amp;"",IF(AND(VALUE(F75)&gt;=1,VALUE(F75)&lt;=20),IF(INDEX(設定!$P$8:$P$27,VALUE(F75))="","？",INDEX(設定!$P$8:$P$27,VALUE(F75))),"？")))</f>
        <v/>
      </c>
      <c r="K75" s="45">
        <f>IF(L75="","",IF(G75="","名簿にいない",IF(COUNTIF(L76:L$552,L75)&gt;0,"2回提出（下の行を使います）",IF(OR(H75="？",I75="？",J75="？"),"クラブ番号がちがう",IF(OR(AND(H75&lt;&gt;"",H75&lt;&gt;"？",COUNTIF(設定!$P$8:$P$27,H75)=0),AND(I75&lt;&gt;"",I75&lt;&gt;"？",COUNTIF(設定!$P$8:$P$27,I75)=0),AND(J75&lt;&gt;"",J75&lt;&gt;"？",COUNTIF(設定!$P$8:$P$27,J75)=0)),"クラブ名がちがう",IF(H75="","第1希望がない",IF(OR(AND(H75&lt;&gt;"",H75=I75),AND(H75&lt;&gt;"",H75=J75),AND(I75&lt;&gt;"",I75=J75)),"同じクラブを重複して希望","OK")))))))</f>
        <v/>
      </c>
      <c r="L75" s="8">
        <f>IF(A75="","",A75&amp;"-"&amp;B75&amp;"-"&amp;C75)</f>
        <v/>
      </c>
      <c r="M75" s="8">
        <f>IF(OR(L75="",G75=""),"",IF(COUNTIF(L76:L$552,L75)=0,L75,""))</f>
        <v/>
      </c>
    </row>
    <row r="76">
      <c r="A76" s="40" t="n">
        <v>5</v>
      </c>
      <c r="B76" s="40" t="inlineStr">
        <is>
          <t>梅</t>
        </is>
      </c>
      <c r="C76" s="40" t="n">
        <v>6</v>
      </c>
      <c r="D76" s="40" t="n">
        <v>4</v>
      </c>
      <c r="E76" s="40" t="n">
        <v>8</v>
      </c>
      <c r="F76" s="40" t="n">
        <v>1</v>
      </c>
      <c r="G76" s="3">
        <f>IF(L76="","",IFERROR(INDEX(前年度名簿!$D$2:$D$451,MATCH(L76,前年度名簿!$F$2:$F$451,0)),""))</f>
        <v/>
      </c>
      <c r="H76" s="44">
        <f>IF(D76="","",IF(ISERROR(VALUE(D76)),D76&amp;"",IF(AND(VALUE(D76)&gt;=1,VALUE(D76)&lt;=20),IF(INDEX(設定!$P$8:$P$27,VALUE(D76))="","？",INDEX(設定!$P$8:$P$27,VALUE(D76))),"？")))</f>
        <v/>
      </c>
      <c r="I76" s="44">
        <f>IF(E76="","",IF(ISERROR(VALUE(E76)),E76&amp;"",IF(AND(VALUE(E76)&gt;=1,VALUE(E76)&lt;=20),IF(INDEX(設定!$P$8:$P$27,VALUE(E76))="","？",INDEX(設定!$P$8:$P$27,VALUE(E76))),"？")))</f>
        <v/>
      </c>
      <c r="J76" s="44">
        <f>IF(F76="","",IF(ISERROR(VALUE(F76)),F76&amp;"",IF(AND(VALUE(F76)&gt;=1,VALUE(F76)&lt;=20),IF(INDEX(設定!$P$8:$P$27,VALUE(F76))="","？",INDEX(設定!$P$8:$P$27,VALUE(F76))),"？")))</f>
        <v/>
      </c>
      <c r="K76" s="45">
        <f>IF(L76="","",IF(G76="","名簿にいない",IF(COUNTIF(L77:L$552,L76)&gt;0,"2回提出（下の行を使います）",IF(OR(H76="？",I76="？",J76="？"),"クラブ番号がちがう",IF(OR(AND(H76&lt;&gt;"",H76&lt;&gt;"？",COUNTIF(設定!$P$8:$P$27,H76)=0),AND(I76&lt;&gt;"",I76&lt;&gt;"？",COUNTIF(設定!$P$8:$P$27,I76)=0),AND(J76&lt;&gt;"",J76&lt;&gt;"？",COUNTIF(設定!$P$8:$P$27,J76)=0)),"クラブ名がちがう",IF(H76="","第1希望がない",IF(OR(AND(H76&lt;&gt;"",H76=I76),AND(H76&lt;&gt;"",H76=J76),AND(I76&lt;&gt;"",I76=J76)),"同じクラブを重複して希望","OK")))))))</f>
        <v/>
      </c>
      <c r="L76" s="8">
        <f>IF(A76="","",A76&amp;"-"&amp;B76&amp;"-"&amp;C76)</f>
        <v/>
      </c>
      <c r="M76" s="8">
        <f>IF(OR(L76="",G76=""),"",IF(COUNTIF(L77:L$552,L76)=0,L76,""))</f>
        <v/>
      </c>
    </row>
    <row r="77">
      <c r="A77" s="40" t="n">
        <v>4</v>
      </c>
      <c r="B77" s="40" t="inlineStr">
        <is>
          <t>月</t>
        </is>
      </c>
      <c r="C77" s="40" t="n">
        <v>8</v>
      </c>
      <c r="D77" s="40" t="n">
        <v>6</v>
      </c>
      <c r="E77" s="40" t="n">
        <v>9</v>
      </c>
      <c r="F77" s="40" t="n">
        <v>10</v>
      </c>
      <c r="G77" s="3">
        <f>IF(L77="","",IFERROR(INDEX(前年度名簿!$D$2:$D$451,MATCH(L77,前年度名簿!$F$2:$F$451,0)),""))</f>
        <v/>
      </c>
      <c r="H77" s="44">
        <f>IF(D77="","",IF(ISERROR(VALUE(D77)),D77&amp;"",IF(AND(VALUE(D77)&gt;=1,VALUE(D77)&lt;=20),IF(INDEX(設定!$P$8:$P$27,VALUE(D77))="","？",INDEX(設定!$P$8:$P$27,VALUE(D77))),"？")))</f>
        <v/>
      </c>
      <c r="I77" s="44">
        <f>IF(E77="","",IF(ISERROR(VALUE(E77)),E77&amp;"",IF(AND(VALUE(E77)&gt;=1,VALUE(E77)&lt;=20),IF(INDEX(設定!$P$8:$P$27,VALUE(E77))="","？",INDEX(設定!$P$8:$P$27,VALUE(E77))),"？")))</f>
        <v/>
      </c>
      <c r="J77" s="44">
        <f>IF(F77="","",IF(ISERROR(VALUE(F77)),F77&amp;"",IF(AND(VALUE(F77)&gt;=1,VALUE(F77)&lt;=20),IF(INDEX(設定!$P$8:$P$27,VALUE(F77))="","？",INDEX(設定!$P$8:$P$27,VALUE(F77))),"？")))</f>
        <v/>
      </c>
      <c r="K77" s="45">
        <f>IF(L77="","",IF(G77="","名簿にいない",IF(COUNTIF(L78:L$552,L77)&gt;0,"2回提出（下の行を使います）",IF(OR(H77="？",I77="？",J77="？"),"クラブ番号がちがう",IF(OR(AND(H77&lt;&gt;"",H77&lt;&gt;"？",COUNTIF(設定!$P$8:$P$27,H77)=0),AND(I77&lt;&gt;"",I77&lt;&gt;"？",COUNTIF(設定!$P$8:$P$27,I77)=0),AND(J77&lt;&gt;"",J77&lt;&gt;"？",COUNTIF(設定!$P$8:$P$27,J77)=0)),"クラブ名がちがう",IF(H77="","第1希望がない",IF(OR(AND(H77&lt;&gt;"",H77=I77),AND(H77&lt;&gt;"",H77=J77),AND(I77&lt;&gt;"",I77=J77)),"同じクラブを重複して希望","OK")))))))</f>
        <v/>
      </c>
      <c r="L77" s="8">
        <f>IF(A77="","",A77&amp;"-"&amp;B77&amp;"-"&amp;C77)</f>
        <v/>
      </c>
      <c r="M77" s="8">
        <f>IF(OR(L77="",G77=""),"",IF(COUNTIF(L78:L$552,L77)=0,L77,""))</f>
        <v/>
      </c>
    </row>
    <row r="78">
      <c r="A78" s="40" t="n">
        <v>4</v>
      </c>
      <c r="B78" s="40" t="inlineStr">
        <is>
          <t>竹</t>
        </is>
      </c>
      <c r="C78" s="40" t="n">
        <v>7</v>
      </c>
      <c r="D78" s="40" t="n">
        <v>12</v>
      </c>
      <c r="E78" s="40" t="n">
        <v>1</v>
      </c>
      <c r="F78" s="40" t="n">
        <v>11</v>
      </c>
      <c r="G78" s="3">
        <f>IF(L78="","",IFERROR(INDEX(前年度名簿!$D$2:$D$451,MATCH(L78,前年度名簿!$F$2:$F$451,0)),""))</f>
        <v/>
      </c>
      <c r="H78" s="44">
        <f>IF(D78="","",IF(ISERROR(VALUE(D78)),D78&amp;"",IF(AND(VALUE(D78)&gt;=1,VALUE(D78)&lt;=20),IF(INDEX(設定!$P$8:$P$27,VALUE(D78))="","？",INDEX(設定!$P$8:$P$27,VALUE(D78))),"？")))</f>
        <v/>
      </c>
      <c r="I78" s="44">
        <f>IF(E78="","",IF(ISERROR(VALUE(E78)),E78&amp;"",IF(AND(VALUE(E78)&gt;=1,VALUE(E78)&lt;=20),IF(INDEX(設定!$P$8:$P$27,VALUE(E78))="","？",INDEX(設定!$P$8:$P$27,VALUE(E78))),"？")))</f>
        <v/>
      </c>
      <c r="J78" s="44">
        <f>IF(F78="","",IF(ISERROR(VALUE(F78)),F78&amp;"",IF(AND(VALUE(F78)&gt;=1,VALUE(F78)&lt;=20),IF(INDEX(設定!$P$8:$P$27,VALUE(F78))="","？",INDEX(設定!$P$8:$P$27,VALUE(F78))),"？")))</f>
        <v/>
      </c>
      <c r="K78" s="45">
        <f>IF(L78="","",IF(G78="","名簿にいない",IF(COUNTIF(L79:L$552,L78)&gt;0,"2回提出（下の行を使います）",IF(OR(H78="？",I78="？",J78="？"),"クラブ番号がちがう",IF(OR(AND(H78&lt;&gt;"",H78&lt;&gt;"？",COUNTIF(設定!$P$8:$P$27,H78)=0),AND(I78&lt;&gt;"",I78&lt;&gt;"？",COUNTIF(設定!$P$8:$P$27,I78)=0),AND(J78&lt;&gt;"",J78&lt;&gt;"？",COUNTIF(設定!$P$8:$P$27,J78)=0)),"クラブ名がちがう",IF(H78="","第1希望がない",IF(OR(AND(H78&lt;&gt;"",H78=I78),AND(H78&lt;&gt;"",H78=J78),AND(I78&lt;&gt;"",I78=J78)),"同じクラブを重複して希望","OK")))))))</f>
        <v/>
      </c>
      <c r="L78" s="8">
        <f>IF(A78="","",A78&amp;"-"&amp;B78&amp;"-"&amp;C78)</f>
        <v/>
      </c>
      <c r="M78" s="8">
        <f>IF(OR(L78="",G78=""),"",IF(COUNTIF(L79:L$552,L78)=0,L78,""))</f>
        <v/>
      </c>
    </row>
    <row r="79">
      <c r="A79" s="40" t="n">
        <v>5</v>
      </c>
      <c r="B79" s="40" t="inlineStr">
        <is>
          <t>梅</t>
        </is>
      </c>
      <c r="C79" s="40" t="n">
        <v>4</v>
      </c>
      <c r="D79" s="40" t="n">
        <v>2</v>
      </c>
      <c r="E79" s="40" t="n">
        <v>11</v>
      </c>
      <c r="F79" s="40" t="n">
        <v>4</v>
      </c>
      <c r="G79" s="3">
        <f>IF(L79="","",IFERROR(INDEX(前年度名簿!$D$2:$D$451,MATCH(L79,前年度名簿!$F$2:$F$451,0)),""))</f>
        <v/>
      </c>
      <c r="H79" s="44">
        <f>IF(D79="","",IF(ISERROR(VALUE(D79)),D79&amp;"",IF(AND(VALUE(D79)&gt;=1,VALUE(D79)&lt;=20),IF(INDEX(設定!$P$8:$P$27,VALUE(D79))="","？",INDEX(設定!$P$8:$P$27,VALUE(D79))),"？")))</f>
        <v/>
      </c>
      <c r="I79" s="44">
        <f>IF(E79="","",IF(ISERROR(VALUE(E79)),E79&amp;"",IF(AND(VALUE(E79)&gt;=1,VALUE(E79)&lt;=20),IF(INDEX(設定!$P$8:$P$27,VALUE(E79))="","？",INDEX(設定!$P$8:$P$27,VALUE(E79))),"？")))</f>
        <v/>
      </c>
      <c r="J79" s="44">
        <f>IF(F79="","",IF(ISERROR(VALUE(F79)),F79&amp;"",IF(AND(VALUE(F79)&gt;=1,VALUE(F79)&lt;=20),IF(INDEX(設定!$P$8:$P$27,VALUE(F79))="","？",INDEX(設定!$P$8:$P$27,VALUE(F79))),"？")))</f>
        <v/>
      </c>
      <c r="K79" s="45">
        <f>IF(L79="","",IF(G79="","名簿にいない",IF(COUNTIF(L80:L$552,L79)&gt;0,"2回提出（下の行を使います）",IF(OR(H79="？",I79="？",J79="？"),"クラブ番号がちがう",IF(OR(AND(H79&lt;&gt;"",H79&lt;&gt;"？",COUNTIF(設定!$P$8:$P$27,H79)=0),AND(I79&lt;&gt;"",I79&lt;&gt;"？",COUNTIF(設定!$P$8:$P$27,I79)=0),AND(J79&lt;&gt;"",J79&lt;&gt;"？",COUNTIF(設定!$P$8:$P$27,J79)=0)),"クラブ名がちがう",IF(H79="","第1希望がない",IF(OR(AND(H79&lt;&gt;"",H79=I79),AND(H79&lt;&gt;"",H79=J79),AND(I79&lt;&gt;"",I79=J79)),"同じクラブを重複して希望","OK")))))))</f>
        <v/>
      </c>
      <c r="L79" s="8">
        <f>IF(A79="","",A79&amp;"-"&amp;B79&amp;"-"&amp;C79)</f>
        <v/>
      </c>
      <c r="M79" s="8">
        <f>IF(OR(L79="",G79=""),"",IF(COUNTIF(L80:L$552,L79)=0,L79,""))</f>
        <v/>
      </c>
    </row>
    <row r="80">
      <c r="A80" s="40" t="n">
        <v>4</v>
      </c>
      <c r="B80" s="40" t="inlineStr">
        <is>
          <t>松</t>
        </is>
      </c>
      <c r="C80" s="40" t="n">
        <v>3</v>
      </c>
      <c r="D80" s="40" t="n">
        <v>8</v>
      </c>
      <c r="E80" s="40" t="n">
        <v>7</v>
      </c>
      <c r="F80" s="40" t="n">
        <v>11</v>
      </c>
      <c r="G80" s="3">
        <f>IF(L80="","",IFERROR(INDEX(前年度名簿!$D$2:$D$451,MATCH(L80,前年度名簿!$F$2:$F$451,0)),""))</f>
        <v/>
      </c>
      <c r="H80" s="44">
        <f>IF(D80="","",IF(ISERROR(VALUE(D80)),D80&amp;"",IF(AND(VALUE(D80)&gt;=1,VALUE(D80)&lt;=20),IF(INDEX(設定!$P$8:$P$27,VALUE(D80))="","？",INDEX(設定!$P$8:$P$27,VALUE(D80))),"？")))</f>
        <v/>
      </c>
      <c r="I80" s="44">
        <f>IF(E80="","",IF(ISERROR(VALUE(E80)),E80&amp;"",IF(AND(VALUE(E80)&gt;=1,VALUE(E80)&lt;=20),IF(INDEX(設定!$P$8:$P$27,VALUE(E80))="","？",INDEX(設定!$P$8:$P$27,VALUE(E80))),"？")))</f>
        <v/>
      </c>
      <c r="J80" s="44">
        <f>IF(F80="","",IF(ISERROR(VALUE(F80)),F80&amp;"",IF(AND(VALUE(F80)&gt;=1,VALUE(F80)&lt;=20),IF(INDEX(設定!$P$8:$P$27,VALUE(F80))="","？",INDEX(設定!$P$8:$P$27,VALUE(F80))),"？")))</f>
        <v/>
      </c>
      <c r="K80" s="45">
        <f>IF(L80="","",IF(G80="","名簿にいない",IF(COUNTIF(L81:L$552,L80)&gt;0,"2回提出（下の行を使います）",IF(OR(H80="？",I80="？",J80="？"),"クラブ番号がちがう",IF(OR(AND(H80&lt;&gt;"",H80&lt;&gt;"？",COUNTIF(設定!$P$8:$P$27,H80)=0),AND(I80&lt;&gt;"",I80&lt;&gt;"？",COUNTIF(設定!$P$8:$P$27,I80)=0),AND(J80&lt;&gt;"",J80&lt;&gt;"？",COUNTIF(設定!$P$8:$P$27,J80)=0)),"クラブ名がちがう",IF(H80="","第1希望がない",IF(OR(AND(H80&lt;&gt;"",H80=I80),AND(H80&lt;&gt;"",H80=J80),AND(I80&lt;&gt;"",I80=J80)),"同じクラブを重複して希望","OK")))))))</f>
        <v/>
      </c>
      <c r="L80" s="8">
        <f>IF(A80="","",A80&amp;"-"&amp;B80&amp;"-"&amp;C80)</f>
        <v/>
      </c>
      <c r="M80" s="8">
        <f>IF(OR(L80="",G80=""),"",IF(COUNTIF(L81:L$552,L80)=0,L80,""))</f>
        <v/>
      </c>
    </row>
    <row r="81">
      <c r="A81" s="40" t="n">
        <v>4</v>
      </c>
      <c r="B81" s="40" t="inlineStr">
        <is>
          <t>松</t>
        </is>
      </c>
      <c r="C81" s="40" t="n">
        <v>22</v>
      </c>
      <c r="D81" s="40" t="n">
        <v>10</v>
      </c>
      <c r="E81" s="40" t="n">
        <v>7</v>
      </c>
      <c r="F81" s="40" t="n">
        <v>12</v>
      </c>
      <c r="G81" s="3">
        <f>IF(L81="","",IFERROR(INDEX(前年度名簿!$D$2:$D$451,MATCH(L81,前年度名簿!$F$2:$F$451,0)),""))</f>
        <v/>
      </c>
      <c r="H81" s="44">
        <f>IF(D81="","",IF(ISERROR(VALUE(D81)),D81&amp;"",IF(AND(VALUE(D81)&gt;=1,VALUE(D81)&lt;=20),IF(INDEX(設定!$P$8:$P$27,VALUE(D81))="","？",INDEX(設定!$P$8:$P$27,VALUE(D81))),"？")))</f>
        <v/>
      </c>
      <c r="I81" s="44">
        <f>IF(E81="","",IF(ISERROR(VALUE(E81)),E81&amp;"",IF(AND(VALUE(E81)&gt;=1,VALUE(E81)&lt;=20),IF(INDEX(設定!$P$8:$P$27,VALUE(E81))="","？",INDEX(設定!$P$8:$P$27,VALUE(E81))),"？")))</f>
        <v/>
      </c>
      <c r="J81" s="44">
        <f>IF(F81="","",IF(ISERROR(VALUE(F81)),F81&amp;"",IF(AND(VALUE(F81)&gt;=1,VALUE(F81)&lt;=20),IF(INDEX(設定!$P$8:$P$27,VALUE(F81))="","？",INDEX(設定!$P$8:$P$27,VALUE(F81))),"？")))</f>
        <v/>
      </c>
      <c r="K81" s="45">
        <f>IF(L81="","",IF(G81="","名簿にいない",IF(COUNTIF(L82:L$552,L81)&gt;0,"2回提出（下の行を使います）",IF(OR(H81="？",I81="？",J81="？"),"クラブ番号がちがう",IF(OR(AND(H81&lt;&gt;"",H81&lt;&gt;"？",COUNTIF(設定!$P$8:$P$27,H81)=0),AND(I81&lt;&gt;"",I81&lt;&gt;"？",COUNTIF(設定!$P$8:$P$27,I81)=0),AND(J81&lt;&gt;"",J81&lt;&gt;"？",COUNTIF(設定!$P$8:$P$27,J81)=0)),"クラブ名がちがう",IF(H81="","第1希望がない",IF(OR(AND(H81&lt;&gt;"",H81=I81),AND(H81&lt;&gt;"",H81=J81),AND(I81&lt;&gt;"",I81=J81)),"同じクラブを重複して希望","OK")))))))</f>
        <v/>
      </c>
      <c r="L81" s="8">
        <f>IF(A81="","",A81&amp;"-"&amp;B81&amp;"-"&amp;C81)</f>
        <v/>
      </c>
      <c r="M81" s="8">
        <f>IF(OR(L81="",G81=""),"",IF(COUNTIF(L82:L$552,L81)=0,L81,""))</f>
        <v/>
      </c>
    </row>
    <row r="82">
      <c r="A82" s="40" t="n">
        <v>4</v>
      </c>
      <c r="B82" s="40" t="inlineStr">
        <is>
          <t>梅</t>
        </is>
      </c>
      <c r="C82" s="40" t="n">
        <v>28</v>
      </c>
      <c r="D82" s="40" t="n">
        <v>8</v>
      </c>
      <c r="E82" s="40" t="n">
        <v>9</v>
      </c>
      <c r="F82" s="40" t="n">
        <v>6</v>
      </c>
      <c r="G82" s="3">
        <f>IF(L82="","",IFERROR(INDEX(前年度名簿!$D$2:$D$451,MATCH(L82,前年度名簿!$F$2:$F$451,0)),""))</f>
        <v/>
      </c>
      <c r="H82" s="44">
        <f>IF(D82="","",IF(ISERROR(VALUE(D82)),D82&amp;"",IF(AND(VALUE(D82)&gt;=1,VALUE(D82)&lt;=20),IF(INDEX(設定!$P$8:$P$27,VALUE(D82))="","？",INDEX(設定!$P$8:$P$27,VALUE(D82))),"？")))</f>
        <v/>
      </c>
      <c r="I82" s="44">
        <f>IF(E82="","",IF(ISERROR(VALUE(E82)),E82&amp;"",IF(AND(VALUE(E82)&gt;=1,VALUE(E82)&lt;=20),IF(INDEX(設定!$P$8:$P$27,VALUE(E82))="","？",INDEX(設定!$P$8:$P$27,VALUE(E82))),"？")))</f>
        <v/>
      </c>
      <c r="J82" s="44">
        <f>IF(F82="","",IF(ISERROR(VALUE(F82)),F82&amp;"",IF(AND(VALUE(F82)&gt;=1,VALUE(F82)&lt;=20),IF(INDEX(設定!$P$8:$P$27,VALUE(F82))="","？",INDEX(設定!$P$8:$P$27,VALUE(F82))),"？")))</f>
        <v/>
      </c>
      <c r="K82" s="45">
        <f>IF(L82="","",IF(G82="","名簿にいない",IF(COUNTIF(L83:L$552,L82)&gt;0,"2回提出（下の行を使います）",IF(OR(H82="？",I82="？",J82="？"),"クラブ番号がちがう",IF(OR(AND(H82&lt;&gt;"",H82&lt;&gt;"？",COUNTIF(設定!$P$8:$P$27,H82)=0),AND(I82&lt;&gt;"",I82&lt;&gt;"？",COUNTIF(設定!$P$8:$P$27,I82)=0),AND(J82&lt;&gt;"",J82&lt;&gt;"？",COUNTIF(設定!$P$8:$P$27,J82)=0)),"クラブ名がちがう",IF(H82="","第1希望がない",IF(OR(AND(H82&lt;&gt;"",H82=I82),AND(H82&lt;&gt;"",H82=J82),AND(I82&lt;&gt;"",I82=J82)),"同じクラブを重複して希望","OK")))))))</f>
        <v/>
      </c>
      <c r="L82" s="8">
        <f>IF(A82="","",A82&amp;"-"&amp;B82&amp;"-"&amp;C82)</f>
        <v/>
      </c>
      <c r="M82" s="8">
        <f>IF(OR(L82="",G82=""),"",IF(COUNTIF(L83:L$552,L82)=0,L82,""))</f>
        <v/>
      </c>
    </row>
    <row r="83">
      <c r="A83" s="40" t="n">
        <v>3</v>
      </c>
      <c r="B83" s="40" t="inlineStr">
        <is>
          <t>梅</t>
        </is>
      </c>
      <c r="C83" s="40" t="n">
        <v>25</v>
      </c>
      <c r="D83" s="40" t="n">
        <v>12</v>
      </c>
      <c r="E83" s="40" t="n">
        <v>5</v>
      </c>
      <c r="F83" s="40" t="n">
        <v>9</v>
      </c>
      <c r="G83" s="3">
        <f>IF(L83="","",IFERROR(INDEX(前年度名簿!$D$2:$D$451,MATCH(L83,前年度名簿!$F$2:$F$451,0)),""))</f>
        <v/>
      </c>
      <c r="H83" s="44">
        <f>IF(D83="","",IF(ISERROR(VALUE(D83)),D83&amp;"",IF(AND(VALUE(D83)&gt;=1,VALUE(D83)&lt;=20),IF(INDEX(設定!$P$8:$P$27,VALUE(D83))="","？",INDEX(設定!$P$8:$P$27,VALUE(D83))),"？")))</f>
        <v/>
      </c>
      <c r="I83" s="44">
        <f>IF(E83="","",IF(ISERROR(VALUE(E83)),E83&amp;"",IF(AND(VALUE(E83)&gt;=1,VALUE(E83)&lt;=20),IF(INDEX(設定!$P$8:$P$27,VALUE(E83))="","？",INDEX(設定!$P$8:$P$27,VALUE(E83))),"？")))</f>
        <v/>
      </c>
      <c r="J83" s="44">
        <f>IF(F83="","",IF(ISERROR(VALUE(F83)),F83&amp;"",IF(AND(VALUE(F83)&gt;=1,VALUE(F83)&lt;=20),IF(INDEX(設定!$P$8:$P$27,VALUE(F83))="","？",INDEX(設定!$P$8:$P$27,VALUE(F83))),"？")))</f>
        <v/>
      </c>
      <c r="K83" s="45">
        <f>IF(L83="","",IF(G83="","名簿にいない",IF(COUNTIF(L84:L$552,L83)&gt;0,"2回提出（下の行を使います）",IF(OR(H83="？",I83="？",J83="？"),"クラブ番号がちがう",IF(OR(AND(H83&lt;&gt;"",H83&lt;&gt;"？",COUNTIF(設定!$P$8:$P$27,H83)=0),AND(I83&lt;&gt;"",I83&lt;&gt;"？",COUNTIF(設定!$P$8:$P$27,I83)=0),AND(J83&lt;&gt;"",J83&lt;&gt;"？",COUNTIF(設定!$P$8:$P$27,J83)=0)),"クラブ名がちがう",IF(H83="","第1希望がない",IF(OR(AND(H83&lt;&gt;"",H83=I83),AND(H83&lt;&gt;"",H83=J83),AND(I83&lt;&gt;"",I83=J83)),"同じクラブを重複して希望","OK")))))))</f>
        <v/>
      </c>
      <c r="L83" s="8">
        <f>IF(A83="","",A83&amp;"-"&amp;B83&amp;"-"&amp;C83)</f>
        <v/>
      </c>
      <c r="M83" s="8">
        <f>IF(OR(L83="",G83=""),"",IF(COUNTIF(L84:L$552,L83)=0,L83,""))</f>
        <v/>
      </c>
    </row>
    <row r="84">
      <c r="A84" s="40" t="n">
        <v>4</v>
      </c>
      <c r="B84" s="40" t="inlineStr">
        <is>
          <t>梅</t>
        </is>
      </c>
      <c r="C84" s="40" t="n">
        <v>3</v>
      </c>
      <c r="D84" s="40" t="n">
        <v>5</v>
      </c>
      <c r="E84" s="40" t="n">
        <v>6</v>
      </c>
      <c r="F84" s="40" t="n">
        <v>1</v>
      </c>
      <c r="G84" s="3">
        <f>IF(L84="","",IFERROR(INDEX(前年度名簿!$D$2:$D$451,MATCH(L84,前年度名簿!$F$2:$F$451,0)),""))</f>
        <v/>
      </c>
      <c r="H84" s="44">
        <f>IF(D84="","",IF(ISERROR(VALUE(D84)),D84&amp;"",IF(AND(VALUE(D84)&gt;=1,VALUE(D84)&lt;=20),IF(INDEX(設定!$P$8:$P$27,VALUE(D84))="","？",INDEX(設定!$P$8:$P$27,VALUE(D84))),"？")))</f>
        <v/>
      </c>
      <c r="I84" s="44">
        <f>IF(E84="","",IF(ISERROR(VALUE(E84)),E84&amp;"",IF(AND(VALUE(E84)&gt;=1,VALUE(E84)&lt;=20),IF(INDEX(設定!$P$8:$P$27,VALUE(E84))="","？",INDEX(設定!$P$8:$P$27,VALUE(E84))),"？")))</f>
        <v/>
      </c>
      <c r="J84" s="44">
        <f>IF(F84="","",IF(ISERROR(VALUE(F84)),F84&amp;"",IF(AND(VALUE(F84)&gt;=1,VALUE(F84)&lt;=20),IF(INDEX(設定!$P$8:$P$27,VALUE(F84))="","？",INDEX(設定!$P$8:$P$27,VALUE(F84))),"？")))</f>
        <v/>
      </c>
      <c r="K84" s="45">
        <f>IF(L84="","",IF(G84="","名簿にいない",IF(COUNTIF(L85:L$552,L84)&gt;0,"2回提出（下の行を使います）",IF(OR(H84="？",I84="？",J84="？"),"クラブ番号がちがう",IF(OR(AND(H84&lt;&gt;"",H84&lt;&gt;"？",COUNTIF(設定!$P$8:$P$27,H84)=0),AND(I84&lt;&gt;"",I84&lt;&gt;"？",COUNTIF(設定!$P$8:$P$27,I84)=0),AND(J84&lt;&gt;"",J84&lt;&gt;"？",COUNTIF(設定!$P$8:$P$27,J84)=0)),"クラブ名がちがう",IF(H84="","第1希望がない",IF(OR(AND(H84&lt;&gt;"",H84=I84),AND(H84&lt;&gt;"",H84=J84),AND(I84&lt;&gt;"",I84=J84)),"同じクラブを重複して希望","OK")))))))</f>
        <v/>
      </c>
      <c r="L84" s="8">
        <f>IF(A84="","",A84&amp;"-"&amp;B84&amp;"-"&amp;C84)</f>
        <v/>
      </c>
      <c r="M84" s="8">
        <f>IF(OR(L84="",G84=""),"",IF(COUNTIF(L85:L$552,L84)=0,L84,""))</f>
        <v/>
      </c>
    </row>
    <row r="85">
      <c r="A85" s="40" t="n">
        <v>3</v>
      </c>
      <c r="B85" s="40" t="inlineStr">
        <is>
          <t>竹</t>
        </is>
      </c>
      <c r="C85" s="40" t="n">
        <v>5</v>
      </c>
      <c r="D85" s="40" t="n">
        <v>12</v>
      </c>
      <c r="E85" s="40" t="n">
        <v>8</v>
      </c>
      <c r="F85" s="40" t="n">
        <v>5</v>
      </c>
      <c r="G85" s="3">
        <f>IF(L85="","",IFERROR(INDEX(前年度名簿!$D$2:$D$451,MATCH(L85,前年度名簿!$F$2:$F$451,0)),""))</f>
        <v/>
      </c>
      <c r="H85" s="44">
        <f>IF(D85="","",IF(ISERROR(VALUE(D85)),D85&amp;"",IF(AND(VALUE(D85)&gt;=1,VALUE(D85)&lt;=20),IF(INDEX(設定!$P$8:$P$27,VALUE(D85))="","？",INDEX(設定!$P$8:$P$27,VALUE(D85))),"？")))</f>
        <v/>
      </c>
      <c r="I85" s="44">
        <f>IF(E85="","",IF(ISERROR(VALUE(E85)),E85&amp;"",IF(AND(VALUE(E85)&gt;=1,VALUE(E85)&lt;=20),IF(INDEX(設定!$P$8:$P$27,VALUE(E85))="","？",INDEX(設定!$P$8:$P$27,VALUE(E85))),"？")))</f>
        <v/>
      </c>
      <c r="J85" s="44">
        <f>IF(F85="","",IF(ISERROR(VALUE(F85)),F85&amp;"",IF(AND(VALUE(F85)&gt;=1,VALUE(F85)&lt;=20),IF(INDEX(設定!$P$8:$P$27,VALUE(F85))="","？",INDEX(設定!$P$8:$P$27,VALUE(F85))),"？")))</f>
        <v/>
      </c>
      <c r="K85" s="45">
        <f>IF(L85="","",IF(G85="","名簿にいない",IF(COUNTIF(L86:L$552,L85)&gt;0,"2回提出（下の行を使います）",IF(OR(H85="？",I85="？",J85="？"),"クラブ番号がちがう",IF(OR(AND(H85&lt;&gt;"",H85&lt;&gt;"？",COUNTIF(設定!$P$8:$P$27,H85)=0),AND(I85&lt;&gt;"",I85&lt;&gt;"？",COUNTIF(設定!$P$8:$P$27,I85)=0),AND(J85&lt;&gt;"",J85&lt;&gt;"？",COUNTIF(設定!$P$8:$P$27,J85)=0)),"クラブ名がちがう",IF(H85="","第1希望がない",IF(OR(AND(H85&lt;&gt;"",H85=I85),AND(H85&lt;&gt;"",H85=J85),AND(I85&lt;&gt;"",I85=J85)),"同じクラブを重複して希望","OK")))))))</f>
        <v/>
      </c>
      <c r="L85" s="8">
        <f>IF(A85="","",A85&amp;"-"&amp;B85&amp;"-"&amp;C85)</f>
        <v/>
      </c>
      <c r="M85" s="8">
        <f>IF(OR(L85="",G85=""),"",IF(COUNTIF(L86:L$552,L85)=0,L85,""))</f>
        <v/>
      </c>
    </row>
    <row r="86">
      <c r="A86" s="40" t="n">
        <v>4</v>
      </c>
      <c r="B86" s="40" t="inlineStr">
        <is>
          <t>松</t>
        </is>
      </c>
      <c r="C86" s="40" t="n">
        <v>28</v>
      </c>
      <c r="D86" s="40" t="n">
        <v>12</v>
      </c>
      <c r="E86" s="40" t="n">
        <v>3</v>
      </c>
      <c r="F86" s="40" t="n">
        <v>4</v>
      </c>
      <c r="G86" s="3">
        <f>IF(L86="","",IFERROR(INDEX(前年度名簿!$D$2:$D$451,MATCH(L86,前年度名簿!$F$2:$F$451,0)),""))</f>
        <v/>
      </c>
      <c r="H86" s="44">
        <f>IF(D86="","",IF(ISERROR(VALUE(D86)),D86&amp;"",IF(AND(VALUE(D86)&gt;=1,VALUE(D86)&lt;=20),IF(INDEX(設定!$P$8:$P$27,VALUE(D86))="","？",INDEX(設定!$P$8:$P$27,VALUE(D86))),"？")))</f>
        <v/>
      </c>
      <c r="I86" s="44">
        <f>IF(E86="","",IF(ISERROR(VALUE(E86)),E86&amp;"",IF(AND(VALUE(E86)&gt;=1,VALUE(E86)&lt;=20),IF(INDEX(設定!$P$8:$P$27,VALUE(E86))="","？",INDEX(設定!$P$8:$P$27,VALUE(E86))),"？")))</f>
        <v/>
      </c>
      <c r="J86" s="44">
        <f>IF(F86="","",IF(ISERROR(VALUE(F86)),F86&amp;"",IF(AND(VALUE(F86)&gt;=1,VALUE(F86)&lt;=20),IF(INDEX(設定!$P$8:$P$27,VALUE(F86))="","？",INDEX(設定!$P$8:$P$27,VALUE(F86))),"？")))</f>
        <v/>
      </c>
      <c r="K86" s="45">
        <f>IF(L86="","",IF(G86="","名簿にいない",IF(COUNTIF(L87:L$552,L86)&gt;0,"2回提出（下の行を使います）",IF(OR(H86="？",I86="？",J86="？"),"クラブ番号がちがう",IF(OR(AND(H86&lt;&gt;"",H86&lt;&gt;"？",COUNTIF(設定!$P$8:$P$27,H86)=0),AND(I86&lt;&gt;"",I86&lt;&gt;"？",COUNTIF(設定!$P$8:$P$27,I86)=0),AND(J86&lt;&gt;"",J86&lt;&gt;"？",COUNTIF(設定!$P$8:$P$27,J86)=0)),"クラブ名がちがう",IF(H86="","第1希望がない",IF(OR(AND(H86&lt;&gt;"",H86=I86),AND(H86&lt;&gt;"",H86=J86),AND(I86&lt;&gt;"",I86=J86)),"同じクラブを重複して希望","OK")))))))</f>
        <v/>
      </c>
      <c r="L86" s="8">
        <f>IF(A86="","",A86&amp;"-"&amp;B86&amp;"-"&amp;C86)</f>
        <v/>
      </c>
      <c r="M86" s="8">
        <f>IF(OR(L86="",G86=""),"",IF(COUNTIF(L87:L$552,L86)=0,L86,""))</f>
        <v/>
      </c>
    </row>
    <row r="87">
      <c r="A87" s="40" t="n">
        <v>5</v>
      </c>
      <c r="B87" s="40" t="inlineStr">
        <is>
          <t>松</t>
        </is>
      </c>
      <c r="C87" s="40" t="n">
        <v>15</v>
      </c>
      <c r="D87" s="40" t="n">
        <v>4</v>
      </c>
      <c r="E87" s="40" t="n">
        <v>12</v>
      </c>
      <c r="F87" s="40" t="n">
        <v>5</v>
      </c>
      <c r="G87" s="3">
        <f>IF(L87="","",IFERROR(INDEX(前年度名簿!$D$2:$D$451,MATCH(L87,前年度名簿!$F$2:$F$451,0)),""))</f>
        <v/>
      </c>
      <c r="H87" s="44">
        <f>IF(D87="","",IF(ISERROR(VALUE(D87)),D87&amp;"",IF(AND(VALUE(D87)&gt;=1,VALUE(D87)&lt;=20),IF(INDEX(設定!$P$8:$P$27,VALUE(D87))="","？",INDEX(設定!$P$8:$P$27,VALUE(D87))),"？")))</f>
        <v/>
      </c>
      <c r="I87" s="44">
        <f>IF(E87="","",IF(ISERROR(VALUE(E87)),E87&amp;"",IF(AND(VALUE(E87)&gt;=1,VALUE(E87)&lt;=20),IF(INDEX(設定!$P$8:$P$27,VALUE(E87))="","？",INDEX(設定!$P$8:$P$27,VALUE(E87))),"？")))</f>
        <v/>
      </c>
      <c r="J87" s="44">
        <f>IF(F87="","",IF(ISERROR(VALUE(F87)),F87&amp;"",IF(AND(VALUE(F87)&gt;=1,VALUE(F87)&lt;=20),IF(INDEX(設定!$P$8:$P$27,VALUE(F87))="","？",INDEX(設定!$P$8:$P$27,VALUE(F87))),"？")))</f>
        <v/>
      </c>
      <c r="K87" s="45">
        <f>IF(L87="","",IF(G87="","名簿にいない",IF(COUNTIF(L88:L$552,L87)&gt;0,"2回提出（下の行を使います）",IF(OR(H87="？",I87="？",J87="？"),"クラブ番号がちがう",IF(OR(AND(H87&lt;&gt;"",H87&lt;&gt;"？",COUNTIF(設定!$P$8:$P$27,H87)=0),AND(I87&lt;&gt;"",I87&lt;&gt;"？",COUNTIF(設定!$P$8:$P$27,I87)=0),AND(J87&lt;&gt;"",J87&lt;&gt;"？",COUNTIF(設定!$P$8:$P$27,J87)=0)),"クラブ名がちがう",IF(H87="","第1希望がない",IF(OR(AND(H87&lt;&gt;"",H87=I87),AND(H87&lt;&gt;"",H87=J87),AND(I87&lt;&gt;"",I87=J87)),"同じクラブを重複して希望","OK")))))))</f>
        <v/>
      </c>
      <c r="L87" s="8">
        <f>IF(A87="","",A87&amp;"-"&amp;B87&amp;"-"&amp;C87)</f>
        <v/>
      </c>
      <c r="M87" s="8">
        <f>IF(OR(L87="",G87=""),"",IF(COUNTIF(L88:L$552,L87)=0,L87,""))</f>
        <v/>
      </c>
    </row>
    <row r="88">
      <c r="A88" s="40" t="n">
        <v>4</v>
      </c>
      <c r="B88" s="40" t="inlineStr">
        <is>
          <t>竹</t>
        </is>
      </c>
      <c r="C88" s="40" t="n">
        <v>14</v>
      </c>
      <c r="D88" s="40" t="n">
        <v>12</v>
      </c>
      <c r="E88" s="40" t="n">
        <v>11</v>
      </c>
      <c r="F88" s="40" t="n">
        <v>5</v>
      </c>
      <c r="G88" s="3">
        <f>IF(L88="","",IFERROR(INDEX(前年度名簿!$D$2:$D$451,MATCH(L88,前年度名簿!$F$2:$F$451,0)),""))</f>
        <v/>
      </c>
      <c r="H88" s="44">
        <f>IF(D88="","",IF(ISERROR(VALUE(D88)),D88&amp;"",IF(AND(VALUE(D88)&gt;=1,VALUE(D88)&lt;=20),IF(INDEX(設定!$P$8:$P$27,VALUE(D88))="","？",INDEX(設定!$P$8:$P$27,VALUE(D88))),"？")))</f>
        <v/>
      </c>
      <c r="I88" s="44">
        <f>IF(E88="","",IF(ISERROR(VALUE(E88)),E88&amp;"",IF(AND(VALUE(E88)&gt;=1,VALUE(E88)&lt;=20),IF(INDEX(設定!$P$8:$P$27,VALUE(E88))="","？",INDEX(設定!$P$8:$P$27,VALUE(E88))),"？")))</f>
        <v/>
      </c>
      <c r="J88" s="44">
        <f>IF(F88="","",IF(ISERROR(VALUE(F88)),F88&amp;"",IF(AND(VALUE(F88)&gt;=1,VALUE(F88)&lt;=20),IF(INDEX(設定!$P$8:$P$27,VALUE(F88))="","？",INDEX(設定!$P$8:$P$27,VALUE(F88))),"？")))</f>
        <v/>
      </c>
      <c r="K88" s="45">
        <f>IF(L88="","",IF(G88="","名簿にいない",IF(COUNTIF(L89:L$552,L88)&gt;0,"2回提出（下の行を使います）",IF(OR(H88="？",I88="？",J88="？"),"クラブ番号がちがう",IF(OR(AND(H88&lt;&gt;"",H88&lt;&gt;"？",COUNTIF(設定!$P$8:$P$27,H88)=0),AND(I88&lt;&gt;"",I88&lt;&gt;"？",COUNTIF(設定!$P$8:$P$27,I88)=0),AND(J88&lt;&gt;"",J88&lt;&gt;"？",COUNTIF(設定!$P$8:$P$27,J88)=0)),"クラブ名がちがう",IF(H88="","第1希望がない",IF(OR(AND(H88&lt;&gt;"",H88=I88),AND(H88&lt;&gt;"",H88=J88),AND(I88&lt;&gt;"",I88=J88)),"同じクラブを重複して希望","OK")))))))</f>
        <v/>
      </c>
      <c r="L88" s="8">
        <f>IF(A88="","",A88&amp;"-"&amp;B88&amp;"-"&amp;C88)</f>
        <v/>
      </c>
      <c r="M88" s="8">
        <f>IF(OR(L88="",G88=""),"",IF(COUNTIF(L89:L$552,L88)=0,L88,""))</f>
        <v/>
      </c>
    </row>
    <row r="89">
      <c r="A89" s="40" t="n">
        <v>4</v>
      </c>
      <c r="B89" s="40" t="inlineStr">
        <is>
          <t>松</t>
        </is>
      </c>
      <c r="C89" s="40" t="n">
        <v>17</v>
      </c>
      <c r="D89" s="40" t="n">
        <v>5</v>
      </c>
      <c r="E89" s="40" t="n">
        <v>9</v>
      </c>
      <c r="F89" s="40" t="n">
        <v>1</v>
      </c>
      <c r="G89" s="3">
        <f>IF(L89="","",IFERROR(INDEX(前年度名簿!$D$2:$D$451,MATCH(L89,前年度名簿!$F$2:$F$451,0)),""))</f>
        <v/>
      </c>
      <c r="H89" s="44">
        <f>IF(D89="","",IF(ISERROR(VALUE(D89)),D89&amp;"",IF(AND(VALUE(D89)&gt;=1,VALUE(D89)&lt;=20),IF(INDEX(設定!$P$8:$P$27,VALUE(D89))="","？",INDEX(設定!$P$8:$P$27,VALUE(D89))),"？")))</f>
        <v/>
      </c>
      <c r="I89" s="44">
        <f>IF(E89="","",IF(ISERROR(VALUE(E89)),E89&amp;"",IF(AND(VALUE(E89)&gt;=1,VALUE(E89)&lt;=20),IF(INDEX(設定!$P$8:$P$27,VALUE(E89))="","？",INDEX(設定!$P$8:$P$27,VALUE(E89))),"？")))</f>
        <v/>
      </c>
      <c r="J89" s="44">
        <f>IF(F89="","",IF(ISERROR(VALUE(F89)),F89&amp;"",IF(AND(VALUE(F89)&gt;=1,VALUE(F89)&lt;=20),IF(INDEX(設定!$P$8:$P$27,VALUE(F89))="","？",INDEX(設定!$P$8:$P$27,VALUE(F89))),"？")))</f>
        <v/>
      </c>
      <c r="K89" s="45">
        <f>IF(L89="","",IF(G89="","名簿にいない",IF(COUNTIF(L90:L$552,L89)&gt;0,"2回提出（下の行を使います）",IF(OR(H89="？",I89="？",J89="？"),"クラブ番号がちがう",IF(OR(AND(H89&lt;&gt;"",H89&lt;&gt;"？",COUNTIF(設定!$P$8:$P$27,H89)=0),AND(I89&lt;&gt;"",I89&lt;&gt;"？",COUNTIF(設定!$P$8:$P$27,I89)=0),AND(J89&lt;&gt;"",J89&lt;&gt;"？",COUNTIF(設定!$P$8:$P$27,J89)=0)),"クラブ名がちがう",IF(H89="","第1希望がない",IF(OR(AND(H89&lt;&gt;"",H89=I89),AND(H89&lt;&gt;"",H89=J89),AND(I89&lt;&gt;"",I89=J89)),"同じクラブを重複して希望","OK")))))))</f>
        <v/>
      </c>
      <c r="L89" s="8">
        <f>IF(A89="","",A89&amp;"-"&amp;B89&amp;"-"&amp;C89)</f>
        <v/>
      </c>
      <c r="M89" s="8">
        <f>IF(OR(L89="",G89=""),"",IF(COUNTIF(L90:L$552,L89)=0,L89,""))</f>
        <v/>
      </c>
    </row>
    <row r="90">
      <c r="A90" s="40" t="n">
        <v>4</v>
      </c>
      <c r="B90" s="40" t="inlineStr">
        <is>
          <t>梅</t>
        </is>
      </c>
      <c r="C90" s="40" t="n">
        <v>19</v>
      </c>
      <c r="D90" s="40" t="n">
        <v>10</v>
      </c>
      <c r="E90" s="40" t="n">
        <v>11</v>
      </c>
      <c r="F90" s="40" t="n">
        <v>9</v>
      </c>
      <c r="G90" s="3">
        <f>IF(L90="","",IFERROR(INDEX(前年度名簿!$D$2:$D$451,MATCH(L90,前年度名簿!$F$2:$F$451,0)),""))</f>
        <v/>
      </c>
      <c r="H90" s="44">
        <f>IF(D90="","",IF(ISERROR(VALUE(D90)),D90&amp;"",IF(AND(VALUE(D90)&gt;=1,VALUE(D90)&lt;=20),IF(INDEX(設定!$P$8:$P$27,VALUE(D90))="","？",INDEX(設定!$P$8:$P$27,VALUE(D90))),"？")))</f>
        <v/>
      </c>
      <c r="I90" s="44">
        <f>IF(E90="","",IF(ISERROR(VALUE(E90)),E90&amp;"",IF(AND(VALUE(E90)&gt;=1,VALUE(E90)&lt;=20),IF(INDEX(設定!$P$8:$P$27,VALUE(E90))="","？",INDEX(設定!$P$8:$P$27,VALUE(E90))),"？")))</f>
        <v/>
      </c>
      <c r="J90" s="44">
        <f>IF(F90="","",IF(ISERROR(VALUE(F90)),F90&amp;"",IF(AND(VALUE(F90)&gt;=1,VALUE(F90)&lt;=20),IF(INDEX(設定!$P$8:$P$27,VALUE(F90))="","？",INDEX(設定!$P$8:$P$27,VALUE(F90))),"？")))</f>
        <v/>
      </c>
      <c r="K90" s="45">
        <f>IF(L90="","",IF(G90="","名簿にいない",IF(COUNTIF(L91:L$552,L90)&gt;0,"2回提出（下の行を使います）",IF(OR(H90="？",I90="？",J90="？"),"クラブ番号がちがう",IF(OR(AND(H90&lt;&gt;"",H90&lt;&gt;"？",COUNTIF(設定!$P$8:$P$27,H90)=0),AND(I90&lt;&gt;"",I90&lt;&gt;"？",COUNTIF(設定!$P$8:$P$27,I90)=0),AND(J90&lt;&gt;"",J90&lt;&gt;"？",COUNTIF(設定!$P$8:$P$27,J90)=0)),"クラブ名がちがう",IF(H90="","第1希望がない",IF(OR(AND(H90&lt;&gt;"",H90=I90),AND(H90&lt;&gt;"",H90=J90),AND(I90&lt;&gt;"",I90=J90)),"同じクラブを重複して希望","OK")))))))</f>
        <v/>
      </c>
      <c r="L90" s="8">
        <f>IF(A90="","",A90&amp;"-"&amp;B90&amp;"-"&amp;C90)</f>
        <v/>
      </c>
      <c r="M90" s="8">
        <f>IF(OR(L90="",G90=""),"",IF(COUNTIF(L91:L$552,L90)=0,L90,""))</f>
        <v/>
      </c>
    </row>
    <row r="91">
      <c r="A91" s="40" t="n">
        <v>5</v>
      </c>
      <c r="B91" s="40" t="inlineStr">
        <is>
          <t>竹</t>
        </is>
      </c>
      <c r="C91" s="40" t="n">
        <v>26</v>
      </c>
      <c r="D91" s="40" t="n">
        <v>9</v>
      </c>
      <c r="E91" s="40" t="n">
        <v>11</v>
      </c>
      <c r="F91" s="40" t="n">
        <v>1</v>
      </c>
      <c r="G91" s="3">
        <f>IF(L91="","",IFERROR(INDEX(前年度名簿!$D$2:$D$451,MATCH(L91,前年度名簿!$F$2:$F$451,0)),""))</f>
        <v/>
      </c>
      <c r="H91" s="44">
        <f>IF(D91="","",IF(ISERROR(VALUE(D91)),D91&amp;"",IF(AND(VALUE(D91)&gt;=1,VALUE(D91)&lt;=20),IF(INDEX(設定!$P$8:$P$27,VALUE(D91))="","？",INDEX(設定!$P$8:$P$27,VALUE(D91))),"？")))</f>
        <v/>
      </c>
      <c r="I91" s="44">
        <f>IF(E91="","",IF(ISERROR(VALUE(E91)),E91&amp;"",IF(AND(VALUE(E91)&gt;=1,VALUE(E91)&lt;=20),IF(INDEX(設定!$P$8:$P$27,VALUE(E91))="","？",INDEX(設定!$P$8:$P$27,VALUE(E91))),"？")))</f>
        <v/>
      </c>
      <c r="J91" s="44">
        <f>IF(F91="","",IF(ISERROR(VALUE(F91)),F91&amp;"",IF(AND(VALUE(F91)&gt;=1,VALUE(F91)&lt;=20),IF(INDEX(設定!$P$8:$P$27,VALUE(F91))="","？",INDEX(設定!$P$8:$P$27,VALUE(F91))),"？")))</f>
        <v/>
      </c>
      <c r="K91" s="45">
        <f>IF(L91="","",IF(G91="","名簿にいない",IF(COUNTIF(L92:L$552,L91)&gt;0,"2回提出（下の行を使います）",IF(OR(H91="？",I91="？",J91="？"),"クラブ番号がちがう",IF(OR(AND(H91&lt;&gt;"",H91&lt;&gt;"？",COUNTIF(設定!$P$8:$P$27,H91)=0),AND(I91&lt;&gt;"",I91&lt;&gt;"？",COUNTIF(設定!$P$8:$P$27,I91)=0),AND(J91&lt;&gt;"",J91&lt;&gt;"？",COUNTIF(設定!$P$8:$P$27,J91)=0)),"クラブ名がちがう",IF(H91="","第1希望がない",IF(OR(AND(H91&lt;&gt;"",H91=I91),AND(H91&lt;&gt;"",H91=J91),AND(I91&lt;&gt;"",I91=J91)),"同じクラブを重複して希望","OK")))))))</f>
        <v/>
      </c>
      <c r="L91" s="8">
        <f>IF(A91="","",A91&amp;"-"&amp;B91&amp;"-"&amp;C91)</f>
        <v/>
      </c>
      <c r="M91" s="8">
        <f>IF(OR(L91="",G91=""),"",IF(COUNTIF(L92:L$552,L91)=0,L91,""))</f>
        <v/>
      </c>
    </row>
    <row r="92">
      <c r="A92" s="40" t="n">
        <v>4</v>
      </c>
      <c r="B92" s="40" t="inlineStr">
        <is>
          <t>竹</t>
        </is>
      </c>
      <c r="C92" s="40" t="n">
        <v>3</v>
      </c>
      <c r="D92" s="40" t="n">
        <v>2</v>
      </c>
      <c r="E92" s="40" t="n">
        <v>5</v>
      </c>
      <c r="F92" s="40" t="n">
        <v>3</v>
      </c>
      <c r="G92" s="3">
        <f>IF(L92="","",IFERROR(INDEX(前年度名簿!$D$2:$D$451,MATCH(L92,前年度名簿!$F$2:$F$451,0)),""))</f>
        <v/>
      </c>
      <c r="H92" s="44">
        <f>IF(D92="","",IF(ISERROR(VALUE(D92)),D92&amp;"",IF(AND(VALUE(D92)&gt;=1,VALUE(D92)&lt;=20),IF(INDEX(設定!$P$8:$P$27,VALUE(D92))="","？",INDEX(設定!$P$8:$P$27,VALUE(D92))),"？")))</f>
        <v/>
      </c>
      <c r="I92" s="44">
        <f>IF(E92="","",IF(ISERROR(VALUE(E92)),E92&amp;"",IF(AND(VALUE(E92)&gt;=1,VALUE(E92)&lt;=20),IF(INDEX(設定!$P$8:$P$27,VALUE(E92))="","？",INDEX(設定!$P$8:$P$27,VALUE(E92))),"？")))</f>
        <v/>
      </c>
      <c r="J92" s="44">
        <f>IF(F92="","",IF(ISERROR(VALUE(F92)),F92&amp;"",IF(AND(VALUE(F92)&gt;=1,VALUE(F92)&lt;=20),IF(INDEX(設定!$P$8:$P$27,VALUE(F92))="","？",INDEX(設定!$P$8:$P$27,VALUE(F92))),"？")))</f>
        <v/>
      </c>
      <c r="K92" s="45">
        <f>IF(L92="","",IF(G92="","名簿にいない",IF(COUNTIF(L93:L$552,L92)&gt;0,"2回提出（下の行を使います）",IF(OR(H92="？",I92="？",J92="？"),"クラブ番号がちがう",IF(OR(AND(H92&lt;&gt;"",H92&lt;&gt;"？",COUNTIF(設定!$P$8:$P$27,H92)=0),AND(I92&lt;&gt;"",I92&lt;&gt;"？",COUNTIF(設定!$P$8:$P$27,I92)=0),AND(J92&lt;&gt;"",J92&lt;&gt;"？",COUNTIF(設定!$P$8:$P$27,J92)=0)),"クラブ名がちがう",IF(H92="","第1希望がない",IF(OR(AND(H92&lt;&gt;"",H92=I92),AND(H92&lt;&gt;"",H92=J92),AND(I92&lt;&gt;"",I92=J92)),"同じクラブを重複して希望","OK")))))))</f>
        <v/>
      </c>
      <c r="L92" s="8">
        <f>IF(A92="","",A92&amp;"-"&amp;B92&amp;"-"&amp;C92)</f>
        <v/>
      </c>
      <c r="M92" s="8">
        <f>IF(OR(L92="",G92=""),"",IF(COUNTIF(L93:L$552,L92)=0,L92,""))</f>
        <v/>
      </c>
    </row>
    <row r="93">
      <c r="A93" s="40" t="n">
        <v>3</v>
      </c>
      <c r="B93" s="40" t="inlineStr">
        <is>
          <t>月</t>
        </is>
      </c>
      <c r="C93" s="40" t="n">
        <v>11</v>
      </c>
      <c r="D93" s="40" t="n">
        <v>1</v>
      </c>
      <c r="E93" s="40" t="n">
        <v>5</v>
      </c>
      <c r="F93" s="40" t="n">
        <v>4</v>
      </c>
      <c r="G93" s="3">
        <f>IF(L93="","",IFERROR(INDEX(前年度名簿!$D$2:$D$451,MATCH(L93,前年度名簿!$F$2:$F$451,0)),""))</f>
        <v/>
      </c>
      <c r="H93" s="44">
        <f>IF(D93="","",IF(ISERROR(VALUE(D93)),D93&amp;"",IF(AND(VALUE(D93)&gt;=1,VALUE(D93)&lt;=20),IF(INDEX(設定!$P$8:$P$27,VALUE(D93))="","？",INDEX(設定!$P$8:$P$27,VALUE(D93))),"？")))</f>
        <v/>
      </c>
      <c r="I93" s="44">
        <f>IF(E93="","",IF(ISERROR(VALUE(E93)),E93&amp;"",IF(AND(VALUE(E93)&gt;=1,VALUE(E93)&lt;=20),IF(INDEX(設定!$P$8:$P$27,VALUE(E93))="","？",INDEX(設定!$P$8:$P$27,VALUE(E93))),"？")))</f>
        <v/>
      </c>
      <c r="J93" s="44">
        <f>IF(F93="","",IF(ISERROR(VALUE(F93)),F93&amp;"",IF(AND(VALUE(F93)&gt;=1,VALUE(F93)&lt;=20),IF(INDEX(設定!$P$8:$P$27,VALUE(F93))="","？",INDEX(設定!$P$8:$P$27,VALUE(F93))),"？")))</f>
        <v/>
      </c>
      <c r="K93" s="45">
        <f>IF(L93="","",IF(G93="","名簿にいない",IF(COUNTIF(L94:L$552,L93)&gt;0,"2回提出（下の行を使います）",IF(OR(H93="？",I93="？",J93="？"),"クラブ番号がちがう",IF(OR(AND(H93&lt;&gt;"",H93&lt;&gt;"？",COUNTIF(設定!$P$8:$P$27,H93)=0),AND(I93&lt;&gt;"",I93&lt;&gt;"？",COUNTIF(設定!$P$8:$P$27,I93)=0),AND(J93&lt;&gt;"",J93&lt;&gt;"？",COUNTIF(設定!$P$8:$P$27,J93)=0)),"クラブ名がちがう",IF(H93="","第1希望がない",IF(OR(AND(H93&lt;&gt;"",H93=I93),AND(H93&lt;&gt;"",H93=J93),AND(I93&lt;&gt;"",I93=J93)),"同じクラブを重複して希望","OK")))))))</f>
        <v/>
      </c>
      <c r="L93" s="8">
        <f>IF(A93="","",A93&amp;"-"&amp;B93&amp;"-"&amp;C93)</f>
        <v/>
      </c>
      <c r="M93" s="8">
        <f>IF(OR(L93="",G93=""),"",IF(COUNTIF(L94:L$552,L93)=0,L93,""))</f>
        <v/>
      </c>
    </row>
    <row r="94">
      <c r="A94" s="40" t="n">
        <v>3</v>
      </c>
      <c r="B94" s="40" t="inlineStr">
        <is>
          <t>松</t>
        </is>
      </c>
      <c r="C94" s="40" t="n">
        <v>24</v>
      </c>
      <c r="D94" s="40" t="n">
        <v>11</v>
      </c>
      <c r="E94" s="40" t="n">
        <v>12</v>
      </c>
      <c r="F94" s="40" t="n">
        <v>7</v>
      </c>
      <c r="G94" s="3">
        <f>IF(L94="","",IFERROR(INDEX(前年度名簿!$D$2:$D$451,MATCH(L94,前年度名簿!$F$2:$F$451,0)),""))</f>
        <v/>
      </c>
      <c r="H94" s="44">
        <f>IF(D94="","",IF(ISERROR(VALUE(D94)),D94&amp;"",IF(AND(VALUE(D94)&gt;=1,VALUE(D94)&lt;=20),IF(INDEX(設定!$P$8:$P$27,VALUE(D94))="","？",INDEX(設定!$P$8:$P$27,VALUE(D94))),"？")))</f>
        <v/>
      </c>
      <c r="I94" s="44">
        <f>IF(E94="","",IF(ISERROR(VALUE(E94)),E94&amp;"",IF(AND(VALUE(E94)&gt;=1,VALUE(E94)&lt;=20),IF(INDEX(設定!$P$8:$P$27,VALUE(E94))="","？",INDEX(設定!$P$8:$P$27,VALUE(E94))),"？")))</f>
        <v/>
      </c>
      <c r="J94" s="44">
        <f>IF(F94="","",IF(ISERROR(VALUE(F94)),F94&amp;"",IF(AND(VALUE(F94)&gt;=1,VALUE(F94)&lt;=20),IF(INDEX(設定!$P$8:$P$27,VALUE(F94))="","？",INDEX(設定!$P$8:$P$27,VALUE(F94))),"？")))</f>
        <v/>
      </c>
      <c r="K94" s="45">
        <f>IF(L94="","",IF(G94="","名簿にいない",IF(COUNTIF(L95:L$552,L94)&gt;0,"2回提出（下の行を使います）",IF(OR(H94="？",I94="？",J94="？"),"クラブ番号がちがう",IF(OR(AND(H94&lt;&gt;"",H94&lt;&gt;"？",COUNTIF(設定!$P$8:$P$27,H94)=0),AND(I94&lt;&gt;"",I94&lt;&gt;"？",COUNTIF(設定!$P$8:$P$27,I94)=0),AND(J94&lt;&gt;"",J94&lt;&gt;"？",COUNTIF(設定!$P$8:$P$27,J94)=0)),"クラブ名がちがう",IF(H94="","第1希望がない",IF(OR(AND(H94&lt;&gt;"",H94=I94),AND(H94&lt;&gt;"",H94=J94),AND(I94&lt;&gt;"",I94=J94)),"同じクラブを重複して希望","OK")))))))</f>
        <v/>
      </c>
      <c r="L94" s="8">
        <f>IF(A94="","",A94&amp;"-"&amp;B94&amp;"-"&amp;C94)</f>
        <v/>
      </c>
      <c r="M94" s="8">
        <f>IF(OR(L94="",G94=""),"",IF(COUNTIF(L95:L$552,L94)=0,L94,""))</f>
        <v/>
      </c>
    </row>
    <row r="95">
      <c r="A95" s="40" t="n">
        <v>3</v>
      </c>
      <c r="B95" s="40" t="inlineStr">
        <is>
          <t>梅</t>
        </is>
      </c>
      <c r="C95" s="40" t="n">
        <v>3</v>
      </c>
      <c r="D95" s="40" t="n">
        <v>7</v>
      </c>
      <c r="E95" s="40" t="n">
        <v>1</v>
      </c>
      <c r="F95" s="40" t="n">
        <v>8</v>
      </c>
      <c r="G95" s="3">
        <f>IF(L95="","",IFERROR(INDEX(前年度名簿!$D$2:$D$451,MATCH(L95,前年度名簿!$F$2:$F$451,0)),""))</f>
        <v/>
      </c>
      <c r="H95" s="44">
        <f>IF(D95="","",IF(ISERROR(VALUE(D95)),D95&amp;"",IF(AND(VALUE(D95)&gt;=1,VALUE(D95)&lt;=20),IF(INDEX(設定!$P$8:$P$27,VALUE(D95))="","？",INDEX(設定!$P$8:$P$27,VALUE(D95))),"？")))</f>
        <v/>
      </c>
      <c r="I95" s="44">
        <f>IF(E95="","",IF(ISERROR(VALUE(E95)),E95&amp;"",IF(AND(VALUE(E95)&gt;=1,VALUE(E95)&lt;=20),IF(INDEX(設定!$P$8:$P$27,VALUE(E95))="","？",INDEX(設定!$P$8:$P$27,VALUE(E95))),"？")))</f>
        <v/>
      </c>
      <c r="J95" s="44">
        <f>IF(F95="","",IF(ISERROR(VALUE(F95)),F95&amp;"",IF(AND(VALUE(F95)&gt;=1,VALUE(F95)&lt;=20),IF(INDEX(設定!$P$8:$P$27,VALUE(F95))="","？",INDEX(設定!$P$8:$P$27,VALUE(F95))),"？")))</f>
        <v/>
      </c>
      <c r="K95" s="45">
        <f>IF(L95="","",IF(G95="","名簿にいない",IF(COUNTIF(L96:L$552,L95)&gt;0,"2回提出（下の行を使います）",IF(OR(H95="？",I95="？",J95="？"),"クラブ番号がちがう",IF(OR(AND(H95&lt;&gt;"",H95&lt;&gt;"？",COUNTIF(設定!$P$8:$P$27,H95)=0),AND(I95&lt;&gt;"",I95&lt;&gt;"？",COUNTIF(設定!$P$8:$P$27,I95)=0),AND(J95&lt;&gt;"",J95&lt;&gt;"？",COUNTIF(設定!$P$8:$P$27,J95)=0)),"クラブ名がちがう",IF(H95="","第1希望がない",IF(OR(AND(H95&lt;&gt;"",H95=I95),AND(H95&lt;&gt;"",H95=J95),AND(I95&lt;&gt;"",I95=J95)),"同じクラブを重複して希望","OK")))))))</f>
        <v/>
      </c>
      <c r="L95" s="8">
        <f>IF(A95="","",A95&amp;"-"&amp;B95&amp;"-"&amp;C95)</f>
        <v/>
      </c>
      <c r="M95" s="8">
        <f>IF(OR(L95="",G95=""),"",IF(COUNTIF(L96:L$552,L95)=0,L95,""))</f>
        <v/>
      </c>
    </row>
    <row r="96">
      <c r="A96" s="40" t="n">
        <v>3</v>
      </c>
      <c r="B96" s="40" t="inlineStr">
        <is>
          <t>月</t>
        </is>
      </c>
      <c r="C96" s="40" t="n">
        <v>7</v>
      </c>
      <c r="D96" s="40" t="n">
        <v>9</v>
      </c>
      <c r="E96" s="40" t="n">
        <v>5</v>
      </c>
      <c r="F96" s="40" t="n">
        <v>2</v>
      </c>
      <c r="G96" s="3">
        <f>IF(L96="","",IFERROR(INDEX(前年度名簿!$D$2:$D$451,MATCH(L96,前年度名簿!$F$2:$F$451,0)),""))</f>
        <v/>
      </c>
      <c r="H96" s="44">
        <f>IF(D96="","",IF(ISERROR(VALUE(D96)),D96&amp;"",IF(AND(VALUE(D96)&gt;=1,VALUE(D96)&lt;=20),IF(INDEX(設定!$P$8:$P$27,VALUE(D96))="","？",INDEX(設定!$P$8:$P$27,VALUE(D96))),"？")))</f>
        <v/>
      </c>
      <c r="I96" s="44">
        <f>IF(E96="","",IF(ISERROR(VALUE(E96)),E96&amp;"",IF(AND(VALUE(E96)&gt;=1,VALUE(E96)&lt;=20),IF(INDEX(設定!$P$8:$P$27,VALUE(E96))="","？",INDEX(設定!$P$8:$P$27,VALUE(E96))),"？")))</f>
        <v/>
      </c>
      <c r="J96" s="44">
        <f>IF(F96="","",IF(ISERROR(VALUE(F96)),F96&amp;"",IF(AND(VALUE(F96)&gt;=1,VALUE(F96)&lt;=20),IF(INDEX(設定!$P$8:$P$27,VALUE(F96))="","？",INDEX(設定!$P$8:$P$27,VALUE(F96))),"？")))</f>
        <v/>
      </c>
      <c r="K96" s="45">
        <f>IF(L96="","",IF(G96="","名簿にいない",IF(COUNTIF(L97:L$552,L96)&gt;0,"2回提出（下の行を使います）",IF(OR(H96="？",I96="？",J96="？"),"クラブ番号がちがう",IF(OR(AND(H96&lt;&gt;"",H96&lt;&gt;"？",COUNTIF(設定!$P$8:$P$27,H96)=0),AND(I96&lt;&gt;"",I96&lt;&gt;"？",COUNTIF(設定!$P$8:$P$27,I96)=0),AND(J96&lt;&gt;"",J96&lt;&gt;"？",COUNTIF(設定!$P$8:$P$27,J96)=0)),"クラブ名がちがう",IF(H96="","第1希望がない",IF(OR(AND(H96&lt;&gt;"",H96=I96),AND(H96&lt;&gt;"",H96=J96),AND(I96&lt;&gt;"",I96=J96)),"同じクラブを重複して希望","OK")))))))</f>
        <v/>
      </c>
      <c r="L96" s="8">
        <f>IF(A96="","",A96&amp;"-"&amp;B96&amp;"-"&amp;C96)</f>
        <v/>
      </c>
      <c r="M96" s="8">
        <f>IF(OR(L96="",G96=""),"",IF(COUNTIF(L97:L$552,L96)=0,L96,""))</f>
        <v/>
      </c>
    </row>
    <row r="97">
      <c r="A97" s="40" t="n">
        <v>5</v>
      </c>
      <c r="B97" s="40" t="inlineStr">
        <is>
          <t>梅</t>
        </is>
      </c>
      <c r="C97" s="40" t="n">
        <v>25</v>
      </c>
      <c r="D97" s="40" t="n">
        <v>7</v>
      </c>
      <c r="E97" s="40" t="n">
        <v>8</v>
      </c>
      <c r="F97" s="40" t="n">
        <v>10</v>
      </c>
      <c r="G97" s="3">
        <f>IF(L97="","",IFERROR(INDEX(前年度名簿!$D$2:$D$451,MATCH(L97,前年度名簿!$F$2:$F$451,0)),""))</f>
        <v/>
      </c>
      <c r="H97" s="44">
        <f>IF(D97="","",IF(ISERROR(VALUE(D97)),D97&amp;"",IF(AND(VALUE(D97)&gt;=1,VALUE(D97)&lt;=20),IF(INDEX(設定!$P$8:$P$27,VALUE(D97))="","？",INDEX(設定!$P$8:$P$27,VALUE(D97))),"？")))</f>
        <v/>
      </c>
      <c r="I97" s="44">
        <f>IF(E97="","",IF(ISERROR(VALUE(E97)),E97&amp;"",IF(AND(VALUE(E97)&gt;=1,VALUE(E97)&lt;=20),IF(INDEX(設定!$P$8:$P$27,VALUE(E97))="","？",INDEX(設定!$P$8:$P$27,VALUE(E97))),"？")))</f>
        <v/>
      </c>
      <c r="J97" s="44">
        <f>IF(F97="","",IF(ISERROR(VALUE(F97)),F97&amp;"",IF(AND(VALUE(F97)&gt;=1,VALUE(F97)&lt;=20),IF(INDEX(設定!$P$8:$P$27,VALUE(F97))="","？",INDEX(設定!$P$8:$P$27,VALUE(F97))),"？")))</f>
        <v/>
      </c>
      <c r="K97" s="45">
        <f>IF(L97="","",IF(G97="","名簿にいない",IF(COUNTIF(L98:L$552,L97)&gt;0,"2回提出（下の行を使います）",IF(OR(H97="？",I97="？",J97="？"),"クラブ番号がちがう",IF(OR(AND(H97&lt;&gt;"",H97&lt;&gt;"？",COUNTIF(設定!$P$8:$P$27,H97)=0),AND(I97&lt;&gt;"",I97&lt;&gt;"？",COUNTIF(設定!$P$8:$P$27,I97)=0),AND(J97&lt;&gt;"",J97&lt;&gt;"？",COUNTIF(設定!$P$8:$P$27,J97)=0)),"クラブ名がちがう",IF(H97="","第1希望がない",IF(OR(AND(H97&lt;&gt;"",H97=I97),AND(H97&lt;&gt;"",H97=J97),AND(I97&lt;&gt;"",I97=J97)),"同じクラブを重複して希望","OK")))))))</f>
        <v/>
      </c>
      <c r="L97" s="8">
        <f>IF(A97="","",A97&amp;"-"&amp;B97&amp;"-"&amp;C97)</f>
        <v/>
      </c>
      <c r="M97" s="8">
        <f>IF(OR(L97="",G97=""),"",IF(COUNTIF(L98:L$552,L97)=0,L97,""))</f>
        <v/>
      </c>
    </row>
    <row r="98">
      <c r="A98" s="40" t="n">
        <v>4</v>
      </c>
      <c r="B98" s="40" t="inlineStr">
        <is>
          <t>竹</t>
        </is>
      </c>
      <c r="C98" s="40" t="n">
        <v>17</v>
      </c>
      <c r="D98" s="40" t="n">
        <v>3</v>
      </c>
      <c r="E98" s="40" t="n">
        <v>9</v>
      </c>
      <c r="F98" s="40" t="n">
        <v>1</v>
      </c>
      <c r="G98" s="3">
        <f>IF(L98="","",IFERROR(INDEX(前年度名簿!$D$2:$D$451,MATCH(L98,前年度名簿!$F$2:$F$451,0)),""))</f>
        <v/>
      </c>
      <c r="H98" s="44">
        <f>IF(D98="","",IF(ISERROR(VALUE(D98)),D98&amp;"",IF(AND(VALUE(D98)&gt;=1,VALUE(D98)&lt;=20),IF(INDEX(設定!$P$8:$P$27,VALUE(D98))="","？",INDEX(設定!$P$8:$P$27,VALUE(D98))),"？")))</f>
        <v/>
      </c>
      <c r="I98" s="44">
        <f>IF(E98="","",IF(ISERROR(VALUE(E98)),E98&amp;"",IF(AND(VALUE(E98)&gt;=1,VALUE(E98)&lt;=20),IF(INDEX(設定!$P$8:$P$27,VALUE(E98))="","？",INDEX(設定!$P$8:$P$27,VALUE(E98))),"？")))</f>
        <v/>
      </c>
      <c r="J98" s="44">
        <f>IF(F98="","",IF(ISERROR(VALUE(F98)),F98&amp;"",IF(AND(VALUE(F98)&gt;=1,VALUE(F98)&lt;=20),IF(INDEX(設定!$P$8:$P$27,VALUE(F98))="","？",INDEX(設定!$P$8:$P$27,VALUE(F98))),"？")))</f>
        <v/>
      </c>
      <c r="K98" s="45">
        <f>IF(L98="","",IF(G98="","名簿にいない",IF(COUNTIF(L99:L$552,L98)&gt;0,"2回提出（下の行を使います）",IF(OR(H98="？",I98="？",J98="？"),"クラブ番号がちがう",IF(OR(AND(H98&lt;&gt;"",H98&lt;&gt;"？",COUNTIF(設定!$P$8:$P$27,H98)=0),AND(I98&lt;&gt;"",I98&lt;&gt;"？",COUNTIF(設定!$P$8:$P$27,I98)=0),AND(J98&lt;&gt;"",J98&lt;&gt;"？",COUNTIF(設定!$P$8:$P$27,J98)=0)),"クラブ名がちがう",IF(H98="","第1希望がない",IF(OR(AND(H98&lt;&gt;"",H98=I98),AND(H98&lt;&gt;"",H98=J98),AND(I98&lt;&gt;"",I98=J98)),"同じクラブを重複して希望","OK")))))))</f>
        <v/>
      </c>
      <c r="L98" s="8">
        <f>IF(A98="","",A98&amp;"-"&amp;B98&amp;"-"&amp;C98)</f>
        <v/>
      </c>
      <c r="M98" s="8">
        <f>IF(OR(L98="",G98=""),"",IF(COUNTIF(L99:L$552,L98)=0,L98,""))</f>
        <v/>
      </c>
    </row>
    <row r="99">
      <c r="A99" s="40" t="n">
        <v>5</v>
      </c>
      <c r="B99" s="40" t="inlineStr">
        <is>
          <t>梅</t>
        </is>
      </c>
      <c r="C99" s="40" t="n">
        <v>2</v>
      </c>
      <c r="D99" s="40" t="n">
        <v>6</v>
      </c>
      <c r="E99" s="40" t="n">
        <v>11</v>
      </c>
      <c r="F99" s="40" t="n">
        <v>10</v>
      </c>
      <c r="G99" s="3">
        <f>IF(L99="","",IFERROR(INDEX(前年度名簿!$D$2:$D$451,MATCH(L99,前年度名簿!$F$2:$F$451,0)),""))</f>
        <v/>
      </c>
      <c r="H99" s="44">
        <f>IF(D99="","",IF(ISERROR(VALUE(D99)),D99&amp;"",IF(AND(VALUE(D99)&gt;=1,VALUE(D99)&lt;=20),IF(INDEX(設定!$P$8:$P$27,VALUE(D99))="","？",INDEX(設定!$P$8:$P$27,VALUE(D99))),"？")))</f>
        <v/>
      </c>
      <c r="I99" s="44">
        <f>IF(E99="","",IF(ISERROR(VALUE(E99)),E99&amp;"",IF(AND(VALUE(E99)&gt;=1,VALUE(E99)&lt;=20),IF(INDEX(設定!$P$8:$P$27,VALUE(E99))="","？",INDEX(設定!$P$8:$P$27,VALUE(E99))),"？")))</f>
        <v/>
      </c>
      <c r="J99" s="44">
        <f>IF(F99="","",IF(ISERROR(VALUE(F99)),F99&amp;"",IF(AND(VALUE(F99)&gt;=1,VALUE(F99)&lt;=20),IF(INDEX(設定!$P$8:$P$27,VALUE(F99))="","？",INDEX(設定!$P$8:$P$27,VALUE(F99))),"？")))</f>
        <v/>
      </c>
      <c r="K99" s="45">
        <f>IF(L99="","",IF(G99="","名簿にいない",IF(COUNTIF(L100:L$552,L99)&gt;0,"2回提出（下の行を使います）",IF(OR(H99="？",I99="？",J99="？"),"クラブ番号がちがう",IF(OR(AND(H99&lt;&gt;"",H99&lt;&gt;"？",COUNTIF(設定!$P$8:$P$27,H99)=0),AND(I99&lt;&gt;"",I99&lt;&gt;"？",COUNTIF(設定!$P$8:$P$27,I99)=0),AND(J99&lt;&gt;"",J99&lt;&gt;"？",COUNTIF(設定!$P$8:$P$27,J99)=0)),"クラブ名がちがう",IF(H99="","第1希望がない",IF(OR(AND(H99&lt;&gt;"",H99=I99),AND(H99&lt;&gt;"",H99=J99),AND(I99&lt;&gt;"",I99=J99)),"同じクラブを重複して希望","OK")))))))</f>
        <v/>
      </c>
      <c r="L99" s="8">
        <f>IF(A99="","",A99&amp;"-"&amp;B99&amp;"-"&amp;C99)</f>
        <v/>
      </c>
      <c r="M99" s="8">
        <f>IF(OR(L99="",G99=""),"",IF(COUNTIF(L100:L$552,L99)=0,L99,""))</f>
        <v/>
      </c>
    </row>
    <row r="100">
      <c r="A100" s="40" t="n">
        <v>5</v>
      </c>
      <c r="B100" s="40" t="inlineStr">
        <is>
          <t>竹</t>
        </is>
      </c>
      <c r="C100" s="40" t="n">
        <v>11</v>
      </c>
      <c r="D100" s="40" t="n">
        <v>10</v>
      </c>
      <c r="E100" s="40" t="n">
        <v>9</v>
      </c>
      <c r="F100" s="40" t="n">
        <v>3</v>
      </c>
      <c r="G100" s="3">
        <f>IF(L100="","",IFERROR(INDEX(前年度名簿!$D$2:$D$451,MATCH(L100,前年度名簿!$F$2:$F$451,0)),""))</f>
        <v/>
      </c>
      <c r="H100" s="44">
        <f>IF(D100="","",IF(ISERROR(VALUE(D100)),D100&amp;"",IF(AND(VALUE(D100)&gt;=1,VALUE(D100)&lt;=20),IF(INDEX(設定!$P$8:$P$27,VALUE(D100))="","？",INDEX(設定!$P$8:$P$27,VALUE(D100))),"？")))</f>
        <v/>
      </c>
      <c r="I100" s="44">
        <f>IF(E100="","",IF(ISERROR(VALUE(E100)),E100&amp;"",IF(AND(VALUE(E100)&gt;=1,VALUE(E100)&lt;=20),IF(INDEX(設定!$P$8:$P$27,VALUE(E100))="","？",INDEX(設定!$P$8:$P$27,VALUE(E100))),"？")))</f>
        <v/>
      </c>
      <c r="J100" s="44">
        <f>IF(F100="","",IF(ISERROR(VALUE(F100)),F100&amp;"",IF(AND(VALUE(F100)&gt;=1,VALUE(F100)&lt;=20),IF(INDEX(設定!$P$8:$P$27,VALUE(F100))="","？",INDEX(設定!$P$8:$P$27,VALUE(F100))),"？")))</f>
        <v/>
      </c>
      <c r="K100" s="45">
        <f>IF(L100="","",IF(G100="","名簿にいない",IF(COUNTIF(L101:L$552,L100)&gt;0,"2回提出（下の行を使います）",IF(OR(H100="？",I100="？",J100="？"),"クラブ番号がちがう",IF(OR(AND(H100&lt;&gt;"",H100&lt;&gt;"？",COUNTIF(設定!$P$8:$P$27,H100)=0),AND(I100&lt;&gt;"",I100&lt;&gt;"？",COUNTIF(設定!$P$8:$P$27,I100)=0),AND(J100&lt;&gt;"",J100&lt;&gt;"？",COUNTIF(設定!$P$8:$P$27,J100)=0)),"クラブ名がちがう",IF(H100="","第1希望がない",IF(OR(AND(H100&lt;&gt;"",H100=I100),AND(H100&lt;&gt;"",H100=J100),AND(I100&lt;&gt;"",I100=J100)),"同じクラブを重複して希望","OK")))))))</f>
        <v/>
      </c>
      <c r="L100" s="8">
        <f>IF(A100="","",A100&amp;"-"&amp;B100&amp;"-"&amp;C100)</f>
        <v/>
      </c>
      <c r="M100" s="8">
        <f>IF(OR(L100="",G100=""),"",IF(COUNTIF(L101:L$552,L100)=0,L100,""))</f>
        <v/>
      </c>
    </row>
    <row r="101">
      <c r="A101" s="40" t="n">
        <v>3</v>
      </c>
      <c r="B101" s="40" t="inlineStr">
        <is>
          <t>竹</t>
        </is>
      </c>
      <c r="C101" s="40" t="n">
        <v>18</v>
      </c>
      <c r="D101" s="40" t="n">
        <v>8</v>
      </c>
      <c r="E101" s="40" t="n">
        <v>11</v>
      </c>
      <c r="F101" s="40" t="n">
        <v>3</v>
      </c>
      <c r="G101" s="3">
        <f>IF(L101="","",IFERROR(INDEX(前年度名簿!$D$2:$D$451,MATCH(L101,前年度名簿!$F$2:$F$451,0)),""))</f>
        <v/>
      </c>
      <c r="H101" s="44">
        <f>IF(D101="","",IF(ISERROR(VALUE(D101)),D101&amp;"",IF(AND(VALUE(D101)&gt;=1,VALUE(D101)&lt;=20),IF(INDEX(設定!$P$8:$P$27,VALUE(D101))="","？",INDEX(設定!$P$8:$P$27,VALUE(D101))),"？")))</f>
        <v/>
      </c>
      <c r="I101" s="44">
        <f>IF(E101="","",IF(ISERROR(VALUE(E101)),E101&amp;"",IF(AND(VALUE(E101)&gt;=1,VALUE(E101)&lt;=20),IF(INDEX(設定!$P$8:$P$27,VALUE(E101))="","？",INDEX(設定!$P$8:$P$27,VALUE(E101))),"？")))</f>
        <v/>
      </c>
      <c r="J101" s="44">
        <f>IF(F101="","",IF(ISERROR(VALUE(F101)),F101&amp;"",IF(AND(VALUE(F101)&gt;=1,VALUE(F101)&lt;=20),IF(INDEX(設定!$P$8:$P$27,VALUE(F101))="","？",INDEX(設定!$P$8:$P$27,VALUE(F101))),"？")))</f>
        <v/>
      </c>
      <c r="K101" s="45">
        <f>IF(L101="","",IF(G101="","名簿にいない",IF(COUNTIF(L102:L$552,L101)&gt;0,"2回提出（下の行を使います）",IF(OR(H101="？",I101="？",J101="？"),"クラブ番号がちがう",IF(OR(AND(H101&lt;&gt;"",H101&lt;&gt;"？",COUNTIF(設定!$P$8:$P$27,H101)=0),AND(I101&lt;&gt;"",I101&lt;&gt;"？",COUNTIF(設定!$P$8:$P$27,I101)=0),AND(J101&lt;&gt;"",J101&lt;&gt;"？",COUNTIF(設定!$P$8:$P$27,J101)=0)),"クラブ名がちがう",IF(H101="","第1希望がない",IF(OR(AND(H101&lt;&gt;"",H101=I101),AND(H101&lt;&gt;"",H101=J101),AND(I101&lt;&gt;"",I101=J101)),"同じクラブを重複して希望","OK")))))))</f>
        <v/>
      </c>
      <c r="L101" s="8">
        <f>IF(A101="","",A101&amp;"-"&amp;B101&amp;"-"&amp;C101)</f>
        <v/>
      </c>
      <c r="M101" s="8">
        <f>IF(OR(L101="",G101=""),"",IF(COUNTIF(L102:L$552,L101)=0,L101,""))</f>
        <v/>
      </c>
    </row>
    <row r="102">
      <c r="A102" s="40" t="n">
        <v>5</v>
      </c>
      <c r="B102" s="40" t="inlineStr">
        <is>
          <t>竹</t>
        </is>
      </c>
      <c r="C102" s="40" t="n">
        <v>30</v>
      </c>
      <c r="D102" s="40" t="n">
        <v>5</v>
      </c>
      <c r="E102" s="40" t="n">
        <v>1</v>
      </c>
      <c r="F102" s="40" t="n">
        <v>2</v>
      </c>
      <c r="G102" s="3">
        <f>IF(L102="","",IFERROR(INDEX(前年度名簿!$D$2:$D$451,MATCH(L102,前年度名簿!$F$2:$F$451,0)),""))</f>
        <v/>
      </c>
      <c r="H102" s="44">
        <f>IF(D102="","",IF(ISERROR(VALUE(D102)),D102&amp;"",IF(AND(VALUE(D102)&gt;=1,VALUE(D102)&lt;=20),IF(INDEX(設定!$P$8:$P$27,VALUE(D102))="","？",INDEX(設定!$P$8:$P$27,VALUE(D102))),"？")))</f>
        <v/>
      </c>
      <c r="I102" s="44">
        <f>IF(E102="","",IF(ISERROR(VALUE(E102)),E102&amp;"",IF(AND(VALUE(E102)&gt;=1,VALUE(E102)&lt;=20),IF(INDEX(設定!$P$8:$P$27,VALUE(E102))="","？",INDEX(設定!$P$8:$P$27,VALUE(E102))),"？")))</f>
        <v/>
      </c>
      <c r="J102" s="44">
        <f>IF(F102="","",IF(ISERROR(VALUE(F102)),F102&amp;"",IF(AND(VALUE(F102)&gt;=1,VALUE(F102)&lt;=20),IF(INDEX(設定!$P$8:$P$27,VALUE(F102))="","？",INDEX(設定!$P$8:$P$27,VALUE(F102))),"？")))</f>
        <v/>
      </c>
      <c r="K102" s="45">
        <f>IF(L102="","",IF(G102="","名簿にいない",IF(COUNTIF(L103:L$552,L102)&gt;0,"2回提出（下の行を使います）",IF(OR(H102="？",I102="？",J102="？"),"クラブ番号がちがう",IF(OR(AND(H102&lt;&gt;"",H102&lt;&gt;"？",COUNTIF(設定!$P$8:$P$27,H102)=0),AND(I102&lt;&gt;"",I102&lt;&gt;"？",COUNTIF(設定!$P$8:$P$27,I102)=0),AND(J102&lt;&gt;"",J102&lt;&gt;"？",COUNTIF(設定!$P$8:$P$27,J102)=0)),"クラブ名がちがう",IF(H102="","第1希望がない",IF(OR(AND(H102&lt;&gt;"",H102=I102),AND(H102&lt;&gt;"",H102=J102),AND(I102&lt;&gt;"",I102=J102)),"同じクラブを重複して希望","OK")))))))</f>
        <v/>
      </c>
      <c r="L102" s="8">
        <f>IF(A102="","",A102&amp;"-"&amp;B102&amp;"-"&amp;C102)</f>
        <v/>
      </c>
      <c r="M102" s="8">
        <f>IF(OR(L102="",G102=""),"",IF(COUNTIF(L103:L$552,L102)=0,L102,""))</f>
        <v/>
      </c>
    </row>
    <row r="103">
      <c r="A103" s="40" t="n">
        <v>3</v>
      </c>
      <c r="B103" s="40" t="inlineStr">
        <is>
          <t>梅</t>
        </is>
      </c>
      <c r="C103" s="40" t="n">
        <v>22</v>
      </c>
      <c r="D103" s="40" t="n">
        <v>7</v>
      </c>
      <c r="E103" s="40" t="n">
        <v>1</v>
      </c>
      <c r="F103" s="40" t="n">
        <v>10</v>
      </c>
      <c r="G103" s="3">
        <f>IF(L103="","",IFERROR(INDEX(前年度名簿!$D$2:$D$451,MATCH(L103,前年度名簿!$F$2:$F$451,0)),""))</f>
        <v/>
      </c>
      <c r="H103" s="44">
        <f>IF(D103="","",IF(ISERROR(VALUE(D103)),D103&amp;"",IF(AND(VALUE(D103)&gt;=1,VALUE(D103)&lt;=20),IF(INDEX(設定!$P$8:$P$27,VALUE(D103))="","？",INDEX(設定!$P$8:$P$27,VALUE(D103))),"？")))</f>
        <v/>
      </c>
      <c r="I103" s="44">
        <f>IF(E103="","",IF(ISERROR(VALUE(E103)),E103&amp;"",IF(AND(VALUE(E103)&gt;=1,VALUE(E103)&lt;=20),IF(INDEX(設定!$P$8:$P$27,VALUE(E103))="","？",INDEX(設定!$P$8:$P$27,VALUE(E103))),"？")))</f>
        <v/>
      </c>
      <c r="J103" s="44">
        <f>IF(F103="","",IF(ISERROR(VALUE(F103)),F103&amp;"",IF(AND(VALUE(F103)&gt;=1,VALUE(F103)&lt;=20),IF(INDEX(設定!$P$8:$P$27,VALUE(F103))="","？",INDEX(設定!$P$8:$P$27,VALUE(F103))),"？")))</f>
        <v/>
      </c>
      <c r="K103" s="45">
        <f>IF(L103="","",IF(G103="","名簿にいない",IF(COUNTIF(L104:L$552,L103)&gt;0,"2回提出（下の行を使います）",IF(OR(H103="？",I103="？",J103="？"),"クラブ番号がちがう",IF(OR(AND(H103&lt;&gt;"",H103&lt;&gt;"？",COUNTIF(設定!$P$8:$P$27,H103)=0),AND(I103&lt;&gt;"",I103&lt;&gt;"？",COUNTIF(設定!$P$8:$P$27,I103)=0),AND(J103&lt;&gt;"",J103&lt;&gt;"？",COUNTIF(設定!$P$8:$P$27,J103)=0)),"クラブ名がちがう",IF(H103="","第1希望がない",IF(OR(AND(H103&lt;&gt;"",H103=I103),AND(H103&lt;&gt;"",H103=J103),AND(I103&lt;&gt;"",I103=J103)),"同じクラブを重複して希望","OK")))))))</f>
        <v/>
      </c>
      <c r="L103" s="8">
        <f>IF(A103="","",A103&amp;"-"&amp;B103&amp;"-"&amp;C103)</f>
        <v/>
      </c>
      <c r="M103" s="8">
        <f>IF(OR(L103="",G103=""),"",IF(COUNTIF(L104:L$552,L103)=0,L103,""))</f>
        <v/>
      </c>
    </row>
    <row r="104">
      <c r="A104" s="40" t="n">
        <v>5</v>
      </c>
      <c r="B104" s="40" t="inlineStr">
        <is>
          <t>月</t>
        </is>
      </c>
      <c r="C104" s="40" t="n">
        <v>30</v>
      </c>
      <c r="D104" s="40" t="n">
        <v>3</v>
      </c>
      <c r="E104" s="40" t="n">
        <v>11</v>
      </c>
      <c r="F104" s="40" t="n">
        <v>1</v>
      </c>
      <c r="G104" s="3">
        <f>IF(L104="","",IFERROR(INDEX(前年度名簿!$D$2:$D$451,MATCH(L104,前年度名簿!$F$2:$F$451,0)),""))</f>
        <v/>
      </c>
      <c r="H104" s="44">
        <f>IF(D104="","",IF(ISERROR(VALUE(D104)),D104&amp;"",IF(AND(VALUE(D104)&gt;=1,VALUE(D104)&lt;=20),IF(INDEX(設定!$P$8:$P$27,VALUE(D104))="","？",INDEX(設定!$P$8:$P$27,VALUE(D104))),"？")))</f>
        <v/>
      </c>
      <c r="I104" s="44">
        <f>IF(E104="","",IF(ISERROR(VALUE(E104)),E104&amp;"",IF(AND(VALUE(E104)&gt;=1,VALUE(E104)&lt;=20),IF(INDEX(設定!$P$8:$P$27,VALUE(E104))="","？",INDEX(設定!$P$8:$P$27,VALUE(E104))),"？")))</f>
        <v/>
      </c>
      <c r="J104" s="44">
        <f>IF(F104="","",IF(ISERROR(VALUE(F104)),F104&amp;"",IF(AND(VALUE(F104)&gt;=1,VALUE(F104)&lt;=20),IF(INDEX(設定!$P$8:$P$27,VALUE(F104))="","？",INDEX(設定!$P$8:$P$27,VALUE(F104))),"？")))</f>
        <v/>
      </c>
      <c r="K104" s="45">
        <f>IF(L104="","",IF(G104="","名簿にいない",IF(COUNTIF(L105:L$552,L104)&gt;0,"2回提出（下の行を使います）",IF(OR(H104="？",I104="？",J104="？"),"クラブ番号がちがう",IF(OR(AND(H104&lt;&gt;"",H104&lt;&gt;"？",COUNTIF(設定!$P$8:$P$27,H104)=0),AND(I104&lt;&gt;"",I104&lt;&gt;"？",COUNTIF(設定!$P$8:$P$27,I104)=0),AND(J104&lt;&gt;"",J104&lt;&gt;"？",COUNTIF(設定!$P$8:$P$27,J104)=0)),"クラブ名がちがう",IF(H104="","第1希望がない",IF(OR(AND(H104&lt;&gt;"",H104=I104),AND(H104&lt;&gt;"",H104=J104),AND(I104&lt;&gt;"",I104=J104)),"同じクラブを重複して希望","OK")))))))</f>
        <v/>
      </c>
      <c r="L104" s="8">
        <f>IF(A104="","",A104&amp;"-"&amp;B104&amp;"-"&amp;C104)</f>
        <v/>
      </c>
      <c r="M104" s="8">
        <f>IF(OR(L104="",G104=""),"",IF(COUNTIF(L105:L$552,L104)=0,L104,""))</f>
        <v/>
      </c>
    </row>
    <row r="105">
      <c r="A105" s="40" t="n">
        <v>3</v>
      </c>
      <c r="B105" s="40" t="inlineStr">
        <is>
          <t>松</t>
        </is>
      </c>
      <c r="C105" s="40" t="n">
        <v>17</v>
      </c>
      <c r="D105" s="40" t="n">
        <v>12</v>
      </c>
      <c r="E105" s="40" t="n">
        <v>4</v>
      </c>
      <c r="F105" s="40" t="n">
        <v>7</v>
      </c>
      <c r="G105" s="3">
        <f>IF(L105="","",IFERROR(INDEX(前年度名簿!$D$2:$D$451,MATCH(L105,前年度名簿!$F$2:$F$451,0)),""))</f>
        <v/>
      </c>
      <c r="H105" s="44">
        <f>IF(D105="","",IF(ISERROR(VALUE(D105)),D105&amp;"",IF(AND(VALUE(D105)&gt;=1,VALUE(D105)&lt;=20),IF(INDEX(設定!$P$8:$P$27,VALUE(D105))="","？",INDEX(設定!$P$8:$P$27,VALUE(D105))),"？")))</f>
        <v/>
      </c>
      <c r="I105" s="44">
        <f>IF(E105="","",IF(ISERROR(VALUE(E105)),E105&amp;"",IF(AND(VALUE(E105)&gt;=1,VALUE(E105)&lt;=20),IF(INDEX(設定!$P$8:$P$27,VALUE(E105))="","？",INDEX(設定!$P$8:$P$27,VALUE(E105))),"？")))</f>
        <v/>
      </c>
      <c r="J105" s="44">
        <f>IF(F105="","",IF(ISERROR(VALUE(F105)),F105&amp;"",IF(AND(VALUE(F105)&gt;=1,VALUE(F105)&lt;=20),IF(INDEX(設定!$P$8:$P$27,VALUE(F105))="","？",INDEX(設定!$P$8:$P$27,VALUE(F105))),"？")))</f>
        <v/>
      </c>
      <c r="K105" s="45">
        <f>IF(L105="","",IF(G105="","名簿にいない",IF(COUNTIF(L106:L$552,L105)&gt;0,"2回提出（下の行を使います）",IF(OR(H105="？",I105="？",J105="？"),"クラブ番号がちがう",IF(OR(AND(H105&lt;&gt;"",H105&lt;&gt;"？",COUNTIF(設定!$P$8:$P$27,H105)=0),AND(I105&lt;&gt;"",I105&lt;&gt;"？",COUNTIF(設定!$P$8:$P$27,I105)=0),AND(J105&lt;&gt;"",J105&lt;&gt;"？",COUNTIF(設定!$P$8:$P$27,J105)=0)),"クラブ名がちがう",IF(H105="","第1希望がない",IF(OR(AND(H105&lt;&gt;"",H105=I105),AND(H105&lt;&gt;"",H105=J105),AND(I105&lt;&gt;"",I105=J105)),"同じクラブを重複して希望","OK")))))))</f>
        <v/>
      </c>
      <c r="L105" s="8">
        <f>IF(A105="","",A105&amp;"-"&amp;B105&amp;"-"&amp;C105)</f>
        <v/>
      </c>
      <c r="M105" s="8">
        <f>IF(OR(L105="",G105=""),"",IF(COUNTIF(L106:L$552,L105)=0,L105,""))</f>
        <v/>
      </c>
    </row>
    <row r="106">
      <c r="A106" s="40" t="n">
        <v>4</v>
      </c>
      <c r="B106" s="40" t="inlineStr">
        <is>
          <t>竹</t>
        </is>
      </c>
      <c r="C106" s="40" t="n">
        <v>15</v>
      </c>
      <c r="D106" s="40" t="n">
        <v>10</v>
      </c>
      <c r="E106" s="40" t="n">
        <v>2</v>
      </c>
      <c r="F106" s="40" t="n">
        <v>7</v>
      </c>
      <c r="G106" s="3">
        <f>IF(L106="","",IFERROR(INDEX(前年度名簿!$D$2:$D$451,MATCH(L106,前年度名簿!$F$2:$F$451,0)),""))</f>
        <v/>
      </c>
      <c r="H106" s="44">
        <f>IF(D106="","",IF(ISERROR(VALUE(D106)),D106&amp;"",IF(AND(VALUE(D106)&gt;=1,VALUE(D106)&lt;=20),IF(INDEX(設定!$P$8:$P$27,VALUE(D106))="","？",INDEX(設定!$P$8:$P$27,VALUE(D106))),"？")))</f>
        <v/>
      </c>
      <c r="I106" s="44">
        <f>IF(E106="","",IF(ISERROR(VALUE(E106)),E106&amp;"",IF(AND(VALUE(E106)&gt;=1,VALUE(E106)&lt;=20),IF(INDEX(設定!$P$8:$P$27,VALUE(E106))="","？",INDEX(設定!$P$8:$P$27,VALUE(E106))),"？")))</f>
        <v/>
      </c>
      <c r="J106" s="44">
        <f>IF(F106="","",IF(ISERROR(VALUE(F106)),F106&amp;"",IF(AND(VALUE(F106)&gt;=1,VALUE(F106)&lt;=20),IF(INDEX(設定!$P$8:$P$27,VALUE(F106))="","？",INDEX(設定!$P$8:$P$27,VALUE(F106))),"？")))</f>
        <v/>
      </c>
      <c r="K106" s="45">
        <f>IF(L106="","",IF(G106="","名簿にいない",IF(COUNTIF(L107:L$552,L106)&gt;0,"2回提出（下の行を使います）",IF(OR(H106="？",I106="？",J106="？"),"クラブ番号がちがう",IF(OR(AND(H106&lt;&gt;"",H106&lt;&gt;"？",COUNTIF(設定!$P$8:$P$27,H106)=0),AND(I106&lt;&gt;"",I106&lt;&gt;"？",COUNTIF(設定!$P$8:$P$27,I106)=0),AND(J106&lt;&gt;"",J106&lt;&gt;"？",COUNTIF(設定!$P$8:$P$27,J106)=0)),"クラブ名がちがう",IF(H106="","第1希望がない",IF(OR(AND(H106&lt;&gt;"",H106=I106),AND(H106&lt;&gt;"",H106=J106),AND(I106&lt;&gt;"",I106=J106)),"同じクラブを重複して希望","OK")))))))</f>
        <v/>
      </c>
      <c r="L106" s="8">
        <f>IF(A106="","",A106&amp;"-"&amp;B106&amp;"-"&amp;C106)</f>
        <v/>
      </c>
      <c r="M106" s="8">
        <f>IF(OR(L106="",G106=""),"",IF(COUNTIF(L107:L$552,L106)=0,L106,""))</f>
        <v/>
      </c>
    </row>
    <row r="107">
      <c r="A107" s="40" t="n">
        <v>3</v>
      </c>
      <c r="B107" s="40" t="inlineStr">
        <is>
          <t>竹</t>
        </is>
      </c>
      <c r="C107" s="40" t="n">
        <v>15</v>
      </c>
      <c r="D107" s="40" t="n">
        <v>2</v>
      </c>
      <c r="E107" s="40" t="n">
        <v>3</v>
      </c>
      <c r="F107" s="40" t="n">
        <v>4</v>
      </c>
      <c r="G107" s="3">
        <f>IF(L107="","",IFERROR(INDEX(前年度名簿!$D$2:$D$451,MATCH(L107,前年度名簿!$F$2:$F$451,0)),""))</f>
        <v/>
      </c>
      <c r="H107" s="44">
        <f>IF(D107="","",IF(ISERROR(VALUE(D107)),D107&amp;"",IF(AND(VALUE(D107)&gt;=1,VALUE(D107)&lt;=20),IF(INDEX(設定!$P$8:$P$27,VALUE(D107))="","？",INDEX(設定!$P$8:$P$27,VALUE(D107))),"？")))</f>
        <v/>
      </c>
      <c r="I107" s="44">
        <f>IF(E107="","",IF(ISERROR(VALUE(E107)),E107&amp;"",IF(AND(VALUE(E107)&gt;=1,VALUE(E107)&lt;=20),IF(INDEX(設定!$P$8:$P$27,VALUE(E107))="","？",INDEX(設定!$P$8:$P$27,VALUE(E107))),"？")))</f>
        <v/>
      </c>
      <c r="J107" s="44">
        <f>IF(F107="","",IF(ISERROR(VALUE(F107)),F107&amp;"",IF(AND(VALUE(F107)&gt;=1,VALUE(F107)&lt;=20),IF(INDEX(設定!$P$8:$P$27,VALUE(F107))="","？",INDEX(設定!$P$8:$P$27,VALUE(F107))),"？")))</f>
        <v/>
      </c>
      <c r="K107" s="45">
        <f>IF(L107="","",IF(G107="","名簿にいない",IF(COUNTIF(L108:L$552,L107)&gt;0,"2回提出（下の行を使います）",IF(OR(H107="？",I107="？",J107="？"),"クラブ番号がちがう",IF(OR(AND(H107&lt;&gt;"",H107&lt;&gt;"？",COUNTIF(設定!$P$8:$P$27,H107)=0),AND(I107&lt;&gt;"",I107&lt;&gt;"？",COUNTIF(設定!$P$8:$P$27,I107)=0),AND(J107&lt;&gt;"",J107&lt;&gt;"？",COUNTIF(設定!$P$8:$P$27,J107)=0)),"クラブ名がちがう",IF(H107="","第1希望がない",IF(OR(AND(H107&lt;&gt;"",H107=I107),AND(H107&lt;&gt;"",H107=J107),AND(I107&lt;&gt;"",I107=J107)),"同じクラブを重複して希望","OK")))))))</f>
        <v/>
      </c>
      <c r="L107" s="8">
        <f>IF(A107="","",A107&amp;"-"&amp;B107&amp;"-"&amp;C107)</f>
        <v/>
      </c>
      <c r="M107" s="8">
        <f>IF(OR(L107="",G107=""),"",IF(COUNTIF(L108:L$552,L107)=0,L107,""))</f>
        <v/>
      </c>
    </row>
    <row r="108">
      <c r="A108" s="40" t="n">
        <v>5</v>
      </c>
      <c r="B108" s="40" t="inlineStr">
        <is>
          <t>梅</t>
        </is>
      </c>
      <c r="C108" s="40" t="n">
        <v>23</v>
      </c>
      <c r="D108" s="40" t="n">
        <v>5</v>
      </c>
      <c r="E108" s="40" t="n">
        <v>10</v>
      </c>
      <c r="F108" s="40" t="n">
        <v>1</v>
      </c>
      <c r="G108" s="3">
        <f>IF(L108="","",IFERROR(INDEX(前年度名簿!$D$2:$D$451,MATCH(L108,前年度名簿!$F$2:$F$451,0)),""))</f>
        <v/>
      </c>
      <c r="H108" s="44">
        <f>IF(D108="","",IF(ISERROR(VALUE(D108)),D108&amp;"",IF(AND(VALUE(D108)&gt;=1,VALUE(D108)&lt;=20),IF(INDEX(設定!$P$8:$P$27,VALUE(D108))="","？",INDEX(設定!$P$8:$P$27,VALUE(D108))),"？")))</f>
        <v/>
      </c>
      <c r="I108" s="44">
        <f>IF(E108="","",IF(ISERROR(VALUE(E108)),E108&amp;"",IF(AND(VALUE(E108)&gt;=1,VALUE(E108)&lt;=20),IF(INDEX(設定!$P$8:$P$27,VALUE(E108))="","？",INDEX(設定!$P$8:$P$27,VALUE(E108))),"？")))</f>
        <v/>
      </c>
      <c r="J108" s="44">
        <f>IF(F108="","",IF(ISERROR(VALUE(F108)),F108&amp;"",IF(AND(VALUE(F108)&gt;=1,VALUE(F108)&lt;=20),IF(INDEX(設定!$P$8:$P$27,VALUE(F108))="","？",INDEX(設定!$P$8:$P$27,VALUE(F108))),"？")))</f>
        <v/>
      </c>
      <c r="K108" s="45">
        <f>IF(L108="","",IF(G108="","名簿にいない",IF(COUNTIF(L109:L$552,L108)&gt;0,"2回提出（下の行を使います）",IF(OR(H108="？",I108="？",J108="？"),"クラブ番号がちがう",IF(OR(AND(H108&lt;&gt;"",H108&lt;&gt;"？",COUNTIF(設定!$P$8:$P$27,H108)=0),AND(I108&lt;&gt;"",I108&lt;&gt;"？",COUNTIF(設定!$P$8:$P$27,I108)=0),AND(J108&lt;&gt;"",J108&lt;&gt;"？",COUNTIF(設定!$P$8:$P$27,J108)=0)),"クラブ名がちがう",IF(H108="","第1希望がない",IF(OR(AND(H108&lt;&gt;"",H108=I108),AND(H108&lt;&gt;"",H108=J108),AND(I108&lt;&gt;"",I108=J108)),"同じクラブを重複して希望","OK")))))))</f>
        <v/>
      </c>
      <c r="L108" s="8">
        <f>IF(A108="","",A108&amp;"-"&amp;B108&amp;"-"&amp;C108)</f>
        <v/>
      </c>
      <c r="M108" s="8">
        <f>IF(OR(L108="",G108=""),"",IF(COUNTIF(L109:L$552,L108)=0,L108,""))</f>
        <v/>
      </c>
    </row>
    <row r="109">
      <c r="A109" s="40" t="n">
        <v>4</v>
      </c>
      <c r="B109" s="40" t="inlineStr">
        <is>
          <t>松</t>
        </is>
      </c>
      <c r="C109" s="40" t="n">
        <v>24</v>
      </c>
      <c r="D109" s="40" t="n">
        <v>10</v>
      </c>
      <c r="E109" s="40" t="n">
        <v>3</v>
      </c>
      <c r="F109" s="40" t="n">
        <v>9</v>
      </c>
      <c r="G109" s="3">
        <f>IF(L109="","",IFERROR(INDEX(前年度名簿!$D$2:$D$451,MATCH(L109,前年度名簿!$F$2:$F$451,0)),""))</f>
        <v/>
      </c>
      <c r="H109" s="44">
        <f>IF(D109="","",IF(ISERROR(VALUE(D109)),D109&amp;"",IF(AND(VALUE(D109)&gt;=1,VALUE(D109)&lt;=20),IF(INDEX(設定!$P$8:$P$27,VALUE(D109))="","？",INDEX(設定!$P$8:$P$27,VALUE(D109))),"？")))</f>
        <v/>
      </c>
      <c r="I109" s="44">
        <f>IF(E109="","",IF(ISERROR(VALUE(E109)),E109&amp;"",IF(AND(VALUE(E109)&gt;=1,VALUE(E109)&lt;=20),IF(INDEX(設定!$P$8:$P$27,VALUE(E109))="","？",INDEX(設定!$P$8:$P$27,VALUE(E109))),"？")))</f>
        <v/>
      </c>
      <c r="J109" s="44">
        <f>IF(F109="","",IF(ISERROR(VALUE(F109)),F109&amp;"",IF(AND(VALUE(F109)&gt;=1,VALUE(F109)&lt;=20),IF(INDEX(設定!$P$8:$P$27,VALUE(F109))="","？",INDEX(設定!$P$8:$P$27,VALUE(F109))),"？")))</f>
        <v/>
      </c>
      <c r="K109" s="45">
        <f>IF(L109="","",IF(G109="","名簿にいない",IF(COUNTIF(L110:L$552,L109)&gt;0,"2回提出（下の行を使います）",IF(OR(H109="？",I109="？",J109="？"),"クラブ番号がちがう",IF(OR(AND(H109&lt;&gt;"",H109&lt;&gt;"？",COUNTIF(設定!$P$8:$P$27,H109)=0),AND(I109&lt;&gt;"",I109&lt;&gt;"？",COUNTIF(設定!$P$8:$P$27,I109)=0),AND(J109&lt;&gt;"",J109&lt;&gt;"？",COUNTIF(設定!$P$8:$P$27,J109)=0)),"クラブ名がちがう",IF(H109="","第1希望がない",IF(OR(AND(H109&lt;&gt;"",H109=I109),AND(H109&lt;&gt;"",H109=J109),AND(I109&lt;&gt;"",I109=J109)),"同じクラブを重複して希望","OK")))))))</f>
        <v/>
      </c>
      <c r="L109" s="8">
        <f>IF(A109="","",A109&amp;"-"&amp;B109&amp;"-"&amp;C109)</f>
        <v/>
      </c>
      <c r="M109" s="8">
        <f>IF(OR(L109="",G109=""),"",IF(COUNTIF(L110:L$552,L109)=0,L109,""))</f>
        <v/>
      </c>
    </row>
    <row r="110">
      <c r="A110" s="40" t="n">
        <v>3</v>
      </c>
      <c r="B110" s="40" t="inlineStr">
        <is>
          <t>梅</t>
        </is>
      </c>
      <c r="C110" s="40" t="n">
        <v>27</v>
      </c>
      <c r="D110" s="40" t="n">
        <v>2</v>
      </c>
      <c r="E110" s="40" t="n">
        <v>9</v>
      </c>
      <c r="F110" s="40" t="n">
        <v>8</v>
      </c>
      <c r="G110" s="3">
        <f>IF(L110="","",IFERROR(INDEX(前年度名簿!$D$2:$D$451,MATCH(L110,前年度名簿!$F$2:$F$451,0)),""))</f>
        <v/>
      </c>
      <c r="H110" s="44">
        <f>IF(D110="","",IF(ISERROR(VALUE(D110)),D110&amp;"",IF(AND(VALUE(D110)&gt;=1,VALUE(D110)&lt;=20),IF(INDEX(設定!$P$8:$P$27,VALUE(D110))="","？",INDEX(設定!$P$8:$P$27,VALUE(D110))),"？")))</f>
        <v/>
      </c>
      <c r="I110" s="44">
        <f>IF(E110="","",IF(ISERROR(VALUE(E110)),E110&amp;"",IF(AND(VALUE(E110)&gt;=1,VALUE(E110)&lt;=20),IF(INDEX(設定!$P$8:$P$27,VALUE(E110))="","？",INDEX(設定!$P$8:$P$27,VALUE(E110))),"？")))</f>
        <v/>
      </c>
      <c r="J110" s="44">
        <f>IF(F110="","",IF(ISERROR(VALUE(F110)),F110&amp;"",IF(AND(VALUE(F110)&gt;=1,VALUE(F110)&lt;=20),IF(INDEX(設定!$P$8:$P$27,VALUE(F110))="","？",INDEX(設定!$P$8:$P$27,VALUE(F110))),"？")))</f>
        <v/>
      </c>
      <c r="K110" s="45">
        <f>IF(L110="","",IF(G110="","名簿にいない",IF(COUNTIF(L111:L$552,L110)&gt;0,"2回提出（下の行を使います）",IF(OR(H110="？",I110="？",J110="？"),"クラブ番号がちがう",IF(OR(AND(H110&lt;&gt;"",H110&lt;&gt;"？",COUNTIF(設定!$P$8:$P$27,H110)=0),AND(I110&lt;&gt;"",I110&lt;&gt;"？",COUNTIF(設定!$P$8:$P$27,I110)=0),AND(J110&lt;&gt;"",J110&lt;&gt;"？",COUNTIF(設定!$P$8:$P$27,J110)=0)),"クラブ名がちがう",IF(H110="","第1希望がない",IF(OR(AND(H110&lt;&gt;"",H110=I110),AND(H110&lt;&gt;"",H110=J110),AND(I110&lt;&gt;"",I110=J110)),"同じクラブを重複して希望","OK")))))))</f>
        <v/>
      </c>
      <c r="L110" s="8">
        <f>IF(A110="","",A110&amp;"-"&amp;B110&amp;"-"&amp;C110)</f>
        <v/>
      </c>
      <c r="M110" s="8">
        <f>IF(OR(L110="",G110=""),"",IF(COUNTIF(L111:L$552,L110)=0,L110,""))</f>
        <v/>
      </c>
    </row>
    <row r="111">
      <c r="A111" s="40" t="n">
        <v>4</v>
      </c>
      <c r="B111" s="40" t="inlineStr">
        <is>
          <t>竹</t>
        </is>
      </c>
      <c r="C111" s="40" t="n">
        <v>25</v>
      </c>
      <c r="D111" s="40" t="n">
        <v>7</v>
      </c>
      <c r="E111" s="40" t="n">
        <v>10</v>
      </c>
      <c r="F111" s="40" t="n">
        <v>2</v>
      </c>
      <c r="G111" s="3">
        <f>IF(L111="","",IFERROR(INDEX(前年度名簿!$D$2:$D$451,MATCH(L111,前年度名簿!$F$2:$F$451,0)),""))</f>
        <v/>
      </c>
      <c r="H111" s="44">
        <f>IF(D111="","",IF(ISERROR(VALUE(D111)),D111&amp;"",IF(AND(VALUE(D111)&gt;=1,VALUE(D111)&lt;=20),IF(INDEX(設定!$P$8:$P$27,VALUE(D111))="","？",INDEX(設定!$P$8:$P$27,VALUE(D111))),"？")))</f>
        <v/>
      </c>
      <c r="I111" s="44">
        <f>IF(E111="","",IF(ISERROR(VALUE(E111)),E111&amp;"",IF(AND(VALUE(E111)&gt;=1,VALUE(E111)&lt;=20),IF(INDEX(設定!$P$8:$P$27,VALUE(E111))="","？",INDEX(設定!$P$8:$P$27,VALUE(E111))),"？")))</f>
        <v/>
      </c>
      <c r="J111" s="44">
        <f>IF(F111="","",IF(ISERROR(VALUE(F111)),F111&amp;"",IF(AND(VALUE(F111)&gt;=1,VALUE(F111)&lt;=20),IF(INDEX(設定!$P$8:$P$27,VALUE(F111))="","？",INDEX(設定!$P$8:$P$27,VALUE(F111))),"？")))</f>
        <v/>
      </c>
      <c r="K111" s="45">
        <f>IF(L111="","",IF(G111="","名簿にいない",IF(COUNTIF(L112:L$552,L111)&gt;0,"2回提出（下の行を使います）",IF(OR(H111="？",I111="？",J111="？"),"クラブ番号がちがう",IF(OR(AND(H111&lt;&gt;"",H111&lt;&gt;"？",COUNTIF(設定!$P$8:$P$27,H111)=0),AND(I111&lt;&gt;"",I111&lt;&gt;"？",COUNTIF(設定!$P$8:$P$27,I111)=0),AND(J111&lt;&gt;"",J111&lt;&gt;"？",COUNTIF(設定!$P$8:$P$27,J111)=0)),"クラブ名がちがう",IF(H111="","第1希望がない",IF(OR(AND(H111&lt;&gt;"",H111=I111),AND(H111&lt;&gt;"",H111=J111),AND(I111&lt;&gt;"",I111=J111)),"同じクラブを重複して希望","OK")))))))</f>
        <v/>
      </c>
      <c r="L111" s="8">
        <f>IF(A111="","",A111&amp;"-"&amp;B111&amp;"-"&amp;C111)</f>
        <v/>
      </c>
      <c r="M111" s="8">
        <f>IF(OR(L111="",G111=""),"",IF(COUNTIF(L112:L$552,L111)=0,L111,""))</f>
        <v/>
      </c>
    </row>
    <row r="112">
      <c r="A112" s="40" t="n">
        <v>5</v>
      </c>
      <c r="B112" s="40" t="inlineStr">
        <is>
          <t>竹</t>
        </is>
      </c>
      <c r="C112" s="40" t="n">
        <v>15</v>
      </c>
      <c r="D112" s="40" t="n">
        <v>8</v>
      </c>
      <c r="E112" s="40" t="n">
        <v>12</v>
      </c>
      <c r="F112" s="40" t="n">
        <v>9</v>
      </c>
      <c r="G112" s="3">
        <f>IF(L112="","",IFERROR(INDEX(前年度名簿!$D$2:$D$451,MATCH(L112,前年度名簿!$F$2:$F$451,0)),""))</f>
        <v/>
      </c>
      <c r="H112" s="44">
        <f>IF(D112="","",IF(ISERROR(VALUE(D112)),D112&amp;"",IF(AND(VALUE(D112)&gt;=1,VALUE(D112)&lt;=20),IF(INDEX(設定!$P$8:$P$27,VALUE(D112))="","？",INDEX(設定!$P$8:$P$27,VALUE(D112))),"？")))</f>
        <v/>
      </c>
      <c r="I112" s="44">
        <f>IF(E112="","",IF(ISERROR(VALUE(E112)),E112&amp;"",IF(AND(VALUE(E112)&gt;=1,VALUE(E112)&lt;=20),IF(INDEX(設定!$P$8:$P$27,VALUE(E112))="","？",INDEX(設定!$P$8:$P$27,VALUE(E112))),"？")))</f>
        <v/>
      </c>
      <c r="J112" s="44">
        <f>IF(F112="","",IF(ISERROR(VALUE(F112)),F112&amp;"",IF(AND(VALUE(F112)&gt;=1,VALUE(F112)&lt;=20),IF(INDEX(設定!$P$8:$P$27,VALUE(F112))="","？",INDEX(設定!$P$8:$P$27,VALUE(F112))),"？")))</f>
        <v/>
      </c>
      <c r="K112" s="45">
        <f>IF(L112="","",IF(G112="","名簿にいない",IF(COUNTIF(L113:L$552,L112)&gt;0,"2回提出（下の行を使います）",IF(OR(H112="？",I112="？",J112="？"),"クラブ番号がちがう",IF(OR(AND(H112&lt;&gt;"",H112&lt;&gt;"？",COUNTIF(設定!$P$8:$P$27,H112)=0),AND(I112&lt;&gt;"",I112&lt;&gt;"？",COUNTIF(設定!$P$8:$P$27,I112)=0),AND(J112&lt;&gt;"",J112&lt;&gt;"？",COUNTIF(設定!$P$8:$P$27,J112)=0)),"クラブ名がちがう",IF(H112="","第1希望がない",IF(OR(AND(H112&lt;&gt;"",H112=I112),AND(H112&lt;&gt;"",H112=J112),AND(I112&lt;&gt;"",I112=J112)),"同じクラブを重複して希望","OK")))))))</f>
        <v/>
      </c>
      <c r="L112" s="8">
        <f>IF(A112="","",A112&amp;"-"&amp;B112&amp;"-"&amp;C112)</f>
        <v/>
      </c>
      <c r="M112" s="8">
        <f>IF(OR(L112="",G112=""),"",IF(COUNTIF(L113:L$552,L112)=0,L112,""))</f>
        <v/>
      </c>
    </row>
    <row r="113">
      <c r="A113" s="40" t="n">
        <v>5</v>
      </c>
      <c r="B113" s="40" t="inlineStr">
        <is>
          <t>月</t>
        </is>
      </c>
      <c r="C113" s="40" t="n">
        <v>1</v>
      </c>
      <c r="D113" s="40" t="n">
        <v>8</v>
      </c>
      <c r="E113" s="40" t="n">
        <v>4</v>
      </c>
      <c r="F113" s="40" t="n">
        <v>5</v>
      </c>
      <c r="G113" s="3">
        <f>IF(L113="","",IFERROR(INDEX(前年度名簿!$D$2:$D$451,MATCH(L113,前年度名簿!$F$2:$F$451,0)),""))</f>
        <v/>
      </c>
      <c r="H113" s="44">
        <f>IF(D113="","",IF(ISERROR(VALUE(D113)),D113&amp;"",IF(AND(VALUE(D113)&gt;=1,VALUE(D113)&lt;=20),IF(INDEX(設定!$P$8:$P$27,VALUE(D113))="","？",INDEX(設定!$P$8:$P$27,VALUE(D113))),"？")))</f>
        <v/>
      </c>
      <c r="I113" s="44">
        <f>IF(E113="","",IF(ISERROR(VALUE(E113)),E113&amp;"",IF(AND(VALUE(E113)&gt;=1,VALUE(E113)&lt;=20),IF(INDEX(設定!$P$8:$P$27,VALUE(E113))="","？",INDEX(設定!$P$8:$P$27,VALUE(E113))),"？")))</f>
        <v/>
      </c>
      <c r="J113" s="44">
        <f>IF(F113="","",IF(ISERROR(VALUE(F113)),F113&amp;"",IF(AND(VALUE(F113)&gt;=1,VALUE(F113)&lt;=20),IF(INDEX(設定!$P$8:$P$27,VALUE(F113))="","？",INDEX(設定!$P$8:$P$27,VALUE(F113))),"？")))</f>
        <v/>
      </c>
      <c r="K113" s="45">
        <f>IF(L113="","",IF(G113="","名簿にいない",IF(COUNTIF(L114:L$552,L113)&gt;0,"2回提出（下の行を使います）",IF(OR(H113="？",I113="？",J113="？"),"クラブ番号がちがう",IF(OR(AND(H113&lt;&gt;"",H113&lt;&gt;"？",COUNTIF(設定!$P$8:$P$27,H113)=0),AND(I113&lt;&gt;"",I113&lt;&gt;"？",COUNTIF(設定!$P$8:$P$27,I113)=0),AND(J113&lt;&gt;"",J113&lt;&gt;"？",COUNTIF(設定!$P$8:$P$27,J113)=0)),"クラブ名がちがう",IF(H113="","第1希望がない",IF(OR(AND(H113&lt;&gt;"",H113=I113),AND(H113&lt;&gt;"",H113=J113),AND(I113&lt;&gt;"",I113=J113)),"同じクラブを重複して希望","OK")))))))</f>
        <v/>
      </c>
      <c r="L113" s="8">
        <f>IF(A113="","",A113&amp;"-"&amp;B113&amp;"-"&amp;C113)</f>
        <v/>
      </c>
      <c r="M113" s="8">
        <f>IF(OR(L113="",G113=""),"",IF(COUNTIF(L114:L$552,L113)=0,L113,""))</f>
        <v/>
      </c>
    </row>
    <row r="114">
      <c r="A114" s="40" t="n">
        <v>4</v>
      </c>
      <c r="B114" s="40" t="inlineStr">
        <is>
          <t>松</t>
        </is>
      </c>
      <c r="C114" s="40" t="n">
        <v>26</v>
      </c>
      <c r="D114" s="40" t="n">
        <v>5</v>
      </c>
      <c r="E114" s="40" t="n">
        <v>7</v>
      </c>
      <c r="F114" s="40" t="n">
        <v>9</v>
      </c>
      <c r="G114" s="3">
        <f>IF(L114="","",IFERROR(INDEX(前年度名簿!$D$2:$D$451,MATCH(L114,前年度名簿!$F$2:$F$451,0)),""))</f>
        <v/>
      </c>
      <c r="H114" s="44">
        <f>IF(D114="","",IF(ISERROR(VALUE(D114)),D114&amp;"",IF(AND(VALUE(D114)&gt;=1,VALUE(D114)&lt;=20),IF(INDEX(設定!$P$8:$P$27,VALUE(D114))="","？",INDEX(設定!$P$8:$P$27,VALUE(D114))),"？")))</f>
        <v/>
      </c>
      <c r="I114" s="44">
        <f>IF(E114="","",IF(ISERROR(VALUE(E114)),E114&amp;"",IF(AND(VALUE(E114)&gt;=1,VALUE(E114)&lt;=20),IF(INDEX(設定!$P$8:$P$27,VALUE(E114))="","？",INDEX(設定!$P$8:$P$27,VALUE(E114))),"？")))</f>
        <v/>
      </c>
      <c r="J114" s="44">
        <f>IF(F114="","",IF(ISERROR(VALUE(F114)),F114&amp;"",IF(AND(VALUE(F114)&gt;=1,VALUE(F114)&lt;=20),IF(INDEX(設定!$P$8:$P$27,VALUE(F114))="","？",INDEX(設定!$P$8:$P$27,VALUE(F114))),"？")))</f>
        <v/>
      </c>
      <c r="K114" s="45">
        <f>IF(L114="","",IF(G114="","名簿にいない",IF(COUNTIF(L115:L$552,L114)&gt;0,"2回提出（下の行を使います）",IF(OR(H114="？",I114="？",J114="？"),"クラブ番号がちがう",IF(OR(AND(H114&lt;&gt;"",H114&lt;&gt;"？",COUNTIF(設定!$P$8:$P$27,H114)=0),AND(I114&lt;&gt;"",I114&lt;&gt;"？",COUNTIF(設定!$P$8:$P$27,I114)=0),AND(J114&lt;&gt;"",J114&lt;&gt;"？",COUNTIF(設定!$P$8:$P$27,J114)=0)),"クラブ名がちがう",IF(H114="","第1希望がない",IF(OR(AND(H114&lt;&gt;"",H114=I114),AND(H114&lt;&gt;"",H114=J114),AND(I114&lt;&gt;"",I114=J114)),"同じクラブを重複して希望","OK")))))))</f>
        <v/>
      </c>
      <c r="L114" s="8">
        <f>IF(A114="","",A114&amp;"-"&amp;B114&amp;"-"&amp;C114)</f>
        <v/>
      </c>
      <c r="M114" s="8">
        <f>IF(OR(L114="",G114=""),"",IF(COUNTIF(L115:L$552,L114)=0,L114,""))</f>
        <v/>
      </c>
    </row>
    <row r="115">
      <c r="A115" s="40" t="n">
        <v>3</v>
      </c>
      <c r="B115" s="40" t="inlineStr">
        <is>
          <t>月</t>
        </is>
      </c>
      <c r="C115" s="40" t="n">
        <v>20</v>
      </c>
      <c r="D115" s="40" t="n">
        <v>10</v>
      </c>
      <c r="E115" s="40" t="n">
        <v>1</v>
      </c>
      <c r="F115" s="40" t="n">
        <v>7</v>
      </c>
      <c r="G115" s="3">
        <f>IF(L115="","",IFERROR(INDEX(前年度名簿!$D$2:$D$451,MATCH(L115,前年度名簿!$F$2:$F$451,0)),""))</f>
        <v/>
      </c>
      <c r="H115" s="44">
        <f>IF(D115="","",IF(ISERROR(VALUE(D115)),D115&amp;"",IF(AND(VALUE(D115)&gt;=1,VALUE(D115)&lt;=20),IF(INDEX(設定!$P$8:$P$27,VALUE(D115))="","？",INDEX(設定!$P$8:$P$27,VALUE(D115))),"？")))</f>
        <v/>
      </c>
      <c r="I115" s="44">
        <f>IF(E115="","",IF(ISERROR(VALUE(E115)),E115&amp;"",IF(AND(VALUE(E115)&gt;=1,VALUE(E115)&lt;=20),IF(INDEX(設定!$P$8:$P$27,VALUE(E115))="","？",INDEX(設定!$P$8:$P$27,VALUE(E115))),"？")))</f>
        <v/>
      </c>
      <c r="J115" s="44">
        <f>IF(F115="","",IF(ISERROR(VALUE(F115)),F115&amp;"",IF(AND(VALUE(F115)&gt;=1,VALUE(F115)&lt;=20),IF(INDEX(設定!$P$8:$P$27,VALUE(F115))="","？",INDEX(設定!$P$8:$P$27,VALUE(F115))),"？")))</f>
        <v/>
      </c>
      <c r="K115" s="45">
        <f>IF(L115="","",IF(G115="","名簿にいない",IF(COUNTIF(L116:L$552,L115)&gt;0,"2回提出（下の行を使います）",IF(OR(H115="？",I115="？",J115="？"),"クラブ番号がちがう",IF(OR(AND(H115&lt;&gt;"",H115&lt;&gt;"？",COUNTIF(設定!$P$8:$P$27,H115)=0),AND(I115&lt;&gt;"",I115&lt;&gt;"？",COUNTIF(設定!$P$8:$P$27,I115)=0),AND(J115&lt;&gt;"",J115&lt;&gt;"？",COUNTIF(設定!$P$8:$P$27,J115)=0)),"クラブ名がちがう",IF(H115="","第1希望がない",IF(OR(AND(H115&lt;&gt;"",H115=I115),AND(H115&lt;&gt;"",H115=J115),AND(I115&lt;&gt;"",I115=J115)),"同じクラブを重複して希望","OK")))))))</f>
        <v/>
      </c>
      <c r="L115" s="8">
        <f>IF(A115="","",A115&amp;"-"&amp;B115&amp;"-"&amp;C115)</f>
        <v/>
      </c>
      <c r="M115" s="8">
        <f>IF(OR(L115="",G115=""),"",IF(COUNTIF(L116:L$552,L115)=0,L115,""))</f>
        <v/>
      </c>
    </row>
    <row r="116">
      <c r="A116" s="40" t="n">
        <v>4</v>
      </c>
      <c r="B116" s="40" t="inlineStr">
        <is>
          <t>梅</t>
        </is>
      </c>
      <c r="C116" s="40" t="n">
        <v>6</v>
      </c>
      <c r="D116" s="40" t="n">
        <v>3</v>
      </c>
      <c r="E116" s="40" t="n">
        <v>9</v>
      </c>
      <c r="F116" s="40" t="n">
        <v>7</v>
      </c>
      <c r="G116" s="3">
        <f>IF(L116="","",IFERROR(INDEX(前年度名簿!$D$2:$D$451,MATCH(L116,前年度名簿!$F$2:$F$451,0)),""))</f>
        <v/>
      </c>
      <c r="H116" s="44">
        <f>IF(D116="","",IF(ISERROR(VALUE(D116)),D116&amp;"",IF(AND(VALUE(D116)&gt;=1,VALUE(D116)&lt;=20),IF(INDEX(設定!$P$8:$P$27,VALUE(D116))="","？",INDEX(設定!$P$8:$P$27,VALUE(D116))),"？")))</f>
        <v/>
      </c>
      <c r="I116" s="44">
        <f>IF(E116="","",IF(ISERROR(VALUE(E116)),E116&amp;"",IF(AND(VALUE(E116)&gt;=1,VALUE(E116)&lt;=20),IF(INDEX(設定!$P$8:$P$27,VALUE(E116))="","？",INDEX(設定!$P$8:$P$27,VALUE(E116))),"？")))</f>
        <v/>
      </c>
      <c r="J116" s="44">
        <f>IF(F116="","",IF(ISERROR(VALUE(F116)),F116&amp;"",IF(AND(VALUE(F116)&gt;=1,VALUE(F116)&lt;=20),IF(INDEX(設定!$P$8:$P$27,VALUE(F116))="","？",INDEX(設定!$P$8:$P$27,VALUE(F116))),"？")))</f>
        <v/>
      </c>
      <c r="K116" s="45">
        <f>IF(L116="","",IF(G116="","名簿にいない",IF(COUNTIF(L117:L$552,L116)&gt;0,"2回提出（下の行を使います）",IF(OR(H116="？",I116="？",J116="？"),"クラブ番号がちがう",IF(OR(AND(H116&lt;&gt;"",H116&lt;&gt;"？",COUNTIF(設定!$P$8:$P$27,H116)=0),AND(I116&lt;&gt;"",I116&lt;&gt;"？",COUNTIF(設定!$P$8:$P$27,I116)=0),AND(J116&lt;&gt;"",J116&lt;&gt;"？",COUNTIF(設定!$P$8:$P$27,J116)=0)),"クラブ名がちがう",IF(H116="","第1希望がない",IF(OR(AND(H116&lt;&gt;"",H116=I116),AND(H116&lt;&gt;"",H116=J116),AND(I116&lt;&gt;"",I116=J116)),"同じクラブを重複して希望","OK")))))))</f>
        <v/>
      </c>
      <c r="L116" s="8">
        <f>IF(A116="","",A116&amp;"-"&amp;B116&amp;"-"&amp;C116)</f>
        <v/>
      </c>
      <c r="M116" s="8">
        <f>IF(OR(L116="",G116=""),"",IF(COUNTIF(L117:L$552,L116)=0,L116,""))</f>
        <v/>
      </c>
    </row>
    <row r="117">
      <c r="A117" s="40" t="n">
        <v>4</v>
      </c>
      <c r="B117" s="40" t="inlineStr">
        <is>
          <t>松</t>
        </is>
      </c>
      <c r="C117" s="40" t="n">
        <v>19</v>
      </c>
      <c r="D117" s="40" t="n">
        <v>10</v>
      </c>
      <c r="E117" s="40" t="n">
        <v>9</v>
      </c>
      <c r="F117" s="40" t="n">
        <v>11</v>
      </c>
      <c r="G117" s="3">
        <f>IF(L117="","",IFERROR(INDEX(前年度名簿!$D$2:$D$451,MATCH(L117,前年度名簿!$F$2:$F$451,0)),""))</f>
        <v/>
      </c>
      <c r="H117" s="44">
        <f>IF(D117="","",IF(ISERROR(VALUE(D117)),D117&amp;"",IF(AND(VALUE(D117)&gt;=1,VALUE(D117)&lt;=20),IF(INDEX(設定!$P$8:$P$27,VALUE(D117))="","？",INDEX(設定!$P$8:$P$27,VALUE(D117))),"？")))</f>
        <v/>
      </c>
      <c r="I117" s="44">
        <f>IF(E117="","",IF(ISERROR(VALUE(E117)),E117&amp;"",IF(AND(VALUE(E117)&gt;=1,VALUE(E117)&lt;=20),IF(INDEX(設定!$P$8:$P$27,VALUE(E117))="","？",INDEX(設定!$P$8:$P$27,VALUE(E117))),"？")))</f>
        <v/>
      </c>
      <c r="J117" s="44">
        <f>IF(F117="","",IF(ISERROR(VALUE(F117)),F117&amp;"",IF(AND(VALUE(F117)&gt;=1,VALUE(F117)&lt;=20),IF(INDEX(設定!$P$8:$P$27,VALUE(F117))="","？",INDEX(設定!$P$8:$P$27,VALUE(F117))),"？")))</f>
        <v/>
      </c>
      <c r="K117" s="45">
        <f>IF(L117="","",IF(G117="","名簿にいない",IF(COUNTIF(L118:L$552,L117)&gt;0,"2回提出（下の行を使います）",IF(OR(H117="？",I117="？",J117="？"),"クラブ番号がちがう",IF(OR(AND(H117&lt;&gt;"",H117&lt;&gt;"？",COUNTIF(設定!$P$8:$P$27,H117)=0),AND(I117&lt;&gt;"",I117&lt;&gt;"？",COUNTIF(設定!$P$8:$P$27,I117)=0),AND(J117&lt;&gt;"",J117&lt;&gt;"？",COUNTIF(設定!$P$8:$P$27,J117)=0)),"クラブ名がちがう",IF(H117="","第1希望がない",IF(OR(AND(H117&lt;&gt;"",H117=I117),AND(H117&lt;&gt;"",H117=J117),AND(I117&lt;&gt;"",I117=J117)),"同じクラブを重複して希望","OK")))))))</f>
        <v/>
      </c>
      <c r="L117" s="8">
        <f>IF(A117="","",A117&amp;"-"&amp;B117&amp;"-"&amp;C117)</f>
        <v/>
      </c>
      <c r="M117" s="8">
        <f>IF(OR(L117="",G117=""),"",IF(COUNTIF(L118:L$552,L117)=0,L117,""))</f>
        <v/>
      </c>
    </row>
    <row r="118">
      <c r="A118" s="40" t="n">
        <v>5</v>
      </c>
      <c r="B118" s="40" t="inlineStr">
        <is>
          <t>竹</t>
        </is>
      </c>
      <c r="C118" s="40" t="n">
        <v>18</v>
      </c>
      <c r="D118" s="40" t="n">
        <v>8</v>
      </c>
      <c r="E118" s="40" t="n">
        <v>9</v>
      </c>
      <c r="F118" s="40" t="n">
        <v>10</v>
      </c>
      <c r="G118" s="3">
        <f>IF(L118="","",IFERROR(INDEX(前年度名簿!$D$2:$D$451,MATCH(L118,前年度名簿!$F$2:$F$451,0)),""))</f>
        <v/>
      </c>
      <c r="H118" s="44">
        <f>IF(D118="","",IF(ISERROR(VALUE(D118)),D118&amp;"",IF(AND(VALUE(D118)&gt;=1,VALUE(D118)&lt;=20),IF(INDEX(設定!$P$8:$P$27,VALUE(D118))="","？",INDEX(設定!$P$8:$P$27,VALUE(D118))),"？")))</f>
        <v/>
      </c>
      <c r="I118" s="44">
        <f>IF(E118="","",IF(ISERROR(VALUE(E118)),E118&amp;"",IF(AND(VALUE(E118)&gt;=1,VALUE(E118)&lt;=20),IF(INDEX(設定!$P$8:$P$27,VALUE(E118))="","？",INDEX(設定!$P$8:$P$27,VALUE(E118))),"？")))</f>
        <v/>
      </c>
      <c r="J118" s="44">
        <f>IF(F118="","",IF(ISERROR(VALUE(F118)),F118&amp;"",IF(AND(VALUE(F118)&gt;=1,VALUE(F118)&lt;=20),IF(INDEX(設定!$P$8:$P$27,VALUE(F118))="","？",INDEX(設定!$P$8:$P$27,VALUE(F118))),"？")))</f>
        <v/>
      </c>
      <c r="K118" s="45">
        <f>IF(L118="","",IF(G118="","名簿にいない",IF(COUNTIF(L119:L$552,L118)&gt;0,"2回提出（下の行を使います）",IF(OR(H118="？",I118="？",J118="？"),"クラブ番号がちがう",IF(OR(AND(H118&lt;&gt;"",H118&lt;&gt;"？",COUNTIF(設定!$P$8:$P$27,H118)=0),AND(I118&lt;&gt;"",I118&lt;&gt;"？",COUNTIF(設定!$P$8:$P$27,I118)=0),AND(J118&lt;&gt;"",J118&lt;&gt;"？",COUNTIF(設定!$P$8:$P$27,J118)=0)),"クラブ名がちがう",IF(H118="","第1希望がない",IF(OR(AND(H118&lt;&gt;"",H118=I118),AND(H118&lt;&gt;"",H118=J118),AND(I118&lt;&gt;"",I118=J118)),"同じクラブを重複して希望","OK")))))))</f>
        <v/>
      </c>
      <c r="L118" s="8">
        <f>IF(A118="","",A118&amp;"-"&amp;B118&amp;"-"&amp;C118)</f>
        <v/>
      </c>
      <c r="M118" s="8">
        <f>IF(OR(L118="",G118=""),"",IF(COUNTIF(L119:L$552,L118)=0,L118,""))</f>
        <v/>
      </c>
    </row>
    <row r="119">
      <c r="A119" s="40" t="n">
        <v>4</v>
      </c>
      <c r="B119" s="40" t="inlineStr">
        <is>
          <t>梅</t>
        </is>
      </c>
      <c r="C119" s="40" t="n">
        <v>11</v>
      </c>
      <c r="D119" s="40" t="n">
        <v>7</v>
      </c>
      <c r="E119" s="40" t="n">
        <v>5</v>
      </c>
      <c r="F119" s="40" t="n">
        <v>12</v>
      </c>
      <c r="G119" s="3">
        <f>IF(L119="","",IFERROR(INDEX(前年度名簿!$D$2:$D$451,MATCH(L119,前年度名簿!$F$2:$F$451,0)),""))</f>
        <v/>
      </c>
      <c r="H119" s="44">
        <f>IF(D119="","",IF(ISERROR(VALUE(D119)),D119&amp;"",IF(AND(VALUE(D119)&gt;=1,VALUE(D119)&lt;=20),IF(INDEX(設定!$P$8:$P$27,VALUE(D119))="","？",INDEX(設定!$P$8:$P$27,VALUE(D119))),"？")))</f>
        <v/>
      </c>
      <c r="I119" s="44">
        <f>IF(E119="","",IF(ISERROR(VALUE(E119)),E119&amp;"",IF(AND(VALUE(E119)&gt;=1,VALUE(E119)&lt;=20),IF(INDEX(設定!$P$8:$P$27,VALUE(E119))="","？",INDEX(設定!$P$8:$P$27,VALUE(E119))),"？")))</f>
        <v/>
      </c>
      <c r="J119" s="44">
        <f>IF(F119="","",IF(ISERROR(VALUE(F119)),F119&amp;"",IF(AND(VALUE(F119)&gt;=1,VALUE(F119)&lt;=20),IF(INDEX(設定!$P$8:$P$27,VALUE(F119))="","？",INDEX(設定!$P$8:$P$27,VALUE(F119))),"？")))</f>
        <v/>
      </c>
      <c r="K119" s="45">
        <f>IF(L119="","",IF(G119="","名簿にいない",IF(COUNTIF(L120:L$552,L119)&gt;0,"2回提出（下の行を使います）",IF(OR(H119="？",I119="？",J119="？"),"クラブ番号がちがう",IF(OR(AND(H119&lt;&gt;"",H119&lt;&gt;"？",COUNTIF(設定!$P$8:$P$27,H119)=0),AND(I119&lt;&gt;"",I119&lt;&gt;"？",COUNTIF(設定!$P$8:$P$27,I119)=0),AND(J119&lt;&gt;"",J119&lt;&gt;"？",COUNTIF(設定!$P$8:$P$27,J119)=0)),"クラブ名がちがう",IF(H119="","第1希望がない",IF(OR(AND(H119&lt;&gt;"",H119=I119),AND(H119&lt;&gt;"",H119=J119),AND(I119&lt;&gt;"",I119=J119)),"同じクラブを重複して希望","OK")))))))</f>
        <v/>
      </c>
      <c r="L119" s="8">
        <f>IF(A119="","",A119&amp;"-"&amp;B119&amp;"-"&amp;C119)</f>
        <v/>
      </c>
      <c r="M119" s="8">
        <f>IF(OR(L119="",G119=""),"",IF(COUNTIF(L120:L$552,L119)=0,L119,""))</f>
        <v/>
      </c>
    </row>
    <row r="120">
      <c r="A120" s="40" t="n">
        <v>4</v>
      </c>
      <c r="B120" s="40" t="inlineStr">
        <is>
          <t>梅</t>
        </is>
      </c>
      <c r="C120" s="40" t="n">
        <v>29</v>
      </c>
      <c r="D120" s="40" t="n">
        <v>6</v>
      </c>
      <c r="E120" s="40" t="n">
        <v>9</v>
      </c>
      <c r="F120" s="40" t="n">
        <v>1</v>
      </c>
      <c r="G120" s="3">
        <f>IF(L120="","",IFERROR(INDEX(前年度名簿!$D$2:$D$451,MATCH(L120,前年度名簿!$F$2:$F$451,0)),""))</f>
        <v/>
      </c>
      <c r="H120" s="44">
        <f>IF(D120="","",IF(ISERROR(VALUE(D120)),D120&amp;"",IF(AND(VALUE(D120)&gt;=1,VALUE(D120)&lt;=20),IF(INDEX(設定!$P$8:$P$27,VALUE(D120))="","？",INDEX(設定!$P$8:$P$27,VALUE(D120))),"？")))</f>
        <v/>
      </c>
      <c r="I120" s="44">
        <f>IF(E120="","",IF(ISERROR(VALUE(E120)),E120&amp;"",IF(AND(VALUE(E120)&gt;=1,VALUE(E120)&lt;=20),IF(INDEX(設定!$P$8:$P$27,VALUE(E120))="","？",INDEX(設定!$P$8:$P$27,VALUE(E120))),"？")))</f>
        <v/>
      </c>
      <c r="J120" s="44">
        <f>IF(F120="","",IF(ISERROR(VALUE(F120)),F120&amp;"",IF(AND(VALUE(F120)&gt;=1,VALUE(F120)&lt;=20),IF(INDEX(設定!$P$8:$P$27,VALUE(F120))="","？",INDEX(設定!$P$8:$P$27,VALUE(F120))),"？")))</f>
        <v/>
      </c>
      <c r="K120" s="45">
        <f>IF(L120="","",IF(G120="","名簿にいない",IF(COUNTIF(L121:L$552,L120)&gt;0,"2回提出（下の行を使います）",IF(OR(H120="？",I120="？",J120="？"),"クラブ番号がちがう",IF(OR(AND(H120&lt;&gt;"",H120&lt;&gt;"？",COUNTIF(設定!$P$8:$P$27,H120)=0),AND(I120&lt;&gt;"",I120&lt;&gt;"？",COUNTIF(設定!$P$8:$P$27,I120)=0),AND(J120&lt;&gt;"",J120&lt;&gt;"？",COUNTIF(設定!$P$8:$P$27,J120)=0)),"クラブ名がちがう",IF(H120="","第1希望がない",IF(OR(AND(H120&lt;&gt;"",H120=I120),AND(H120&lt;&gt;"",H120=J120),AND(I120&lt;&gt;"",I120=J120)),"同じクラブを重複して希望","OK")))))))</f>
        <v/>
      </c>
      <c r="L120" s="8">
        <f>IF(A120="","",A120&amp;"-"&amp;B120&amp;"-"&amp;C120)</f>
        <v/>
      </c>
      <c r="M120" s="8">
        <f>IF(OR(L120="",G120=""),"",IF(COUNTIF(L121:L$552,L120)=0,L120,""))</f>
        <v/>
      </c>
    </row>
    <row r="121">
      <c r="A121" s="40" t="n">
        <v>5</v>
      </c>
      <c r="B121" s="40" t="inlineStr">
        <is>
          <t>月</t>
        </is>
      </c>
      <c r="C121" s="40" t="n">
        <v>13</v>
      </c>
      <c r="D121" s="40" t="n">
        <v>1</v>
      </c>
      <c r="E121" s="40" t="n">
        <v>9</v>
      </c>
      <c r="F121" s="40" t="n">
        <v>8</v>
      </c>
      <c r="G121" s="3">
        <f>IF(L121="","",IFERROR(INDEX(前年度名簿!$D$2:$D$451,MATCH(L121,前年度名簿!$F$2:$F$451,0)),""))</f>
        <v/>
      </c>
      <c r="H121" s="44">
        <f>IF(D121="","",IF(ISERROR(VALUE(D121)),D121&amp;"",IF(AND(VALUE(D121)&gt;=1,VALUE(D121)&lt;=20),IF(INDEX(設定!$P$8:$P$27,VALUE(D121))="","？",INDEX(設定!$P$8:$P$27,VALUE(D121))),"？")))</f>
        <v/>
      </c>
      <c r="I121" s="44">
        <f>IF(E121="","",IF(ISERROR(VALUE(E121)),E121&amp;"",IF(AND(VALUE(E121)&gt;=1,VALUE(E121)&lt;=20),IF(INDEX(設定!$P$8:$P$27,VALUE(E121))="","？",INDEX(設定!$P$8:$P$27,VALUE(E121))),"？")))</f>
        <v/>
      </c>
      <c r="J121" s="44">
        <f>IF(F121="","",IF(ISERROR(VALUE(F121)),F121&amp;"",IF(AND(VALUE(F121)&gt;=1,VALUE(F121)&lt;=20),IF(INDEX(設定!$P$8:$P$27,VALUE(F121))="","？",INDEX(設定!$P$8:$P$27,VALUE(F121))),"？")))</f>
        <v/>
      </c>
      <c r="K121" s="45">
        <f>IF(L121="","",IF(G121="","名簿にいない",IF(COUNTIF(L122:L$552,L121)&gt;0,"2回提出（下の行を使います）",IF(OR(H121="？",I121="？",J121="？"),"クラブ番号がちがう",IF(OR(AND(H121&lt;&gt;"",H121&lt;&gt;"？",COUNTIF(設定!$P$8:$P$27,H121)=0),AND(I121&lt;&gt;"",I121&lt;&gt;"？",COUNTIF(設定!$P$8:$P$27,I121)=0),AND(J121&lt;&gt;"",J121&lt;&gt;"？",COUNTIF(設定!$P$8:$P$27,J121)=0)),"クラブ名がちがう",IF(H121="","第1希望がない",IF(OR(AND(H121&lt;&gt;"",H121=I121),AND(H121&lt;&gt;"",H121=J121),AND(I121&lt;&gt;"",I121=J121)),"同じクラブを重複して希望","OK")))))))</f>
        <v/>
      </c>
      <c r="L121" s="8">
        <f>IF(A121="","",A121&amp;"-"&amp;B121&amp;"-"&amp;C121)</f>
        <v/>
      </c>
      <c r="M121" s="8">
        <f>IF(OR(L121="",G121=""),"",IF(COUNTIF(L122:L$552,L121)=0,L121,""))</f>
        <v/>
      </c>
    </row>
    <row r="122">
      <c r="A122" s="40" t="n">
        <v>5</v>
      </c>
      <c r="B122" s="40" t="inlineStr">
        <is>
          <t>松</t>
        </is>
      </c>
      <c r="C122" s="40" t="n">
        <v>12</v>
      </c>
      <c r="D122" s="40" t="n">
        <v>2</v>
      </c>
      <c r="E122" s="40" t="n">
        <v>3</v>
      </c>
      <c r="F122" s="40" t="n">
        <v>11</v>
      </c>
      <c r="G122" s="3">
        <f>IF(L122="","",IFERROR(INDEX(前年度名簿!$D$2:$D$451,MATCH(L122,前年度名簿!$F$2:$F$451,0)),""))</f>
        <v/>
      </c>
      <c r="H122" s="44">
        <f>IF(D122="","",IF(ISERROR(VALUE(D122)),D122&amp;"",IF(AND(VALUE(D122)&gt;=1,VALUE(D122)&lt;=20),IF(INDEX(設定!$P$8:$P$27,VALUE(D122))="","？",INDEX(設定!$P$8:$P$27,VALUE(D122))),"？")))</f>
        <v/>
      </c>
      <c r="I122" s="44">
        <f>IF(E122="","",IF(ISERROR(VALUE(E122)),E122&amp;"",IF(AND(VALUE(E122)&gt;=1,VALUE(E122)&lt;=20),IF(INDEX(設定!$P$8:$P$27,VALUE(E122))="","？",INDEX(設定!$P$8:$P$27,VALUE(E122))),"？")))</f>
        <v/>
      </c>
      <c r="J122" s="44">
        <f>IF(F122="","",IF(ISERROR(VALUE(F122)),F122&amp;"",IF(AND(VALUE(F122)&gt;=1,VALUE(F122)&lt;=20),IF(INDEX(設定!$P$8:$P$27,VALUE(F122))="","？",INDEX(設定!$P$8:$P$27,VALUE(F122))),"？")))</f>
        <v/>
      </c>
      <c r="K122" s="45">
        <f>IF(L122="","",IF(G122="","名簿にいない",IF(COUNTIF(L123:L$552,L122)&gt;0,"2回提出（下の行を使います）",IF(OR(H122="？",I122="？",J122="？"),"クラブ番号がちがう",IF(OR(AND(H122&lt;&gt;"",H122&lt;&gt;"？",COUNTIF(設定!$P$8:$P$27,H122)=0),AND(I122&lt;&gt;"",I122&lt;&gt;"？",COUNTIF(設定!$P$8:$P$27,I122)=0),AND(J122&lt;&gt;"",J122&lt;&gt;"？",COUNTIF(設定!$P$8:$P$27,J122)=0)),"クラブ名がちがう",IF(H122="","第1希望がない",IF(OR(AND(H122&lt;&gt;"",H122=I122),AND(H122&lt;&gt;"",H122=J122),AND(I122&lt;&gt;"",I122=J122)),"同じクラブを重複して希望","OK")))))))</f>
        <v/>
      </c>
      <c r="L122" s="8">
        <f>IF(A122="","",A122&amp;"-"&amp;B122&amp;"-"&amp;C122)</f>
        <v/>
      </c>
      <c r="M122" s="8">
        <f>IF(OR(L122="",G122=""),"",IF(COUNTIF(L123:L$552,L122)=0,L122,""))</f>
        <v/>
      </c>
    </row>
    <row r="123">
      <c r="A123" s="40" t="n">
        <v>4</v>
      </c>
      <c r="B123" s="40" t="inlineStr">
        <is>
          <t>松</t>
        </is>
      </c>
      <c r="C123" s="40" t="n">
        <v>9</v>
      </c>
      <c r="D123" s="40" t="n">
        <v>12</v>
      </c>
      <c r="E123" s="40" t="n">
        <v>2</v>
      </c>
      <c r="F123" s="40" t="n">
        <v>1</v>
      </c>
      <c r="G123" s="3">
        <f>IF(L123="","",IFERROR(INDEX(前年度名簿!$D$2:$D$451,MATCH(L123,前年度名簿!$F$2:$F$451,0)),""))</f>
        <v/>
      </c>
      <c r="H123" s="44">
        <f>IF(D123="","",IF(ISERROR(VALUE(D123)),D123&amp;"",IF(AND(VALUE(D123)&gt;=1,VALUE(D123)&lt;=20),IF(INDEX(設定!$P$8:$P$27,VALUE(D123))="","？",INDEX(設定!$P$8:$P$27,VALUE(D123))),"？")))</f>
        <v/>
      </c>
      <c r="I123" s="44">
        <f>IF(E123="","",IF(ISERROR(VALUE(E123)),E123&amp;"",IF(AND(VALUE(E123)&gt;=1,VALUE(E123)&lt;=20),IF(INDEX(設定!$P$8:$P$27,VALUE(E123))="","？",INDEX(設定!$P$8:$P$27,VALUE(E123))),"？")))</f>
        <v/>
      </c>
      <c r="J123" s="44">
        <f>IF(F123="","",IF(ISERROR(VALUE(F123)),F123&amp;"",IF(AND(VALUE(F123)&gt;=1,VALUE(F123)&lt;=20),IF(INDEX(設定!$P$8:$P$27,VALUE(F123))="","？",INDEX(設定!$P$8:$P$27,VALUE(F123))),"？")))</f>
        <v/>
      </c>
      <c r="K123" s="45">
        <f>IF(L123="","",IF(G123="","名簿にいない",IF(COUNTIF(L124:L$552,L123)&gt;0,"2回提出（下の行を使います）",IF(OR(H123="？",I123="？",J123="？"),"クラブ番号がちがう",IF(OR(AND(H123&lt;&gt;"",H123&lt;&gt;"？",COUNTIF(設定!$P$8:$P$27,H123)=0),AND(I123&lt;&gt;"",I123&lt;&gt;"？",COUNTIF(設定!$P$8:$P$27,I123)=0),AND(J123&lt;&gt;"",J123&lt;&gt;"？",COUNTIF(設定!$P$8:$P$27,J123)=0)),"クラブ名がちがう",IF(H123="","第1希望がない",IF(OR(AND(H123&lt;&gt;"",H123=I123),AND(H123&lt;&gt;"",H123=J123),AND(I123&lt;&gt;"",I123=J123)),"同じクラブを重複して希望","OK")))))))</f>
        <v/>
      </c>
      <c r="L123" s="8">
        <f>IF(A123="","",A123&amp;"-"&amp;B123&amp;"-"&amp;C123)</f>
        <v/>
      </c>
      <c r="M123" s="8">
        <f>IF(OR(L123="",G123=""),"",IF(COUNTIF(L124:L$552,L123)=0,L123,""))</f>
        <v/>
      </c>
    </row>
    <row r="124">
      <c r="A124" s="40" t="n">
        <v>3</v>
      </c>
      <c r="B124" s="40" t="inlineStr">
        <is>
          <t>梅</t>
        </is>
      </c>
      <c r="C124" s="40" t="n">
        <v>24</v>
      </c>
      <c r="D124" s="40" t="n">
        <v>3</v>
      </c>
      <c r="E124" s="40" t="n">
        <v>9</v>
      </c>
      <c r="F124" s="40" t="n">
        <v>8</v>
      </c>
      <c r="G124" s="3">
        <f>IF(L124="","",IFERROR(INDEX(前年度名簿!$D$2:$D$451,MATCH(L124,前年度名簿!$F$2:$F$451,0)),""))</f>
        <v/>
      </c>
      <c r="H124" s="44">
        <f>IF(D124="","",IF(ISERROR(VALUE(D124)),D124&amp;"",IF(AND(VALUE(D124)&gt;=1,VALUE(D124)&lt;=20),IF(INDEX(設定!$P$8:$P$27,VALUE(D124))="","？",INDEX(設定!$P$8:$P$27,VALUE(D124))),"？")))</f>
        <v/>
      </c>
      <c r="I124" s="44">
        <f>IF(E124="","",IF(ISERROR(VALUE(E124)),E124&amp;"",IF(AND(VALUE(E124)&gt;=1,VALUE(E124)&lt;=20),IF(INDEX(設定!$P$8:$P$27,VALUE(E124))="","？",INDEX(設定!$P$8:$P$27,VALUE(E124))),"？")))</f>
        <v/>
      </c>
      <c r="J124" s="44">
        <f>IF(F124="","",IF(ISERROR(VALUE(F124)),F124&amp;"",IF(AND(VALUE(F124)&gt;=1,VALUE(F124)&lt;=20),IF(INDEX(設定!$P$8:$P$27,VALUE(F124))="","？",INDEX(設定!$P$8:$P$27,VALUE(F124))),"？")))</f>
        <v/>
      </c>
      <c r="K124" s="45">
        <f>IF(L124="","",IF(G124="","名簿にいない",IF(COUNTIF(L125:L$552,L124)&gt;0,"2回提出（下の行を使います）",IF(OR(H124="？",I124="？",J124="？"),"クラブ番号がちがう",IF(OR(AND(H124&lt;&gt;"",H124&lt;&gt;"？",COUNTIF(設定!$P$8:$P$27,H124)=0),AND(I124&lt;&gt;"",I124&lt;&gt;"？",COUNTIF(設定!$P$8:$P$27,I124)=0),AND(J124&lt;&gt;"",J124&lt;&gt;"？",COUNTIF(設定!$P$8:$P$27,J124)=0)),"クラブ名がちがう",IF(H124="","第1希望がない",IF(OR(AND(H124&lt;&gt;"",H124=I124),AND(H124&lt;&gt;"",H124=J124),AND(I124&lt;&gt;"",I124=J124)),"同じクラブを重複して希望","OK")))))))</f>
        <v/>
      </c>
      <c r="L124" s="8">
        <f>IF(A124="","",A124&amp;"-"&amp;B124&amp;"-"&amp;C124)</f>
        <v/>
      </c>
      <c r="M124" s="8">
        <f>IF(OR(L124="",G124=""),"",IF(COUNTIF(L125:L$552,L124)=0,L124,""))</f>
        <v/>
      </c>
    </row>
    <row r="125">
      <c r="A125" s="40" t="n">
        <v>3</v>
      </c>
      <c r="B125" s="40" t="inlineStr">
        <is>
          <t>竹</t>
        </is>
      </c>
      <c r="C125" s="40" t="n">
        <v>23</v>
      </c>
      <c r="D125" s="40" t="n">
        <v>7</v>
      </c>
      <c r="E125" s="40" t="n">
        <v>9</v>
      </c>
      <c r="F125" s="40" t="n">
        <v>4</v>
      </c>
      <c r="G125" s="3">
        <f>IF(L125="","",IFERROR(INDEX(前年度名簿!$D$2:$D$451,MATCH(L125,前年度名簿!$F$2:$F$451,0)),""))</f>
        <v/>
      </c>
      <c r="H125" s="44">
        <f>IF(D125="","",IF(ISERROR(VALUE(D125)),D125&amp;"",IF(AND(VALUE(D125)&gt;=1,VALUE(D125)&lt;=20),IF(INDEX(設定!$P$8:$P$27,VALUE(D125))="","？",INDEX(設定!$P$8:$P$27,VALUE(D125))),"？")))</f>
        <v/>
      </c>
      <c r="I125" s="44">
        <f>IF(E125="","",IF(ISERROR(VALUE(E125)),E125&amp;"",IF(AND(VALUE(E125)&gt;=1,VALUE(E125)&lt;=20),IF(INDEX(設定!$P$8:$P$27,VALUE(E125))="","？",INDEX(設定!$P$8:$P$27,VALUE(E125))),"？")))</f>
        <v/>
      </c>
      <c r="J125" s="44">
        <f>IF(F125="","",IF(ISERROR(VALUE(F125)),F125&amp;"",IF(AND(VALUE(F125)&gt;=1,VALUE(F125)&lt;=20),IF(INDEX(設定!$P$8:$P$27,VALUE(F125))="","？",INDEX(設定!$P$8:$P$27,VALUE(F125))),"？")))</f>
        <v/>
      </c>
      <c r="K125" s="45">
        <f>IF(L125="","",IF(G125="","名簿にいない",IF(COUNTIF(L126:L$552,L125)&gt;0,"2回提出（下の行を使います）",IF(OR(H125="？",I125="？",J125="？"),"クラブ番号がちがう",IF(OR(AND(H125&lt;&gt;"",H125&lt;&gt;"？",COUNTIF(設定!$P$8:$P$27,H125)=0),AND(I125&lt;&gt;"",I125&lt;&gt;"？",COUNTIF(設定!$P$8:$P$27,I125)=0),AND(J125&lt;&gt;"",J125&lt;&gt;"？",COUNTIF(設定!$P$8:$P$27,J125)=0)),"クラブ名がちがう",IF(H125="","第1希望がない",IF(OR(AND(H125&lt;&gt;"",H125=I125),AND(H125&lt;&gt;"",H125=J125),AND(I125&lt;&gt;"",I125=J125)),"同じクラブを重複して希望","OK")))))))</f>
        <v/>
      </c>
      <c r="L125" s="8">
        <f>IF(A125="","",A125&amp;"-"&amp;B125&amp;"-"&amp;C125)</f>
        <v/>
      </c>
      <c r="M125" s="8">
        <f>IF(OR(L125="",G125=""),"",IF(COUNTIF(L126:L$552,L125)=0,L125,""))</f>
        <v/>
      </c>
    </row>
    <row r="126">
      <c r="A126" s="40" t="n">
        <v>5</v>
      </c>
      <c r="B126" s="40" t="inlineStr">
        <is>
          <t>松</t>
        </is>
      </c>
      <c r="C126" s="40" t="n">
        <v>13</v>
      </c>
      <c r="D126" s="40" t="n">
        <v>11</v>
      </c>
      <c r="E126" s="40" t="n">
        <v>9</v>
      </c>
      <c r="F126" s="40" t="n">
        <v>4</v>
      </c>
      <c r="G126" s="3">
        <f>IF(L126="","",IFERROR(INDEX(前年度名簿!$D$2:$D$451,MATCH(L126,前年度名簿!$F$2:$F$451,0)),""))</f>
        <v/>
      </c>
      <c r="H126" s="44">
        <f>IF(D126="","",IF(ISERROR(VALUE(D126)),D126&amp;"",IF(AND(VALUE(D126)&gt;=1,VALUE(D126)&lt;=20),IF(INDEX(設定!$P$8:$P$27,VALUE(D126))="","？",INDEX(設定!$P$8:$P$27,VALUE(D126))),"？")))</f>
        <v/>
      </c>
      <c r="I126" s="44">
        <f>IF(E126="","",IF(ISERROR(VALUE(E126)),E126&amp;"",IF(AND(VALUE(E126)&gt;=1,VALUE(E126)&lt;=20),IF(INDEX(設定!$P$8:$P$27,VALUE(E126))="","？",INDEX(設定!$P$8:$P$27,VALUE(E126))),"？")))</f>
        <v/>
      </c>
      <c r="J126" s="44">
        <f>IF(F126="","",IF(ISERROR(VALUE(F126)),F126&amp;"",IF(AND(VALUE(F126)&gt;=1,VALUE(F126)&lt;=20),IF(INDEX(設定!$P$8:$P$27,VALUE(F126))="","？",INDEX(設定!$P$8:$P$27,VALUE(F126))),"？")))</f>
        <v/>
      </c>
      <c r="K126" s="45">
        <f>IF(L126="","",IF(G126="","名簿にいない",IF(COUNTIF(L127:L$552,L126)&gt;0,"2回提出（下の行を使います）",IF(OR(H126="？",I126="？",J126="？"),"クラブ番号がちがう",IF(OR(AND(H126&lt;&gt;"",H126&lt;&gt;"？",COUNTIF(設定!$P$8:$P$27,H126)=0),AND(I126&lt;&gt;"",I126&lt;&gt;"？",COUNTIF(設定!$P$8:$P$27,I126)=0),AND(J126&lt;&gt;"",J126&lt;&gt;"？",COUNTIF(設定!$P$8:$P$27,J126)=0)),"クラブ名がちがう",IF(H126="","第1希望がない",IF(OR(AND(H126&lt;&gt;"",H126=I126),AND(H126&lt;&gt;"",H126=J126),AND(I126&lt;&gt;"",I126=J126)),"同じクラブを重複して希望","OK")))))))</f>
        <v/>
      </c>
      <c r="L126" s="8">
        <f>IF(A126="","",A126&amp;"-"&amp;B126&amp;"-"&amp;C126)</f>
        <v/>
      </c>
      <c r="M126" s="8">
        <f>IF(OR(L126="",G126=""),"",IF(COUNTIF(L127:L$552,L126)=0,L126,""))</f>
        <v/>
      </c>
    </row>
    <row r="127">
      <c r="A127" s="40" t="n">
        <v>5</v>
      </c>
      <c r="B127" s="40" t="inlineStr">
        <is>
          <t>梅</t>
        </is>
      </c>
      <c r="C127" s="40" t="n">
        <v>26</v>
      </c>
      <c r="D127" s="40" t="n">
        <v>8</v>
      </c>
      <c r="E127" s="40" t="n">
        <v>3</v>
      </c>
      <c r="F127" s="40" t="n">
        <v>2</v>
      </c>
      <c r="G127" s="3">
        <f>IF(L127="","",IFERROR(INDEX(前年度名簿!$D$2:$D$451,MATCH(L127,前年度名簿!$F$2:$F$451,0)),""))</f>
        <v/>
      </c>
      <c r="H127" s="44">
        <f>IF(D127="","",IF(ISERROR(VALUE(D127)),D127&amp;"",IF(AND(VALUE(D127)&gt;=1,VALUE(D127)&lt;=20),IF(INDEX(設定!$P$8:$P$27,VALUE(D127))="","？",INDEX(設定!$P$8:$P$27,VALUE(D127))),"？")))</f>
        <v/>
      </c>
      <c r="I127" s="44">
        <f>IF(E127="","",IF(ISERROR(VALUE(E127)),E127&amp;"",IF(AND(VALUE(E127)&gt;=1,VALUE(E127)&lt;=20),IF(INDEX(設定!$P$8:$P$27,VALUE(E127))="","？",INDEX(設定!$P$8:$P$27,VALUE(E127))),"？")))</f>
        <v/>
      </c>
      <c r="J127" s="44">
        <f>IF(F127="","",IF(ISERROR(VALUE(F127)),F127&amp;"",IF(AND(VALUE(F127)&gt;=1,VALUE(F127)&lt;=20),IF(INDEX(設定!$P$8:$P$27,VALUE(F127))="","？",INDEX(設定!$P$8:$P$27,VALUE(F127))),"？")))</f>
        <v/>
      </c>
      <c r="K127" s="45">
        <f>IF(L127="","",IF(G127="","名簿にいない",IF(COUNTIF(L128:L$552,L127)&gt;0,"2回提出（下の行を使います）",IF(OR(H127="？",I127="？",J127="？"),"クラブ番号がちがう",IF(OR(AND(H127&lt;&gt;"",H127&lt;&gt;"？",COUNTIF(設定!$P$8:$P$27,H127)=0),AND(I127&lt;&gt;"",I127&lt;&gt;"？",COUNTIF(設定!$P$8:$P$27,I127)=0),AND(J127&lt;&gt;"",J127&lt;&gt;"？",COUNTIF(設定!$P$8:$P$27,J127)=0)),"クラブ名がちがう",IF(H127="","第1希望がない",IF(OR(AND(H127&lt;&gt;"",H127=I127),AND(H127&lt;&gt;"",H127=J127),AND(I127&lt;&gt;"",I127=J127)),"同じクラブを重複して希望","OK")))))))</f>
        <v/>
      </c>
      <c r="L127" s="8">
        <f>IF(A127="","",A127&amp;"-"&amp;B127&amp;"-"&amp;C127)</f>
        <v/>
      </c>
      <c r="M127" s="8">
        <f>IF(OR(L127="",G127=""),"",IF(COUNTIF(L128:L$552,L127)=0,L127,""))</f>
        <v/>
      </c>
    </row>
    <row r="128">
      <c r="A128" s="40" t="n">
        <v>5</v>
      </c>
      <c r="B128" s="40" t="inlineStr">
        <is>
          <t>梅</t>
        </is>
      </c>
      <c r="C128" s="40" t="n">
        <v>11</v>
      </c>
      <c r="D128" s="40" t="n">
        <v>11</v>
      </c>
      <c r="E128" s="40" t="n">
        <v>2</v>
      </c>
      <c r="F128" s="40" t="n">
        <v>9</v>
      </c>
      <c r="G128" s="3">
        <f>IF(L128="","",IFERROR(INDEX(前年度名簿!$D$2:$D$451,MATCH(L128,前年度名簿!$F$2:$F$451,0)),""))</f>
        <v/>
      </c>
      <c r="H128" s="44">
        <f>IF(D128="","",IF(ISERROR(VALUE(D128)),D128&amp;"",IF(AND(VALUE(D128)&gt;=1,VALUE(D128)&lt;=20),IF(INDEX(設定!$P$8:$P$27,VALUE(D128))="","？",INDEX(設定!$P$8:$P$27,VALUE(D128))),"？")))</f>
        <v/>
      </c>
      <c r="I128" s="44">
        <f>IF(E128="","",IF(ISERROR(VALUE(E128)),E128&amp;"",IF(AND(VALUE(E128)&gt;=1,VALUE(E128)&lt;=20),IF(INDEX(設定!$P$8:$P$27,VALUE(E128))="","？",INDEX(設定!$P$8:$P$27,VALUE(E128))),"？")))</f>
        <v/>
      </c>
      <c r="J128" s="44">
        <f>IF(F128="","",IF(ISERROR(VALUE(F128)),F128&amp;"",IF(AND(VALUE(F128)&gt;=1,VALUE(F128)&lt;=20),IF(INDEX(設定!$P$8:$P$27,VALUE(F128))="","？",INDEX(設定!$P$8:$P$27,VALUE(F128))),"？")))</f>
        <v/>
      </c>
      <c r="K128" s="45">
        <f>IF(L128="","",IF(G128="","名簿にいない",IF(COUNTIF(L129:L$552,L128)&gt;0,"2回提出（下の行を使います）",IF(OR(H128="？",I128="？",J128="？"),"クラブ番号がちがう",IF(OR(AND(H128&lt;&gt;"",H128&lt;&gt;"？",COUNTIF(設定!$P$8:$P$27,H128)=0),AND(I128&lt;&gt;"",I128&lt;&gt;"？",COUNTIF(設定!$P$8:$P$27,I128)=0),AND(J128&lt;&gt;"",J128&lt;&gt;"？",COUNTIF(設定!$P$8:$P$27,J128)=0)),"クラブ名がちがう",IF(H128="","第1希望がない",IF(OR(AND(H128&lt;&gt;"",H128=I128),AND(H128&lt;&gt;"",H128=J128),AND(I128&lt;&gt;"",I128=J128)),"同じクラブを重複して希望","OK")))))))</f>
        <v/>
      </c>
      <c r="L128" s="8">
        <f>IF(A128="","",A128&amp;"-"&amp;B128&amp;"-"&amp;C128)</f>
        <v/>
      </c>
      <c r="M128" s="8">
        <f>IF(OR(L128="",G128=""),"",IF(COUNTIF(L129:L$552,L128)=0,L128,""))</f>
        <v/>
      </c>
    </row>
    <row r="129">
      <c r="A129" s="40" t="n">
        <v>3</v>
      </c>
      <c r="B129" s="40" t="inlineStr">
        <is>
          <t>竹</t>
        </is>
      </c>
      <c r="C129" s="40" t="n">
        <v>13</v>
      </c>
      <c r="D129" s="40" t="n">
        <v>2</v>
      </c>
      <c r="E129" s="40" t="n">
        <v>10</v>
      </c>
      <c r="F129" s="40" t="n">
        <v>6</v>
      </c>
      <c r="G129" s="3">
        <f>IF(L129="","",IFERROR(INDEX(前年度名簿!$D$2:$D$451,MATCH(L129,前年度名簿!$F$2:$F$451,0)),""))</f>
        <v/>
      </c>
      <c r="H129" s="44">
        <f>IF(D129="","",IF(ISERROR(VALUE(D129)),D129&amp;"",IF(AND(VALUE(D129)&gt;=1,VALUE(D129)&lt;=20),IF(INDEX(設定!$P$8:$P$27,VALUE(D129))="","？",INDEX(設定!$P$8:$P$27,VALUE(D129))),"？")))</f>
        <v/>
      </c>
      <c r="I129" s="44">
        <f>IF(E129="","",IF(ISERROR(VALUE(E129)),E129&amp;"",IF(AND(VALUE(E129)&gt;=1,VALUE(E129)&lt;=20),IF(INDEX(設定!$P$8:$P$27,VALUE(E129))="","？",INDEX(設定!$P$8:$P$27,VALUE(E129))),"？")))</f>
        <v/>
      </c>
      <c r="J129" s="44">
        <f>IF(F129="","",IF(ISERROR(VALUE(F129)),F129&amp;"",IF(AND(VALUE(F129)&gt;=1,VALUE(F129)&lt;=20),IF(INDEX(設定!$P$8:$P$27,VALUE(F129))="","？",INDEX(設定!$P$8:$P$27,VALUE(F129))),"？")))</f>
        <v/>
      </c>
      <c r="K129" s="45">
        <f>IF(L129="","",IF(G129="","名簿にいない",IF(COUNTIF(L130:L$552,L129)&gt;0,"2回提出（下の行を使います）",IF(OR(H129="？",I129="？",J129="？"),"クラブ番号がちがう",IF(OR(AND(H129&lt;&gt;"",H129&lt;&gt;"？",COUNTIF(設定!$P$8:$P$27,H129)=0),AND(I129&lt;&gt;"",I129&lt;&gt;"？",COUNTIF(設定!$P$8:$P$27,I129)=0),AND(J129&lt;&gt;"",J129&lt;&gt;"？",COUNTIF(設定!$P$8:$P$27,J129)=0)),"クラブ名がちがう",IF(H129="","第1希望がない",IF(OR(AND(H129&lt;&gt;"",H129=I129),AND(H129&lt;&gt;"",H129=J129),AND(I129&lt;&gt;"",I129=J129)),"同じクラブを重複して希望","OK")))))))</f>
        <v/>
      </c>
      <c r="L129" s="8">
        <f>IF(A129="","",A129&amp;"-"&amp;B129&amp;"-"&amp;C129)</f>
        <v/>
      </c>
      <c r="M129" s="8">
        <f>IF(OR(L129="",G129=""),"",IF(COUNTIF(L130:L$552,L129)=0,L129,""))</f>
        <v/>
      </c>
    </row>
    <row r="130">
      <c r="A130" s="40" t="n">
        <v>3</v>
      </c>
      <c r="B130" s="40" t="inlineStr">
        <is>
          <t>竹</t>
        </is>
      </c>
      <c r="C130" s="40" t="n">
        <v>30</v>
      </c>
      <c r="D130" s="40" t="n">
        <v>2</v>
      </c>
      <c r="E130" s="40" t="n">
        <v>7</v>
      </c>
      <c r="F130" s="40" t="n">
        <v>9</v>
      </c>
      <c r="G130" s="3">
        <f>IF(L130="","",IFERROR(INDEX(前年度名簿!$D$2:$D$451,MATCH(L130,前年度名簿!$F$2:$F$451,0)),""))</f>
        <v/>
      </c>
      <c r="H130" s="44">
        <f>IF(D130="","",IF(ISERROR(VALUE(D130)),D130&amp;"",IF(AND(VALUE(D130)&gt;=1,VALUE(D130)&lt;=20),IF(INDEX(設定!$P$8:$P$27,VALUE(D130))="","？",INDEX(設定!$P$8:$P$27,VALUE(D130))),"？")))</f>
        <v/>
      </c>
      <c r="I130" s="44">
        <f>IF(E130="","",IF(ISERROR(VALUE(E130)),E130&amp;"",IF(AND(VALUE(E130)&gt;=1,VALUE(E130)&lt;=20),IF(INDEX(設定!$P$8:$P$27,VALUE(E130))="","？",INDEX(設定!$P$8:$P$27,VALUE(E130))),"？")))</f>
        <v/>
      </c>
      <c r="J130" s="44">
        <f>IF(F130="","",IF(ISERROR(VALUE(F130)),F130&amp;"",IF(AND(VALUE(F130)&gt;=1,VALUE(F130)&lt;=20),IF(INDEX(設定!$P$8:$P$27,VALUE(F130))="","？",INDEX(設定!$P$8:$P$27,VALUE(F130))),"？")))</f>
        <v/>
      </c>
      <c r="K130" s="45">
        <f>IF(L130="","",IF(G130="","名簿にいない",IF(COUNTIF(L131:L$552,L130)&gt;0,"2回提出（下の行を使います）",IF(OR(H130="？",I130="？",J130="？"),"クラブ番号がちがう",IF(OR(AND(H130&lt;&gt;"",H130&lt;&gt;"？",COUNTIF(設定!$P$8:$P$27,H130)=0),AND(I130&lt;&gt;"",I130&lt;&gt;"？",COUNTIF(設定!$P$8:$P$27,I130)=0),AND(J130&lt;&gt;"",J130&lt;&gt;"？",COUNTIF(設定!$P$8:$P$27,J130)=0)),"クラブ名がちがう",IF(H130="","第1希望がない",IF(OR(AND(H130&lt;&gt;"",H130=I130),AND(H130&lt;&gt;"",H130=J130),AND(I130&lt;&gt;"",I130=J130)),"同じクラブを重複して希望","OK")))))))</f>
        <v/>
      </c>
      <c r="L130" s="8">
        <f>IF(A130="","",A130&amp;"-"&amp;B130&amp;"-"&amp;C130)</f>
        <v/>
      </c>
      <c r="M130" s="8">
        <f>IF(OR(L130="",G130=""),"",IF(COUNTIF(L131:L$552,L130)=0,L130,""))</f>
        <v/>
      </c>
    </row>
    <row r="131">
      <c r="A131" s="40" t="n">
        <v>5</v>
      </c>
      <c r="B131" s="40" t="inlineStr">
        <is>
          <t>梅</t>
        </is>
      </c>
      <c r="C131" s="40" t="n">
        <v>29</v>
      </c>
      <c r="D131" s="40" t="n">
        <v>5</v>
      </c>
      <c r="E131" s="40" t="n">
        <v>8</v>
      </c>
      <c r="F131" s="40" t="n">
        <v>2</v>
      </c>
      <c r="G131" s="3">
        <f>IF(L131="","",IFERROR(INDEX(前年度名簿!$D$2:$D$451,MATCH(L131,前年度名簿!$F$2:$F$451,0)),""))</f>
        <v/>
      </c>
      <c r="H131" s="44">
        <f>IF(D131="","",IF(ISERROR(VALUE(D131)),D131&amp;"",IF(AND(VALUE(D131)&gt;=1,VALUE(D131)&lt;=20),IF(INDEX(設定!$P$8:$P$27,VALUE(D131))="","？",INDEX(設定!$P$8:$P$27,VALUE(D131))),"？")))</f>
        <v/>
      </c>
      <c r="I131" s="44">
        <f>IF(E131="","",IF(ISERROR(VALUE(E131)),E131&amp;"",IF(AND(VALUE(E131)&gt;=1,VALUE(E131)&lt;=20),IF(INDEX(設定!$P$8:$P$27,VALUE(E131))="","？",INDEX(設定!$P$8:$P$27,VALUE(E131))),"？")))</f>
        <v/>
      </c>
      <c r="J131" s="44">
        <f>IF(F131="","",IF(ISERROR(VALUE(F131)),F131&amp;"",IF(AND(VALUE(F131)&gt;=1,VALUE(F131)&lt;=20),IF(INDEX(設定!$P$8:$P$27,VALUE(F131))="","？",INDEX(設定!$P$8:$P$27,VALUE(F131))),"？")))</f>
        <v/>
      </c>
      <c r="K131" s="45">
        <f>IF(L131="","",IF(G131="","名簿にいない",IF(COUNTIF(L132:L$552,L131)&gt;0,"2回提出（下の行を使います）",IF(OR(H131="？",I131="？",J131="？"),"クラブ番号がちがう",IF(OR(AND(H131&lt;&gt;"",H131&lt;&gt;"？",COUNTIF(設定!$P$8:$P$27,H131)=0),AND(I131&lt;&gt;"",I131&lt;&gt;"？",COUNTIF(設定!$P$8:$P$27,I131)=0),AND(J131&lt;&gt;"",J131&lt;&gt;"？",COUNTIF(設定!$P$8:$P$27,J131)=0)),"クラブ名がちがう",IF(H131="","第1希望がない",IF(OR(AND(H131&lt;&gt;"",H131=I131),AND(H131&lt;&gt;"",H131=J131),AND(I131&lt;&gt;"",I131=J131)),"同じクラブを重複して希望","OK")))))))</f>
        <v/>
      </c>
      <c r="L131" s="8">
        <f>IF(A131="","",A131&amp;"-"&amp;B131&amp;"-"&amp;C131)</f>
        <v/>
      </c>
      <c r="M131" s="8">
        <f>IF(OR(L131="",G131=""),"",IF(COUNTIF(L132:L$552,L131)=0,L131,""))</f>
        <v/>
      </c>
    </row>
    <row r="132">
      <c r="A132" s="40" t="n">
        <v>4</v>
      </c>
      <c r="B132" s="40" t="inlineStr">
        <is>
          <t>竹</t>
        </is>
      </c>
      <c r="C132" s="40" t="n">
        <v>24</v>
      </c>
      <c r="D132" s="40" t="n">
        <v>12</v>
      </c>
      <c r="E132" s="40" t="n">
        <v>6</v>
      </c>
      <c r="F132" s="40" t="n">
        <v>4</v>
      </c>
      <c r="G132" s="3">
        <f>IF(L132="","",IFERROR(INDEX(前年度名簿!$D$2:$D$451,MATCH(L132,前年度名簿!$F$2:$F$451,0)),""))</f>
        <v/>
      </c>
      <c r="H132" s="44">
        <f>IF(D132="","",IF(ISERROR(VALUE(D132)),D132&amp;"",IF(AND(VALUE(D132)&gt;=1,VALUE(D132)&lt;=20),IF(INDEX(設定!$P$8:$P$27,VALUE(D132))="","？",INDEX(設定!$P$8:$P$27,VALUE(D132))),"？")))</f>
        <v/>
      </c>
      <c r="I132" s="44">
        <f>IF(E132="","",IF(ISERROR(VALUE(E132)),E132&amp;"",IF(AND(VALUE(E132)&gt;=1,VALUE(E132)&lt;=20),IF(INDEX(設定!$P$8:$P$27,VALUE(E132))="","？",INDEX(設定!$P$8:$P$27,VALUE(E132))),"？")))</f>
        <v/>
      </c>
      <c r="J132" s="44">
        <f>IF(F132="","",IF(ISERROR(VALUE(F132)),F132&amp;"",IF(AND(VALUE(F132)&gt;=1,VALUE(F132)&lt;=20),IF(INDEX(設定!$P$8:$P$27,VALUE(F132))="","？",INDEX(設定!$P$8:$P$27,VALUE(F132))),"？")))</f>
        <v/>
      </c>
      <c r="K132" s="45">
        <f>IF(L132="","",IF(G132="","名簿にいない",IF(COUNTIF(L133:L$552,L132)&gt;0,"2回提出（下の行を使います）",IF(OR(H132="？",I132="？",J132="？"),"クラブ番号がちがう",IF(OR(AND(H132&lt;&gt;"",H132&lt;&gt;"？",COUNTIF(設定!$P$8:$P$27,H132)=0),AND(I132&lt;&gt;"",I132&lt;&gt;"？",COUNTIF(設定!$P$8:$P$27,I132)=0),AND(J132&lt;&gt;"",J132&lt;&gt;"？",COUNTIF(設定!$P$8:$P$27,J132)=0)),"クラブ名がちがう",IF(H132="","第1希望がない",IF(OR(AND(H132&lt;&gt;"",H132=I132),AND(H132&lt;&gt;"",H132=J132),AND(I132&lt;&gt;"",I132=J132)),"同じクラブを重複して希望","OK")))))))</f>
        <v/>
      </c>
      <c r="L132" s="8">
        <f>IF(A132="","",A132&amp;"-"&amp;B132&amp;"-"&amp;C132)</f>
        <v/>
      </c>
      <c r="M132" s="8">
        <f>IF(OR(L132="",G132=""),"",IF(COUNTIF(L133:L$552,L132)=0,L132,""))</f>
        <v/>
      </c>
    </row>
    <row r="133">
      <c r="A133" s="40" t="n">
        <v>3</v>
      </c>
      <c r="B133" s="40" t="inlineStr">
        <is>
          <t>梅</t>
        </is>
      </c>
      <c r="C133" s="40" t="n">
        <v>16</v>
      </c>
      <c r="D133" s="40" t="n">
        <v>9</v>
      </c>
      <c r="E133" s="40" t="n">
        <v>5</v>
      </c>
      <c r="F133" s="40" t="n">
        <v>6</v>
      </c>
      <c r="G133" s="3">
        <f>IF(L133="","",IFERROR(INDEX(前年度名簿!$D$2:$D$451,MATCH(L133,前年度名簿!$F$2:$F$451,0)),""))</f>
        <v/>
      </c>
      <c r="H133" s="44">
        <f>IF(D133="","",IF(ISERROR(VALUE(D133)),D133&amp;"",IF(AND(VALUE(D133)&gt;=1,VALUE(D133)&lt;=20),IF(INDEX(設定!$P$8:$P$27,VALUE(D133))="","？",INDEX(設定!$P$8:$P$27,VALUE(D133))),"？")))</f>
        <v/>
      </c>
      <c r="I133" s="44">
        <f>IF(E133="","",IF(ISERROR(VALUE(E133)),E133&amp;"",IF(AND(VALUE(E133)&gt;=1,VALUE(E133)&lt;=20),IF(INDEX(設定!$P$8:$P$27,VALUE(E133))="","？",INDEX(設定!$P$8:$P$27,VALUE(E133))),"？")))</f>
        <v/>
      </c>
      <c r="J133" s="44">
        <f>IF(F133="","",IF(ISERROR(VALUE(F133)),F133&amp;"",IF(AND(VALUE(F133)&gt;=1,VALUE(F133)&lt;=20),IF(INDEX(設定!$P$8:$P$27,VALUE(F133))="","？",INDEX(設定!$P$8:$P$27,VALUE(F133))),"？")))</f>
        <v/>
      </c>
      <c r="K133" s="45">
        <f>IF(L133="","",IF(G133="","名簿にいない",IF(COUNTIF(L134:L$552,L133)&gt;0,"2回提出（下の行を使います）",IF(OR(H133="？",I133="？",J133="？"),"クラブ番号がちがう",IF(OR(AND(H133&lt;&gt;"",H133&lt;&gt;"？",COUNTIF(設定!$P$8:$P$27,H133)=0),AND(I133&lt;&gt;"",I133&lt;&gt;"？",COUNTIF(設定!$P$8:$P$27,I133)=0),AND(J133&lt;&gt;"",J133&lt;&gt;"？",COUNTIF(設定!$P$8:$P$27,J133)=0)),"クラブ名がちがう",IF(H133="","第1希望がない",IF(OR(AND(H133&lt;&gt;"",H133=I133),AND(H133&lt;&gt;"",H133=J133),AND(I133&lt;&gt;"",I133=J133)),"同じクラブを重複して希望","OK")))))))</f>
        <v/>
      </c>
      <c r="L133" s="8">
        <f>IF(A133="","",A133&amp;"-"&amp;B133&amp;"-"&amp;C133)</f>
        <v/>
      </c>
      <c r="M133" s="8">
        <f>IF(OR(L133="",G133=""),"",IF(COUNTIF(L134:L$552,L133)=0,L133,""))</f>
        <v/>
      </c>
    </row>
    <row r="134">
      <c r="A134" s="40" t="n">
        <v>4</v>
      </c>
      <c r="B134" s="40" t="inlineStr">
        <is>
          <t>竹</t>
        </is>
      </c>
      <c r="C134" s="40" t="n">
        <v>4</v>
      </c>
      <c r="D134" s="40" t="n">
        <v>10</v>
      </c>
      <c r="E134" s="40" t="n">
        <v>5</v>
      </c>
      <c r="F134" s="40" t="n">
        <v>6</v>
      </c>
      <c r="G134" s="3">
        <f>IF(L134="","",IFERROR(INDEX(前年度名簿!$D$2:$D$451,MATCH(L134,前年度名簿!$F$2:$F$451,0)),""))</f>
        <v/>
      </c>
      <c r="H134" s="44">
        <f>IF(D134="","",IF(ISERROR(VALUE(D134)),D134&amp;"",IF(AND(VALUE(D134)&gt;=1,VALUE(D134)&lt;=20),IF(INDEX(設定!$P$8:$P$27,VALUE(D134))="","？",INDEX(設定!$P$8:$P$27,VALUE(D134))),"？")))</f>
        <v/>
      </c>
      <c r="I134" s="44">
        <f>IF(E134="","",IF(ISERROR(VALUE(E134)),E134&amp;"",IF(AND(VALUE(E134)&gt;=1,VALUE(E134)&lt;=20),IF(INDEX(設定!$P$8:$P$27,VALUE(E134))="","？",INDEX(設定!$P$8:$P$27,VALUE(E134))),"？")))</f>
        <v/>
      </c>
      <c r="J134" s="44">
        <f>IF(F134="","",IF(ISERROR(VALUE(F134)),F134&amp;"",IF(AND(VALUE(F134)&gt;=1,VALUE(F134)&lt;=20),IF(INDEX(設定!$P$8:$P$27,VALUE(F134))="","？",INDEX(設定!$P$8:$P$27,VALUE(F134))),"？")))</f>
        <v/>
      </c>
      <c r="K134" s="45">
        <f>IF(L134="","",IF(G134="","名簿にいない",IF(COUNTIF(L135:L$552,L134)&gt;0,"2回提出（下の行を使います）",IF(OR(H134="？",I134="？",J134="？"),"クラブ番号がちがう",IF(OR(AND(H134&lt;&gt;"",H134&lt;&gt;"？",COUNTIF(設定!$P$8:$P$27,H134)=0),AND(I134&lt;&gt;"",I134&lt;&gt;"？",COUNTIF(設定!$P$8:$P$27,I134)=0),AND(J134&lt;&gt;"",J134&lt;&gt;"？",COUNTIF(設定!$P$8:$P$27,J134)=0)),"クラブ名がちがう",IF(H134="","第1希望がない",IF(OR(AND(H134&lt;&gt;"",H134=I134),AND(H134&lt;&gt;"",H134=J134),AND(I134&lt;&gt;"",I134=J134)),"同じクラブを重複して希望","OK")))))))</f>
        <v/>
      </c>
      <c r="L134" s="8">
        <f>IF(A134="","",A134&amp;"-"&amp;B134&amp;"-"&amp;C134)</f>
        <v/>
      </c>
      <c r="M134" s="8">
        <f>IF(OR(L134="",G134=""),"",IF(COUNTIF(L135:L$552,L134)=0,L134,""))</f>
        <v/>
      </c>
    </row>
    <row r="135">
      <c r="A135" s="40" t="n">
        <v>3</v>
      </c>
      <c r="B135" s="40" t="inlineStr">
        <is>
          <t>竹</t>
        </is>
      </c>
      <c r="C135" s="40" t="n">
        <v>29</v>
      </c>
      <c r="D135" s="40" t="n">
        <v>5</v>
      </c>
      <c r="E135" s="40" t="n">
        <v>1</v>
      </c>
      <c r="F135" s="40" t="n">
        <v>3</v>
      </c>
      <c r="G135" s="3">
        <f>IF(L135="","",IFERROR(INDEX(前年度名簿!$D$2:$D$451,MATCH(L135,前年度名簿!$F$2:$F$451,0)),""))</f>
        <v/>
      </c>
      <c r="H135" s="44">
        <f>IF(D135="","",IF(ISERROR(VALUE(D135)),D135&amp;"",IF(AND(VALUE(D135)&gt;=1,VALUE(D135)&lt;=20),IF(INDEX(設定!$P$8:$P$27,VALUE(D135))="","？",INDEX(設定!$P$8:$P$27,VALUE(D135))),"？")))</f>
        <v/>
      </c>
      <c r="I135" s="44">
        <f>IF(E135="","",IF(ISERROR(VALUE(E135)),E135&amp;"",IF(AND(VALUE(E135)&gt;=1,VALUE(E135)&lt;=20),IF(INDEX(設定!$P$8:$P$27,VALUE(E135))="","？",INDEX(設定!$P$8:$P$27,VALUE(E135))),"？")))</f>
        <v/>
      </c>
      <c r="J135" s="44">
        <f>IF(F135="","",IF(ISERROR(VALUE(F135)),F135&amp;"",IF(AND(VALUE(F135)&gt;=1,VALUE(F135)&lt;=20),IF(INDEX(設定!$P$8:$P$27,VALUE(F135))="","？",INDEX(設定!$P$8:$P$27,VALUE(F135))),"？")))</f>
        <v/>
      </c>
      <c r="K135" s="45">
        <f>IF(L135="","",IF(G135="","名簿にいない",IF(COUNTIF(L136:L$552,L135)&gt;0,"2回提出（下の行を使います）",IF(OR(H135="？",I135="？",J135="？"),"クラブ番号がちがう",IF(OR(AND(H135&lt;&gt;"",H135&lt;&gt;"？",COUNTIF(設定!$P$8:$P$27,H135)=0),AND(I135&lt;&gt;"",I135&lt;&gt;"？",COUNTIF(設定!$P$8:$P$27,I135)=0),AND(J135&lt;&gt;"",J135&lt;&gt;"？",COUNTIF(設定!$P$8:$P$27,J135)=0)),"クラブ名がちがう",IF(H135="","第1希望がない",IF(OR(AND(H135&lt;&gt;"",H135=I135),AND(H135&lt;&gt;"",H135=J135),AND(I135&lt;&gt;"",I135=J135)),"同じクラブを重複して希望","OK")))))))</f>
        <v/>
      </c>
      <c r="L135" s="8">
        <f>IF(A135="","",A135&amp;"-"&amp;B135&amp;"-"&amp;C135)</f>
        <v/>
      </c>
      <c r="M135" s="8">
        <f>IF(OR(L135="",G135=""),"",IF(COUNTIF(L136:L$552,L135)=0,L135,""))</f>
        <v/>
      </c>
    </row>
    <row r="136">
      <c r="A136" s="40" t="n">
        <v>3</v>
      </c>
      <c r="B136" s="40" t="inlineStr">
        <is>
          <t>月</t>
        </is>
      </c>
      <c r="C136" s="40" t="n">
        <v>26</v>
      </c>
      <c r="D136" s="40" t="n">
        <v>2</v>
      </c>
      <c r="E136" s="40" t="n">
        <v>3</v>
      </c>
      <c r="F136" s="40" t="n">
        <v>11</v>
      </c>
      <c r="G136" s="3">
        <f>IF(L136="","",IFERROR(INDEX(前年度名簿!$D$2:$D$451,MATCH(L136,前年度名簿!$F$2:$F$451,0)),""))</f>
        <v/>
      </c>
      <c r="H136" s="44">
        <f>IF(D136="","",IF(ISERROR(VALUE(D136)),D136&amp;"",IF(AND(VALUE(D136)&gt;=1,VALUE(D136)&lt;=20),IF(INDEX(設定!$P$8:$P$27,VALUE(D136))="","？",INDEX(設定!$P$8:$P$27,VALUE(D136))),"？")))</f>
        <v/>
      </c>
      <c r="I136" s="44">
        <f>IF(E136="","",IF(ISERROR(VALUE(E136)),E136&amp;"",IF(AND(VALUE(E136)&gt;=1,VALUE(E136)&lt;=20),IF(INDEX(設定!$P$8:$P$27,VALUE(E136))="","？",INDEX(設定!$P$8:$P$27,VALUE(E136))),"？")))</f>
        <v/>
      </c>
      <c r="J136" s="44">
        <f>IF(F136="","",IF(ISERROR(VALUE(F136)),F136&amp;"",IF(AND(VALUE(F136)&gt;=1,VALUE(F136)&lt;=20),IF(INDEX(設定!$P$8:$P$27,VALUE(F136))="","？",INDEX(設定!$P$8:$P$27,VALUE(F136))),"？")))</f>
        <v/>
      </c>
      <c r="K136" s="45">
        <f>IF(L136="","",IF(G136="","名簿にいない",IF(COUNTIF(L137:L$552,L136)&gt;0,"2回提出（下の行を使います）",IF(OR(H136="？",I136="？",J136="？"),"クラブ番号がちがう",IF(OR(AND(H136&lt;&gt;"",H136&lt;&gt;"？",COUNTIF(設定!$P$8:$P$27,H136)=0),AND(I136&lt;&gt;"",I136&lt;&gt;"？",COUNTIF(設定!$P$8:$P$27,I136)=0),AND(J136&lt;&gt;"",J136&lt;&gt;"？",COUNTIF(設定!$P$8:$P$27,J136)=0)),"クラブ名がちがう",IF(H136="","第1希望がない",IF(OR(AND(H136&lt;&gt;"",H136=I136),AND(H136&lt;&gt;"",H136=J136),AND(I136&lt;&gt;"",I136=J136)),"同じクラブを重複して希望","OK")))))))</f>
        <v/>
      </c>
      <c r="L136" s="8">
        <f>IF(A136="","",A136&amp;"-"&amp;B136&amp;"-"&amp;C136)</f>
        <v/>
      </c>
      <c r="M136" s="8">
        <f>IF(OR(L136="",G136=""),"",IF(COUNTIF(L137:L$552,L136)=0,L136,""))</f>
        <v/>
      </c>
    </row>
    <row r="137">
      <c r="A137" s="40" t="n">
        <v>3</v>
      </c>
      <c r="B137" s="40" t="inlineStr">
        <is>
          <t>竹</t>
        </is>
      </c>
      <c r="C137" s="40" t="n">
        <v>14</v>
      </c>
      <c r="D137" s="40" t="n">
        <v>3</v>
      </c>
      <c r="E137" s="40" t="n">
        <v>9</v>
      </c>
      <c r="F137" s="40" t="n">
        <v>8</v>
      </c>
      <c r="G137" s="3">
        <f>IF(L137="","",IFERROR(INDEX(前年度名簿!$D$2:$D$451,MATCH(L137,前年度名簿!$F$2:$F$451,0)),""))</f>
        <v/>
      </c>
      <c r="H137" s="44">
        <f>IF(D137="","",IF(ISERROR(VALUE(D137)),D137&amp;"",IF(AND(VALUE(D137)&gt;=1,VALUE(D137)&lt;=20),IF(INDEX(設定!$P$8:$P$27,VALUE(D137))="","？",INDEX(設定!$P$8:$P$27,VALUE(D137))),"？")))</f>
        <v/>
      </c>
      <c r="I137" s="44">
        <f>IF(E137="","",IF(ISERROR(VALUE(E137)),E137&amp;"",IF(AND(VALUE(E137)&gt;=1,VALUE(E137)&lt;=20),IF(INDEX(設定!$P$8:$P$27,VALUE(E137))="","？",INDEX(設定!$P$8:$P$27,VALUE(E137))),"？")))</f>
        <v/>
      </c>
      <c r="J137" s="44">
        <f>IF(F137="","",IF(ISERROR(VALUE(F137)),F137&amp;"",IF(AND(VALUE(F137)&gt;=1,VALUE(F137)&lt;=20),IF(INDEX(設定!$P$8:$P$27,VALUE(F137))="","？",INDEX(設定!$P$8:$P$27,VALUE(F137))),"？")))</f>
        <v/>
      </c>
      <c r="K137" s="45">
        <f>IF(L137="","",IF(G137="","名簿にいない",IF(COUNTIF(L138:L$552,L137)&gt;0,"2回提出（下の行を使います）",IF(OR(H137="？",I137="？",J137="？"),"クラブ番号がちがう",IF(OR(AND(H137&lt;&gt;"",H137&lt;&gt;"？",COUNTIF(設定!$P$8:$P$27,H137)=0),AND(I137&lt;&gt;"",I137&lt;&gt;"？",COUNTIF(設定!$P$8:$P$27,I137)=0),AND(J137&lt;&gt;"",J137&lt;&gt;"？",COUNTIF(設定!$P$8:$P$27,J137)=0)),"クラブ名がちがう",IF(H137="","第1希望がない",IF(OR(AND(H137&lt;&gt;"",H137=I137),AND(H137&lt;&gt;"",H137=J137),AND(I137&lt;&gt;"",I137=J137)),"同じクラブを重複して希望","OK")))))))</f>
        <v/>
      </c>
      <c r="L137" s="8">
        <f>IF(A137="","",A137&amp;"-"&amp;B137&amp;"-"&amp;C137)</f>
        <v/>
      </c>
      <c r="M137" s="8">
        <f>IF(OR(L137="",G137=""),"",IF(COUNTIF(L138:L$552,L137)=0,L137,""))</f>
        <v/>
      </c>
    </row>
    <row r="138">
      <c r="A138" s="40" t="n">
        <v>4</v>
      </c>
      <c r="B138" s="40" t="inlineStr">
        <is>
          <t>竹</t>
        </is>
      </c>
      <c r="C138" s="40" t="n">
        <v>2</v>
      </c>
      <c r="D138" s="40" t="n">
        <v>11</v>
      </c>
      <c r="E138" s="40" t="n">
        <v>9</v>
      </c>
      <c r="F138" s="40" t="n">
        <v>6</v>
      </c>
      <c r="G138" s="3">
        <f>IF(L138="","",IFERROR(INDEX(前年度名簿!$D$2:$D$451,MATCH(L138,前年度名簿!$F$2:$F$451,0)),""))</f>
        <v/>
      </c>
      <c r="H138" s="44">
        <f>IF(D138="","",IF(ISERROR(VALUE(D138)),D138&amp;"",IF(AND(VALUE(D138)&gt;=1,VALUE(D138)&lt;=20),IF(INDEX(設定!$P$8:$P$27,VALUE(D138))="","？",INDEX(設定!$P$8:$P$27,VALUE(D138))),"？")))</f>
        <v/>
      </c>
      <c r="I138" s="44">
        <f>IF(E138="","",IF(ISERROR(VALUE(E138)),E138&amp;"",IF(AND(VALUE(E138)&gt;=1,VALUE(E138)&lt;=20),IF(INDEX(設定!$P$8:$P$27,VALUE(E138))="","？",INDEX(設定!$P$8:$P$27,VALUE(E138))),"？")))</f>
        <v/>
      </c>
      <c r="J138" s="44">
        <f>IF(F138="","",IF(ISERROR(VALUE(F138)),F138&amp;"",IF(AND(VALUE(F138)&gt;=1,VALUE(F138)&lt;=20),IF(INDEX(設定!$P$8:$P$27,VALUE(F138))="","？",INDEX(設定!$P$8:$P$27,VALUE(F138))),"？")))</f>
        <v/>
      </c>
      <c r="K138" s="45">
        <f>IF(L138="","",IF(G138="","名簿にいない",IF(COUNTIF(L139:L$552,L138)&gt;0,"2回提出（下の行を使います）",IF(OR(H138="？",I138="？",J138="？"),"クラブ番号がちがう",IF(OR(AND(H138&lt;&gt;"",H138&lt;&gt;"？",COUNTIF(設定!$P$8:$P$27,H138)=0),AND(I138&lt;&gt;"",I138&lt;&gt;"？",COUNTIF(設定!$P$8:$P$27,I138)=0),AND(J138&lt;&gt;"",J138&lt;&gt;"？",COUNTIF(設定!$P$8:$P$27,J138)=0)),"クラブ名がちがう",IF(H138="","第1希望がない",IF(OR(AND(H138&lt;&gt;"",H138=I138),AND(H138&lt;&gt;"",H138=J138),AND(I138&lt;&gt;"",I138=J138)),"同じクラブを重複して希望","OK")))))))</f>
        <v/>
      </c>
      <c r="L138" s="8">
        <f>IF(A138="","",A138&amp;"-"&amp;B138&amp;"-"&amp;C138)</f>
        <v/>
      </c>
      <c r="M138" s="8">
        <f>IF(OR(L138="",G138=""),"",IF(COUNTIF(L139:L$552,L138)=0,L138,""))</f>
        <v/>
      </c>
    </row>
    <row r="139">
      <c r="A139" s="40" t="n">
        <v>3</v>
      </c>
      <c r="B139" s="40" t="inlineStr">
        <is>
          <t>月</t>
        </is>
      </c>
      <c r="C139" s="40" t="n">
        <v>29</v>
      </c>
      <c r="D139" s="40" t="n">
        <v>6</v>
      </c>
      <c r="E139" s="40" t="n">
        <v>9</v>
      </c>
      <c r="F139" s="40" t="n">
        <v>4</v>
      </c>
      <c r="G139" s="3">
        <f>IF(L139="","",IFERROR(INDEX(前年度名簿!$D$2:$D$451,MATCH(L139,前年度名簿!$F$2:$F$451,0)),""))</f>
        <v/>
      </c>
      <c r="H139" s="44">
        <f>IF(D139="","",IF(ISERROR(VALUE(D139)),D139&amp;"",IF(AND(VALUE(D139)&gt;=1,VALUE(D139)&lt;=20),IF(INDEX(設定!$P$8:$P$27,VALUE(D139))="","？",INDEX(設定!$P$8:$P$27,VALUE(D139))),"？")))</f>
        <v/>
      </c>
      <c r="I139" s="44">
        <f>IF(E139="","",IF(ISERROR(VALUE(E139)),E139&amp;"",IF(AND(VALUE(E139)&gt;=1,VALUE(E139)&lt;=20),IF(INDEX(設定!$P$8:$P$27,VALUE(E139))="","？",INDEX(設定!$P$8:$P$27,VALUE(E139))),"？")))</f>
        <v/>
      </c>
      <c r="J139" s="44">
        <f>IF(F139="","",IF(ISERROR(VALUE(F139)),F139&amp;"",IF(AND(VALUE(F139)&gt;=1,VALUE(F139)&lt;=20),IF(INDEX(設定!$P$8:$P$27,VALUE(F139))="","？",INDEX(設定!$P$8:$P$27,VALUE(F139))),"？")))</f>
        <v/>
      </c>
      <c r="K139" s="45">
        <f>IF(L139="","",IF(G139="","名簿にいない",IF(COUNTIF(L140:L$552,L139)&gt;0,"2回提出（下の行を使います）",IF(OR(H139="？",I139="？",J139="？"),"クラブ番号がちがう",IF(OR(AND(H139&lt;&gt;"",H139&lt;&gt;"？",COUNTIF(設定!$P$8:$P$27,H139)=0),AND(I139&lt;&gt;"",I139&lt;&gt;"？",COUNTIF(設定!$P$8:$P$27,I139)=0),AND(J139&lt;&gt;"",J139&lt;&gt;"？",COUNTIF(設定!$P$8:$P$27,J139)=0)),"クラブ名がちがう",IF(H139="","第1希望がない",IF(OR(AND(H139&lt;&gt;"",H139=I139),AND(H139&lt;&gt;"",H139=J139),AND(I139&lt;&gt;"",I139=J139)),"同じクラブを重複して希望","OK")))))))</f>
        <v/>
      </c>
      <c r="L139" s="8">
        <f>IF(A139="","",A139&amp;"-"&amp;B139&amp;"-"&amp;C139)</f>
        <v/>
      </c>
      <c r="M139" s="8">
        <f>IF(OR(L139="",G139=""),"",IF(COUNTIF(L140:L$552,L139)=0,L139,""))</f>
        <v/>
      </c>
    </row>
    <row r="140">
      <c r="A140" s="40" t="n">
        <v>3</v>
      </c>
      <c r="B140" s="40" t="inlineStr">
        <is>
          <t>月</t>
        </is>
      </c>
      <c r="C140" s="40" t="n">
        <v>16</v>
      </c>
      <c r="D140" s="40" t="n">
        <v>8</v>
      </c>
      <c r="E140" s="40" t="n">
        <v>2</v>
      </c>
      <c r="F140" s="40" t="n">
        <v>3</v>
      </c>
      <c r="G140" s="3">
        <f>IF(L140="","",IFERROR(INDEX(前年度名簿!$D$2:$D$451,MATCH(L140,前年度名簿!$F$2:$F$451,0)),""))</f>
        <v/>
      </c>
      <c r="H140" s="44">
        <f>IF(D140="","",IF(ISERROR(VALUE(D140)),D140&amp;"",IF(AND(VALUE(D140)&gt;=1,VALUE(D140)&lt;=20),IF(INDEX(設定!$P$8:$P$27,VALUE(D140))="","？",INDEX(設定!$P$8:$P$27,VALUE(D140))),"？")))</f>
        <v/>
      </c>
      <c r="I140" s="44">
        <f>IF(E140="","",IF(ISERROR(VALUE(E140)),E140&amp;"",IF(AND(VALUE(E140)&gt;=1,VALUE(E140)&lt;=20),IF(INDEX(設定!$P$8:$P$27,VALUE(E140))="","？",INDEX(設定!$P$8:$P$27,VALUE(E140))),"？")))</f>
        <v/>
      </c>
      <c r="J140" s="44">
        <f>IF(F140="","",IF(ISERROR(VALUE(F140)),F140&amp;"",IF(AND(VALUE(F140)&gt;=1,VALUE(F140)&lt;=20),IF(INDEX(設定!$P$8:$P$27,VALUE(F140))="","？",INDEX(設定!$P$8:$P$27,VALUE(F140))),"？")))</f>
        <v/>
      </c>
      <c r="K140" s="45">
        <f>IF(L140="","",IF(G140="","名簿にいない",IF(COUNTIF(L141:L$552,L140)&gt;0,"2回提出（下の行を使います）",IF(OR(H140="？",I140="？",J140="？"),"クラブ番号がちがう",IF(OR(AND(H140&lt;&gt;"",H140&lt;&gt;"？",COUNTIF(設定!$P$8:$P$27,H140)=0),AND(I140&lt;&gt;"",I140&lt;&gt;"？",COUNTIF(設定!$P$8:$P$27,I140)=0),AND(J140&lt;&gt;"",J140&lt;&gt;"？",COUNTIF(設定!$P$8:$P$27,J140)=0)),"クラブ名がちがう",IF(H140="","第1希望がない",IF(OR(AND(H140&lt;&gt;"",H140=I140),AND(H140&lt;&gt;"",H140=J140),AND(I140&lt;&gt;"",I140=J140)),"同じクラブを重複して希望","OK")))))))</f>
        <v/>
      </c>
      <c r="L140" s="8">
        <f>IF(A140="","",A140&amp;"-"&amp;B140&amp;"-"&amp;C140)</f>
        <v/>
      </c>
      <c r="M140" s="8">
        <f>IF(OR(L140="",G140=""),"",IF(COUNTIF(L141:L$552,L140)=0,L140,""))</f>
        <v/>
      </c>
    </row>
    <row r="141">
      <c r="A141" s="40" t="n">
        <v>4</v>
      </c>
      <c r="B141" s="40" t="inlineStr">
        <is>
          <t>月</t>
        </is>
      </c>
      <c r="C141" s="40" t="n">
        <v>11</v>
      </c>
      <c r="D141" s="40" t="n">
        <v>2</v>
      </c>
      <c r="E141" s="40" t="n">
        <v>6</v>
      </c>
      <c r="F141" s="40" t="n">
        <v>7</v>
      </c>
      <c r="G141" s="3">
        <f>IF(L141="","",IFERROR(INDEX(前年度名簿!$D$2:$D$451,MATCH(L141,前年度名簿!$F$2:$F$451,0)),""))</f>
        <v/>
      </c>
      <c r="H141" s="44">
        <f>IF(D141="","",IF(ISERROR(VALUE(D141)),D141&amp;"",IF(AND(VALUE(D141)&gt;=1,VALUE(D141)&lt;=20),IF(INDEX(設定!$P$8:$P$27,VALUE(D141))="","？",INDEX(設定!$P$8:$P$27,VALUE(D141))),"？")))</f>
        <v/>
      </c>
      <c r="I141" s="44">
        <f>IF(E141="","",IF(ISERROR(VALUE(E141)),E141&amp;"",IF(AND(VALUE(E141)&gt;=1,VALUE(E141)&lt;=20),IF(INDEX(設定!$P$8:$P$27,VALUE(E141))="","？",INDEX(設定!$P$8:$P$27,VALUE(E141))),"？")))</f>
        <v/>
      </c>
      <c r="J141" s="44">
        <f>IF(F141="","",IF(ISERROR(VALUE(F141)),F141&amp;"",IF(AND(VALUE(F141)&gt;=1,VALUE(F141)&lt;=20),IF(INDEX(設定!$P$8:$P$27,VALUE(F141))="","？",INDEX(設定!$P$8:$P$27,VALUE(F141))),"？")))</f>
        <v/>
      </c>
      <c r="K141" s="45">
        <f>IF(L141="","",IF(G141="","名簿にいない",IF(COUNTIF(L142:L$552,L141)&gt;0,"2回提出（下の行を使います）",IF(OR(H141="？",I141="？",J141="？"),"クラブ番号がちがう",IF(OR(AND(H141&lt;&gt;"",H141&lt;&gt;"？",COUNTIF(設定!$P$8:$P$27,H141)=0),AND(I141&lt;&gt;"",I141&lt;&gt;"？",COUNTIF(設定!$P$8:$P$27,I141)=0),AND(J141&lt;&gt;"",J141&lt;&gt;"？",COUNTIF(設定!$P$8:$P$27,J141)=0)),"クラブ名がちがう",IF(H141="","第1希望がない",IF(OR(AND(H141&lt;&gt;"",H141=I141),AND(H141&lt;&gt;"",H141=J141),AND(I141&lt;&gt;"",I141=J141)),"同じクラブを重複して希望","OK")))))))</f>
        <v/>
      </c>
      <c r="L141" s="8">
        <f>IF(A141="","",A141&amp;"-"&amp;B141&amp;"-"&amp;C141)</f>
        <v/>
      </c>
      <c r="M141" s="8">
        <f>IF(OR(L141="",G141=""),"",IF(COUNTIF(L142:L$552,L141)=0,L141,""))</f>
        <v/>
      </c>
    </row>
    <row r="142">
      <c r="A142" s="40" t="n">
        <v>5</v>
      </c>
      <c r="B142" s="40" t="inlineStr">
        <is>
          <t>梅</t>
        </is>
      </c>
      <c r="C142" s="40" t="n">
        <v>16</v>
      </c>
      <c r="D142" s="40" t="n">
        <v>5</v>
      </c>
      <c r="E142" s="40" t="n">
        <v>9</v>
      </c>
      <c r="F142" s="40" t="n">
        <v>1</v>
      </c>
      <c r="G142" s="3">
        <f>IF(L142="","",IFERROR(INDEX(前年度名簿!$D$2:$D$451,MATCH(L142,前年度名簿!$F$2:$F$451,0)),""))</f>
        <v/>
      </c>
      <c r="H142" s="44">
        <f>IF(D142="","",IF(ISERROR(VALUE(D142)),D142&amp;"",IF(AND(VALUE(D142)&gt;=1,VALUE(D142)&lt;=20),IF(INDEX(設定!$P$8:$P$27,VALUE(D142))="","？",INDEX(設定!$P$8:$P$27,VALUE(D142))),"？")))</f>
        <v/>
      </c>
      <c r="I142" s="44">
        <f>IF(E142="","",IF(ISERROR(VALUE(E142)),E142&amp;"",IF(AND(VALUE(E142)&gt;=1,VALUE(E142)&lt;=20),IF(INDEX(設定!$P$8:$P$27,VALUE(E142))="","？",INDEX(設定!$P$8:$P$27,VALUE(E142))),"？")))</f>
        <v/>
      </c>
      <c r="J142" s="44">
        <f>IF(F142="","",IF(ISERROR(VALUE(F142)),F142&amp;"",IF(AND(VALUE(F142)&gt;=1,VALUE(F142)&lt;=20),IF(INDEX(設定!$P$8:$P$27,VALUE(F142))="","？",INDEX(設定!$P$8:$P$27,VALUE(F142))),"？")))</f>
        <v/>
      </c>
      <c r="K142" s="45">
        <f>IF(L142="","",IF(G142="","名簿にいない",IF(COUNTIF(L143:L$552,L142)&gt;0,"2回提出（下の行を使います）",IF(OR(H142="？",I142="？",J142="？"),"クラブ番号がちがう",IF(OR(AND(H142&lt;&gt;"",H142&lt;&gt;"？",COUNTIF(設定!$P$8:$P$27,H142)=0),AND(I142&lt;&gt;"",I142&lt;&gt;"？",COUNTIF(設定!$P$8:$P$27,I142)=0),AND(J142&lt;&gt;"",J142&lt;&gt;"？",COUNTIF(設定!$P$8:$P$27,J142)=0)),"クラブ名がちがう",IF(H142="","第1希望がない",IF(OR(AND(H142&lt;&gt;"",H142=I142),AND(H142&lt;&gt;"",H142=J142),AND(I142&lt;&gt;"",I142=J142)),"同じクラブを重複して希望","OK")))))))</f>
        <v/>
      </c>
      <c r="L142" s="8">
        <f>IF(A142="","",A142&amp;"-"&amp;B142&amp;"-"&amp;C142)</f>
        <v/>
      </c>
      <c r="M142" s="8">
        <f>IF(OR(L142="",G142=""),"",IF(COUNTIF(L143:L$552,L142)=0,L142,""))</f>
        <v/>
      </c>
    </row>
    <row r="143">
      <c r="A143" s="40" t="n">
        <v>3</v>
      </c>
      <c r="B143" s="40" t="inlineStr">
        <is>
          <t>松</t>
        </is>
      </c>
      <c r="C143" s="40" t="n">
        <v>21</v>
      </c>
      <c r="D143" s="40" t="n">
        <v>7</v>
      </c>
      <c r="E143" s="40" t="n">
        <v>11</v>
      </c>
      <c r="F143" s="40" t="n">
        <v>3</v>
      </c>
      <c r="G143" s="3">
        <f>IF(L143="","",IFERROR(INDEX(前年度名簿!$D$2:$D$451,MATCH(L143,前年度名簿!$F$2:$F$451,0)),""))</f>
        <v/>
      </c>
      <c r="H143" s="44">
        <f>IF(D143="","",IF(ISERROR(VALUE(D143)),D143&amp;"",IF(AND(VALUE(D143)&gt;=1,VALUE(D143)&lt;=20),IF(INDEX(設定!$P$8:$P$27,VALUE(D143))="","？",INDEX(設定!$P$8:$P$27,VALUE(D143))),"？")))</f>
        <v/>
      </c>
      <c r="I143" s="44">
        <f>IF(E143="","",IF(ISERROR(VALUE(E143)),E143&amp;"",IF(AND(VALUE(E143)&gt;=1,VALUE(E143)&lt;=20),IF(INDEX(設定!$P$8:$P$27,VALUE(E143))="","？",INDEX(設定!$P$8:$P$27,VALUE(E143))),"？")))</f>
        <v/>
      </c>
      <c r="J143" s="44">
        <f>IF(F143="","",IF(ISERROR(VALUE(F143)),F143&amp;"",IF(AND(VALUE(F143)&gt;=1,VALUE(F143)&lt;=20),IF(INDEX(設定!$P$8:$P$27,VALUE(F143))="","？",INDEX(設定!$P$8:$P$27,VALUE(F143))),"？")))</f>
        <v/>
      </c>
      <c r="K143" s="45">
        <f>IF(L143="","",IF(G143="","名簿にいない",IF(COUNTIF(L144:L$552,L143)&gt;0,"2回提出（下の行を使います）",IF(OR(H143="？",I143="？",J143="？"),"クラブ番号がちがう",IF(OR(AND(H143&lt;&gt;"",H143&lt;&gt;"？",COUNTIF(設定!$P$8:$P$27,H143)=0),AND(I143&lt;&gt;"",I143&lt;&gt;"？",COUNTIF(設定!$P$8:$P$27,I143)=0),AND(J143&lt;&gt;"",J143&lt;&gt;"？",COUNTIF(設定!$P$8:$P$27,J143)=0)),"クラブ名がちがう",IF(H143="","第1希望がない",IF(OR(AND(H143&lt;&gt;"",H143=I143),AND(H143&lt;&gt;"",H143=J143),AND(I143&lt;&gt;"",I143=J143)),"同じクラブを重複して希望","OK")))))))</f>
        <v/>
      </c>
      <c r="L143" s="8">
        <f>IF(A143="","",A143&amp;"-"&amp;B143&amp;"-"&amp;C143)</f>
        <v/>
      </c>
      <c r="M143" s="8">
        <f>IF(OR(L143="",G143=""),"",IF(COUNTIF(L144:L$552,L143)=0,L143,""))</f>
        <v/>
      </c>
    </row>
    <row r="144">
      <c r="A144" s="40" t="n">
        <v>5</v>
      </c>
      <c r="B144" s="40" t="inlineStr">
        <is>
          <t>月</t>
        </is>
      </c>
      <c r="C144" s="40" t="n">
        <v>24</v>
      </c>
      <c r="D144" s="40" t="n">
        <v>8</v>
      </c>
      <c r="E144" s="40" t="n">
        <v>9</v>
      </c>
      <c r="F144" s="40" t="n">
        <v>3</v>
      </c>
      <c r="G144" s="3">
        <f>IF(L144="","",IFERROR(INDEX(前年度名簿!$D$2:$D$451,MATCH(L144,前年度名簿!$F$2:$F$451,0)),""))</f>
        <v/>
      </c>
      <c r="H144" s="44">
        <f>IF(D144="","",IF(ISERROR(VALUE(D144)),D144&amp;"",IF(AND(VALUE(D144)&gt;=1,VALUE(D144)&lt;=20),IF(INDEX(設定!$P$8:$P$27,VALUE(D144))="","？",INDEX(設定!$P$8:$P$27,VALUE(D144))),"？")))</f>
        <v/>
      </c>
      <c r="I144" s="44">
        <f>IF(E144="","",IF(ISERROR(VALUE(E144)),E144&amp;"",IF(AND(VALUE(E144)&gt;=1,VALUE(E144)&lt;=20),IF(INDEX(設定!$P$8:$P$27,VALUE(E144))="","？",INDEX(設定!$P$8:$P$27,VALUE(E144))),"？")))</f>
        <v/>
      </c>
      <c r="J144" s="44">
        <f>IF(F144="","",IF(ISERROR(VALUE(F144)),F144&amp;"",IF(AND(VALUE(F144)&gt;=1,VALUE(F144)&lt;=20),IF(INDEX(設定!$P$8:$P$27,VALUE(F144))="","？",INDEX(設定!$P$8:$P$27,VALUE(F144))),"？")))</f>
        <v/>
      </c>
      <c r="K144" s="45">
        <f>IF(L144="","",IF(G144="","名簿にいない",IF(COUNTIF(L145:L$552,L144)&gt;0,"2回提出（下の行を使います）",IF(OR(H144="？",I144="？",J144="？"),"クラブ番号がちがう",IF(OR(AND(H144&lt;&gt;"",H144&lt;&gt;"？",COUNTIF(設定!$P$8:$P$27,H144)=0),AND(I144&lt;&gt;"",I144&lt;&gt;"？",COUNTIF(設定!$P$8:$P$27,I144)=0),AND(J144&lt;&gt;"",J144&lt;&gt;"？",COUNTIF(設定!$P$8:$P$27,J144)=0)),"クラブ名がちがう",IF(H144="","第1希望がない",IF(OR(AND(H144&lt;&gt;"",H144=I144),AND(H144&lt;&gt;"",H144=J144),AND(I144&lt;&gt;"",I144=J144)),"同じクラブを重複して希望","OK")))))))</f>
        <v/>
      </c>
      <c r="L144" s="8">
        <f>IF(A144="","",A144&amp;"-"&amp;B144&amp;"-"&amp;C144)</f>
        <v/>
      </c>
      <c r="M144" s="8">
        <f>IF(OR(L144="",G144=""),"",IF(COUNTIF(L145:L$552,L144)=0,L144,""))</f>
        <v/>
      </c>
    </row>
    <row r="145">
      <c r="A145" s="40" t="n">
        <v>3</v>
      </c>
      <c r="B145" s="40" t="inlineStr">
        <is>
          <t>月</t>
        </is>
      </c>
      <c r="C145" s="40" t="n">
        <v>17</v>
      </c>
      <c r="D145" s="40" t="n">
        <v>4</v>
      </c>
      <c r="E145" s="40" t="n">
        <v>3</v>
      </c>
      <c r="F145" s="40" t="n">
        <v>7</v>
      </c>
      <c r="G145" s="3">
        <f>IF(L145="","",IFERROR(INDEX(前年度名簿!$D$2:$D$451,MATCH(L145,前年度名簿!$F$2:$F$451,0)),""))</f>
        <v/>
      </c>
      <c r="H145" s="44">
        <f>IF(D145="","",IF(ISERROR(VALUE(D145)),D145&amp;"",IF(AND(VALUE(D145)&gt;=1,VALUE(D145)&lt;=20),IF(INDEX(設定!$P$8:$P$27,VALUE(D145))="","？",INDEX(設定!$P$8:$P$27,VALUE(D145))),"？")))</f>
        <v/>
      </c>
      <c r="I145" s="44">
        <f>IF(E145="","",IF(ISERROR(VALUE(E145)),E145&amp;"",IF(AND(VALUE(E145)&gt;=1,VALUE(E145)&lt;=20),IF(INDEX(設定!$P$8:$P$27,VALUE(E145))="","？",INDEX(設定!$P$8:$P$27,VALUE(E145))),"？")))</f>
        <v/>
      </c>
      <c r="J145" s="44">
        <f>IF(F145="","",IF(ISERROR(VALUE(F145)),F145&amp;"",IF(AND(VALUE(F145)&gt;=1,VALUE(F145)&lt;=20),IF(INDEX(設定!$P$8:$P$27,VALUE(F145))="","？",INDEX(設定!$P$8:$P$27,VALUE(F145))),"？")))</f>
        <v/>
      </c>
      <c r="K145" s="45">
        <f>IF(L145="","",IF(G145="","名簿にいない",IF(COUNTIF(L146:L$552,L145)&gt;0,"2回提出（下の行を使います）",IF(OR(H145="？",I145="？",J145="？"),"クラブ番号がちがう",IF(OR(AND(H145&lt;&gt;"",H145&lt;&gt;"？",COUNTIF(設定!$P$8:$P$27,H145)=0),AND(I145&lt;&gt;"",I145&lt;&gt;"？",COUNTIF(設定!$P$8:$P$27,I145)=0),AND(J145&lt;&gt;"",J145&lt;&gt;"？",COUNTIF(設定!$P$8:$P$27,J145)=0)),"クラブ名がちがう",IF(H145="","第1希望がない",IF(OR(AND(H145&lt;&gt;"",H145=I145),AND(H145&lt;&gt;"",H145=J145),AND(I145&lt;&gt;"",I145=J145)),"同じクラブを重複して希望","OK")))))))</f>
        <v/>
      </c>
      <c r="L145" s="8">
        <f>IF(A145="","",A145&amp;"-"&amp;B145&amp;"-"&amp;C145)</f>
        <v/>
      </c>
      <c r="M145" s="8">
        <f>IF(OR(L145="",G145=""),"",IF(COUNTIF(L146:L$552,L145)=0,L145,""))</f>
        <v/>
      </c>
    </row>
    <row r="146">
      <c r="A146" s="40" t="n">
        <v>3</v>
      </c>
      <c r="B146" s="40" t="inlineStr">
        <is>
          <t>竹</t>
        </is>
      </c>
      <c r="C146" s="40" t="n">
        <v>21</v>
      </c>
      <c r="D146" s="40" t="n">
        <v>9</v>
      </c>
      <c r="E146" s="40" t="n">
        <v>5</v>
      </c>
      <c r="F146" s="40" t="n">
        <v>6</v>
      </c>
      <c r="G146" s="3">
        <f>IF(L146="","",IFERROR(INDEX(前年度名簿!$D$2:$D$451,MATCH(L146,前年度名簿!$F$2:$F$451,0)),""))</f>
        <v/>
      </c>
      <c r="H146" s="44">
        <f>IF(D146="","",IF(ISERROR(VALUE(D146)),D146&amp;"",IF(AND(VALUE(D146)&gt;=1,VALUE(D146)&lt;=20),IF(INDEX(設定!$P$8:$P$27,VALUE(D146))="","？",INDEX(設定!$P$8:$P$27,VALUE(D146))),"？")))</f>
        <v/>
      </c>
      <c r="I146" s="44">
        <f>IF(E146="","",IF(ISERROR(VALUE(E146)),E146&amp;"",IF(AND(VALUE(E146)&gt;=1,VALUE(E146)&lt;=20),IF(INDEX(設定!$P$8:$P$27,VALUE(E146))="","？",INDEX(設定!$P$8:$P$27,VALUE(E146))),"？")))</f>
        <v/>
      </c>
      <c r="J146" s="44">
        <f>IF(F146="","",IF(ISERROR(VALUE(F146)),F146&amp;"",IF(AND(VALUE(F146)&gt;=1,VALUE(F146)&lt;=20),IF(INDEX(設定!$P$8:$P$27,VALUE(F146))="","？",INDEX(設定!$P$8:$P$27,VALUE(F146))),"？")))</f>
        <v/>
      </c>
      <c r="K146" s="45">
        <f>IF(L146="","",IF(G146="","名簿にいない",IF(COUNTIF(L147:L$552,L146)&gt;0,"2回提出（下の行を使います）",IF(OR(H146="？",I146="？",J146="？"),"クラブ番号がちがう",IF(OR(AND(H146&lt;&gt;"",H146&lt;&gt;"？",COUNTIF(設定!$P$8:$P$27,H146)=0),AND(I146&lt;&gt;"",I146&lt;&gt;"？",COUNTIF(設定!$P$8:$P$27,I146)=0),AND(J146&lt;&gt;"",J146&lt;&gt;"？",COUNTIF(設定!$P$8:$P$27,J146)=0)),"クラブ名がちがう",IF(H146="","第1希望がない",IF(OR(AND(H146&lt;&gt;"",H146=I146),AND(H146&lt;&gt;"",H146=J146),AND(I146&lt;&gt;"",I146=J146)),"同じクラブを重複して希望","OK")))))))</f>
        <v/>
      </c>
      <c r="L146" s="8">
        <f>IF(A146="","",A146&amp;"-"&amp;B146&amp;"-"&amp;C146)</f>
        <v/>
      </c>
      <c r="M146" s="8">
        <f>IF(OR(L146="",G146=""),"",IF(COUNTIF(L147:L$552,L146)=0,L146,""))</f>
        <v/>
      </c>
    </row>
    <row r="147">
      <c r="A147" s="40" t="n">
        <v>5</v>
      </c>
      <c r="B147" s="40" t="inlineStr">
        <is>
          <t>月</t>
        </is>
      </c>
      <c r="C147" s="40" t="n">
        <v>19</v>
      </c>
      <c r="D147" s="40" t="n">
        <v>5</v>
      </c>
      <c r="E147" s="40" t="n">
        <v>3</v>
      </c>
      <c r="F147" s="40" t="n">
        <v>9</v>
      </c>
      <c r="G147" s="3">
        <f>IF(L147="","",IFERROR(INDEX(前年度名簿!$D$2:$D$451,MATCH(L147,前年度名簿!$F$2:$F$451,0)),""))</f>
        <v/>
      </c>
      <c r="H147" s="44">
        <f>IF(D147="","",IF(ISERROR(VALUE(D147)),D147&amp;"",IF(AND(VALUE(D147)&gt;=1,VALUE(D147)&lt;=20),IF(INDEX(設定!$P$8:$P$27,VALUE(D147))="","？",INDEX(設定!$P$8:$P$27,VALUE(D147))),"？")))</f>
        <v/>
      </c>
      <c r="I147" s="44">
        <f>IF(E147="","",IF(ISERROR(VALUE(E147)),E147&amp;"",IF(AND(VALUE(E147)&gt;=1,VALUE(E147)&lt;=20),IF(INDEX(設定!$P$8:$P$27,VALUE(E147))="","？",INDEX(設定!$P$8:$P$27,VALUE(E147))),"？")))</f>
        <v/>
      </c>
      <c r="J147" s="44">
        <f>IF(F147="","",IF(ISERROR(VALUE(F147)),F147&amp;"",IF(AND(VALUE(F147)&gt;=1,VALUE(F147)&lt;=20),IF(INDEX(設定!$P$8:$P$27,VALUE(F147))="","？",INDEX(設定!$P$8:$P$27,VALUE(F147))),"？")))</f>
        <v/>
      </c>
      <c r="K147" s="45">
        <f>IF(L147="","",IF(G147="","名簿にいない",IF(COUNTIF(L148:L$552,L147)&gt;0,"2回提出（下の行を使います）",IF(OR(H147="？",I147="？",J147="？"),"クラブ番号がちがう",IF(OR(AND(H147&lt;&gt;"",H147&lt;&gt;"？",COUNTIF(設定!$P$8:$P$27,H147)=0),AND(I147&lt;&gt;"",I147&lt;&gt;"？",COUNTIF(設定!$P$8:$P$27,I147)=0),AND(J147&lt;&gt;"",J147&lt;&gt;"？",COUNTIF(設定!$P$8:$P$27,J147)=0)),"クラブ名がちがう",IF(H147="","第1希望がない",IF(OR(AND(H147&lt;&gt;"",H147=I147),AND(H147&lt;&gt;"",H147=J147),AND(I147&lt;&gt;"",I147=J147)),"同じクラブを重複して希望","OK")))))))</f>
        <v/>
      </c>
      <c r="L147" s="8">
        <f>IF(A147="","",A147&amp;"-"&amp;B147&amp;"-"&amp;C147)</f>
        <v/>
      </c>
      <c r="M147" s="8">
        <f>IF(OR(L147="",G147=""),"",IF(COUNTIF(L148:L$552,L147)=0,L147,""))</f>
        <v/>
      </c>
    </row>
    <row r="148">
      <c r="A148" s="40" t="n">
        <v>3</v>
      </c>
      <c r="B148" s="40" t="inlineStr">
        <is>
          <t>月</t>
        </is>
      </c>
      <c r="C148" s="40" t="n">
        <v>24</v>
      </c>
      <c r="D148" s="40" t="n">
        <v>9</v>
      </c>
      <c r="E148" s="40" t="n">
        <v>4</v>
      </c>
      <c r="F148" s="40" t="n">
        <v>1</v>
      </c>
      <c r="G148" s="3">
        <f>IF(L148="","",IFERROR(INDEX(前年度名簿!$D$2:$D$451,MATCH(L148,前年度名簿!$F$2:$F$451,0)),""))</f>
        <v/>
      </c>
      <c r="H148" s="44">
        <f>IF(D148="","",IF(ISERROR(VALUE(D148)),D148&amp;"",IF(AND(VALUE(D148)&gt;=1,VALUE(D148)&lt;=20),IF(INDEX(設定!$P$8:$P$27,VALUE(D148))="","？",INDEX(設定!$P$8:$P$27,VALUE(D148))),"？")))</f>
        <v/>
      </c>
      <c r="I148" s="44">
        <f>IF(E148="","",IF(ISERROR(VALUE(E148)),E148&amp;"",IF(AND(VALUE(E148)&gt;=1,VALUE(E148)&lt;=20),IF(INDEX(設定!$P$8:$P$27,VALUE(E148))="","？",INDEX(設定!$P$8:$P$27,VALUE(E148))),"？")))</f>
        <v/>
      </c>
      <c r="J148" s="44">
        <f>IF(F148="","",IF(ISERROR(VALUE(F148)),F148&amp;"",IF(AND(VALUE(F148)&gt;=1,VALUE(F148)&lt;=20),IF(INDEX(設定!$P$8:$P$27,VALUE(F148))="","？",INDEX(設定!$P$8:$P$27,VALUE(F148))),"？")))</f>
        <v/>
      </c>
      <c r="K148" s="45">
        <f>IF(L148="","",IF(G148="","名簿にいない",IF(COUNTIF(L149:L$552,L148)&gt;0,"2回提出（下の行を使います）",IF(OR(H148="？",I148="？",J148="？"),"クラブ番号がちがう",IF(OR(AND(H148&lt;&gt;"",H148&lt;&gt;"？",COUNTIF(設定!$P$8:$P$27,H148)=0),AND(I148&lt;&gt;"",I148&lt;&gt;"？",COUNTIF(設定!$P$8:$P$27,I148)=0),AND(J148&lt;&gt;"",J148&lt;&gt;"？",COUNTIF(設定!$P$8:$P$27,J148)=0)),"クラブ名がちがう",IF(H148="","第1希望がない",IF(OR(AND(H148&lt;&gt;"",H148=I148),AND(H148&lt;&gt;"",H148=J148),AND(I148&lt;&gt;"",I148=J148)),"同じクラブを重複して希望","OK")))))))</f>
        <v/>
      </c>
      <c r="L148" s="8">
        <f>IF(A148="","",A148&amp;"-"&amp;B148&amp;"-"&amp;C148)</f>
        <v/>
      </c>
      <c r="M148" s="8">
        <f>IF(OR(L148="",G148=""),"",IF(COUNTIF(L149:L$552,L148)=0,L148,""))</f>
        <v/>
      </c>
    </row>
    <row r="149">
      <c r="A149" s="40" t="n">
        <v>3</v>
      </c>
      <c r="B149" s="40" t="inlineStr">
        <is>
          <t>月</t>
        </is>
      </c>
      <c r="C149" s="40" t="n">
        <v>12</v>
      </c>
      <c r="D149" s="40" t="n">
        <v>4</v>
      </c>
      <c r="E149" s="40" t="n">
        <v>5</v>
      </c>
      <c r="F149" s="40" t="n">
        <v>1</v>
      </c>
      <c r="G149" s="3">
        <f>IF(L149="","",IFERROR(INDEX(前年度名簿!$D$2:$D$451,MATCH(L149,前年度名簿!$F$2:$F$451,0)),""))</f>
        <v/>
      </c>
      <c r="H149" s="44">
        <f>IF(D149="","",IF(ISERROR(VALUE(D149)),D149&amp;"",IF(AND(VALUE(D149)&gt;=1,VALUE(D149)&lt;=20),IF(INDEX(設定!$P$8:$P$27,VALUE(D149))="","？",INDEX(設定!$P$8:$P$27,VALUE(D149))),"？")))</f>
        <v/>
      </c>
      <c r="I149" s="44">
        <f>IF(E149="","",IF(ISERROR(VALUE(E149)),E149&amp;"",IF(AND(VALUE(E149)&gt;=1,VALUE(E149)&lt;=20),IF(INDEX(設定!$P$8:$P$27,VALUE(E149))="","？",INDEX(設定!$P$8:$P$27,VALUE(E149))),"？")))</f>
        <v/>
      </c>
      <c r="J149" s="44">
        <f>IF(F149="","",IF(ISERROR(VALUE(F149)),F149&amp;"",IF(AND(VALUE(F149)&gt;=1,VALUE(F149)&lt;=20),IF(INDEX(設定!$P$8:$P$27,VALUE(F149))="","？",INDEX(設定!$P$8:$P$27,VALUE(F149))),"？")))</f>
        <v/>
      </c>
      <c r="K149" s="45">
        <f>IF(L149="","",IF(G149="","名簿にいない",IF(COUNTIF(L150:L$552,L149)&gt;0,"2回提出（下の行を使います）",IF(OR(H149="？",I149="？",J149="？"),"クラブ番号がちがう",IF(OR(AND(H149&lt;&gt;"",H149&lt;&gt;"？",COUNTIF(設定!$P$8:$P$27,H149)=0),AND(I149&lt;&gt;"",I149&lt;&gt;"？",COUNTIF(設定!$P$8:$P$27,I149)=0),AND(J149&lt;&gt;"",J149&lt;&gt;"？",COUNTIF(設定!$P$8:$P$27,J149)=0)),"クラブ名がちがう",IF(H149="","第1希望がない",IF(OR(AND(H149&lt;&gt;"",H149=I149),AND(H149&lt;&gt;"",H149=J149),AND(I149&lt;&gt;"",I149=J149)),"同じクラブを重複して希望","OK")))))))</f>
        <v/>
      </c>
      <c r="L149" s="8">
        <f>IF(A149="","",A149&amp;"-"&amp;B149&amp;"-"&amp;C149)</f>
        <v/>
      </c>
      <c r="M149" s="8">
        <f>IF(OR(L149="",G149=""),"",IF(COUNTIF(L150:L$552,L149)=0,L149,""))</f>
        <v/>
      </c>
    </row>
    <row r="150">
      <c r="A150" s="40" t="n">
        <v>5</v>
      </c>
      <c r="B150" s="40" t="inlineStr">
        <is>
          <t>月</t>
        </is>
      </c>
      <c r="C150" s="40" t="n">
        <v>26</v>
      </c>
      <c r="D150" s="40" t="n">
        <v>6</v>
      </c>
      <c r="E150" s="40" t="n">
        <v>10</v>
      </c>
      <c r="F150" s="40" t="n">
        <v>8</v>
      </c>
      <c r="G150" s="3">
        <f>IF(L150="","",IFERROR(INDEX(前年度名簿!$D$2:$D$451,MATCH(L150,前年度名簿!$F$2:$F$451,0)),""))</f>
        <v/>
      </c>
      <c r="H150" s="44">
        <f>IF(D150="","",IF(ISERROR(VALUE(D150)),D150&amp;"",IF(AND(VALUE(D150)&gt;=1,VALUE(D150)&lt;=20),IF(INDEX(設定!$P$8:$P$27,VALUE(D150))="","？",INDEX(設定!$P$8:$P$27,VALUE(D150))),"？")))</f>
        <v/>
      </c>
      <c r="I150" s="44">
        <f>IF(E150="","",IF(ISERROR(VALUE(E150)),E150&amp;"",IF(AND(VALUE(E150)&gt;=1,VALUE(E150)&lt;=20),IF(INDEX(設定!$P$8:$P$27,VALUE(E150))="","？",INDEX(設定!$P$8:$P$27,VALUE(E150))),"？")))</f>
        <v/>
      </c>
      <c r="J150" s="44">
        <f>IF(F150="","",IF(ISERROR(VALUE(F150)),F150&amp;"",IF(AND(VALUE(F150)&gt;=1,VALUE(F150)&lt;=20),IF(INDEX(設定!$P$8:$P$27,VALUE(F150))="","？",INDEX(設定!$P$8:$P$27,VALUE(F150))),"？")))</f>
        <v/>
      </c>
      <c r="K150" s="45">
        <f>IF(L150="","",IF(G150="","名簿にいない",IF(COUNTIF(L151:L$552,L150)&gt;0,"2回提出（下の行を使います）",IF(OR(H150="？",I150="？",J150="？"),"クラブ番号がちがう",IF(OR(AND(H150&lt;&gt;"",H150&lt;&gt;"？",COUNTIF(設定!$P$8:$P$27,H150)=0),AND(I150&lt;&gt;"",I150&lt;&gt;"？",COUNTIF(設定!$P$8:$P$27,I150)=0),AND(J150&lt;&gt;"",J150&lt;&gt;"？",COUNTIF(設定!$P$8:$P$27,J150)=0)),"クラブ名がちがう",IF(H150="","第1希望がない",IF(OR(AND(H150&lt;&gt;"",H150=I150),AND(H150&lt;&gt;"",H150=J150),AND(I150&lt;&gt;"",I150=J150)),"同じクラブを重複して希望","OK")))))))</f>
        <v/>
      </c>
      <c r="L150" s="8">
        <f>IF(A150="","",A150&amp;"-"&amp;B150&amp;"-"&amp;C150)</f>
        <v/>
      </c>
      <c r="M150" s="8">
        <f>IF(OR(L150="",G150=""),"",IF(COUNTIF(L151:L$552,L150)=0,L150,""))</f>
        <v/>
      </c>
    </row>
    <row r="151">
      <c r="A151" s="40" t="n">
        <v>3</v>
      </c>
      <c r="B151" s="40" t="inlineStr">
        <is>
          <t>松</t>
        </is>
      </c>
      <c r="C151" s="40" t="n">
        <v>12</v>
      </c>
      <c r="D151" s="40" t="n">
        <v>12</v>
      </c>
      <c r="E151" s="40" t="n">
        <v>4</v>
      </c>
      <c r="F151" s="40" t="n">
        <v>10</v>
      </c>
      <c r="G151" s="3">
        <f>IF(L151="","",IFERROR(INDEX(前年度名簿!$D$2:$D$451,MATCH(L151,前年度名簿!$F$2:$F$451,0)),""))</f>
        <v/>
      </c>
      <c r="H151" s="44">
        <f>IF(D151="","",IF(ISERROR(VALUE(D151)),D151&amp;"",IF(AND(VALUE(D151)&gt;=1,VALUE(D151)&lt;=20),IF(INDEX(設定!$P$8:$P$27,VALUE(D151))="","？",INDEX(設定!$P$8:$P$27,VALUE(D151))),"？")))</f>
        <v/>
      </c>
      <c r="I151" s="44">
        <f>IF(E151="","",IF(ISERROR(VALUE(E151)),E151&amp;"",IF(AND(VALUE(E151)&gt;=1,VALUE(E151)&lt;=20),IF(INDEX(設定!$P$8:$P$27,VALUE(E151))="","？",INDEX(設定!$P$8:$P$27,VALUE(E151))),"？")))</f>
        <v/>
      </c>
      <c r="J151" s="44">
        <f>IF(F151="","",IF(ISERROR(VALUE(F151)),F151&amp;"",IF(AND(VALUE(F151)&gt;=1,VALUE(F151)&lt;=20),IF(INDEX(設定!$P$8:$P$27,VALUE(F151))="","？",INDEX(設定!$P$8:$P$27,VALUE(F151))),"？")))</f>
        <v/>
      </c>
      <c r="K151" s="45">
        <f>IF(L151="","",IF(G151="","名簿にいない",IF(COUNTIF(L152:L$552,L151)&gt;0,"2回提出（下の行を使います）",IF(OR(H151="？",I151="？",J151="？"),"クラブ番号がちがう",IF(OR(AND(H151&lt;&gt;"",H151&lt;&gt;"？",COUNTIF(設定!$P$8:$P$27,H151)=0),AND(I151&lt;&gt;"",I151&lt;&gt;"？",COUNTIF(設定!$P$8:$P$27,I151)=0),AND(J151&lt;&gt;"",J151&lt;&gt;"？",COUNTIF(設定!$P$8:$P$27,J151)=0)),"クラブ名がちがう",IF(H151="","第1希望がない",IF(OR(AND(H151&lt;&gt;"",H151=I151),AND(H151&lt;&gt;"",H151=J151),AND(I151&lt;&gt;"",I151=J151)),"同じクラブを重複して希望","OK")))))))</f>
        <v/>
      </c>
      <c r="L151" s="8">
        <f>IF(A151="","",A151&amp;"-"&amp;B151&amp;"-"&amp;C151)</f>
        <v/>
      </c>
      <c r="M151" s="8">
        <f>IF(OR(L151="",G151=""),"",IF(COUNTIF(L152:L$552,L151)=0,L151,""))</f>
        <v/>
      </c>
    </row>
    <row r="152">
      <c r="A152" s="40" t="n">
        <v>5</v>
      </c>
      <c r="B152" s="40" t="inlineStr">
        <is>
          <t>月</t>
        </is>
      </c>
      <c r="C152" s="40" t="n">
        <v>17</v>
      </c>
      <c r="D152" s="40" t="n">
        <v>7</v>
      </c>
      <c r="E152" s="40" t="n">
        <v>6</v>
      </c>
      <c r="F152" s="40" t="n">
        <v>4</v>
      </c>
      <c r="G152" s="3">
        <f>IF(L152="","",IFERROR(INDEX(前年度名簿!$D$2:$D$451,MATCH(L152,前年度名簿!$F$2:$F$451,0)),""))</f>
        <v/>
      </c>
      <c r="H152" s="44">
        <f>IF(D152="","",IF(ISERROR(VALUE(D152)),D152&amp;"",IF(AND(VALUE(D152)&gt;=1,VALUE(D152)&lt;=20),IF(INDEX(設定!$P$8:$P$27,VALUE(D152))="","？",INDEX(設定!$P$8:$P$27,VALUE(D152))),"？")))</f>
        <v/>
      </c>
      <c r="I152" s="44">
        <f>IF(E152="","",IF(ISERROR(VALUE(E152)),E152&amp;"",IF(AND(VALUE(E152)&gt;=1,VALUE(E152)&lt;=20),IF(INDEX(設定!$P$8:$P$27,VALUE(E152))="","？",INDEX(設定!$P$8:$P$27,VALUE(E152))),"？")))</f>
        <v/>
      </c>
      <c r="J152" s="44">
        <f>IF(F152="","",IF(ISERROR(VALUE(F152)),F152&amp;"",IF(AND(VALUE(F152)&gt;=1,VALUE(F152)&lt;=20),IF(INDEX(設定!$P$8:$P$27,VALUE(F152))="","？",INDEX(設定!$P$8:$P$27,VALUE(F152))),"？")))</f>
        <v/>
      </c>
      <c r="K152" s="45">
        <f>IF(L152="","",IF(G152="","名簿にいない",IF(COUNTIF(L153:L$552,L152)&gt;0,"2回提出（下の行を使います）",IF(OR(H152="？",I152="？",J152="？"),"クラブ番号がちがう",IF(OR(AND(H152&lt;&gt;"",H152&lt;&gt;"？",COUNTIF(設定!$P$8:$P$27,H152)=0),AND(I152&lt;&gt;"",I152&lt;&gt;"？",COUNTIF(設定!$P$8:$P$27,I152)=0),AND(J152&lt;&gt;"",J152&lt;&gt;"？",COUNTIF(設定!$P$8:$P$27,J152)=0)),"クラブ名がちがう",IF(H152="","第1希望がない",IF(OR(AND(H152&lt;&gt;"",H152=I152),AND(H152&lt;&gt;"",H152=J152),AND(I152&lt;&gt;"",I152=J152)),"同じクラブを重複して希望","OK")))))))</f>
        <v/>
      </c>
      <c r="L152" s="8">
        <f>IF(A152="","",A152&amp;"-"&amp;B152&amp;"-"&amp;C152)</f>
        <v/>
      </c>
      <c r="M152" s="8">
        <f>IF(OR(L152="",G152=""),"",IF(COUNTIF(L153:L$552,L152)=0,L152,""))</f>
        <v/>
      </c>
    </row>
    <row r="153">
      <c r="A153" s="40" t="n">
        <v>4</v>
      </c>
      <c r="B153" s="40" t="inlineStr">
        <is>
          <t>梅</t>
        </is>
      </c>
      <c r="C153" s="40" t="n">
        <v>12</v>
      </c>
      <c r="D153" s="40" t="n">
        <v>12</v>
      </c>
      <c r="E153" s="40" t="n">
        <v>11</v>
      </c>
      <c r="F153" s="40" t="n">
        <v>3</v>
      </c>
      <c r="G153" s="3">
        <f>IF(L153="","",IFERROR(INDEX(前年度名簿!$D$2:$D$451,MATCH(L153,前年度名簿!$F$2:$F$451,0)),""))</f>
        <v/>
      </c>
      <c r="H153" s="44">
        <f>IF(D153="","",IF(ISERROR(VALUE(D153)),D153&amp;"",IF(AND(VALUE(D153)&gt;=1,VALUE(D153)&lt;=20),IF(INDEX(設定!$P$8:$P$27,VALUE(D153))="","？",INDEX(設定!$P$8:$P$27,VALUE(D153))),"？")))</f>
        <v/>
      </c>
      <c r="I153" s="44">
        <f>IF(E153="","",IF(ISERROR(VALUE(E153)),E153&amp;"",IF(AND(VALUE(E153)&gt;=1,VALUE(E153)&lt;=20),IF(INDEX(設定!$P$8:$P$27,VALUE(E153))="","？",INDEX(設定!$P$8:$P$27,VALUE(E153))),"？")))</f>
        <v/>
      </c>
      <c r="J153" s="44">
        <f>IF(F153="","",IF(ISERROR(VALUE(F153)),F153&amp;"",IF(AND(VALUE(F153)&gt;=1,VALUE(F153)&lt;=20),IF(INDEX(設定!$P$8:$P$27,VALUE(F153))="","？",INDEX(設定!$P$8:$P$27,VALUE(F153))),"？")))</f>
        <v/>
      </c>
      <c r="K153" s="45">
        <f>IF(L153="","",IF(G153="","名簿にいない",IF(COUNTIF(L154:L$552,L153)&gt;0,"2回提出（下の行を使います）",IF(OR(H153="？",I153="？",J153="？"),"クラブ番号がちがう",IF(OR(AND(H153&lt;&gt;"",H153&lt;&gt;"？",COUNTIF(設定!$P$8:$P$27,H153)=0),AND(I153&lt;&gt;"",I153&lt;&gt;"？",COUNTIF(設定!$P$8:$P$27,I153)=0),AND(J153&lt;&gt;"",J153&lt;&gt;"？",COUNTIF(設定!$P$8:$P$27,J153)=0)),"クラブ名がちがう",IF(H153="","第1希望がない",IF(OR(AND(H153&lt;&gt;"",H153=I153),AND(H153&lt;&gt;"",H153=J153),AND(I153&lt;&gt;"",I153=J153)),"同じクラブを重複して希望","OK")))))))</f>
        <v/>
      </c>
      <c r="L153" s="8">
        <f>IF(A153="","",A153&amp;"-"&amp;B153&amp;"-"&amp;C153)</f>
        <v/>
      </c>
      <c r="M153" s="8">
        <f>IF(OR(L153="",G153=""),"",IF(COUNTIF(L154:L$552,L153)=0,L153,""))</f>
        <v/>
      </c>
    </row>
    <row r="154">
      <c r="A154" s="40" t="n">
        <v>3</v>
      </c>
      <c r="B154" s="40" t="inlineStr">
        <is>
          <t>松</t>
        </is>
      </c>
      <c r="C154" s="40" t="n">
        <v>5</v>
      </c>
      <c r="D154" s="40" t="n">
        <v>12</v>
      </c>
      <c r="E154" s="40" t="n">
        <v>8</v>
      </c>
      <c r="F154" s="40" t="n">
        <v>1</v>
      </c>
      <c r="G154" s="3">
        <f>IF(L154="","",IFERROR(INDEX(前年度名簿!$D$2:$D$451,MATCH(L154,前年度名簿!$F$2:$F$451,0)),""))</f>
        <v/>
      </c>
      <c r="H154" s="44">
        <f>IF(D154="","",IF(ISERROR(VALUE(D154)),D154&amp;"",IF(AND(VALUE(D154)&gt;=1,VALUE(D154)&lt;=20),IF(INDEX(設定!$P$8:$P$27,VALUE(D154))="","？",INDEX(設定!$P$8:$P$27,VALUE(D154))),"？")))</f>
        <v/>
      </c>
      <c r="I154" s="44">
        <f>IF(E154="","",IF(ISERROR(VALUE(E154)),E154&amp;"",IF(AND(VALUE(E154)&gt;=1,VALUE(E154)&lt;=20),IF(INDEX(設定!$P$8:$P$27,VALUE(E154))="","？",INDEX(設定!$P$8:$P$27,VALUE(E154))),"？")))</f>
        <v/>
      </c>
      <c r="J154" s="44">
        <f>IF(F154="","",IF(ISERROR(VALUE(F154)),F154&amp;"",IF(AND(VALUE(F154)&gt;=1,VALUE(F154)&lt;=20),IF(INDEX(設定!$P$8:$P$27,VALUE(F154))="","？",INDEX(設定!$P$8:$P$27,VALUE(F154))),"？")))</f>
        <v/>
      </c>
      <c r="K154" s="45">
        <f>IF(L154="","",IF(G154="","名簿にいない",IF(COUNTIF(L155:L$552,L154)&gt;0,"2回提出（下の行を使います）",IF(OR(H154="？",I154="？",J154="？"),"クラブ番号がちがう",IF(OR(AND(H154&lt;&gt;"",H154&lt;&gt;"？",COUNTIF(設定!$P$8:$P$27,H154)=0),AND(I154&lt;&gt;"",I154&lt;&gt;"？",COUNTIF(設定!$P$8:$P$27,I154)=0),AND(J154&lt;&gt;"",J154&lt;&gt;"？",COUNTIF(設定!$P$8:$P$27,J154)=0)),"クラブ名がちがう",IF(H154="","第1希望がない",IF(OR(AND(H154&lt;&gt;"",H154=I154),AND(H154&lt;&gt;"",H154=J154),AND(I154&lt;&gt;"",I154=J154)),"同じクラブを重複して希望","OK")))))))</f>
        <v/>
      </c>
      <c r="L154" s="8">
        <f>IF(A154="","",A154&amp;"-"&amp;B154&amp;"-"&amp;C154)</f>
        <v/>
      </c>
      <c r="M154" s="8">
        <f>IF(OR(L154="",G154=""),"",IF(COUNTIF(L155:L$552,L154)=0,L154,""))</f>
        <v/>
      </c>
    </row>
    <row r="155">
      <c r="A155" s="40" t="n">
        <v>3</v>
      </c>
      <c r="B155" s="40" t="inlineStr">
        <is>
          <t>月</t>
        </is>
      </c>
      <c r="C155" s="40" t="n">
        <v>22</v>
      </c>
      <c r="D155" s="40" t="n">
        <v>10</v>
      </c>
      <c r="E155" s="40" t="n">
        <v>7</v>
      </c>
      <c r="F155" s="40" t="n">
        <v>2</v>
      </c>
      <c r="G155" s="3">
        <f>IF(L155="","",IFERROR(INDEX(前年度名簿!$D$2:$D$451,MATCH(L155,前年度名簿!$F$2:$F$451,0)),""))</f>
        <v/>
      </c>
      <c r="H155" s="44">
        <f>IF(D155="","",IF(ISERROR(VALUE(D155)),D155&amp;"",IF(AND(VALUE(D155)&gt;=1,VALUE(D155)&lt;=20),IF(INDEX(設定!$P$8:$P$27,VALUE(D155))="","？",INDEX(設定!$P$8:$P$27,VALUE(D155))),"？")))</f>
        <v/>
      </c>
      <c r="I155" s="44">
        <f>IF(E155="","",IF(ISERROR(VALUE(E155)),E155&amp;"",IF(AND(VALUE(E155)&gt;=1,VALUE(E155)&lt;=20),IF(INDEX(設定!$P$8:$P$27,VALUE(E155))="","？",INDEX(設定!$P$8:$P$27,VALUE(E155))),"？")))</f>
        <v/>
      </c>
      <c r="J155" s="44">
        <f>IF(F155="","",IF(ISERROR(VALUE(F155)),F155&amp;"",IF(AND(VALUE(F155)&gt;=1,VALUE(F155)&lt;=20),IF(INDEX(設定!$P$8:$P$27,VALUE(F155))="","？",INDEX(設定!$P$8:$P$27,VALUE(F155))),"？")))</f>
        <v/>
      </c>
      <c r="K155" s="45">
        <f>IF(L155="","",IF(G155="","名簿にいない",IF(COUNTIF(L156:L$552,L155)&gt;0,"2回提出（下の行を使います）",IF(OR(H155="？",I155="？",J155="？"),"クラブ番号がちがう",IF(OR(AND(H155&lt;&gt;"",H155&lt;&gt;"？",COUNTIF(設定!$P$8:$P$27,H155)=0),AND(I155&lt;&gt;"",I155&lt;&gt;"？",COUNTIF(設定!$P$8:$P$27,I155)=0),AND(J155&lt;&gt;"",J155&lt;&gt;"？",COUNTIF(設定!$P$8:$P$27,J155)=0)),"クラブ名がちがう",IF(H155="","第1希望がない",IF(OR(AND(H155&lt;&gt;"",H155=I155),AND(H155&lt;&gt;"",H155=J155),AND(I155&lt;&gt;"",I155=J155)),"同じクラブを重複して希望","OK")))))))</f>
        <v/>
      </c>
      <c r="L155" s="8">
        <f>IF(A155="","",A155&amp;"-"&amp;B155&amp;"-"&amp;C155)</f>
        <v/>
      </c>
      <c r="M155" s="8">
        <f>IF(OR(L155="",G155=""),"",IF(COUNTIF(L156:L$552,L155)=0,L155,""))</f>
        <v/>
      </c>
    </row>
    <row r="156">
      <c r="A156" s="40" t="n">
        <v>5</v>
      </c>
      <c r="B156" s="40" t="inlineStr">
        <is>
          <t>竹</t>
        </is>
      </c>
      <c r="C156" s="40" t="n">
        <v>28</v>
      </c>
      <c r="D156" s="40" t="n">
        <v>10</v>
      </c>
      <c r="E156" s="40" t="n">
        <v>7</v>
      </c>
      <c r="F156" s="40" t="n">
        <v>9</v>
      </c>
      <c r="G156" s="3">
        <f>IF(L156="","",IFERROR(INDEX(前年度名簿!$D$2:$D$451,MATCH(L156,前年度名簿!$F$2:$F$451,0)),""))</f>
        <v/>
      </c>
      <c r="H156" s="44">
        <f>IF(D156="","",IF(ISERROR(VALUE(D156)),D156&amp;"",IF(AND(VALUE(D156)&gt;=1,VALUE(D156)&lt;=20),IF(INDEX(設定!$P$8:$P$27,VALUE(D156))="","？",INDEX(設定!$P$8:$P$27,VALUE(D156))),"？")))</f>
        <v/>
      </c>
      <c r="I156" s="44">
        <f>IF(E156="","",IF(ISERROR(VALUE(E156)),E156&amp;"",IF(AND(VALUE(E156)&gt;=1,VALUE(E156)&lt;=20),IF(INDEX(設定!$P$8:$P$27,VALUE(E156))="","？",INDEX(設定!$P$8:$P$27,VALUE(E156))),"？")))</f>
        <v/>
      </c>
      <c r="J156" s="44">
        <f>IF(F156="","",IF(ISERROR(VALUE(F156)),F156&amp;"",IF(AND(VALUE(F156)&gt;=1,VALUE(F156)&lt;=20),IF(INDEX(設定!$P$8:$P$27,VALUE(F156))="","？",INDEX(設定!$P$8:$P$27,VALUE(F156))),"？")))</f>
        <v/>
      </c>
      <c r="K156" s="45">
        <f>IF(L156="","",IF(G156="","名簿にいない",IF(COUNTIF(L157:L$552,L156)&gt;0,"2回提出（下の行を使います）",IF(OR(H156="？",I156="？",J156="？"),"クラブ番号がちがう",IF(OR(AND(H156&lt;&gt;"",H156&lt;&gt;"？",COUNTIF(設定!$P$8:$P$27,H156)=0),AND(I156&lt;&gt;"",I156&lt;&gt;"？",COUNTIF(設定!$P$8:$P$27,I156)=0),AND(J156&lt;&gt;"",J156&lt;&gt;"？",COUNTIF(設定!$P$8:$P$27,J156)=0)),"クラブ名がちがう",IF(H156="","第1希望がない",IF(OR(AND(H156&lt;&gt;"",H156=I156),AND(H156&lt;&gt;"",H156=J156),AND(I156&lt;&gt;"",I156=J156)),"同じクラブを重複して希望","OK")))))))</f>
        <v/>
      </c>
      <c r="L156" s="8">
        <f>IF(A156="","",A156&amp;"-"&amp;B156&amp;"-"&amp;C156)</f>
        <v/>
      </c>
      <c r="M156" s="8">
        <f>IF(OR(L156="",G156=""),"",IF(COUNTIF(L157:L$552,L156)=0,L156,""))</f>
        <v/>
      </c>
    </row>
    <row r="157">
      <c r="A157" s="40" t="n">
        <v>4</v>
      </c>
      <c r="B157" s="40" t="inlineStr">
        <is>
          <t>月</t>
        </is>
      </c>
      <c r="C157" s="40" t="n">
        <v>14</v>
      </c>
      <c r="D157" s="40" t="n">
        <v>1</v>
      </c>
      <c r="E157" s="40" t="n">
        <v>8</v>
      </c>
      <c r="F157" s="40" t="n">
        <v>4</v>
      </c>
      <c r="G157" s="3">
        <f>IF(L157="","",IFERROR(INDEX(前年度名簿!$D$2:$D$451,MATCH(L157,前年度名簿!$F$2:$F$451,0)),""))</f>
        <v/>
      </c>
      <c r="H157" s="44">
        <f>IF(D157="","",IF(ISERROR(VALUE(D157)),D157&amp;"",IF(AND(VALUE(D157)&gt;=1,VALUE(D157)&lt;=20),IF(INDEX(設定!$P$8:$P$27,VALUE(D157))="","？",INDEX(設定!$P$8:$P$27,VALUE(D157))),"？")))</f>
        <v/>
      </c>
      <c r="I157" s="44">
        <f>IF(E157="","",IF(ISERROR(VALUE(E157)),E157&amp;"",IF(AND(VALUE(E157)&gt;=1,VALUE(E157)&lt;=20),IF(INDEX(設定!$P$8:$P$27,VALUE(E157))="","？",INDEX(設定!$P$8:$P$27,VALUE(E157))),"？")))</f>
        <v/>
      </c>
      <c r="J157" s="44">
        <f>IF(F157="","",IF(ISERROR(VALUE(F157)),F157&amp;"",IF(AND(VALUE(F157)&gt;=1,VALUE(F157)&lt;=20),IF(INDEX(設定!$P$8:$P$27,VALUE(F157))="","？",INDEX(設定!$P$8:$P$27,VALUE(F157))),"？")))</f>
        <v/>
      </c>
      <c r="K157" s="45">
        <f>IF(L157="","",IF(G157="","名簿にいない",IF(COUNTIF(L158:L$552,L157)&gt;0,"2回提出（下の行を使います）",IF(OR(H157="？",I157="？",J157="？"),"クラブ番号がちがう",IF(OR(AND(H157&lt;&gt;"",H157&lt;&gt;"？",COUNTIF(設定!$P$8:$P$27,H157)=0),AND(I157&lt;&gt;"",I157&lt;&gt;"？",COUNTIF(設定!$P$8:$P$27,I157)=0),AND(J157&lt;&gt;"",J157&lt;&gt;"？",COUNTIF(設定!$P$8:$P$27,J157)=0)),"クラブ名がちがう",IF(H157="","第1希望がない",IF(OR(AND(H157&lt;&gt;"",H157=I157),AND(H157&lt;&gt;"",H157=J157),AND(I157&lt;&gt;"",I157=J157)),"同じクラブを重複して希望","OK")))))))</f>
        <v/>
      </c>
      <c r="L157" s="8">
        <f>IF(A157="","",A157&amp;"-"&amp;B157&amp;"-"&amp;C157)</f>
        <v/>
      </c>
      <c r="M157" s="8">
        <f>IF(OR(L157="",G157=""),"",IF(COUNTIF(L158:L$552,L157)=0,L157,""))</f>
        <v/>
      </c>
    </row>
    <row r="158">
      <c r="A158" s="40" t="n">
        <v>5</v>
      </c>
      <c r="B158" s="40" t="inlineStr">
        <is>
          <t>松</t>
        </is>
      </c>
      <c r="C158" s="40" t="n">
        <v>21</v>
      </c>
      <c r="D158" s="40" t="n">
        <v>8</v>
      </c>
      <c r="E158" s="40" t="n">
        <v>1</v>
      </c>
      <c r="F158" s="40" t="n">
        <v>12</v>
      </c>
      <c r="G158" s="3">
        <f>IF(L158="","",IFERROR(INDEX(前年度名簿!$D$2:$D$451,MATCH(L158,前年度名簿!$F$2:$F$451,0)),""))</f>
        <v/>
      </c>
      <c r="H158" s="44">
        <f>IF(D158="","",IF(ISERROR(VALUE(D158)),D158&amp;"",IF(AND(VALUE(D158)&gt;=1,VALUE(D158)&lt;=20),IF(INDEX(設定!$P$8:$P$27,VALUE(D158))="","？",INDEX(設定!$P$8:$P$27,VALUE(D158))),"？")))</f>
        <v/>
      </c>
      <c r="I158" s="44">
        <f>IF(E158="","",IF(ISERROR(VALUE(E158)),E158&amp;"",IF(AND(VALUE(E158)&gt;=1,VALUE(E158)&lt;=20),IF(INDEX(設定!$P$8:$P$27,VALUE(E158))="","？",INDEX(設定!$P$8:$P$27,VALUE(E158))),"？")))</f>
        <v/>
      </c>
      <c r="J158" s="44">
        <f>IF(F158="","",IF(ISERROR(VALUE(F158)),F158&amp;"",IF(AND(VALUE(F158)&gt;=1,VALUE(F158)&lt;=20),IF(INDEX(設定!$P$8:$P$27,VALUE(F158))="","？",INDEX(設定!$P$8:$P$27,VALUE(F158))),"？")))</f>
        <v/>
      </c>
      <c r="K158" s="45">
        <f>IF(L158="","",IF(G158="","名簿にいない",IF(COUNTIF(L159:L$552,L158)&gt;0,"2回提出（下の行を使います）",IF(OR(H158="？",I158="？",J158="？"),"クラブ番号がちがう",IF(OR(AND(H158&lt;&gt;"",H158&lt;&gt;"？",COUNTIF(設定!$P$8:$P$27,H158)=0),AND(I158&lt;&gt;"",I158&lt;&gt;"？",COUNTIF(設定!$P$8:$P$27,I158)=0),AND(J158&lt;&gt;"",J158&lt;&gt;"？",COUNTIF(設定!$P$8:$P$27,J158)=0)),"クラブ名がちがう",IF(H158="","第1希望がない",IF(OR(AND(H158&lt;&gt;"",H158=I158),AND(H158&lt;&gt;"",H158=J158),AND(I158&lt;&gt;"",I158=J158)),"同じクラブを重複して希望","OK")))))))</f>
        <v/>
      </c>
      <c r="L158" s="8">
        <f>IF(A158="","",A158&amp;"-"&amp;B158&amp;"-"&amp;C158)</f>
        <v/>
      </c>
      <c r="M158" s="8">
        <f>IF(OR(L158="",G158=""),"",IF(COUNTIF(L159:L$552,L158)=0,L158,""))</f>
        <v/>
      </c>
    </row>
    <row r="159">
      <c r="A159" s="40" t="n">
        <v>3</v>
      </c>
      <c r="B159" s="40" t="inlineStr">
        <is>
          <t>松</t>
        </is>
      </c>
      <c r="C159" s="40" t="n">
        <v>10</v>
      </c>
      <c r="D159" s="40" t="n">
        <v>3</v>
      </c>
      <c r="E159" s="40" t="n">
        <v>7</v>
      </c>
      <c r="F159" s="40" t="n">
        <v>12</v>
      </c>
      <c r="G159" s="3">
        <f>IF(L159="","",IFERROR(INDEX(前年度名簿!$D$2:$D$451,MATCH(L159,前年度名簿!$F$2:$F$451,0)),""))</f>
        <v/>
      </c>
      <c r="H159" s="44">
        <f>IF(D159="","",IF(ISERROR(VALUE(D159)),D159&amp;"",IF(AND(VALUE(D159)&gt;=1,VALUE(D159)&lt;=20),IF(INDEX(設定!$P$8:$P$27,VALUE(D159))="","？",INDEX(設定!$P$8:$P$27,VALUE(D159))),"？")))</f>
        <v/>
      </c>
      <c r="I159" s="44">
        <f>IF(E159="","",IF(ISERROR(VALUE(E159)),E159&amp;"",IF(AND(VALUE(E159)&gt;=1,VALUE(E159)&lt;=20),IF(INDEX(設定!$P$8:$P$27,VALUE(E159))="","？",INDEX(設定!$P$8:$P$27,VALUE(E159))),"？")))</f>
        <v/>
      </c>
      <c r="J159" s="44">
        <f>IF(F159="","",IF(ISERROR(VALUE(F159)),F159&amp;"",IF(AND(VALUE(F159)&gt;=1,VALUE(F159)&lt;=20),IF(INDEX(設定!$P$8:$P$27,VALUE(F159))="","？",INDEX(設定!$P$8:$P$27,VALUE(F159))),"？")))</f>
        <v/>
      </c>
      <c r="K159" s="45">
        <f>IF(L159="","",IF(G159="","名簿にいない",IF(COUNTIF(L160:L$552,L159)&gt;0,"2回提出（下の行を使います）",IF(OR(H159="？",I159="？",J159="？"),"クラブ番号がちがう",IF(OR(AND(H159&lt;&gt;"",H159&lt;&gt;"？",COUNTIF(設定!$P$8:$P$27,H159)=0),AND(I159&lt;&gt;"",I159&lt;&gt;"？",COUNTIF(設定!$P$8:$P$27,I159)=0),AND(J159&lt;&gt;"",J159&lt;&gt;"？",COUNTIF(設定!$P$8:$P$27,J159)=0)),"クラブ名がちがう",IF(H159="","第1希望がない",IF(OR(AND(H159&lt;&gt;"",H159=I159),AND(H159&lt;&gt;"",H159=J159),AND(I159&lt;&gt;"",I159=J159)),"同じクラブを重複して希望","OK")))))))</f>
        <v/>
      </c>
      <c r="L159" s="8">
        <f>IF(A159="","",A159&amp;"-"&amp;B159&amp;"-"&amp;C159)</f>
        <v/>
      </c>
      <c r="M159" s="8">
        <f>IF(OR(L159="",G159=""),"",IF(COUNTIF(L160:L$552,L159)=0,L159,""))</f>
        <v/>
      </c>
    </row>
    <row r="160">
      <c r="A160" s="40" t="n">
        <v>4</v>
      </c>
      <c r="B160" s="40" t="inlineStr">
        <is>
          <t>月</t>
        </is>
      </c>
      <c r="C160" s="40" t="n">
        <v>4</v>
      </c>
      <c r="D160" s="40" t="n">
        <v>4</v>
      </c>
      <c r="E160" s="40" t="n">
        <v>5</v>
      </c>
      <c r="F160" s="40" t="n">
        <v>10</v>
      </c>
      <c r="G160" s="3">
        <f>IF(L160="","",IFERROR(INDEX(前年度名簿!$D$2:$D$451,MATCH(L160,前年度名簿!$F$2:$F$451,0)),""))</f>
        <v/>
      </c>
      <c r="H160" s="44">
        <f>IF(D160="","",IF(ISERROR(VALUE(D160)),D160&amp;"",IF(AND(VALUE(D160)&gt;=1,VALUE(D160)&lt;=20),IF(INDEX(設定!$P$8:$P$27,VALUE(D160))="","？",INDEX(設定!$P$8:$P$27,VALUE(D160))),"？")))</f>
        <v/>
      </c>
      <c r="I160" s="44">
        <f>IF(E160="","",IF(ISERROR(VALUE(E160)),E160&amp;"",IF(AND(VALUE(E160)&gt;=1,VALUE(E160)&lt;=20),IF(INDEX(設定!$P$8:$P$27,VALUE(E160))="","？",INDEX(設定!$P$8:$P$27,VALUE(E160))),"？")))</f>
        <v/>
      </c>
      <c r="J160" s="44">
        <f>IF(F160="","",IF(ISERROR(VALUE(F160)),F160&amp;"",IF(AND(VALUE(F160)&gt;=1,VALUE(F160)&lt;=20),IF(INDEX(設定!$P$8:$P$27,VALUE(F160))="","？",INDEX(設定!$P$8:$P$27,VALUE(F160))),"？")))</f>
        <v/>
      </c>
      <c r="K160" s="45">
        <f>IF(L160="","",IF(G160="","名簿にいない",IF(COUNTIF(L161:L$552,L160)&gt;0,"2回提出（下の行を使います）",IF(OR(H160="？",I160="？",J160="？"),"クラブ番号がちがう",IF(OR(AND(H160&lt;&gt;"",H160&lt;&gt;"？",COUNTIF(設定!$P$8:$P$27,H160)=0),AND(I160&lt;&gt;"",I160&lt;&gt;"？",COUNTIF(設定!$P$8:$P$27,I160)=0),AND(J160&lt;&gt;"",J160&lt;&gt;"？",COUNTIF(設定!$P$8:$P$27,J160)=0)),"クラブ名がちがう",IF(H160="","第1希望がない",IF(OR(AND(H160&lt;&gt;"",H160=I160),AND(H160&lt;&gt;"",H160=J160),AND(I160&lt;&gt;"",I160=J160)),"同じクラブを重複して希望","OK")))))))</f>
        <v/>
      </c>
      <c r="L160" s="8">
        <f>IF(A160="","",A160&amp;"-"&amp;B160&amp;"-"&amp;C160)</f>
        <v/>
      </c>
      <c r="M160" s="8">
        <f>IF(OR(L160="",G160=""),"",IF(COUNTIF(L161:L$552,L160)=0,L160,""))</f>
        <v/>
      </c>
    </row>
    <row r="161">
      <c r="A161" s="40" t="n">
        <v>3</v>
      </c>
      <c r="B161" s="40" t="inlineStr">
        <is>
          <t>竹</t>
        </is>
      </c>
      <c r="C161" s="40" t="n">
        <v>24</v>
      </c>
      <c r="D161" s="40" t="n">
        <v>7</v>
      </c>
      <c r="E161" s="40" t="n">
        <v>6</v>
      </c>
      <c r="F161" s="40" t="n">
        <v>10</v>
      </c>
      <c r="G161" s="3">
        <f>IF(L161="","",IFERROR(INDEX(前年度名簿!$D$2:$D$451,MATCH(L161,前年度名簿!$F$2:$F$451,0)),""))</f>
        <v/>
      </c>
      <c r="H161" s="44">
        <f>IF(D161="","",IF(ISERROR(VALUE(D161)),D161&amp;"",IF(AND(VALUE(D161)&gt;=1,VALUE(D161)&lt;=20),IF(INDEX(設定!$P$8:$P$27,VALUE(D161))="","？",INDEX(設定!$P$8:$P$27,VALUE(D161))),"？")))</f>
        <v/>
      </c>
      <c r="I161" s="44">
        <f>IF(E161="","",IF(ISERROR(VALUE(E161)),E161&amp;"",IF(AND(VALUE(E161)&gt;=1,VALUE(E161)&lt;=20),IF(INDEX(設定!$P$8:$P$27,VALUE(E161))="","？",INDEX(設定!$P$8:$P$27,VALUE(E161))),"？")))</f>
        <v/>
      </c>
      <c r="J161" s="44">
        <f>IF(F161="","",IF(ISERROR(VALUE(F161)),F161&amp;"",IF(AND(VALUE(F161)&gt;=1,VALUE(F161)&lt;=20),IF(INDEX(設定!$P$8:$P$27,VALUE(F161))="","？",INDEX(設定!$P$8:$P$27,VALUE(F161))),"？")))</f>
        <v/>
      </c>
      <c r="K161" s="45">
        <f>IF(L161="","",IF(G161="","名簿にいない",IF(COUNTIF(L162:L$552,L161)&gt;0,"2回提出（下の行を使います）",IF(OR(H161="？",I161="？",J161="？"),"クラブ番号がちがう",IF(OR(AND(H161&lt;&gt;"",H161&lt;&gt;"？",COUNTIF(設定!$P$8:$P$27,H161)=0),AND(I161&lt;&gt;"",I161&lt;&gt;"？",COUNTIF(設定!$P$8:$P$27,I161)=0),AND(J161&lt;&gt;"",J161&lt;&gt;"？",COUNTIF(設定!$P$8:$P$27,J161)=0)),"クラブ名がちがう",IF(H161="","第1希望がない",IF(OR(AND(H161&lt;&gt;"",H161=I161),AND(H161&lt;&gt;"",H161=J161),AND(I161&lt;&gt;"",I161=J161)),"同じクラブを重複して希望","OK")))))))</f>
        <v/>
      </c>
      <c r="L161" s="8">
        <f>IF(A161="","",A161&amp;"-"&amp;B161&amp;"-"&amp;C161)</f>
        <v/>
      </c>
      <c r="M161" s="8">
        <f>IF(OR(L161="",G161=""),"",IF(COUNTIF(L162:L$552,L161)=0,L161,""))</f>
        <v/>
      </c>
    </row>
    <row r="162">
      <c r="A162" s="40" t="n">
        <v>3</v>
      </c>
      <c r="B162" s="40" t="inlineStr">
        <is>
          <t>松</t>
        </is>
      </c>
      <c r="C162" s="40" t="n">
        <v>9</v>
      </c>
      <c r="D162" s="40" t="n">
        <v>11</v>
      </c>
      <c r="E162" s="40" t="n">
        <v>12</v>
      </c>
      <c r="F162" s="40" t="n">
        <v>5</v>
      </c>
      <c r="G162" s="3">
        <f>IF(L162="","",IFERROR(INDEX(前年度名簿!$D$2:$D$451,MATCH(L162,前年度名簿!$F$2:$F$451,0)),""))</f>
        <v/>
      </c>
      <c r="H162" s="44">
        <f>IF(D162="","",IF(ISERROR(VALUE(D162)),D162&amp;"",IF(AND(VALUE(D162)&gt;=1,VALUE(D162)&lt;=20),IF(INDEX(設定!$P$8:$P$27,VALUE(D162))="","？",INDEX(設定!$P$8:$P$27,VALUE(D162))),"？")))</f>
        <v/>
      </c>
      <c r="I162" s="44">
        <f>IF(E162="","",IF(ISERROR(VALUE(E162)),E162&amp;"",IF(AND(VALUE(E162)&gt;=1,VALUE(E162)&lt;=20),IF(INDEX(設定!$P$8:$P$27,VALUE(E162))="","？",INDEX(設定!$P$8:$P$27,VALUE(E162))),"？")))</f>
        <v/>
      </c>
      <c r="J162" s="44">
        <f>IF(F162="","",IF(ISERROR(VALUE(F162)),F162&amp;"",IF(AND(VALUE(F162)&gt;=1,VALUE(F162)&lt;=20),IF(INDEX(設定!$P$8:$P$27,VALUE(F162))="","？",INDEX(設定!$P$8:$P$27,VALUE(F162))),"？")))</f>
        <v/>
      </c>
      <c r="K162" s="45">
        <f>IF(L162="","",IF(G162="","名簿にいない",IF(COUNTIF(L163:L$552,L162)&gt;0,"2回提出（下の行を使います）",IF(OR(H162="？",I162="？",J162="？"),"クラブ番号がちがう",IF(OR(AND(H162&lt;&gt;"",H162&lt;&gt;"？",COUNTIF(設定!$P$8:$P$27,H162)=0),AND(I162&lt;&gt;"",I162&lt;&gt;"？",COUNTIF(設定!$P$8:$P$27,I162)=0),AND(J162&lt;&gt;"",J162&lt;&gt;"？",COUNTIF(設定!$P$8:$P$27,J162)=0)),"クラブ名がちがう",IF(H162="","第1希望がない",IF(OR(AND(H162&lt;&gt;"",H162=I162),AND(H162&lt;&gt;"",H162=J162),AND(I162&lt;&gt;"",I162=J162)),"同じクラブを重複して希望","OK")))))))</f>
        <v/>
      </c>
      <c r="L162" s="8">
        <f>IF(A162="","",A162&amp;"-"&amp;B162&amp;"-"&amp;C162)</f>
        <v/>
      </c>
      <c r="M162" s="8">
        <f>IF(OR(L162="",G162=""),"",IF(COUNTIF(L163:L$552,L162)=0,L162,""))</f>
        <v/>
      </c>
    </row>
    <row r="163">
      <c r="A163" s="40" t="n">
        <v>4</v>
      </c>
      <c r="B163" s="40" t="inlineStr">
        <is>
          <t>梅</t>
        </is>
      </c>
      <c r="C163" s="40" t="n">
        <v>24</v>
      </c>
      <c r="D163" s="40" t="n">
        <v>12</v>
      </c>
      <c r="E163" s="40" t="n">
        <v>7</v>
      </c>
      <c r="F163" s="40" t="n">
        <v>11</v>
      </c>
      <c r="G163" s="3">
        <f>IF(L163="","",IFERROR(INDEX(前年度名簿!$D$2:$D$451,MATCH(L163,前年度名簿!$F$2:$F$451,0)),""))</f>
        <v/>
      </c>
      <c r="H163" s="44">
        <f>IF(D163="","",IF(ISERROR(VALUE(D163)),D163&amp;"",IF(AND(VALUE(D163)&gt;=1,VALUE(D163)&lt;=20),IF(INDEX(設定!$P$8:$P$27,VALUE(D163))="","？",INDEX(設定!$P$8:$P$27,VALUE(D163))),"？")))</f>
        <v/>
      </c>
      <c r="I163" s="44">
        <f>IF(E163="","",IF(ISERROR(VALUE(E163)),E163&amp;"",IF(AND(VALUE(E163)&gt;=1,VALUE(E163)&lt;=20),IF(INDEX(設定!$P$8:$P$27,VALUE(E163))="","？",INDEX(設定!$P$8:$P$27,VALUE(E163))),"？")))</f>
        <v/>
      </c>
      <c r="J163" s="44">
        <f>IF(F163="","",IF(ISERROR(VALUE(F163)),F163&amp;"",IF(AND(VALUE(F163)&gt;=1,VALUE(F163)&lt;=20),IF(INDEX(設定!$P$8:$P$27,VALUE(F163))="","？",INDEX(設定!$P$8:$P$27,VALUE(F163))),"？")))</f>
        <v/>
      </c>
      <c r="K163" s="45">
        <f>IF(L163="","",IF(G163="","名簿にいない",IF(COUNTIF(L164:L$552,L163)&gt;0,"2回提出（下の行を使います）",IF(OR(H163="？",I163="？",J163="？"),"クラブ番号がちがう",IF(OR(AND(H163&lt;&gt;"",H163&lt;&gt;"？",COUNTIF(設定!$P$8:$P$27,H163)=0),AND(I163&lt;&gt;"",I163&lt;&gt;"？",COUNTIF(設定!$P$8:$P$27,I163)=0),AND(J163&lt;&gt;"",J163&lt;&gt;"？",COUNTIF(設定!$P$8:$P$27,J163)=0)),"クラブ名がちがう",IF(H163="","第1希望がない",IF(OR(AND(H163&lt;&gt;"",H163=I163),AND(H163&lt;&gt;"",H163=J163),AND(I163&lt;&gt;"",I163=J163)),"同じクラブを重複して希望","OK")))))))</f>
        <v/>
      </c>
      <c r="L163" s="8">
        <f>IF(A163="","",A163&amp;"-"&amp;B163&amp;"-"&amp;C163)</f>
        <v/>
      </c>
      <c r="M163" s="8">
        <f>IF(OR(L163="",G163=""),"",IF(COUNTIF(L164:L$552,L163)=0,L163,""))</f>
        <v/>
      </c>
    </row>
    <row r="164">
      <c r="A164" s="40" t="n">
        <v>4</v>
      </c>
      <c r="B164" s="40" t="inlineStr">
        <is>
          <t>松</t>
        </is>
      </c>
      <c r="C164" s="40" t="n">
        <v>8</v>
      </c>
      <c r="D164" s="40" t="n">
        <v>10</v>
      </c>
      <c r="E164" s="40" t="n">
        <v>3</v>
      </c>
      <c r="F164" s="40" t="n">
        <v>4</v>
      </c>
      <c r="G164" s="3">
        <f>IF(L164="","",IFERROR(INDEX(前年度名簿!$D$2:$D$451,MATCH(L164,前年度名簿!$F$2:$F$451,0)),""))</f>
        <v/>
      </c>
      <c r="H164" s="44">
        <f>IF(D164="","",IF(ISERROR(VALUE(D164)),D164&amp;"",IF(AND(VALUE(D164)&gt;=1,VALUE(D164)&lt;=20),IF(INDEX(設定!$P$8:$P$27,VALUE(D164))="","？",INDEX(設定!$P$8:$P$27,VALUE(D164))),"？")))</f>
        <v/>
      </c>
      <c r="I164" s="44">
        <f>IF(E164="","",IF(ISERROR(VALUE(E164)),E164&amp;"",IF(AND(VALUE(E164)&gt;=1,VALUE(E164)&lt;=20),IF(INDEX(設定!$P$8:$P$27,VALUE(E164))="","？",INDEX(設定!$P$8:$P$27,VALUE(E164))),"？")))</f>
        <v/>
      </c>
      <c r="J164" s="44">
        <f>IF(F164="","",IF(ISERROR(VALUE(F164)),F164&amp;"",IF(AND(VALUE(F164)&gt;=1,VALUE(F164)&lt;=20),IF(INDEX(設定!$P$8:$P$27,VALUE(F164))="","？",INDEX(設定!$P$8:$P$27,VALUE(F164))),"？")))</f>
        <v/>
      </c>
      <c r="K164" s="45">
        <f>IF(L164="","",IF(G164="","名簿にいない",IF(COUNTIF(L165:L$552,L164)&gt;0,"2回提出（下の行を使います）",IF(OR(H164="？",I164="？",J164="？"),"クラブ番号がちがう",IF(OR(AND(H164&lt;&gt;"",H164&lt;&gt;"？",COUNTIF(設定!$P$8:$P$27,H164)=0),AND(I164&lt;&gt;"",I164&lt;&gt;"？",COUNTIF(設定!$P$8:$P$27,I164)=0),AND(J164&lt;&gt;"",J164&lt;&gt;"？",COUNTIF(設定!$P$8:$P$27,J164)=0)),"クラブ名がちがう",IF(H164="","第1希望がない",IF(OR(AND(H164&lt;&gt;"",H164=I164),AND(H164&lt;&gt;"",H164=J164),AND(I164&lt;&gt;"",I164=J164)),"同じクラブを重複して希望","OK")))))))</f>
        <v/>
      </c>
      <c r="L164" s="8">
        <f>IF(A164="","",A164&amp;"-"&amp;B164&amp;"-"&amp;C164)</f>
        <v/>
      </c>
      <c r="M164" s="8">
        <f>IF(OR(L164="",G164=""),"",IF(COUNTIF(L165:L$552,L164)=0,L164,""))</f>
        <v/>
      </c>
    </row>
    <row r="165">
      <c r="A165" s="40" t="n">
        <v>5</v>
      </c>
      <c r="B165" s="40" t="inlineStr">
        <is>
          <t>梅</t>
        </is>
      </c>
      <c r="C165" s="40" t="n">
        <v>1</v>
      </c>
      <c r="D165" s="40" t="n">
        <v>10</v>
      </c>
      <c r="E165" s="40" t="n">
        <v>2</v>
      </c>
      <c r="F165" s="40" t="n">
        <v>3</v>
      </c>
      <c r="G165" s="3">
        <f>IF(L165="","",IFERROR(INDEX(前年度名簿!$D$2:$D$451,MATCH(L165,前年度名簿!$F$2:$F$451,0)),""))</f>
        <v/>
      </c>
      <c r="H165" s="44">
        <f>IF(D165="","",IF(ISERROR(VALUE(D165)),D165&amp;"",IF(AND(VALUE(D165)&gt;=1,VALUE(D165)&lt;=20),IF(INDEX(設定!$P$8:$P$27,VALUE(D165))="","？",INDEX(設定!$P$8:$P$27,VALUE(D165))),"？")))</f>
        <v/>
      </c>
      <c r="I165" s="44">
        <f>IF(E165="","",IF(ISERROR(VALUE(E165)),E165&amp;"",IF(AND(VALUE(E165)&gt;=1,VALUE(E165)&lt;=20),IF(INDEX(設定!$P$8:$P$27,VALUE(E165))="","？",INDEX(設定!$P$8:$P$27,VALUE(E165))),"？")))</f>
        <v/>
      </c>
      <c r="J165" s="44">
        <f>IF(F165="","",IF(ISERROR(VALUE(F165)),F165&amp;"",IF(AND(VALUE(F165)&gt;=1,VALUE(F165)&lt;=20),IF(INDEX(設定!$P$8:$P$27,VALUE(F165))="","？",INDEX(設定!$P$8:$P$27,VALUE(F165))),"？")))</f>
        <v/>
      </c>
      <c r="K165" s="45">
        <f>IF(L165="","",IF(G165="","名簿にいない",IF(COUNTIF(L166:L$552,L165)&gt;0,"2回提出（下の行を使います）",IF(OR(H165="？",I165="？",J165="？"),"クラブ番号がちがう",IF(OR(AND(H165&lt;&gt;"",H165&lt;&gt;"？",COUNTIF(設定!$P$8:$P$27,H165)=0),AND(I165&lt;&gt;"",I165&lt;&gt;"？",COUNTIF(設定!$P$8:$P$27,I165)=0),AND(J165&lt;&gt;"",J165&lt;&gt;"？",COUNTIF(設定!$P$8:$P$27,J165)=0)),"クラブ名がちがう",IF(H165="","第1希望がない",IF(OR(AND(H165&lt;&gt;"",H165=I165),AND(H165&lt;&gt;"",H165=J165),AND(I165&lt;&gt;"",I165=J165)),"同じクラブを重複して希望","OK")))))))</f>
        <v/>
      </c>
      <c r="L165" s="8">
        <f>IF(A165="","",A165&amp;"-"&amp;B165&amp;"-"&amp;C165)</f>
        <v/>
      </c>
      <c r="M165" s="8">
        <f>IF(OR(L165="",G165=""),"",IF(COUNTIF(L166:L$552,L165)=0,L165,""))</f>
        <v/>
      </c>
    </row>
    <row r="166">
      <c r="A166" s="40" t="n">
        <v>3</v>
      </c>
      <c r="B166" s="40" t="inlineStr">
        <is>
          <t>梅</t>
        </is>
      </c>
      <c r="C166" s="40" t="n">
        <v>19</v>
      </c>
      <c r="D166" s="40" t="n">
        <v>8</v>
      </c>
      <c r="E166" s="40" t="n">
        <v>10</v>
      </c>
      <c r="F166" s="40" t="n">
        <v>9</v>
      </c>
      <c r="G166" s="3">
        <f>IF(L166="","",IFERROR(INDEX(前年度名簿!$D$2:$D$451,MATCH(L166,前年度名簿!$F$2:$F$451,0)),""))</f>
        <v/>
      </c>
      <c r="H166" s="44">
        <f>IF(D166="","",IF(ISERROR(VALUE(D166)),D166&amp;"",IF(AND(VALUE(D166)&gt;=1,VALUE(D166)&lt;=20),IF(INDEX(設定!$P$8:$P$27,VALUE(D166))="","？",INDEX(設定!$P$8:$P$27,VALUE(D166))),"？")))</f>
        <v/>
      </c>
      <c r="I166" s="44">
        <f>IF(E166="","",IF(ISERROR(VALUE(E166)),E166&amp;"",IF(AND(VALUE(E166)&gt;=1,VALUE(E166)&lt;=20),IF(INDEX(設定!$P$8:$P$27,VALUE(E166))="","？",INDEX(設定!$P$8:$P$27,VALUE(E166))),"？")))</f>
        <v/>
      </c>
      <c r="J166" s="44">
        <f>IF(F166="","",IF(ISERROR(VALUE(F166)),F166&amp;"",IF(AND(VALUE(F166)&gt;=1,VALUE(F166)&lt;=20),IF(INDEX(設定!$P$8:$P$27,VALUE(F166))="","？",INDEX(設定!$P$8:$P$27,VALUE(F166))),"？")))</f>
        <v/>
      </c>
      <c r="K166" s="45">
        <f>IF(L166="","",IF(G166="","名簿にいない",IF(COUNTIF(L167:L$552,L166)&gt;0,"2回提出（下の行を使います）",IF(OR(H166="？",I166="？",J166="？"),"クラブ番号がちがう",IF(OR(AND(H166&lt;&gt;"",H166&lt;&gt;"？",COUNTIF(設定!$P$8:$P$27,H166)=0),AND(I166&lt;&gt;"",I166&lt;&gt;"？",COUNTIF(設定!$P$8:$P$27,I166)=0),AND(J166&lt;&gt;"",J166&lt;&gt;"？",COUNTIF(設定!$P$8:$P$27,J166)=0)),"クラブ名がちがう",IF(H166="","第1希望がない",IF(OR(AND(H166&lt;&gt;"",H166=I166),AND(H166&lt;&gt;"",H166=J166),AND(I166&lt;&gt;"",I166=J166)),"同じクラブを重複して希望","OK")))))))</f>
        <v/>
      </c>
      <c r="L166" s="8">
        <f>IF(A166="","",A166&amp;"-"&amp;B166&amp;"-"&amp;C166)</f>
        <v/>
      </c>
      <c r="M166" s="8">
        <f>IF(OR(L166="",G166=""),"",IF(COUNTIF(L167:L$552,L166)=0,L166,""))</f>
        <v/>
      </c>
    </row>
    <row r="167">
      <c r="A167" s="40" t="n">
        <v>3</v>
      </c>
      <c r="B167" s="40" t="inlineStr">
        <is>
          <t>梅</t>
        </is>
      </c>
      <c r="C167" s="40" t="n">
        <v>6</v>
      </c>
      <c r="D167" s="40" t="n">
        <v>7</v>
      </c>
      <c r="E167" s="40" t="n">
        <v>1</v>
      </c>
      <c r="F167" s="40" t="n">
        <v>4</v>
      </c>
      <c r="G167" s="3">
        <f>IF(L167="","",IFERROR(INDEX(前年度名簿!$D$2:$D$451,MATCH(L167,前年度名簿!$F$2:$F$451,0)),""))</f>
        <v/>
      </c>
      <c r="H167" s="44">
        <f>IF(D167="","",IF(ISERROR(VALUE(D167)),D167&amp;"",IF(AND(VALUE(D167)&gt;=1,VALUE(D167)&lt;=20),IF(INDEX(設定!$P$8:$P$27,VALUE(D167))="","？",INDEX(設定!$P$8:$P$27,VALUE(D167))),"？")))</f>
        <v/>
      </c>
      <c r="I167" s="44">
        <f>IF(E167="","",IF(ISERROR(VALUE(E167)),E167&amp;"",IF(AND(VALUE(E167)&gt;=1,VALUE(E167)&lt;=20),IF(INDEX(設定!$P$8:$P$27,VALUE(E167))="","？",INDEX(設定!$P$8:$P$27,VALUE(E167))),"？")))</f>
        <v/>
      </c>
      <c r="J167" s="44">
        <f>IF(F167="","",IF(ISERROR(VALUE(F167)),F167&amp;"",IF(AND(VALUE(F167)&gt;=1,VALUE(F167)&lt;=20),IF(INDEX(設定!$P$8:$P$27,VALUE(F167))="","？",INDEX(設定!$P$8:$P$27,VALUE(F167))),"？")))</f>
        <v/>
      </c>
      <c r="K167" s="45">
        <f>IF(L167="","",IF(G167="","名簿にいない",IF(COUNTIF(L168:L$552,L167)&gt;0,"2回提出（下の行を使います）",IF(OR(H167="？",I167="？",J167="？"),"クラブ番号がちがう",IF(OR(AND(H167&lt;&gt;"",H167&lt;&gt;"？",COUNTIF(設定!$P$8:$P$27,H167)=0),AND(I167&lt;&gt;"",I167&lt;&gt;"？",COUNTIF(設定!$P$8:$P$27,I167)=0),AND(J167&lt;&gt;"",J167&lt;&gt;"？",COUNTIF(設定!$P$8:$P$27,J167)=0)),"クラブ名がちがう",IF(H167="","第1希望がない",IF(OR(AND(H167&lt;&gt;"",H167=I167),AND(H167&lt;&gt;"",H167=J167),AND(I167&lt;&gt;"",I167=J167)),"同じクラブを重複して希望","OK")))))))</f>
        <v/>
      </c>
      <c r="L167" s="8">
        <f>IF(A167="","",A167&amp;"-"&amp;B167&amp;"-"&amp;C167)</f>
        <v/>
      </c>
      <c r="M167" s="8">
        <f>IF(OR(L167="",G167=""),"",IF(COUNTIF(L168:L$552,L167)=0,L167,""))</f>
        <v/>
      </c>
    </row>
    <row r="168">
      <c r="A168" s="40" t="n">
        <v>4</v>
      </c>
      <c r="B168" s="40" t="inlineStr">
        <is>
          <t>梅</t>
        </is>
      </c>
      <c r="C168" s="40" t="n">
        <v>17</v>
      </c>
      <c r="D168" s="40" t="n">
        <v>1</v>
      </c>
      <c r="E168" s="40" t="n">
        <v>5</v>
      </c>
      <c r="F168" s="40" t="n">
        <v>3</v>
      </c>
      <c r="G168" s="3">
        <f>IF(L168="","",IFERROR(INDEX(前年度名簿!$D$2:$D$451,MATCH(L168,前年度名簿!$F$2:$F$451,0)),""))</f>
        <v/>
      </c>
      <c r="H168" s="44">
        <f>IF(D168="","",IF(ISERROR(VALUE(D168)),D168&amp;"",IF(AND(VALUE(D168)&gt;=1,VALUE(D168)&lt;=20),IF(INDEX(設定!$P$8:$P$27,VALUE(D168))="","？",INDEX(設定!$P$8:$P$27,VALUE(D168))),"？")))</f>
        <v/>
      </c>
      <c r="I168" s="44">
        <f>IF(E168="","",IF(ISERROR(VALUE(E168)),E168&amp;"",IF(AND(VALUE(E168)&gt;=1,VALUE(E168)&lt;=20),IF(INDEX(設定!$P$8:$P$27,VALUE(E168))="","？",INDEX(設定!$P$8:$P$27,VALUE(E168))),"？")))</f>
        <v/>
      </c>
      <c r="J168" s="44">
        <f>IF(F168="","",IF(ISERROR(VALUE(F168)),F168&amp;"",IF(AND(VALUE(F168)&gt;=1,VALUE(F168)&lt;=20),IF(INDEX(設定!$P$8:$P$27,VALUE(F168))="","？",INDEX(設定!$P$8:$P$27,VALUE(F168))),"？")))</f>
        <v/>
      </c>
      <c r="K168" s="45">
        <f>IF(L168="","",IF(G168="","名簿にいない",IF(COUNTIF(L169:L$552,L168)&gt;0,"2回提出（下の行を使います）",IF(OR(H168="？",I168="？",J168="？"),"クラブ番号がちがう",IF(OR(AND(H168&lt;&gt;"",H168&lt;&gt;"？",COUNTIF(設定!$P$8:$P$27,H168)=0),AND(I168&lt;&gt;"",I168&lt;&gt;"？",COUNTIF(設定!$P$8:$P$27,I168)=0),AND(J168&lt;&gt;"",J168&lt;&gt;"？",COUNTIF(設定!$P$8:$P$27,J168)=0)),"クラブ名がちがう",IF(H168="","第1希望がない",IF(OR(AND(H168&lt;&gt;"",H168=I168),AND(H168&lt;&gt;"",H168=J168),AND(I168&lt;&gt;"",I168=J168)),"同じクラブを重複して希望","OK")))))))</f>
        <v/>
      </c>
      <c r="L168" s="8">
        <f>IF(A168="","",A168&amp;"-"&amp;B168&amp;"-"&amp;C168)</f>
        <v/>
      </c>
      <c r="M168" s="8">
        <f>IF(OR(L168="",G168=""),"",IF(COUNTIF(L169:L$552,L168)=0,L168,""))</f>
        <v/>
      </c>
    </row>
    <row r="169">
      <c r="A169" s="40" t="n">
        <v>5</v>
      </c>
      <c r="B169" s="40" t="inlineStr">
        <is>
          <t>松</t>
        </is>
      </c>
      <c r="C169" s="40" t="n">
        <v>25</v>
      </c>
      <c r="D169" s="40" t="n">
        <v>2</v>
      </c>
      <c r="E169" s="40" t="n">
        <v>11</v>
      </c>
      <c r="F169" s="40" t="n">
        <v>3</v>
      </c>
      <c r="G169" s="3">
        <f>IF(L169="","",IFERROR(INDEX(前年度名簿!$D$2:$D$451,MATCH(L169,前年度名簿!$F$2:$F$451,0)),""))</f>
        <v/>
      </c>
      <c r="H169" s="44">
        <f>IF(D169="","",IF(ISERROR(VALUE(D169)),D169&amp;"",IF(AND(VALUE(D169)&gt;=1,VALUE(D169)&lt;=20),IF(INDEX(設定!$P$8:$P$27,VALUE(D169))="","？",INDEX(設定!$P$8:$P$27,VALUE(D169))),"？")))</f>
        <v/>
      </c>
      <c r="I169" s="44">
        <f>IF(E169="","",IF(ISERROR(VALUE(E169)),E169&amp;"",IF(AND(VALUE(E169)&gt;=1,VALUE(E169)&lt;=20),IF(INDEX(設定!$P$8:$P$27,VALUE(E169))="","？",INDEX(設定!$P$8:$P$27,VALUE(E169))),"？")))</f>
        <v/>
      </c>
      <c r="J169" s="44">
        <f>IF(F169="","",IF(ISERROR(VALUE(F169)),F169&amp;"",IF(AND(VALUE(F169)&gt;=1,VALUE(F169)&lt;=20),IF(INDEX(設定!$P$8:$P$27,VALUE(F169))="","？",INDEX(設定!$P$8:$P$27,VALUE(F169))),"？")))</f>
        <v/>
      </c>
      <c r="K169" s="45">
        <f>IF(L169="","",IF(G169="","名簿にいない",IF(COUNTIF(L170:L$552,L169)&gt;0,"2回提出（下の行を使います）",IF(OR(H169="？",I169="？",J169="？"),"クラブ番号がちがう",IF(OR(AND(H169&lt;&gt;"",H169&lt;&gt;"？",COUNTIF(設定!$P$8:$P$27,H169)=0),AND(I169&lt;&gt;"",I169&lt;&gt;"？",COUNTIF(設定!$P$8:$P$27,I169)=0),AND(J169&lt;&gt;"",J169&lt;&gt;"？",COUNTIF(設定!$P$8:$P$27,J169)=0)),"クラブ名がちがう",IF(H169="","第1希望がない",IF(OR(AND(H169&lt;&gt;"",H169=I169),AND(H169&lt;&gt;"",H169=J169),AND(I169&lt;&gt;"",I169=J169)),"同じクラブを重複して希望","OK")))))))</f>
        <v/>
      </c>
      <c r="L169" s="8">
        <f>IF(A169="","",A169&amp;"-"&amp;B169&amp;"-"&amp;C169)</f>
        <v/>
      </c>
      <c r="M169" s="8">
        <f>IF(OR(L169="",G169=""),"",IF(COUNTIF(L170:L$552,L169)=0,L169,""))</f>
        <v/>
      </c>
    </row>
    <row r="170">
      <c r="A170" s="40" t="n">
        <v>5</v>
      </c>
      <c r="B170" s="40" t="inlineStr">
        <is>
          <t>竹</t>
        </is>
      </c>
      <c r="C170" s="40" t="n">
        <v>2</v>
      </c>
      <c r="D170" s="40" t="n">
        <v>11</v>
      </c>
      <c r="E170" s="40" t="n">
        <v>8</v>
      </c>
      <c r="F170" s="40" t="n">
        <v>10</v>
      </c>
      <c r="G170" s="3">
        <f>IF(L170="","",IFERROR(INDEX(前年度名簿!$D$2:$D$451,MATCH(L170,前年度名簿!$F$2:$F$451,0)),""))</f>
        <v/>
      </c>
      <c r="H170" s="44">
        <f>IF(D170="","",IF(ISERROR(VALUE(D170)),D170&amp;"",IF(AND(VALUE(D170)&gt;=1,VALUE(D170)&lt;=20),IF(INDEX(設定!$P$8:$P$27,VALUE(D170))="","？",INDEX(設定!$P$8:$P$27,VALUE(D170))),"？")))</f>
        <v/>
      </c>
      <c r="I170" s="44">
        <f>IF(E170="","",IF(ISERROR(VALUE(E170)),E170&amp;"",IF(AND(VALUE(E170)&gt;=1,VALUE(E170)&lt;=20),IF(INDEX(設定!$P$8:$P$27,VALUE(E170))="","？",INDEX(設定!$P$8:$P$27,VALUE(E170))),"？")))</f>
        <v/>
      </c>
      <c r="J170" s="44">
        <f>IF(F170="","",IF(ISERROR(VALUE(F170)),F170&amp;"",IF(AND(VALUE(F170)&gt;=1,VALUE(F170)&lt;=20),IF(INDEX(設定!$P$8:$P$27,VALUE(F170))="","？",INDEX(設定!$P$8:$P$27,VALUE(F170))),"？")))</f>
        <v/>
      </c>
      <c r="K170" s="45">
        <f>IF(L170="","",IF(G170="","名簿にいない",IF(COUNTIF(L171:L$552,L170)&gt;0,"2回提出（下の行を使います）",IF(OR(H170="？",I170="？",J170="？"),"クラブ番号がちがう",IF(OR(AND(H170&lt;&gt;"",H170&lt;&gt;"？",COUNTIF(設定!$P$8:$P$27,H170)=0),AND(I170&lt;&gt;"",I170&lt;&gt;"？",COUNTIF(設定!$P$8:$P$27,I170)=0),AND(J170&lt;&gt;"",J170&lt;&gt;"？",COUNTIF(設定!$P$8:$P$27,J170)=0)),"クラブ名がちがう",IF(H170="","第1希望がない",IF(OR(AND(H170&lt;&gt;"",H170=I170),AND(H170&lt;&gt;"",H170=J170),AND(I170&lt;&gt;"",I170=J170)),"同じクラブを重複して希望","OK")))))))</f>
        <v/>
      </c>
      <c r="L170" s="8">
        <f>IF(A170="","",A170&amp;"-"&amp;B170&amp;"-"&amp;C170)</f>
        <v/>
      </c>
      <c r="M170" s="8">
        <f>IF(OR(L170="",G170=""),"",IF(COUNTIF(L171:L$552,L170)=0,L170,""))</f>
        <v/>
      </c>
    </row>
    <row r="171">
      <c r="A171" s="40" t="n">
        <v>4</v>
      </c>
      <c r="B171" s="40" t="inlineStr">
        <is>
          <t>松</t>
        </is>
      </c>
      <c r="C171" s="40" t="n">
        <v>11</v>
      </c>
      <c r="D171" s="40" t="n">
        <v>12</v>
      </c>
      <c r="E171" s="40" t="n">
        <v>8</v>
      </c>
      <c r="F171" s="40" t="n">
        <v>2</v>
      </c>
      <c r="G171" s="3">
        <f>IF(L171="","",IFERROR(INDEX(前年度名簿!$D$2:$D$451,MATCH(L171,前年度名簿!$F$2:$F$451,0)),""))</f>
        <v/>
      </c>
      <c r="H171" s="44">
        <f>IF(D171="","",IF(ISERROR(VALUE(D171)),D171&amp;"",IF(AND(VALUE(D171)&gt;=1,VALUE(D171)&lt;=20),IF(INDEX(設定!$P$8:$P$27,VALUE(D171))="","？",INDEX(設定!$P$8:$P$27,VALUE(D171))),"？")))</f>
        <v/>
      </c>
      <c r="I171" s="44">
        <f>IF(E171="","",IF(ISERROR(VALUE(E171)),E171&amp;"",IF(AND(VALUE(E171)&gt;=1,VALUE(E171)&lt;=20),IF(INDEX(設定!$P$8:$P$27,VALUE(E171))="","？",INDEX(設定!$P$8:$P$27,VALUE(E171))),"？")))</f>
        <v/>
      </c>
      <c r="J171" s="44">
        <f>IF(F171="","",IF(ISERROR(VALUE(F171)),F171&amp;"",IF(AND(VALUE(F171)&gt;=1,VALUE(F171)&lt;=20),IF(INDEX(設定!$P$8:$P$27,VALUE(F171))="","？",INDEX(設定!$P$8:$P$27,VALUE(F171))),"？")))</f>
        <v/>
      </c>
      <c r="K171" s="45">
        <f>IF(L171="","",IF(G171="","名簿にいない",IF(COUNTIF(L172:L$552,L171)&gt;0,"2回提出（下の行を使います）",IF(OR(H171="？",I171="？",J171="？"),"クラブ番号がちがう",IF(OR(AND(H171&lt;&gt;"",H171&lt;&gt;"？",COUNTIF(設定!$P$8:$P$27,H171)=0),AND(I171&lt;&gt;"",I171&lt;&gt;"？",COUNTIF(設定!$P$8:$P$27,I171)=0),AND(J171&lt;&gt;"",J171&lt;&gt;"？",COUNTIF(設定!$P$8:$P$27,J171)=0)),"クラブ名がちがう",IF(H171="","第1希望がない",IF(OR(AND(H171&lt;&gt;"",H171=I171),AND(H171&lt;&gt;"",H171=J171),AND(I171&lt;&gt;"",I171=J171)),"同じクラブを重複して希望","OK")))))))</f>
        <v/>
      </c>
      <c r="L171" s="8">
        <f>IF(A171="","",A171&amp;"-"&amp;B171&amp;"-"&amp;C171)</f>
        <v/>
      </c>
      <c r="M171" s="8">
        <f>IF(OR(L171="",G171=""),"",IF(COUNTIF(L172:L$552,L171)=0,L171,""))</f>
        <v/>
      </c>
    </row>
    <row r="172">
      <c r="A172" s="40" t="n">
        <v>5</v>
      </c>
      <c r="B172" s="40" t="inlineStr">
        <is>
          <t>竹</t>
        </is>
      </c>
      <c r="C172" s="40" t="n">
        <v>5</v>
      </c>
      <c r="D172" s="40" t="n">
        <v>1</v>
      </c>
      <c r="E172" s="40" t="n">
        <v>4</v>
      </c>
      <c r="F172" s="40" t="n">
        <v>3</v>
      </c>
      <c r="G172" s="3">
        <f>IF(L172="","",IFERROR(INDEX(前年度名簿!$D$2:$D$451,MATCH(L172,前年度名簿!$F$2:$F$451,0)),""))</f>
        <v/>
      </c>
      <c r="H172" s="44">
        <f>IF(D172="","",IF(ISERROR(VALUE(D172)),D172&amp;"",IF(AND(VALUE(D172)&gt;=1,VALUE(D172)&lt;=20),IF(INDEX(設定!$P$8:$P$27,VALUE(D172))="","？",INDEX(設定!$P$8:$P$27,VALUE(D172))),"？")))</f>
        <v/>
      </c>
      <c r="I172" s="44">
        <f>IF(E172="","",IF(ISERROR(VALUE(E172)),E172&amp;"",IF(AND(VALUE(E172)&gt;=1,VALUE(E172)&lt;=20),IF(INDEX(設定!$P$8:$P$27,VALUE(E172))="","？",INDEX(設定!$P$8:$P$27,VALUE(E172))),"？")))</f>
        <v/>
      </c>
      <c r="J172" s="44">
        <f>IF(F172="","",IF(ISERROR(VALUE(F172)),F172&amp;"",IF(AND(VALUE(F172)&gt;=1,VALUE(F172)&lt;=20),IF(INDEX(設定!$P$8:$P$27,VALUE(F172))="","？",INDEX(設定!$P$8:$P$27,VALUE(F172))),"？")))</f>
        <v/>
      </c>
      <c r="K172" s="45">
        <f>IF(L172="","",IF(G172="","名簿にいない",IF(COUNTIF(L173:L$552,L172)&gt;0,"2回提出（下の行を使います）",IF(OR(H172="？",I172="？",J172="？"),"クラブ番号がちがう",IF(OR(AND(H172&lt;&gt;"",H172&lt;&gt;"？",COUNTIF(設定!$P$8:$P$27,H172)=0),AND(I172&lt;&gt;"",I172&lt;&gt;"？",COUNTIF(設定!$P$8:$P$27,I172)=0),AND(J172&lt;&gt;"",J172&lt;&gt;"？",COUNTIF(設定!$P$8:$P$27,J172)=0)),"クラブ名がちがう",IF(H172="","第1希望がない",IF(OR(AND(H172&lt;&gt;"",H172=I172),AND(H172&lt;&gt;"",H172=J172),AND(I172&lt;&gt;"",I172=J172)),"同じクラブを重複して希望","OK")))))))</f>
        <v/>
      </c>
      <c r="L172" s="8">
        <f>IF(A172="","",A172&amp;"-"&amp;B172&amp;"-"&amp;C172)</f>
        <v/>
      </c>
      <c r="M172" s="8">
        <f>IF(OR(L172="",G172=""),"",IF(COUNTIF(L173:L$552,L172)=0,L172,""))</f>
        <v/>
      </c>
    </row>
    <row r="173">
      <c r="A173" s="40" t="n">
        <v>5</v>
      </c>
      <c r="B173" s="40" t="inlineStr">
        <is>
          <t>月</t>
        </is>
      </c>
      <c r="C173" s="40" t="n">
        <v>28</v>
      </c>
      <c r="D173" s="40" t="n">
        <v>4</v>
      </c>
      <c r="E173" s="40" t="n">
        <v>1</v>
      </c>
      <c r="F173" s="40" t="n">
        <v>6</v>
      </c>
      <c r="G173" s="3">
        <f>IF(L173="","",IFERROR(INDEX(前年度名簿!$D$2:$D$451,MATCH(L173,前年度名簿!$F$2:$F$451,0)),""))</f>
        <v/>
      </c>
      <c r="H173" s="44">
        <f>IF(D173="","",IF(ISERROR(VALUE(D173)),D173&amp;"",IF(AND(VALUE(D173)&gt;=1,VALUE(D173)&lt;=20),IF(INDEX(設定!$P$8:$P$27,VALUE(D173))="","？",INDEX(設定!$P$8:$P$27,VALUE(D173))),"？")))</f>
        <v/>
      </c>
      <c r="I173" s="44">
        <f>IF(E173="","",IF(ISERROR(VALUE(E173)),E173&amp;"",IF(AND(VALUE(E173)&gt;=1,VALUE(E173)&lt;=20),IF(INDEX(設定!$P$8:$P$27,VALUE(E173))="","？",INDEX(設定!$P$8:$P$27,VALUE(E173))),"？")))</f>
        <v/>
      </c>
      <c r="J173" s="44">
        <f>IF(F173="","",IF(ISERROR(VALUE(F173)),F173&amp;"",IF(AND(VALUE(F173)&gt;=1,VALUE(F173)&lt;=20),IF(INDEX(設定!$P$8:$P$27,VALUE(F173))="","？",INDEX(設定!$P$8:$P$27,VALUE(F173))),"？")))</f>
        <v/>
      </c>
      <c r="K173" s="45">
        <f>IF(L173="","",IF(G173="","名簿にいない",IF(COUNTIF(L174:L$552,L173)&gt;0,"2回提出（下の行を使います）",IF(OR(H173="？",I173="？",J173="？"),"クラブ番号がちがう",IF(OR(AND(H173&lt;&gt;"",H173&lt;&gt;"？",COUNTIF(設定!$P$8:$P$27,H173)=0),AND(I173&lt;&gt;"",I173&lt;&gt;"？",COUNTIF(設定!$P$8:$P$27,I173)=0),AND(J173&lt;&gt;"",J173&lt;&gt;"？",COUNTIF(設定!$P$8:$P$27,J173)=0)),"クラブ名がちがう",IF(H173="","第1希望がない",IF(OR(AND(H173&lt;&gt;"",H173=I173),AND(H173&lt;&gt;"",H173=J173),AND(I173&lt;&gt;"",I173=J173)),"同じクラブを重複して希望","OK")))))))</f>
        <v/>
      </c>
      <c r="L173" s="8">
        <f>IF(A173="","",A173&amp;"-"&amp;B173&amp;"-"&amp;C173)</f>
        <v/>
      </c>
      <c r="M173" s="8">
        <f>IF(OR(L173="",G173=""),"",IF(COUNTIF(L174:L$552,L173)=0,L173,""))</f>
        <v/>
      </c>
    </row>
    <row r="174">
      <c r="A174" s="40" t="n">
        <v>4</v>
      </c>
      <c r="B174" s="40" t="inlineStr">
        <is>
          <t>梅</t>
        </is>
      </c>
      <c r="C174" s="40" t="n">
        <v>20</v>
      </c>
      <c r="D174" s="40" t="n">
        <v>7</v>
      </c>
      <c r="E174" s="40" t="n">
        <v>8</v>
      </c>
      <c r="F174" s="40" t="n">
        <v>11</v>
      </c>
      <c r="G174" s="3">
        <f>IF(L174="","",IFERROR(INDEX(前年度名簿!$D$2:$D$451,MATCH(L174,前年度名簿!$F$2:$F$451,0)),""))</f>
        <v/>
      </c>
      <c r="H174" s="44">
        <f>IF(D174="","",IF(ISERROR(VALUE(D174)),D174&amp;"",IF(AND(VALUE(D174)&gt;=1,VALUE(D174)&lt;=20),IF(INDEX(設定!$P$8:$P$27,VALUE(D174))="","？",INDEX(設定!$P$8:$P$27,VALUE(D174))),"？")))</f>
        <v/>
      </c>
      <c r="I174" s="44">
        <f>IF(E174="","",IF(ISERROR(VALUE(E174)),E174&amp;"",IF(AND(VALUE(E174)&gt;=1,VALUE(E174)&lt;=20),IF(INDEX(設定!$P$8:$P$27,VALUE(E174))="","？",INDEX(設定!$P$8:$P$27,VALUE(E174))),"？")))</f>
        <v/>
      </c>
      <c r="J174" s="44">
        <f>IF(F174="","",IF(ISERROR(VALUE(F174)),F174&amp;"",IF(AND(VALUE(F174)&gt;=1,VALUE(F174)&lt;=20),IF(INDEX(設定!$P$8:$P$27,VALUE(F174))="","？",INDEX(設定!$P$8:$P$27,VALUE(F174))),"？")))</f>
        <v/>
      </c>
      <c r="K174" s="45">
        <f>IF(L174="","",IF(G174="","名簿にいない",IF(COUNTIF(L175:L$552,L174)&gt;0,"2回提出（下の行を使います）",IF(OR(H174="？",I174="？",J174="？"),"クラブ番号がちがう",IF(OR(AND(H174&lt;&gt;"",H174&lt;&gt;"？",COUNTIF(設定!$P$8:$P$27,H174)=0),AND(I174&lt;&gt;"",I174&lt;&gt;"？",COUNTIF(設定!$P$8:$P$27,I174)=0),AND(J174&lt;&gt;"",J174&lt;&gt;"？",COUNTIF(設定!$P$8:$P$27,J174)=0)),"クラブ名がちがう",IF(H174="","第1希望がない",IF(OR(AND(H174&lt;&gt;"",H174=I174),AND(H174&lt;&gt;"",H174=J174),AND(I174&lt;&gt;"",I174=J174)),"同じクラブを重複して希望","OK")))))))</f>
        <v/>
      </c>
      <c r="L174" s="8">
        <f>IF(A174="","",A174&amp;"-"&amp;B174&amp;"-"&amp;C174)</f>
        <v/>
      </c>
      <c r="M174" s="8">
        <f>IF(OR(L174="",G174=""),"",IF(COUNTIF(L175:L$552,L174)=0,L174,""))</f>
        <v/>
      </c>
    </row>
    <row r="175">
      <c r="A175" s="40" t="n">
        <v>3</v>
      </c>
      <c r="B175" s="40" t="inlineStr">
        <is>
          <t>月</t>
        </is>
      </c>
      <c r="C175" s="40" t="n">
        <v>23</v>
      </c>
      <c r="D175" s="40" t="n">
        <v>2</v>
      </c>
      <c r="E175" s="40" t="n">
        <v>7</v>
      </c>
      <c r="F175" s="40" t="n">
        <v>10</v>
      </c>
      <c r="G175" s="3">
        <f>IF(L175="","",IFERROR(INDEX(前年度名簿!$D$2:$D$451,MATCH(L175,前年度名簿!$F$2:$F$451,0)),""))</f>
        <v/>
      </c>
      <c r="H175" s="44">
        <f>IF(D175="","",IF(ISERROR(VALUE(D175)),D175&amp;"",IF(AND(VALUE(D175)&gt;=1,VALUE(D175)&lt;=20),IF(INDEX(設定!$P$8:$P$27,VALUE(D175))="","？",INDEX(設定!$P$8:$P$27,VALUE(D175))),"？")))</f>
        <v/>
      </c>
      <c r="I175" s="44">
        <f>IF(E175="","",IF(ISERROR(VALUE(E175)),E175&amp;"",IF(AND(VALUE(E175)&gt;=1,VALUE(E175)&lt;=20),IF(INDEX(設定!$P$8:$P$27,VALUE(E175))="","？",INDEX(設定!$P$8:$P$27,VALUE(E175))),"？")))</f>
        <v/>
      </c>
      <c r="J175" s="44">
        <f>IF(F175="","",IF(ISERROR(VALUE(F175)),F175&amp;"",IF(AND(VALUE(F175)&gt;=1,VALUE(F175)&lt;=20),IF(INDEX(設定!$P$8:$P$27,VALUE(F175))="","？",INDEX(設定!$P$8:$P$27,VALUE(F175))),"？")))</f>
        <v/>
      </c>
      <c r="K175" s="45">
        <f>IF(L175="","",IF(G175="","名簿にいない",IF(COUNTIF(L176:L$552,L175)&gt;0,"2回提出（下の行を使います）",IF(OR(H175="？",I175="？",J175="？"),"クラブ番号がちがう",IF(OR(AND(H175&lt;&gt;"",H175&lt;&gt;"？",COUNTIF(設定!$P$8:$P$27,H175)=0),AND(I175&lt;&gt;"",I175&lt;&gt;"？",COUNTIF(設定!$P$8:$P$27,I175)=0),AND(J175&lt;&gt;"",J175&lt;&gt;"？",COUNTIF(設定!$P$8:$P$27,J175)=0)),"クラブ名がちがう",IF(H175="","第1希望がない",IF(OR(AND(H175&lt;&gt;"",H175=I175),AND(H175&lt;&gt;"",H175=J175),AND(I175&lt;&gt;"",I175=J175)),"同じクラブを重複して希望","OK")))))))</f>
        <v/>
      </c>
      <c r="L175" s="8">
        <f>IF(A175="","",A175&amp;"-"&amp;B175&amp;"-"&amp;C175)</f>
        <v/>
      </c>
      <c r="M175" s="8">
        <f>IF(OR(L175="",G175=""),"",IF(COUNTIF(L176:L$552,L175)=0,L175,""))</f>
        <v/>
      </c>
    </row>
    <row r="176">
      <c r="A176" s="40" t="n">
        <v>4</v>
      </c>
      <c r="B176" s="40" t="inlineStr">
        <is>
          <t>梅</t>
        </is>
      </c>
      <c r="C176" s="40" t="n">
        <v>16</v>
      </c>
      <c r="D176" s="40" t="n">
        <v>11</v>
      </c>
      <c r="E176" s="40" t="n">
        <v>1</v>
      </c>
      <c r="F176" s="40" t="n">
        <v>10</v>
      </c>
      <c r="G176" s="3">
        <f>IF(L176="","",IFERROR(INDEX(前年度名簿!$D$2:$D$451,MATCH(L176,前年度名簿!$F$2:$F$451,0)),""))</f>
        <v/>
      </c>
      <c r="H176" s="44">
        <f>IF(D176="","",IF(ISERROR(VALUE(D176)),D176&amp;"",IF(AND(VALUE(D176)&gt;=1,VALUE(D176)&lt;=20),IF(INDEX(設定!$P$8:$P$27,VALUE(D176))="","？",INDEX(設定!$P$8:$P$27,VALUE(D176))),"？")))</f>
        <v/>
      </c>
      <c r="I176" s="44">
        <f>IF(E176="","",IF(ISERROR(VALUE(E176)),E176&amp;"",IF(AND(VALUE(E176)&gt;=1,VALUE(E176)&lt;=20),IF(INDEX(設定!$P$8:$P$27,VALUE(E176))="","？",INDEX(設定!$P$8:$P$27,VALUE(E176))),"？")))</f>
        <v/>
      </c>
      <c r="J176" s="44">
        <f>IF(F176="","",IF(ISERROR(VALUE(F176)),F176&amp;"",IF(AND(VALUE(F176)&gt;=1,VALUE(F176)&lt;=20),IF(INDEX(設定!$P$8:$P$27,VALUE(F176))="","？",INDEX(設定!$P$8:$P$27,VALUE(F176))),"？")))</f>
        <v/>
      </c>
      <c r="K176" s="45">
        <f>IF(L176="","",IF(G176="","名簿にいない",IF(COUNTIF(L177:L$552,L176)&gt;0,"2回提出（下の行を使います）",IF(OR(H176="？",I176="？",J176="？"),"クラブ番号がちがう",IF(OR(AND(H176&lt;&gt;"",H176&lt;&gt;"？",COUNTIF(設定!$P$8:$P$27,H176)=0),AND(I176&lt;&gt;"",I176&lt;&gt;"？",COUNTIF(設定!$P$8:$P$27,I176)=0),AND(J176&lt;&gt;"",J176&lt;&gt;"？",COUNTIF(設定!$P$8:$P$27,J176)=0)),"クラブ名がちがう",IF(H176="","第1希望がない",IF(OR(AND(H176&lt;&gt;"",H176=I176),AND(H176&lt;&gt;"",H176=J176),AND(I176&lt;&gt;"",I176=J176)),"同じクラブを重複して希望","OK")))))))</f>
        <v/>
      </c>
      <c r="L176" s="8">
        <f>IF(A176="","",A176&amp;"-"&amp;B176&amp;"-"&amp;C176)</f>
        <v/>
      </c>
      <c r="M176" s="8">
        <f>IF(OR(L176="",G176=""),"",IF(COUNTIF(L177:L$552,L176)=0,L176,""))</f>
        <v/>
      </c>
    </row>
    <row r="177">
      <c r="A177" s="40" t="n">
        <v>3</v>
      </c>
      <c r="B177" s="40" t="inlineStr">
        <is>
          <t>月</t>
        </is>
      </c>
      <c r="C177" s="40" t="n">
        <v>6</v>
      </c>
      <c r="D177" s="40" t="n">
        <v>3</v>
      </c>
      <c r="E177" s="40" t="n">
        <v>7</v>
      </c>
      <c r="F177" s="40" t="n">
        <v>6</v>
      </c>
      <c r="G177" s="3">
        <f>IF(L177="","",IFERROR(INDEX(前年度名簿!$D$2:$D$451,MATCH(L177,前年度名簿!$F$2:$F$451,0)),""))</f>
        <v/>
      </c>
      <c r="H177" s="44">
        <f>IF(D177="","",IF(ISERROR(VALUE(D177)),D177&amp;"",IF(AND(VALUE(D177)&gt;=1,VALUE(D177)&lt;=20),IF(INDEX(設定!$P$8:$P$27,VALUE(D177))="","？",INDEX(設定!$P$8:$P$27,VALUE(D177))),"？")))</f>
        <v/>
      </c>
      <c r="I177" s="44">
        <f>IF(E177="","",IF(ISERROR(VALUE(E177)),E177&amp;"",IF(AND(VALUE(E177)&gt;=1,VALUE(E177)&lt;=20),IF(INDEX(設定!$P$8:$P$27,VALUE(E177))="","？",INDEX(設定!$P$8:$P$27,VALUE(E177))),"？")))</f>
        <v/>
      </c>
      <c r="J177" s="44">
        <f>IF(F177="","",IF(ISERROR(VALUE(F177)),F177&amp;"",IF(AND(VALUE(F177)&gt;=1,VALUE(F177)&lt;=20),IF(INDEX(設定!$P$8:$P$27,VALUE(F177))="","？",INDEX(設定!$P$8:$P$27,VALUE(F177))),"？")))</f>
        <v/>
      </c>
      <c r="K177" s="45">
        <f>IF(L177="","",IF(G177="","名簿にいない",IF(COUNTIF(L178:L$552,L177)&gt;0,"2回提出（下の行を使います）",IF(OR(H177="？",I177="？",J177="？"),"クラブ番号がちがう",IF(OR(AND(H177&lt;&gt;"",H177&lt;&gt;"？",COUNTIF(設定!$P$8:$P$27,H177)=0),AND(I177&lt;&gt;"",I177&lt;&gt;"？",COUNTIF(設定!$P$8:$P$27,I177)=0),AND(J177&lt;&gt;"",J177&lt;&gt;"？",COUNTIF(設定!$P$8:$P$27,J177)=0)),"クラブ名がちがう",IF(H177="","第1希望がない",IF(OR(AND(H177&lt;&gt;"",H177=I177),AND(H177&lt;&gt;"",H177=J177),AND(I177&lt;&gt;"",I177=J177)),"同じクラブを重複して希望","OK")))))))</f>
        <v/>
      </c>
      <c r="L177" s="8">
        <f>IF(A177="","",A177&amp;"-"&amp;B177&amp;"-"&amp;C177)</f>
        <v/>
      </c>
      <c r="M177" s="8">
        <f>IF(OR(L177="",G177=""),"",IF(COUNTIF(L178:L$552,L177)=0,L177,""))</f>
        <v/>
      </c>
    </row>
    <row r="178">
      <c r="A178" s="40" t="n">
        <v>3</v>
      </c>
      <c r="B178" s="40" t="inlineStr">
        <is>
          <t>月</t>
        </is>
      </c>
      <c r="C178" s="40" t="n">
        <v>18</v>
      </c>
      <c r="D178" s="40" t="n">
        <v>1</v>
      </c>
      <c r="E178" s="40" t="n">
        <v>7</v>
      </c>
      <c r="F178" s="40" t="n">
        <v>4</v>
      </c>
      <c r="G178" s="3">
        <f>IF(L178="","",IFERROR(INDEX(前年度名簿!$D$2:$D$451,MATCH(L178,前年度名簿!$F$2:$F$451,0)),""))</f>
        <v/>
      </c>
      <c r="H178" s="44">
        <f>IF(D178="","",IF(ISERROR(VALUE(D178)),D178&amp;"",IF(AND(VALUE(D178)&gt;=1,VALUE(D178)&lt;=20),IF(INDEX(設定!$P$8:$P$27,VALUE(D178))="","？",INDEX(設定!$P$8:$P$27,VALUE(D178))),"？")))</f>
        <v/>
      </c>
      <c r="I178" s="44">
        <f>IF(E178="","",IF(ISERROR(VALUE(E178)),E178&amp;"",IF(AND(VALUE(E178)&gt;=1,VALUE(E178)&lt;=20),IF(INDEX(設定!$P$8:$P$27,VALUE(E178))="","？",INDEX(設定!$P$8:$P$27,VALUE(E178))),"？")))</f>
        <v/>
      </c>
      <c r="J178" s="44">
        <f>IF(F178="","",IF(ISERROR(VALUE(F178)),F178&amp;"",IF(AND(VALUE(F178)&gt;=1,VALUE(F178)&lt;=20),IF(INDEX(設定!$P$8:$P$27,VALUE(F178))="","？",INDEX(設定!$P$8:$P$27,VALUE(F178))),"？")))</f>
        <v/>
      </c>
      <c r="K178" s="45">
        <f>IF(L178="","",IF(G178="","名簿にいない",IF(COUNTIF(L179:L$552,L178)&gt;0,"2回提出（下の行を使います）",IF(OR(H178="？",I178="？",J178="？"),"クラブ番号がちがう",IF(OR(AND(H178&lt;&gt;"",H178&lt;&gt;"？",COUNTIF(設定!$P$8:$P$27,H178)=0),AND(I178&lt;&gt;"",I178&lt;&gt;"？",COUNTIF(設定!$P$8:$P$27,I178)=0),AND(J178&lt;&gt;"",J178&lt;&gt;"？",COUNTIF(設定!$P$8:$P$27,J178)=0)),"クラブ名がちがう",IF(H178="","第1希望がない",IF(OR(AND(H178&lt;&gt;"",H178=I178),AND(H178&lt;&gt;"",H178=J178),AND(I178&lt;&gt;"",I178=J178)),"同じクラブを重複して希望","OK")))))))</f>
        <v/>
      </c>
      <c r="L178" s="8">
        <f>IF(A178="","",A178&amp;"-"&amp;B178&amp;"-"&amp;C178)</f>
        <v/>
      </c>
      <c r="M178" s="8">
        <f>IF(OR(L178="",G178=""),"",IF(COUNTIF(L179:L$552,L178)=0,L178,""))</f>
        <v/>
      </c>
    </row>
    <row r="179">
      <c r="A179" s="40" t="n">
        <v>5</v>
      </c>
      <c r="B179" s="40" t="inlineStr">
        <is>
          <t>梅</t>
        </is>
      </c>
      <c r="C179" s="40" t="n">
        <v>10</v>
      </c>
      <c r="D179" s="40" t="n">
        <v>9</v>
      </c>
      <c r="E179" s="40" t="n">
        <v>11</v>
      </c>
      <c r="F179" s="40" t="n">
        <v>8</v>
      </c>
      <c r="G179" s="3">
        <f>IF(L179="","",IFERROR(INDEX(前年度名簿!$D$2:$D$451,MATCH(L179,前年度名簿!$F$2:$F$451,0)),""))</f>
        <v/>
      </c>
      <c r="H179" s="44">
        <f>IF(D179="","",IF(ISERROR(VALUE(D179)),D179&amp;"",IF(AND(VALUE(D179)&gt;=1,VALUE(D179)&lt;=20),IF(INDEX(設定!$P$8:$P$27,VALUE(D179))="","？",INDEX(設定!$P$8:$P$27,VALUE(D179))),"？")))</f>
        <v/>
      </c>
      <c r="I179" s="44">
        <f>IF(E179="","",IF(ISERROR(VALUE(E179)),E179&amp;"",IF(AND(VALUE(E179)&gt;=1,VALUE(E179)&lt;=20),IF(INDEX(設定!$P$8:$P$27,VALUE(E179))="","？",INDEX(設定!$P$8:$P$27,VALUE(E179))),"？")))</f>
        <v/>
      </c>
      <c r="J179" s="44">
        <f>IF(F179="","",IF(ISERROR(VALUE(F179)),F179&amp;"",IF(AND(VALUE(F179)&gt;=1,VALUE(F179)&lt;=20),IF(INDEX(設定!$P$8:$P$27,VALUE(F179))="","？",INDEX(設定!$P$8:$P$27,VALUE(F179))),"？")))</f>
        <v/>
      </c>
      <c r="K179" s="45">
        <f>IF(L179="","",IF(G179="","名簿にいない",IF(COUNTIF(L180:L$552,L179)&gt;0,"2回提出（下の行を使います）",IF(OR(H179="？",I179="？",J179="？"),"クラブ番号がちがう",IF(OR(AND(H179&lt;&gt;"",H179&lt;&gt;"？",COUNTIF(設定!$P$8:$P$27,H179)=0),AND(I179&lt;&gt;"",I179&lt;&gt;"？",COUNTIF(設定!$P$8:$P$27,I179)=0),AND(J179&lt;&gt;"",J179&lt;&gt;"？",COUNTIF(設定!$P$8:$P$27,J179)=0)),"クラブ名がちがう",IF(H179="","第1希望がない",IF(OR(AND(H179&lt;&gt;"",H179=I179),AND(H179&lt;&gt;"",H179=J179),AND(I179&lt;&gt;"",I179=J179)),"同じクラブを重複して希望","OK")))))))</f>
        <v/>
      </c>
      <c r="L179" s="8">
        <f>IF(A179="","",A179&amp;"-"&amp;B179&amp;"-"&amp;C179)</f>
        <v/>
      </c>
      <c r="M179" s="8">
        <f>IF(OR(L179="",G179=""),"",IF(COUNTIF(L180:L$552,L179)=0,L179,""))</f>
        <v/>
      </c>
    </row>
    <row r="180">
      <c r="A180" s="40" t="n">
        <v>3</v>
      </c>
      <c r="B180" s="40" t="inlineStr">
        <is>
          <t>梅</t>
        </is>
      </c>
      <c r="C180" s="40" t="n">
        <v>30</v>
      </c>
      <c r="D180" s="40" t="n">
        <v>10</v>
      </c>
      <c r="E180" s="40" t="n">
        <v>1</v>
      </c>
      <c r="F180" s="40" t="n">
        <v>11</v>
      </c>
      <c r="G180" s="3">
        <f>IF(L180="","",IFERROR(INDEX(前年度名簿!$D$2:$D$451,MATCH(L180,前年度名簿!$F$2:$F$451,0)),""))</f>
        <v/>
      </c>
      <c r="H180" s="44">
        <f>IF(D180="","",IF(ISERROR(VALUE(D180)),D180&amp;"",IF(AND(VALUE(D180)&gt;=1,VALUE(D180)&lt;=20),IF(INDEX(設定!$P$8:$P$27,VALUE(D180))="","？",INDEX(設定!$P$8:$P$27,VALUE(D180))),"？")))</f>
        <v/>
      </c>
      <c r="I180" s="44">
        <f>IF(E180="","",IF(ISERROR(VALUE(E180)),E180&amp;"",IF(AND(VALUE(E180)&gt;=1,VALUE(E180)&lt;=20),IF(INDEX(設定!$P$8:$P$27,VALUE(E180))="","？",INDEX(設定!$P$8:$P$27,VALUE(E180))),"？")))</f>
        <v/>
      </c>
      <c r="J180" s="44">
        <f>IF(F180="","",IF(ISERROR(VALUE(F180)),F180&amp;"",IF(AND(VALUE(F180)&gt;=1,VALUE(F180)&lt;=20),IF(INDEX(設定!$P$8:$P$27,VALUE(F180))="","？",INDEX(設定!$P$8:$P$27,VALUE(F180))),"？")))</f>
        <v/>
      </c>
      <c r="K180" s="45">
        <f>IF(L180="","",IF(G180="","名簿にいない",IF(COUNTIF(L181:L$552,L180)&gt;0,"2回提出（下の行を使います）",IF(OR(H180="？",I180="？",J180="？"),"クラブ番号がちがう",IF(OR(AND(H180&lt;&gt;"",H180&lt;&gt;"？",COUNTIF(設定!$P$8:$P$27,H180)=0),AND(I180&lt;&gt;"",I180&lt;&gt;"？",COUNTIF(設定!$P$8:$P$27,I180)=0),AND(J180&lt;&gt;"",J180&lt;&gt;"？",COUNTIF(設定!$P$8:$P$27,J180)=0)),"クラブ名がちがう",IF(H180="","第1希望がない",IF(OR(AND(H180&lt;&gt;"",H180=I180),AND(H180&lt;&gt;"",H180=J180),AND(I180&lt;&gt;"",I180=J180)),"同じクラブを重複して希望","OK")))))))</f>
        <v/>
      </c>
      <c r="L180" s="8">
        <f>IF(A180="","",A180&amp;"-"&amp;B180&amp;"-"&amp;C180)</f>
        <v/>
      </c>
      <c r="M180" s="8">
        <f>IF(OR(L180="",G180=""),"",IF(COUNTIF(L181:L$552,L180)=0,L180,""))</f>
        <v/>
      </c>
    </row>
    <row r="181">
      <c r="A181" s="40" t="n">
        <v>4</v>
      </c>
      <c r="B181" s="40" t="inlineStr">
        <is>
          <t>月</t>
        </is>
      </c>
      <c r="C181" s="40" t="n">
        <v>26</v>
      </c>
      <c r="D181" s="40" t="n">
        <v>7</v>
      </c>
      <c r="E181" s="40" t="n">
        <v>3</v>
      </c>
      <c r="F181" s="40" t="n">
        <v>10</v>
      </c>
      <c r="G181" s="3">
        <f>IF(L181="","",IFERROR(INDEX(前年度名簿!$D$2:$D$451,MATCH(L181,前年度名簿!$F$2:$F$451,0)),""))</f>
        <v/>
      </c>
      <c r="H181" s="44">
        <f>IF(D181="","",IF(ISERROR(VALUE(D181)),D181&amp;"",IF(AND(VALUE(D181)&gt;=1,VALUE(D181)&lt;=20),IF(INDEX(設定!$P$8:$P$27,VALUE(D181))="","？",INDEX(設定!$P$8:$P$27,VALUE(D181))),"？")))</f>
        <v/>
      </c>
      <c r="I181" s="44">
        <f>IF(E181="","",IF(ISERROR(VALUE(E181)),E181&amp;"",IF(AND(VALUE(E181)&gt;=1,VALUE(E181)&lt;=20),IF(INDEX(設定!$P$8:$P$27,VALUE(E181))="","？",INDEX(設定!$P$8:$P$27,VALUE(E181))),"？")))</f>
        <v/>
      </c>
      <c r="J181" s="44">
        <f>IF(F181="","",IF(ISERROR(VALUE(F181)),F181&amp;"",IF(AND(VALUE(F181)&gt;=1,VALUE(F181)&lt;=20),IF(INDEX(設定!$P$8:$P$27,VALUE(F181))="","？",INDEX(設定!$P$8:$P$27,VALUE(F181))),"？")))</f>
        <v/>
      </c>
      <c r="K181" s="45">
        <f>IF(L181="","",IF(G181="","名簿にいない",IF(COUNTIF(L182:L$552,L181)&gt;0,"2回提出（下の行を使います）",IF(OR(H181="？",I181="？",J181="？"),"クラブ番号がちがう",IF(OR(AND(H181&lt;&gt;"",H181&lt;&gt;"？",COUNTIF(設定!$P$8:$P$27,H181)=0),AND(I181&lt;&gt;"",I181&lt;&gt;"？",COUNTIF(設定!$P$8:$P$27,I181)=0),AND(J181&lt;&gt;"",J181&lt;&gt;"？",COUNTIF(設定!$P$8:$P$27,J181)=0)),"クラブ名がちがう",IF(H181="","第1希望がない",IF(OR(AND(H181&lt;&gt;"",H181=I181),AND(H181&lt;&gt;"",H181=J181),AND(I181&lt;&gt;"",I181=J181)),"同じクラブを重複して希望","OK")))))))</f>
        <v/>
      </c>
      <c r="L181" s="8">
        <f>IF(A181="","",A181&amp;"-"&amp;B181&amp;"-"&amp;C181)</f>
        <v/>
      </c>
      <c r="M181" s="8">
        <f>IF(OR(L181="",G181=""),"",IF(COUNTIF(L182:L$552,L181)=0,L181,""))</f>
        <v/>
      </c>
    </row>
    <row r="182">
      <c r="A182" s="40" t="n">
        <v>3</v>
      </c>
      <c r="B182" s="40" t="inlineStr">
        <is>
          <t>竹</t>
        </is>
      </c>
      <c r="C182" s="40" t="n">
        <v>1</v>
      </c>
      <c r="D182" s="40" t="n">
        <v>12</v>
      </c>
      <c r="E182" s="40" t="n">
        <v>6</v>
      </c>
      <c r="F182" s="40" t="n">
        <v>1</v>
      </c>
      <c r="G182" s="3">
        <f>IF(L182="","",IFERROR(INDEX(前年度名簿!$D$2:$D$451,MATCH(L182,前年度名簿!$F$2:$F$451,0)),""))</f>
        <v/>
      </c>
      <c r="H182" s="44">
        <f>IF(D182="","",IF(ISERROR(VALUE(D182)),D182&amp;"",IF(AND(VALUE(D182)&gt;=1,VALUE(D182)&lt;=20),IF(INDEX(設定!$P$8:$P$27,VALUE(D182))="","？",INDEX(設定!$P$8:$P$27,VALUE(D182))),"？")))</f>
        <v/>
      </c>
      <c r="I182" s="44">
        <f>IF(E182="","",IF(ISERROR(VALUE(E182)),E182&amp;"",IF(AND(VALUE(E182)&gt;=1,VALUE(E182)&lt;=20),IF(INDEX(設定!$P$8:$P$27,VALUE(E182))="","？",INDEX(設定!$P$8:$P$27,VALUE(E182))),"？")))</f>
        <v/>
      </c>
      <c r="J182" s="44">
        <f>IF(F182="","",IF(ISERROR(VALUE(F182)),F182&amp;"",IF(AND(VALUE(F182)&gt;=1,VALUE(F182)&lt;=20),IF(INDEX(設定!$P$8:$P$27,VALUE(F182))="","？",INDEX(設定!$P$8:$P$27,VALUE(F182))),"？")))</f>
        <v/>
      </c>
      <c r="K182" s="45">
        <f>IF(L182="","",IF(G182="","名簿にいない",IF(COUNTIF(L183:L$552,L182)&gt;0,"2回提出（下の行を使います）",IF(OR(H182="？",I182="？",J182="？"),"クラブ番号がちがう",IF(OR(AND(H182&lt;&gt;"",H182&lt;&gt;"？",COUNTIF(設定!$P$8:$P$27,H182)=0),AND(I182&lt;&gt;"",I182&lt;&gt;"？",COUNTIF(設定!$P$8:$P$27,I182)=0),AND(J182&lt;&gt;"",J182&lt;&gt;"？",COUNTIF(設定!$P$8:$P$27,J182)=0)),"クラブ名がちがう",IF(H182="","第1希望がない",IF(OR(AND(H182&lt;&gt;"",H182=I182),AND(H182&lt;&gt;"",H182=J182),AND(I182&lt;&gt;"",I182=J182)),"同じクラブを重複して希望","OK")))))))</f>
        <v/>
      </c>
      <c r="L182" s="8">
        <f>IF(A182="","",A182&amp;"-"&amp;B182&amp;"-"&amp;C182)</f>
        <v/>
      </c>
      <c r="M182" s="8">
        <f>IF(OR(L182="",G182=""),"",IF(COUNTIF(L183:L$552,L182)=0,L182,""))</f>
        <v/>
      </c>
    </row>
    <row r="183">
      <c r="A183" s="40" t="n">
        <v>3</v>
      </c>
      <c r="B183" s="40" t="inlineStr">
        <is>
          <t>松</t>
        </is>
      </c>
      <c r="C183" s="40" t="n">
        <v>19</v>
      </c>
      <c r="D183" s="40" t="n">
        <v>10</v>
      </c>
      <c r="E183" s="40" t="n">
        <v>4</v>
      </c>
      <c r="F183" s="40" t="n">
        <v>3</v>
      </c>
      <c r="G183" s="3">
        <f>IF(L183="","",IFERROR(INDEX(前年度名簿!$D$2:$D$451,MATCH(L183,前年度名簿!$F$2:$F$451,0)),""))</f>
        <v/>
      </c>
      <c r="H183" s="44">
        <f>IF(D183="","",IF(ISERROR(VALUE(D183)),D183&amp;"",IF(AND(VALUE(D183)&gt;=1,VALUE(D183)&lt;=20),IF(INDEX(設定!$P$8:$P$27,VALUE(D183))="","？",INDEX(設定!$P$8:$P$27,VALUE(D183))),"？")))</f>
        <v/>
      </c>
      <c r="I183" s="44">
        <f>IF(E183="","",IF(ISERROR(VALUE(E183)),E183&amp;"",IF(AND(VALUE(E183)&gt;=1,VALUE(E183)&lt;=20),IF(INDEX(設定!$P$8:$P$27,VALUE(E183))="","？",INDEX(設定!$P$8:$P$27,VALUE(E183))),"？")))</f>
        <v/>
      </c>
      <c r="J183" s="44">
        <f>IF(F183="","",IF(ISERROR(VALUE(F183)),F183&amp;"",IF(AND(VALUE(F183)&gt;=1,VALUE(F183)&lt;=20),IF(INDEX(設定!$P$8:$P$27,VALUE(F183))="","？",INDEX(設定!$P$8:$P$27,VALUE(F183))),"？")))</f>
        <v/>
      </c>
      <c r="K183" s="45">
        <f>IF(L183="","",IF(G183="","名簿にいない",IF(COUNTIF(L184:L$552,L183)&gt;0,"2回提出（下の行を使います）",IF(OR(H183="？",I183="？",J183="？"),"クラブ番号がちがう",IF(OR(AND(H183&lt;&gt;"",H183&lt;&gt;"？",COUNTIF(設定!$P$8:$P$27,H183)=0),AND(I183&lt;&gt;"",I183&lt;&gt;"？",COUNTIF(設定!$P$8:$P$27,I183)=0),AND(J183&lt;&gt;"",J183&lt;&gt;"？",COUNTIF(設定!$P$8:$P$27,J183)=0)),"クラブ名がちがう",IF(H183="","第1希望がない",IF(OR(AND(H183&lt;&gt;"",H183=I183),AND(H183&lt;&gt;"",H183=J183),AND(I183&lt;&gt;"",I183=J183)),"同じクラブを重複して希望","OK")))))))</f>
        <v/>
      </c>
      <c r="L183" s="8">
        <f>IF(A183="","",A183&amp;"-"&amp;B183&amp;"-"&amp;C183)</f>
        <v/>
      </c>
      <c r="M183" s="8">
        <f>IF(OR(L183="",G183=""),"",IF(COUNTIF(L184:L$552,L183)=0,L183,""))</f>
        <v/>
      </c>
    </row>
    <row r="184">
      <c r="A184" s="40" t="n">
        <v>5</v>
      </c>
      <c r="B184" s="40" t="inlineStr">
        <is>
          <t>月</t>
        </is>
      </c>
      <c r="C184" s="40" t="n">
        <v>16</v>
      </c>
      <c r="D184" s="40" t="n">
        <v>2</v>
      </c>
      <c r="E184" s="40" t="n">
        <v>5</v>
      </c>
      <c r="F184" s="40" t="n">
        <v>8</v>
      </c>
      <c r="G184" s="3">
        <f>IF(L184="","",IFERROR(INDEX(前年度名簿!$D$2:$D$451,MATCH(L184,前年度名簿!$F$2:$F$451,0)),""))</f>
        <v/>
      </c>
      <c r="H184" s="44">
        <f>IF(D184="","",IF(ISERROR(VALUE(D184)),D184&amp;"",IF(AND(VALUE(D184)&gt;=1,VALUE(D184)&lt;=20),IF(INDEX(設定!$P$8:$P$27,VALUE(D184))="","？",INDEX(設定!$P$8:$P$27,VALUE(D184))),"？")))</f>
        <v/>
      </c>
      <c r="I184" s="44">
        <f>IF(E184="","",IF(ISERROR(VALUE(E184)),E184&amp;"",IF(AND(VALUE(E184)&gt;=1,VALUE(E184)&lt;=20),IF(INDEX(設定!$P$8:$P$27,VALUE(E184))="","？",INDEX(設定!$P$8:$P$27,VALUE(E184))),"？")))</f>
        <v/>
      </c>
      <c r="J184" s="44">
        <f>IF(F184="","",IF(ISERROR(VALUE(F184)),F184&amp;"",IF(AND(VALUE(F184)&gt;=1,VALUE(F184)&lt;=20),IF(INDEX(設定!$P$8:$P$27,VALUE(F184))="","？",INDEX(設定!$P$8:$P$27,VALUE(F184))),"？")))</f>
        <v/>
      </c>
      <c r="K184" s="45">
        <f>IF(L184="","",IF(G184="","名簿にいない",IF(COUNTIF(L185:L$552,L184)&gt;0,"2回提出（下の行を使います）",IF(OR(H184="？",I184="？",J184="？"),"クラブ番号がちがう",IF(OR(AND(H184&lt;&gt;"",H184&lt;&gt;"？",COUNTIF(設定!$P$8:$P$27,H184)=0),AND(I184&lt;&gt;"",I184&lt;&gt;"？",COUNTIF(設定!$P$8:$P$27,I184)=0),AND(J184&lt;&gt;"",J184&lt;&gt;"？",COUNTIF(設定!$P$8:$P$27,J184)=0)),"クラブ名がちがう",IF(H184="","第1希望がない",IF(OR(AND(H184&lt;&gt;"",H184=I184),AND(H184&lt;&gt;"",H184=J184),AND(I184&lt;&gt;"",I184=J184)),"同じクラブを重複して希望","OK")))))))</f>
        <v/>
      </c>
      <c r="L184" s="8">
        <f>IF(A184="","",A184&amp;"-"&amp;B184&amp;"-"&amp;C184)</f>
        <v/>
      </c>
      <c r="M184" s="8">
        <f>IF(OR(L184="",G184=""),"",IF(COUNTIF(L185:L$552,L184)=0,L184,""))</f>
        <v/>
      </c>
    </row>
    <row r="185">
      <c r="A185" s="40" t="n">
        <v>5</v>
      </c>
      <c r="B185" s="40" t="inlineStr">
        <is>
          <t>梅</t>
        </is>
      </c>
      <c r="C185" s="40" t="n">
        <v>21</v>
      </c>
      <c r="D185" s="40" t="n">
        <v>3</v>
      </c>
      <c r="E185" s="40" t="n">
        <v>11</v>
      </c>
      <c r="F185" s="40" t="n">
        <v>4</v>
      </c>
      <c r="G185" s="3">
        <f>IF(L185="","",IFERROR(INDEX(前年度名簿!$D$2:$D$451,MATCH(L185,前年度名簿!$F$2:$F$451,0)),""))</f>
        <v/>
      </c>
      <c r="H185" s="44">
        <f>IF(D185="","",IF(ISERROR(VALUE(D185)),D185&amp;"",IF(AND(VALUE(D185)&gt;=1,VALUE(D185)&lt;=20),IF(INDEX(設定!$P$8:$P$27,VALUE(D185))="","？",INDEX(設定!$P$8:$P$27,VALUE(D185))),"？")))</f>
        <v/>
      </c>
      <c r="I185" s="44">
        <f>IF(E185="","",IF(ISERROR(VALUE(E185)),E185&amp;"",IF(AND(VALUE(E185)&gt;=1,VALUE(E185)&lt;=20),IF(INDEX(設定!$P$8:$P$27,VALUE(E185))="","？",INDEX(設定!$P$8:$P$27,VALUE(E185))),"？")))</f>
        <v/>
      </c>
      <c r="J185" s="44">
        <f>IF(F185="","",IF(ISERROR(VALUE(F185)),F185&amp;"",IF(AND(VALUE(F185)&gt;=1,VALUE(F185)&lt;=20),IF(INDEX(設定!$P$8:$P$27,VALUE(F185))="","？",INDEX(設定!$P$8:$P$27,VALUE(F185))),"？")))</f>
        <v/>
      </c>
      <c r="K185" s="45">
        <f>IF(L185="","",IF(G185="","名簿にいない",IF(COUNTIF(L186:L$552,L185)&gt;0,"2回提出（下の行を使います）",IF(OR(H185="？",I185="？",J185="？"),"クラブ番号がちがう",IF(OR(AND(H185&lt;&gt;"",H185&lt;&gt;"？",COUNTIF(設定!$P$8:$P$27,H185)=0),AND(I185&lt;&gt;"",I185&lt;&gt;"？",COUNTIF(設定!$P$8:$P$27,I185)=0),AND(J185&lt;&gt;"",J185&lt;&gt;"？",COUNTIF(設定!$P$8:$P$27,J185)=0)),"クラブ名がちがう",IF(H185="","第1希望がない",IF(OR(AND(H185&lt;&gt;"",H185=I185),AND(H185&lt;&gt;"",H185=J185),AND(I185&lt;&gt;"",I185=J185)),"同じクラブを重複して希望","OK")))))))</f>
        <v/>
      </c>
      <c r="L185" s="8">
        <f>IF(A185="","",A185&amp;"-"&amp;B185&amp;"-"&amp;C185)</f>
        <v/>
      </c>
      <c r="M185" s="8">
        <f>IF(OR(L185="",G185=""),"",IF(COUNTIF(L186:L$552,L185)=0,L185,""))</f>
        <v/>
      </c>
    </row>
    <row r="186">
      <c r="A186" s="40" t="n">
        <v>5</v>
      </c>
      <c r="B186" s="40" t="inlineStr">
        <is>
          <t>月</t>
        </is>
      </c>
      <c r="C186" s="40" t="n">
        <v>4</v>
      </c>
      <c r="D186" s="40" t="n">
        <v>7</v>
      </c>
      <c r="E186" s="40" t="n">
        <v>8</v>
      </c>
      <c r="F186" s="40" t="n">
        <v>9</v>
      </c>
      <c r="G186" s="3">
        <f>IF(L186="","",IFERROR(INDEX(前年度名簿!$D$2:$D$451,MATCH(L186,前年度名簿!$F$2:$F$451,0)),""))</f>
        <v/>
      </c>
      <c r="H186" s="44">
        <f>IF(D186="","",IF(ISERROR(VALUE(D186)),D186&amp;"",IF(AND(VALUE(D186)&gt;=1,VALUE(D186)&lt;=20),IF(INDEX(設定!$P$8:$P$27,VALUE(D186))="","？",INDEX(設定!$P$8:$P$27,VALUE(D186))),"？")))</f>
        <v/>
      </c>
      <c r="I186" s="44">
        <f>IF(E186="","",IF(ISERROR(VALUE(E186)),E186&amp;"",IF(AND(VALUE(E186)&gt;=1,VALUE(E186)&lt;=20),IF(INDEX(設定!$P$8:$P$27,VALUE(E186))="","？",INDEX(設定!$P$8:$P$27,VALUE(E186))),"？")))</f>
        <v/>
      </c>
      <c r="J186" s="44">
        <f>IF(F186="","",IF(ISERROR(VALUE(F186)),F186&amp;"",IF(AND(VALUE(F186)&gt;=1,VALUE(F186)&lt;=20),IF(INDEX(設定!$P$8:$P$27,VALUE(F186))="","？",INDEX(設定!$P$8:$P$27,VALUE(F186))),"？")))</f>
        <v/>
      </c>
      <c r="K186" s="45">
        <f>IF(L186="","",IF(G186="","名簿にいない",IF(COUNTIF(L187:L$552,L186)&gt;0,"2回提出（下の行を使います）",IF(OR(H186="？",I186="？",J186="？"),"クラブ番号がちがう",IF(OR(AND(H186&lt;&gt;"",H186&lt;&gt;"？",COUNTIF(設定!$P$8:$P$27,H186)=0),AND(I186&lt;&gt;"",I186&lt;&gt;"？",COUNTIF(設定!$P$8:$P$27,I186)=0),AND(J186&lt;&gt;"",J186&lt;&gt;"？",COUNTIF(設定!$P$8:$P$27,J186)=0)),"クラブ名がちがう",IF(H186="","第1希望がない",IF(OR(AND(H186&lt;&gt;"",H186=I186),AND(H186&lt;&gt;"",H186=J186),AND(I186&lt;&gt;"",I186=J186)),"同じクラブを重複して希望","OK")))))))</f>
        <v/>
      </c>
      <c r="L186" s="8">
        <f>IF(A186="","",A186&amp;"-"&amp;B186&amp;"-"&amp;C186)</f>
        <v/>
      </c>
      <c r="M186" s="8">
        <f>IF(OR(L186="",G186=""),"",IF(COUNTIF(L187:L$552,L186)=0,L186,""))</f>
        <v/>
      </c>
    </row>
    <row r="187">
      <c r="A187" s="40" t="n">
        <v>4</v>
      </c>
      <c r="B187" s="40" t="inlineStr">
        <is>
          <t>梅</t>
        </is>
      </c>
      <c r="C187" s="40" t="n">
        <v>5</v>
      </c>
      <c r="D187" s="40" t="n">
        <v>5</v>
      </c>
      <c r="E187" s="40" t="n">
        <v>11</v>
      </c>
      <c r="F187" s="40" t="n">
        <v>6</v>
      </c>
      <c r="G187" s="3">
        <f>IF(L187="","",IFERROR(INDEX(前年度名簿!$D$2:$D$451,MATCH(L187,前年度名簿!$F$2:$F$451,0)),""))</f>
        <v/>
      </c>
      <c r="H187" s="44">
        <f>IF(D187="","",IF(ISERROR(VALUE(D187)),D187&amp;"",IF(AND(VALUE(D187)&gt;=1,VALUE(D187)&lt;=20),IF(INDEX(設定!$P$8:$P$27,VALUE(D187))="","？",INDEX(設定!$P$8:$P$27,VALUE(D187))),"？")))</f>
        <v/>
      </c>
      <c r="I187" s="44">
        <f>IF(E187="","",IF(ISERROR(VALUE(E187)),E187&amp;"",IF(AND(VALUE(E187)&gt;=1,VALUE(E187)&lt;=20),IF(INDEX(設定!$P$8:$P$27,VALUE(E187))="","？",INDEX(設定!$P$8:$P$27,VALUE(E187))),"？")))</f>
        <v/>
      </c>
      <c r="J187" s="44">
        <f>IF(F187="","",IF(ISERROR(VALUE(F187)),F187&amp;"",IF(AND(VALUE(F187)&gt;=1,VALUE(F187)&lt;=20),IF(INDEX(設定!$P$8:$P$27,VALUE(F187))="","？",INDEX(設定!$P$8:$P$27,VALUE(F187))),"？")))</f>
        <v/>
      </c>
      <c r="K187" s="45">
        <f>IF(L187="","",IF(G187="","名簿にいない",IF(COUNTIF(L188:L$552,L187)&gt;0,"2回提出（下の行を使います）",IF(OR(H187="？",I187="？",J187="？"),"クラブ番号がちがう",IF(OR(AND(H187&lt;&gt;"",H187&lt;&gt;"？",COUNTIF(設定!$P$8:$P$27,H187)=0),AND(I187&lt;&gt;"",I187&lt;&gt;"？",COUNTIF(設定!$P$8:$P$27,I187)=0),AND(J187&lt;&gt;"",J187&lt;&gt;"？",COUNTIF(設定!$P$8:$P$27,J187)=0)),"クラブ名がちがう",IF(H187="","第1希望がない",IF(OR(AND(H187&lt;&gt;"",H187=I187),AND(H187&lt;&gt;"",H187=J187),AND(I187&lt;&gt;"",I187=J187)),"同じクラブを重複して希望","OK")))))))</f>
        <v/>
      </c>
      <c r="L187" s="8">
        <f>IF(A187="","",A187&amp;"-"&amp;B187&amp;"-"&amp;C187)</f>
        <v/>
      </c>
      <c r="M187" s="8">
        <f>IF(OR(L187="",G187=""),"",IF(COUNTIF(L188:L$552,L187)=0,L187,""))</f>
        <v/>
      </c>
    </row>
    <row r="188">
      <c r="A188" s="40" t="n">
        <v>4</v>
      </c>
      <c r="B188" s="40" t="inlineStr">
        <is>
          <t>月</t>
        </is>
      </c>
      <c r="C188" s="40" t="n">
        <v>28</v>
      </c>
      <c r="D188" s="40" t="n">
        <v>3</v>
      </c>
      <c r="E188" s="40" t="n">
        <v>2</v>
      </c>
      <c r="F188" s="40" t="n">
        <v>12</v>
      </c>
      <c r="G188" s="3">
        <f>IF(L188="","",IFERROR(INDEX(前年度名簿!$D$2:$D$451,MATCH(L188,前年度名簿!$F$2:$F$451,0)),""))</f>
        <v/>
      </c>
      <c r="H188" s="44">
        <f>IF(D188="","",IF(ISERROR(VALUE(D188)),D188&amp;"",IF(AND(VALUE(D188)&gt;=1,VALUE(D188)&lt;=20),IF(INDEX(設定!$P$8:$P$27,VALUE(D188))="","？",INDEX(設定!$P$8:$P$27,VALUE(D188))),"？")))</f>
        <v/>
      </c>
      <c r="I188" s="44">
        <f>IF(E188="","",IF(ISERROR(VALUE(E188)),E188&amp;"",IF(AND(VALUE(E188)&gt;=1,VALUE(E188)&lt;=20),IF(INDEX(設定!$P$8:$P$27,VALUE(E188))="","？",INDEX(設定!$P$8:$P$27,VALUE(E188))),"？")))</f>
        <v/>
      </c>
      <c r="J188" s="44">
        <f>IF(F188="","",IF(ISERROR(VALUE(F188)),F188&amp;"",IF(AND(VALUE(F188)&gt;=1,VALUE(F188)&lt;=20),IF(INDEX(設定!$P$8:$P$27,VALUE(F188))="","？",INDEX(設定!$P$8:$P$27,VALUE(F188))),"？")))</f>
        <v/>
      </c>
      <c r="K188" s="45">
        <f>IF(L188="","",IF(G188="","名簿にいない",IF(COUNTIF(L189:L$552,L188)&gt;0,"2回提出（下の行を使います）",IF(OR(H188="？",I188="？",J188="？"),"クラブ番号がちがう",IF(OR(AND(H188&lt;&gt;"",H188&lt;&gt;"？",COUNTIF(設定!$P$8:$P$27,H188)=0),AND(I188&lt;&gt;"",I188&lt;&gt;"？",COUNTIF(設定!$P$8:$P$27,I188)=0),AND(J188&lt;&gt;"",J188&lt;&gt;"？",COUNTIF(設定!$P$8:$P$27,J188)=0)),"クラブ名がちがう",IF(H188="","第1希望がない",IF(OR(AND(H188&lt;&gt;"",H188=I188),AND(H188&lt;&gt;"",H188=J188),AND(I188&lt;&gt;"",I188=J188)),"同じクラブを重複して希望","OK")))))))</f>
        <v/>
      </c>
      <c r="L188" s="8">
        <f>IF(A188="","",A188&amp;"-"&amp;B188&amp;"-"&amp;C188)</f>
        <v/>
      </c>
      <c r="M188" s="8">
        <f>IF(OR(L188="",G188=""),"",IF(COUNTIF(L189:L$552,L188)=0,L188,""))</f>
        <v/>
      </c>
    </row>
    <row r="189">
      <c r="A189" s="40" t="n">
        <v>4</v>
      </c>
      <c r="B189" s="40" t="inlineStr">
        <is>
          <t>梅</t>
        </is>
      </c>
      <c r="C189" s="40" t="n">
        <v>25</v>
      </c>
      <c r="D189" s="40" t="n">
        <v>7</v>
      </c>
      <c r="E189" s="40" t="n">
        <v>1</v>
      </c>
      <c r="F189" s="40" t="n">
        <v>3</v>
      </c>
      <c r="G189" s="3">
        <f>IF(L189="","",IFERROR(INDEX(前年度名簿!$D$2:$D$451,MATCH(L189,前年度名簿!$F$2:$F$451,0)),""))</f>
        <v/>
      </c>
      <c r="H189" s="44">
        <f>IF(D189="","",IF(ISERROR(VALUE(D189)),D189&amp;"",IF(AND(VALUE(D189)&gt;=1,VALUE(D189)&lt;=20),IF(INDEX(設定!$P$8:$P$27,VALUE(D189))="","？",INDEX(設定!$P$8:$P$27,VALUE(D189))),"？")))</f>
        <v/>
      </c>
      <c r="I189" s="44">
        <f>IF(E189="","",IF(ISERROR(VALUE(E189)),E189&amp;"",IF(AND(VALUE(E189)&gt;=1,VALUE(E189)&lt;=20),IF(INDEX(設定!$P$8:$P$27,VALUE(E189))="","？",INDEX(設定!$P$8:$P$27,VALUE(E189))),"？")))</f>
        <v/>
      </c>
      <c r="J189" s="44">
        <f>IF(F189="","",IF(ISERROR(VALUE(F189)),F189&amp;"",IF(AND(VALUE(F189)&gt;=1,VALUE(F189)&lt;=20),IF(INDEX(設定!$P$8:$P$27,VALUE(F189))="","？",INDEX(設定!$P$8:$P$27,VALUE(F189))),"？")))</f>
        <v/>
      </c>
      <c r="K189" s="45">
        <f>IF(L189="","",IF(G189="","名簿にいない",IF(COUNTIF(L190:L$552,L189)&gt;0,"2回提出（下の行を使います）",IF(OR(H189="？",I189="？",J189="？"),"クラブ番号がちがう",IF(OR(AND(H189&lt;&gt;"",H189&lt;&gt;"？",COUNTIF(設定!$P$8:$P$27,H189)=0),AND(I189&lt;&gt;"",I189&lt;&gt;"？",COUNTIF(設定!$P$8:$P$27,I189)=0),AND(J189&lt;&gt;"",J189&lt;&gt;"？",COUNTIF(設定!$P$8:$P$27,J189)=0)),"クラブ名がちがう",IF(H189="","第1希望がない",IF(OR(AND(H189&lt;&gt;"",H189=I189),AND(H189&lt;&gt;"",H189=J189),AND(I189&lt;&gt;"",I189=J189)),"同じクラブを重複して希望","OK")))))))</f>
        <v/>
      </c>
      <c r="L189" s="8">
        <f>IF(A189="","",A189&amp;"-"&amp;B189&amp;"-"&amp;C189)</f>
        <v/>
      </c>
      <c r="M189" s="8">
        <f>IF(OR(L189="",G189=""),"",IF(COUNTIF(L190:L$552,L189)=0,L189,""))</f>
        <v/>
      </c>
    </row>
    <row r="190">
      <c r="A190" s="40" t="n">
        <v>5</v>
      </c>
      <c r="B190" s="40" t="inlineStr">
        <is>
          <t>松</t>
        </is>
      </c>
      <c r="C190" s="40" t="n">
        <v>18</v>
      </c>
      <c r="D190" s="40" t="n">
        <v>4</v>
      </c>
      <c r="E190" s="40" t="n">
        <v>9</v>
      </c>
      <c r="F190" s="40" t="n">
        <v>2</v>
      </c>
      <c r="G190" s="3">
        <f>IF(L190="","",IFERROR(INDEX(前年度名簿!$D$2:$D$451,MATCH(L190,前年度名簿!$F$2:$F$451,0)),""))</f>
        <v/>
      </c>
      <c r="H190" s="44">
        <f>IF(D190="","",IF(ISERROR(VALUE(D190)),D190&amp;"",IF(AND(VALUE(D190)&gt;=1,VALUE(D190)&lt;=20),IF(INDEX(設定!$P$8:$P$27,VALUE(D190))="","？",INDEX(設定!$P$8:$P$27,VALUE(D190))),"？")))</f>
        <v/>
      </c>
      <c r="I190" s="44">
        <f>IF(E190="","",IF(ISERROR(VALUE(E190)),E190&amp;"",IF(AND(VALUE(E190)&gt;=1,VALUE(E190)&lt;=20),IF(INDEX(設定!$P$8:$P$27,VALUE(E190))="","？",INDEX(設定!$P$8:$P$27,VALUE(E190))),"？")))</f>
        <v/>
      </c>
      <c r="J190" s="44">
        <f>IF(F190="","",IF(ISERROR(VALUE(F190)),F190&amp;"",IF(AND(VALUE(F190)&gt;=1,VALUE(F190)&lt;=20),IF(INDEX(設定!$P$8:$P$27,VALUE(F190))="","？",INDEX(設定!$P$8:$P$27,VALUE(F190))),"？")))</f>
        <v/>
      </c>
      <c r="K190" s="45">
        <f>IF(L190="","",IF(G190="","名簿にいない",IF(COUNTIF(L191:L$552,L190)&gt;0,"2回提出（下の行を使います）",IF(OR(H190="？",I190="？",J190="？"),"クラブ番号がちがう",IF(OR(AND(H190&lt;&gt;"",H190&lt;&gt;"？",COUNTIF(設定!$P$8:$P$27,H190)=0),AND(I190&lt;&gt;"",I190&lt;&gt;"？",COUNTIF(設定!$P$8:$P$27,I190)=0),AND(J190&lt;&gt;"",J190&lt;&gt;"？",COUNTIF(設定!$P$8:$P$27,J190)=0)),"クラブ名がちがう",IF(H190="","第1希望がない",IF(OR(AND(H190&lt;&gt;"",H190=I190),AND(H190&lt;&gt;"",H190=J190),AND(I190&lt;&gt;"",I190=J190)),"同じクラブを重複して希望","OK")))))))</f>
        <v/>
      </c>
      <c r="L190" s="8">
        <f>IF(A190="","",A190&amp;"-"&amp;B190&amp;"-"&amp;C190)</f>
        <v/>
      </c>
      <c r="M190" s="8">
        <f>IF(OR(L190="",G190=""),"",IF(COUNTIF(L191:L$552,L190)=0,L190,""))</f>
        <v/>
      </c>
    </row>
    <row r="191">
      <c r="A191" s="40" t="n">
        <v>5</v>
      </c>
      <c r="B191" s="40" t="inlineStr">
        <is>
          <t>松</t>
        </is>
      </c>
      <c r="C191" s="40" t="n">
        <v>3</v>
      </c>
      <c r="D191" s="40" t="n">
        <v>3</v>
      </c>
      <c r="E191" s="40" t="n">
        <v>9</v>
      </c>
      <c r="F191" s="40" t="n">
        <v>8</v>
      </c>
      <c r="G191" s="3">
        <f>IF(L191="","",IFERROR(INDEX(前年度名簿!$D$2:$D$451,MATCH(L191,前年度名簿!$F$2:$F$451,0)),""))</f>
        <v/>
      </c>
      <c r="H191" s="44">
        <f>IF(D191="","",IF(ISERROR(VALUE(D191)),D191&amp;"",IF(AND(VALUE(D191)&gt;=1,VALUE(D191)&lt;=20),IF(INDEX(設定!$P$8:$P$27,VALUE(D191))="","？",INDEX(設定!$P$8:$P$27,VALUE(D191))),"？")))</f>
        <v/>
      </c>
      <c r="I191" s="44">
        <f>IF(E191="","",IF(ISERROR(VALUE(E191)),E191&amp;"",IF(AND(VALUE(E191)&gt;=1,VALUE(E191)&lt;=20),IF(INDEX(設定!$P$8:$P$27,VALUE(E191))="","？",INDEX(設定!$P$8:$P$27,VALUE(E191))),"？")))</f>
        <v/>
      </c>
      <c r="J191" s="44">
        <f>IF(F191="","",IF(ISERROR(VALUE(F191)),F191&amp;"",IF(AND(VALUE(F191)&gt;=1,VALUE(F191)&lt;=20),IF(INDEX(設定!$P$8:$P$27,VALUE(F191))="","？",INDEX(設定!$P$8:$P$27,VALUE(F191))),"？")))</f>
        <v/>
      </c>
      <c r="K191" s="45">
        <f>IF(L191="","",IF(G191="","名簿にいない",IF(COUNTIF(L192:L$552,L191)&gt;0,"2回提出（下の行を使います）",IF(OR(H191="？",I191="？",J191="？"),"クラブ番号がちがう",IF(OR(AND(H191&lt;&gt;"",H191&lt;&gt;"？",COUNTIF(設定!$P$8:$P$27,H191)=0),AND(I191&lt;&gt;"",I191&lt;&gt;"？",COUNTIF(設定!$P$8:$P$27,I191)=0),AND(J191&lt;&gt;"",J191&lt;&gt;"？",COUNTIF(設定!$P$8:$P$27,J191)=0)),"クラブ名がちがう",IF(H191="","第1希望がない",IF(OR(AND(H191&lt;&gt;"",H191=I191),AND(H191&lt;&gt;"",H191=J191),AND(I191&lt;&gt;"",I191=J191)),"同じクラブを重複して希望","OK")))))))</f>
        <v/>
      </c>
      <c r="L191" s="8">
        <f>IF(A191="","",A191&amp;"-"&amp;B191&amp;"-"&amp;C191)</f>
        <v/>
      </c>
      <c r="M191" s="8">
        <f>IF(OR(L191="",G191=""),"",IF(COUNTIF(L192:L$552,L191)=0,L191,""))</f>
        <v/>
      </c>
    </row>
    <row r="192">
      <c r="A192" s="40" t="n">
        <v>4</v>
      </c>
      <c r="B192" s="40" t="inlineStr">
        <is>
          <t>月</t>
        </is>
      </c>
      <c r="C192" s="40" t="n">
        <v>18</v>
      </c>
      <c r="D192" s="40" t="n">
        <v>3</v>
      </c>
      <c r="E192" s="40" t="n">
        <v>11</v>
      </c>
      <c r="F192" s="40" t="n">
        <v>6</v>
      </c>
      <c r="G192" s="3">
        <f>IF(L192="","",IFERROR(INDEX(前年度名簿!$D$2:$D$451,MATCH(L192,前年度名簿!$F$2:$F$451,0)),""))</f>
        <v/>
      </c>
      <c r="H192" s="44">
        <f>IF(D192="","",IF(ISERROR(VALUE(D192)),D192&amp;"",IF(AND(VALUE(D192)&gt;=1,VALUE(D192)&lt;=20),IF(INDEX(設定!$P$8:$P$27,VALUE(D192))="","？",INDEX(設定!$P$8:$P$27,VALUE(D192))),"？")))</f>
        <v/>
      </c>
      <c r="I192" s="44">
        <f>IF(E192="","",IF(ISERROR(VALUE(E192)),E192&amp;"",IF(AND(VALUE(E192)&gt;=1,VALUE(E192)&lt;=20),IF(INDEX(設定!$P$8:$P$27,VALUE(E192))="","？",INDEX(設定!$P$8:$P$27,VALUE(E192))),"？")))</f>
        <v/>
      </c>
      <c r="J192" s="44">
        <f>IF(F192="","",IF(ISERROR(VALUE(F192)),F192&amp;"",IF(AND(VALUE(F192)&gt;=1,VALUE(F192)&lt;=20),IF(INDEX(設定!$P$8:$P$27,VALUE(F192))="","？",INDEX(設定!$P$8:$P$27,VALUE(F192))),"？")))</f>
        <v/>
      </c>
      <c r="K192" s="45">
        <f>IF(L192="","",IF(G192="","名簿にいない",IF(COUNTIF(L193:L$552,L192)&gt;0,"2回提出（下の行を使います）",IF(OR(H192="？",I192="？",J192="？"),"クラブ番号がちがう",IF(OR(AND(H192&lt;&gt;"",H192&lt;&gt;"？",COUNTIF(設定!$P$8:$P$27,H192)=0),AND(I192&lt;&gt;"",I192&lt;&gt;"？",COUNTIF(設定!$P$8:$P$27,I192)=0),AND(J192&lt;&gt;"",J192&lt;&gt;"？",COUNTIF(設定!$P$8:$P$27,J192)=0)),"クラブ名がちがう",IF(H192="","第1希望がない",IF(OR(AND(H192&lt;&gt;"",H192=I192),AND(H192&lt;&gt;"",H192=J192),AND(I192&lt;&gt;"",I192=J192)),"同じクラブを重複して希望","OK")))))))</f>
        <v/>
      </c>
      <c r="L192" s="8">
        <f>IF(A192="","",A192&amp;"-"&amp;B192&amp;"-"&amp;C192)</f>
        <v/>
      </c>
      <c r="M192" s="8">
        <f>IF(OR(L192="",G192=""),"",IF(COUNTIF(L193:L$552,L192)=0,L192,""))</f>
        <v/>
      </c>
    </row>
    <row r="193">
      <c r="A193" s="40" t="n">
        <v>5</v>
      </c>
      <c r="B193" s="40" t="inlineStr">
        <is>
          <t>梅</t>
        </is>
      </c>
      <c r="C193" s="40" t="n">
        <v>20</v>
      </c>
      <c r="D193" s="40" t="n">
        <v>10</v>
      </c>
      <c r="E193" s="40" t="n">
        <v>3</v>
      </c>
      <c r="F193" s="40" t="n">
        <v>8</v>
      </c>
      <c r="G193" s="3">
        <f>IF(L193="","",IFERROR(INDEX(前年度名簿!$D$2:$D$451,MATCH(L193,前年度名簿!$F$2:$F$451,0)),""))</f>
        <v/>
      </c>
      <c r="H193" s="44">
        <f>IF(D193="","",IF(ISERROR(VALUE(D193)),D193&amp;"",IF(AND(VALUE(D193)&gt;=1,VALUE(D193)&lt;=20),IF(INDEX(設定!$P$8:$P$27,VALUE(D193))="","？",INDEX(設定!$P$8:$P$27,VALUE(D193))),"？")))</f>
        <v/>
      </c>
      <c r="I193" s="44">
        <f>IF(E193="","",IF(ISERROR(VALUE(E193)),E193&amp;"",IF(AND(VALUE(E193)&gt;=1,VALUE(E193)&lt;=20),IF(INDEX(設定!$P$8:$P$27,VALUE(E193))="","？",INDEX(設定!$P$8:$P$27,VALUE(E193))),"？")))</f>
        <v/>
      </c>
      <c r="J193" s="44">
        <f>IF(F193="","",IF(ISERROR(VALUE(F193)),F193&amp;"",IF(AND(VALUE(F193)&gt;=1,VALUE(F193)&lt;=20),IF(INDEX(設定!$P$8:$P$27,VALUE(F193))="","？",INDEX(設定!$P$8:$P$27,VALUE(F193))),"？")))</f>
        <v/>
      </c>
      <c r="K193" s="45">
        <f>IF(L193="","",IF(G193="","名簿にいない",IF(COUNTIF(L194:L$552,L193)&gt;0,"2回提出（下の行を使います）",IF(OR(H193="？",I193="？",J193="？"),"クラブ番号がちがう",IF(OR(AND(H193&lt;&gt;"",H193&lt;&gt;"？",COUNTIF(設定!$P$8:$P$27,H193)=0),AND(I193&lt;&gt;"",I193&lt;&gt;"？",COUNTIF(設定!$P$8:$P$27,I193)=0),AND(J193&lt;&gt;"",J193&lt;&gt;"？",COUNTIF(設定!$P$8:$P$27,J193)=0)),"クラブ名がちがう",IF(H193="","第1希望がない",IF(OR(AND(H193&lt;&gt;"",H193=I193),AND(H193&lt;&gt;"",H193=J193),AND(I193&lt;&gt;"",I193=J193)),"同じクラブを重複して希望","OK")))))))</f>
        <v/>
      </c>
      <c r="L193" s="8">
        <f>IF(A193="","",A193&amp;"-"&amp;B193&amp;"-"&amp;C193)</f>
        <v/>
      </c>
      <c r="M193" s="8">
        <f>IF(OR(L193="",G193=""),"",IF(COUNTIF(L194:L$552,L193)=0,L193,""))</f>
        <v/>
      </c>
    </row>
    <row r="194">
      <c r="A194" s="40" t="n">
        <v>3</v>
      </c>
      <c r="B194" s="40" t="inlineStr">
        <is>
          <t>梅</t>
        </is>
      </c>
      <c r="C194" s="40" t="n">
        <v>28</v>
      </c>
      <c r="D194" s="40" t="n">
        <v>12</v>
      </c>
      <c r="E194" s="40" t="n">
        <v>7</v>
      </c>
      <c r="F194" s="40" t="n">
        <v>5</v>
      </c>
      <c r="G194" s="3">
        <f>IF(L194="","",IFERROR(INDEX(前年度名簿!$D$2:$D$451,MATCH(L194,前年度名簿!$F$2:$F$451,0)),""))</f>
        <v/>
      </c>
      <c r="H194" s="44">
        <f>IF(D194="","",IF(ISERROR(VALUE(D194)),D194&amp;"",IF(AND(VALUE(D194)&gt;=1,VALUE(D194)&lt;=20),IF(INDEX(設定!$P$8:$P$27,VALUE(D194))="","？",INDEX(設定!$P$8:$P$27,VALUE(D194))),"？")))</f>
        <v/>
      </c>
      <c r="I194" s="44">
        <f>IF(E194="","",IF(ISERROR(VALUE(E194)),E194&amp;"",IF(AND(VALUE(E194)&gt;=1,VALUE(E194)&lt;=20),IF(INDEX(設定!$P$8:$P$27,VALUE(E194))="","？",INDEX(設定!$P$8:$P$27,VALUE(E194))),"？")))</f>
        <v/>
      </c>
      <c r="J194" s="44">
        <f>IF(F194="","",IF(ISERROR(VALUE(F194)),F194&amp;"",IF(AND(VALUE(F194)&gt;=1,VALUE(F194)&lt;=20),IF(INDEX(設定!$P$8:$P$27,VALUE(F194))="","？",INDEX(設定!$P$8:$P$27,VALUE(F194))),"？")))</f>
        <v/>
      </c>
      <c r="K194" s="45">
        <f>IF(L194="","",IF(G194="","名簿にいない",IF(COUNTIF(L195:L$552,L194)&gt;0,"2回提出（下の行を使います）",IF(OR(H194="？",I194="？",J194="？"),"クラブ番号がちがう",IF(OR(AND(H194&lt;&gt;"",H194&lt;&gt;"？",COUNTIF(設定!$P$8:$P$27,H194)=0),AND(I194&lt;&gt;"",I194&lt;&gt;"？",COUNTIF(設定!$P$8:$P$27,I194)=0),AND(J194&lt;&gt;"",J194&lt;&gt;"？",COUNTIF(設定!$P$8:$P$27,J194)=0)),"クラブ名がちがう",IF(H194="","第1希望がない",IF(OR(AND(H194&lt;&gt;"",H194=I194),AND(H194&lt;&gt;"",H194=J194),AND(I194&lt;&gt;"",I194=J194)),"同じクラブを重複して希望","OK")))))))</f>
        <v/>
      </c>
      <c r="L194" s="8">
        <f>IF(A194="","",A194&amp;"-"&amp;B194&amp;"-"&amp;C194)</f>
        <v/>
      </c>
      <c r="M194" s="8">
        <f>IF(OR(L194="",G194=""),"",IF(COUNTIF(L195:L$552,L194)=0,L194,""))</f>
        <v/>
      </c>
    </row>
    <row r="195">
      <c r="A195" s="40" t="n">
        <v>4</v>
      </c>
      <c r="B195" s="40" t="inlineStr">
        <is>
          <t>竹</t>
        </is>
      </c>
      <c r="C195" s="40" t="n">
        <v>11</v>
      </c>
      <c r="D195" s="40" t="n">
        <v>10</v>
      </c>
      <c r="E195" s="40" t="n">
        <v>4</v>
      </c>
      <c r="F195" s="40" t="n">
        <v>9</v>
      </c>
      <c r="G195" s="3">
        <f>IF(L195="","",IFERROR(INDEX(前年度名簿!$D$2:$D$451,MATCH(L195,前年度名簿!$F$2:$F$451,0)),""))</f>
        <v/>
      </c>
      <c r="H195" s="44">
        <f>IF(D195="","",IF(ISERROR(VALUE(D195)),D195&amp;"",IF(AND(VALUE(D195)&gt;=1,VALUE(D195)&lt;=20),IF(INDEX(設定!$P$8:$P$27,VALUE(D195))="","？",INDEX(設定!$P$8:$P$27,VALUE(D195))),"？")))</f>
        <v/>
      </c>
      <c r="I195" s="44">
        <f>IF(E195="","",IF(ISERROR(VALUE(E195)),E195&amp;"",IF(AND(VALUE(E195)&gt;=1,VALUE(E195)&lt;=20),IF(INDEX(設定!$P$8:$P$27,VALUE(E195))="","？",INDEX(設定!$P$8:$P$27,VALUE(E195))),"？")))</f>
        <v/>
      </c>
      <c r="J195" s="44">
        <f>IF(F195="","",IF(ISERROR(VALUE(F195)),F195&amp;"",IF(AND(VALUE(F195)&gt;=1,VALUE(F195)&lt;=20),IF(INDEX(設定!$P$8:$P$27,VALUE(F195))="","？",INDEX(設定!$P$8:$P$27,VALUE(F195))),"？")))</f>
        <v/>
      </c>
      <c r="K195" s="45">
        <f>IF(L195="","",IF(G195="","名簿にいない",IF(COUNTIF(L196:L$552,L195)&gt;0,"2回提出（下の行を使います）",IF(OR(H195="？",I195="？",J195="？"),"クラブ番号がちがう",IF(OR(AND(H195&lt;&gt;"",H195&lt;&gt;"？",COUNTIF(設定!$P$8:$P$27,H195)=0),AND(I195&lt;&gt;"",I195&lt;&gt;"？",COUNTIF(設定!$P$8:$P$27,I195)=0),AND(J195&lt;&gt;"",J195&lt;&gt;"？",COUNTIF(設定!$P$8:$P$27,J195)=0)),"クラブ名がちがう",IF(H195="","第1希望がない",IF(OR(AND(H195&lt;&gt;"",H195=I195),AND(H195&lt;&gt;"",H195=J195),AND(I195&lt;&gt;"",I195=J195)),"同じクラブを重複して希望","OK")))))))</f>
        <v/>
      </c>
      <c r="L195" s="8">
        <f>IF(A195="","",A195&amp;"-"&amp;B195&amp;"-"&amp;C195)</f>
        <v/>
      </c>
      <c r="M195" s="8">
        <f>IF(OR(L195="",G195=""),"",IF(COUNTIF(L196:L$552,L195)=0,L195,""))</f>
        <v/>
      </c>
    </row>
    <row r="196">
      <c r="A196" s="40" t="n">
        <v>4</v>
      </c>
      <c r="B196" s="40" t="inlineStr">
        <is>
          <t>竹</t>
        </is>
      </c>
      <c r="C196" s="40" t="n">
        <v>8</v>
      </c>
      <c r="D196" s="40" t="n">
        <v>12</v>
      </c>
      <c r="E196" s="40" t="n">
        <v>11</v>
      </c>
      <c r="F196" s="40" t="n">
        <v>8</v>
      </c>
      <c r="G196" s="3">
        <f>IF(L196="","",IFERROR(INDEX(前年度名簿!$D$2:$D$451,MATCH(L196,前年度名簿!$F$2:$F$451,0)),""))</f>
        <v/>
      </c>
      <c r="H196" s="44">
        <f>IF(D196="","",IF(ISERROR(VALUE(D196)),D196&amp;"",IF(AND(VALUE(D196)&gt;=1,VALUE(D196)&lt;=20),IF(INDEX(設定!$P$8:$P$27,VALUE(D196))="","？",INDEX(設定!$P$8:$P$27,VALUE(D196))),"？")))</f>
        <v/>
      </c>
      <c r="I196" s="44">
        <f>IF(E196="","",IF(ISERROR(VALUE(E196)),E196&amp;"",IF(AND(VALUE(E196)&gt;=1,VALUE(E196)&lt;=20),IF(INDEX(設定!$P$8:$P$27,VALUE(E196))="","？",INDEX(設定!$P$8:$P$27,VALUE(E196))),"？")))</f>
        <v/>
      </c>
      <c r="J196" s="44">
        <f>IF(F196="","",IF(ISERROR(VALUE(F196)),F196&amp;"",IF(AND(VALUE(F196)&gt;=1,VALUE(F196)&lt;=20),IF(INDEX(設定!$P$8:$P$27,VALUE(F196))="","？",INDEX(設定!$P$8:$P$27,VALUE(F196))),"？")))</f>
        <v/>
      </c>
      <c r="K196" s="45">
        <f>IF(L196="","",IF(G196="","名簿にいない",IF(COUNTIF(L197:L$552,L196)&gt;0,"2回提出（下の行を使います）",IF(OR(H196="？",I196="？",J196="？"),"クラブ番号がちがう",IF(OR(AND(H196&lt;&gt;"",H196&lt;&gt;"？",COUNTIF(設定!$P$8:$P$27,H196)=0),AND(I196&lt;&gt;"",I196&lt;&gt;"？",COUNTIF(設定!$P$8:$P$27,I196)=0),AND(J196&lt;&gt;"",J196&lt;&gt;"？",COUNTIF(設定!$P$8:$P$27,J196)=0)),"クラブ名がちがう",IF(H196="","第1希望がない",IF(OR(AND(H196&lt;&gt;"",H196=I196),AND(H196&lt;&gt;"",H196=J196),AND(I196&lt;&gt;"",I196=J196)),"同じクラブを重複して希望","OK")))))))</f>
        <v/>
      </c>
      <c r="L196" s="8">
        <f>IF(A196="","",A196&amp;"-"&amp;B196&amp;"-"&amp;C196)</f>
        <v/>
      </c>
      <c r="M196" s="8">
        <f>IF(OR(L196="",G196=""),"",IF(COUNTIF(L197:L$552,L196)=0,L196,""))</f>
        <v/>
      </c>
    </row>
    <row r="197">
      <c r="A197" s="40" t="n">
        <v>3</v>
      </c>
      <c r="B197" s="40" t="inlineStr">
        <is>
          <t>松</t>
        </is>
      </c>
      <c r="C197" s="40" t="n">
        <v>28</v>
      </c>
      <c r="D197" s="40" t="n">
        <v>8</v>
      </c>
      <c r="E197" s="40" t="n">
        <v>4</v>
      </c>
      <c r="F197" s="40" t="n">
        <v>5</v>
      </c>
      <c r="G197" s="3">
        <f>IF(L197="","",IFERROR(INDEX(前年度名簿!$D$2:$D$451,MATCH(L197,前年度名簿!$F$2:$F$451,0)),""))</f>
        <v/>
      </c>
      <c r="H197" s="44">
        <f>IF(D197="","",IF(ISERROR(VALUE(D197)),D197&amp;"",IF(AND(VALUE(D197)&gt;=1,VALUE(D197)&lt;=20),IF(INDEX(設定!$P$8:$P$27,VALUE(D197))="","？",INDEX(設定!$P$8:$P$27,VALUE(D197))),"？")))</f>
        <v/>
      </c>
      <c r="I197" s="44">
        <f>IF(E197="","",IF(ISERROR(VALUE(E197)),E197&amp;"",IF(AND(VALUE(E197)&gt;=1,VALUE(E197)&lt;=20),IF(INDEX(設定!$P$8:$P$27,VALUE(E197))="","？",INDEX(設定!$P$8:$P$27,VALUE(E197))),"？")))</f>
        <v/>
      </c>
      <c r="J197" s="44">
        <f>IF(F197="","",IF(ISERROR(VALUE(F197)),F197&amp;"",IF(AND(VALUE(F197)&gt;=1,VALUE(F197)&lt;=20),IF(INDEX(設定!$P$8:$P$27,VALUE(F197))="","？",INDEX(設定!$P$8:$P$27,VALUE(F197))),"？")))</f>
        <v/>
      </c>
      <c r="K197" s="45">
        <f>IF(L197="","",IF(G197="","名簿にいない",IF(COUNTIF(L198:L$552,L197)&gt;0,"2回提出（下の行を使います）",IF(OR(H197="？",I197="？",J197="？"),"クラブ番号がちがう",IF(OR(AND(H197&lt;&gt;"",H197&lt;&gt;"？",COUNTIF(設定!$P$8:$P$27,H197)=0),AND(I197&lt;&gt;"",I197&lt;&gt;"？",COUNTIF(設定!$P$8:$P$27,I197)=0),AND(J197&lt;&gt;"",J197&lt;&gt;"？",COUNTIF(設定!$P$8:$P$27,J197)=0)),"クラブ名がちがう",IF(H197="","第1希望がない",IF(OR(AND(H197&lt;&gt;"",H197=I197),AND(H197&lt;&gt;"",H197=J197),AND(I197&lt;&gt;"",I197=J197)),"同じクラブを重複して希望","OK")))))))</f>
        <v/>
      </c>
      <c r="L197" s="8">
        <f>IF(A197="","",A197&amp;"-"&amp;B197&amp;"-"&amp;C197)</f>
        <v/>
      </c>
      <c r="M197" s="8">
        <f>IF(OR(L197="",G197=""),"",IF(COUNTIF(L198:L$552,L197)=0,L197,""))</f>
        <v/>
      </c>
    </row>
    <row r="198">
      <c r="A198" s="40" t="n">
        <v>5</v>
      </c>
      <c r="B198" s="40" t="inlineStr">
        <is>
          <t>梅</t>
        </is>
      </c>
      <c r="C198" s="40" t="n">
        <v>8</v>
      </c>
      <c r="D198" s="40" t="n">
        <v>9</v>
      </c>
      <c r="E198" s="40" t="n">
        <v>6</v>
      </c>
      <c r="F198" s="40" t="n">
        <v>11</v>
      </c>
      <c r="G198" s="3">
        <f>IF(L198="","",IFERROR(INDEX(前年度名簿!$D$2:$D$451,MATCH(L198,前年度名簿!$F$2:$F$451,0)),""))</f>
        <v/>
      </c>
      <c r="H198" s="44">
        <f>IF(D198="","",IF(ISERROR(VALUE(D198)),D198&amp;"",IF(AND(VALUE(D198)&gt;=1,VALUE(D198)&lt;=20),IF(INDEX(設定!$P$8:$P$27,VALUE(D198))="","？",INDEX(設定!$P$8:$P$27,VALUE(D198))),"？")))</f>
        <v/>
      </c>
      <c r="I198" s="44">
        <f>IF(E198="","",IF(ISERROR(VALUE(E198)),E198&amp;"",IF(AND(VALUE(E198)&gt;=1,VALUE(E198)&lt;=20),IF(INDEX(設定!$P$8:$P$27,VALUE(E198))="","？",INDEX(設定!$P$8:$P$27,VALUE(E198))),"？")))</f>
        <v/>
      </c>
      <c r="J198" s="44">
        <f>IF(F198="","",IF(ISERROR(VALUE(F198)),F198&amp;"",IF(AND(VALUE(F198)&gt;=1,VALUE(F198)&lt;=20),IF(INDEX(設定!$P$8:$P$27,VALUE(F198))="","？",INDEX(設定!$P$8:$P$27,VALUE(F198))),"？")))</f>
        <v/>
      </c>
      <c r="K198" s="45">
        <f>IF(L198="","",IF(G198="","名簿にいない",IF(COUNTIF(L199:L$552,L198)&gt;0,"2回提出（下の行を使います）",IF(OR(H198="？",I198="？",J198="？"),"クラブ番号がちがう",IF(OR(AND(H198&lt;&gt;"",H198&lt;&gt;"？",COUNTIF(設定!$P$8:$P$27,H198)=0),AND(I198&lt;&gt;"",I198&lt;&gt;"？",COUNTIF(設定!$P$8:$P$27,I198)=0),AND(J198&lt;&gt;"",J198&lt;&gt;"？",COUNTIF(設定!$P$8:$P$27,J198)=0)),"クラブ名がちがう",IF(H198="","第1希望がない",IF(OR(AND(H198&lt;&gt;"",H198=I198),AND(H198&lt;&gt;"",H198=J198),AND(I198&lt;&gt;"",I198=J198)),"同じクラブを重複して希望","OK")))))))</f>
        <v/>
      </c>
      <c r="L198" s="8">
        <f>IF(A198="","",A198&amp;"-"&amp;B198&amp;"-"&amp;C198)</f>
        <v/>
      </c>
      <c r="M198" s="8">
        <f>IF(OR(L198="",G198=""),"",IF(COUNTIF(L199:L$552,L198)=0,L198,""))</f>
        <v/>
      </c>
    </row>
    <row r="199">
      <c r="A199" s="40" t="n">
        <v>5</v>
      </c>
      <c r="B199" s="40" t="inlineStr">
        <is>
          <t>松</t>
        </is>
      </c>
      <c r="C199" s="40" t="n">
        <v>30</v>
      </c>
      <c r="D199" s="40" t="n">
        <v>10</v>
      </c>
      <c r="E199" s="40" t="n">
        <v>3</v>
      </c>
      <c r="F199" s="40" t="n">
        <v>12</v>
      </c>
      <c r="G199" s="3">
        <f>IF(L199="","",IFERROR(INDEX(前年度名簿!$D$2:$D$451,MATCH(L199,前年度名簿!$F$2:$F$451,0)),""))</f>
        <v/>
      </c>
      <c r="H199" s="44">
        <f>IF(D199="","",IF(ISERROR(VALUE(D199)),D199&amp;"",IF(AND(VALUE(D199)&gt;=1,VALUE(D199)&lt;=20),IF(INDEX(設定!$P$8:$P$27,VALUE(D199))="","？",INDEX(設定!$P$8:$P$27,VALUE(D199))),"？")))</f>
        <v/>
      </c>
      <c r="I199" s="44">
        <f>IF(E199="","",IF(ISERROR(VALUE(E199)),E199&amp;"",IF(AND(VALUE(E199)&gt;=1,VALUE(E199)&lt;=20),IF(INDEX(設定!$P$8:$P$27,VALUE(E199))="","？",INDEX(設定!$P$8:$P$27,VALUE(E199))),"？")))</f>
        <v/>
      </c>
      <c r="J199" s="44">
        <f>IF(F199="","",IF(ISERROR(VALUE(F199)),F199&amp;"",IF(AND(VALUE(F199)&gt;=1,VALUE(F199)&lt;=20),IF(INDEX(設定!$P$8:$P$27,VALUE(F199))="","？",INDEX(設定!$P$8:$P$27,VALUE(F199))),"？")))</f>
        <v/>
      </c>
      <c r="K199" s="45">
        <f>IF(L199="","",IF(G199="","名簿にいない",IF(COUNTIF(L200:L$552,L199)&gt;0,"2回提出（下の行を使います）",IF(OR(H199="？",I199="？",J199="？"),"クラブ番号がちがう",IF(OR(AND(H199&lt;&gt;"",H199&lt;&gt;"？",COUNTIF(設定!$P$8:$P$27,H199)=0),AND(I199&lt;&gt;"",I199&lt;&gt;"？",COUNTIF(設定!$P$8:$P$27,I199)=0),AND(J199&lt;&gt;"",J199&lt;&gt;"？",COUNTIF(設定!$P$8:$P$27,J199)=0)),"クラブ名がちがう",IF(H199="","第1希望がない",IF(OR(AND(H199&lt;&gt;"",H199=I199),AND(H199&lt;&gt;"",H199=J199),AND(I199&lt;&gt;"",I199=J199)),"同じクラブを重複して希望","OK")))))))</f>
        <v/>
      </c>
      <c r="L199" s="8">
        <f>IF(A199="","",A199&amp;"-"&amp;B199&amp;"-"&amp;C199)</f>
        <v/>
      </c>
      <c r="M199" s="8">
        <f>IF(OR(L199="",G199=""),"",IF(COUNTIF(L200:L$552,L199)=0,L199,""))</f>
        <v/>
      </c>
    </row>
    <row r="200">
      <c r="A200" s="40" t="n">
        <v>3</v>
      </c>
      <c r="B200" s="40" t="inlineStr">
        <is>
          <t>松</t>
        </is>
      </c>
      <c r="C200" s="40" t="n">
        <v>11</v>
      </c>
      <c r="D200" s="40" t="n">
        <v>7</v>
      </c>
      <c r="E200" s="40" t="n">
        <v>3</v>
      </c>
      <c r="F200" s="40" t="n">
        <v>6</v>
      </c>
      <c r="G200" s="3">
        <f>IF(L200="","",IFERROR(INDEX(前年度名簿!$D$2:$D$451,MATCH(L200,前年度名簿!$F$2:$F$451,0)),""))</f>
        <v/>
      </c>
      <c r="H200" s="44">
        <f>IF(D200="","",IF(ISERROR(VALUE(D200)),D200&amp;"",IF(AND(VALUE(D200)&gt;=1,VALUE(D200)&lt;=20),IF(INDEX(設定!$P$8:$P$27,VALUE(D200))="","？",INDEX(設定!$P$8:$P$27,VALUE(D200))),"？")))</f>
        <v/>
      </c>
      <c r="I200" s="44">
        <f>IF(E200="","",IF(ISERROR(VALUE(E200)),E200&amp;"",IF(AND(VALUE(E200)&gt;=1,VALUE(E200)&lt;=20),IF(INDEX(設定!$P$8:$P$27,VALUE(E200))="","？",INDEX(設定!$P$8:$P$27,VALUE(E200))),"？")))</f>
        <v/>
      </c>
      <c r="J200" s="44">
        <f>IF(F200="","",IF(ISERROR(VALUE(F200)),F200&amp;"",IF(AND(VALUE(F200)&gt;=1,VALUE(F200)&lt;=20),IF(INDEX(設定!$P$8:$P$27,VALUE(F200))="","？",INDEX(設定!$P$8:$P$27,VALUE(F200))),"？")))</f>
        <v/>
      </c>
      <c r="K200" s="45">
        <f>IF(L200="","",IF(G200="","名簿にいない",IF(COUNTIF(L201:L$552,L200)&gt;0,"2回提出（下の行を使います）",IF(OR(H200="？",I200="？",J200="？"),"クラブ番号がちがう",IF(OR(AND(H200&lt;&gt;"",H200&lt;&gt;"？",COUNTIF(設定!$P$8:$P$27,H200)=0),AND(I200&lt;&gt;"",I200&lt;&gt;"？",COUNTIF(設定!$P$8:$P$27,I200)=0),AND(J200&lt;&gt;"",J200&lt;&gt;"？",COUNTIF(設定!$P$8:$P$27,J200)=0)),"クラブ名がちがう",IF(H200="","第1希望がない",IF(OR(AND(H200&lt;&gt;"",H200=I200),AND(H200&lt;&gt;"",H200=J200),AND(I200&lt;&gt;"",I200=J200)),"同じクラブを重複して希望","OK")))))))</f>
        <v/>
      </c>
      <c r="L200" s="8">
        <f>IF(A200="","",A200&amp;"-"&amp;B200&amp;"-"&amp;C200)</f>
        <v/>
      </c>
      <c r="M200" s="8">
        <f>IF(OR(L200="",G200=""),"",IF(COUNTIF(L201:L$552,L200)=0,L200,""))</f>
        <v/>
      </c>
    </row>
    <row r="201">
      <c r="A201" s="40" t="n">
        <v>3</v>
      </c>
      <c r="B201" s="40" t="inlineStr">
        <is>
          <t>松</t>
        </is>
      </c>
      <c r="C201" s="40" t="n">
        <v>23</v>
      </c>
      <c r="D201" s="40" t="n">
        <v>11</v>
      </c>
      <c r="E201" s="40" t="n">
        <v>7</v>
      </c>
      <c r="F201" s="40" t="n">
        <v>5</v>
      </c>
      <c r="G201" s="3">
        <f>IF(L201="","",IFERROR(INDEX(前年度名簿!$D$2:$D$451,MATCH(L201,前年度名簿!$F$2:$F$451,0)),""))</f>
        <v/>
      </c>
      <c r="H201" s="44">
        <f>IF(D201="","",IF(ISERROR(VALUE(D201)),D201&amp;"",IF(AND(VALUE(D201)&gt;=1,VALUE(D201)&lt;=20),IF(INDEX(設定!$P$8:$P$27,VALUE(D201))="","？",INDEX(設定!$P$8:$P$27,VALUE(D201))),"？")))</f>
        <v/>
      </c>
      <c r="I201" s="44">
        <f>IF(E201="","",IF(ISERROR(VALUE(E201)),E201&amp;"",IF(AND(VALUE(E201)&gt;=1,VALUE(E201)&lt;=20),IF(INDEX(設定!$P$8:$P$27,VALUE(E201))="","？",INDEX(設定!$P$8:$P$27,VALUE(E201))),"？")))</f>
        <v/>
      </c>
      <c r="J201" s="44">
        <f>IF(F201="","",IF(ISERROR(VALUE(F201)),F201&amp;"",IF(AND(VALUE(F201)&gt;=1,VALUE(F201)&lt;=20),IF(INDEX(設定!$P$8:$P$27,VALUE(F201))="","？",INDEX(設定!$P$8:$P$27,VALUE(F201))),"？")))</f>
        <v/>
      </c>
      <c r="K201" s="45">
        <f>IF(L201="","",IF(G201="","名簿にいない",IF(COUNTIF(L202:L$552,L201)&gt;0,"2回提出（下の行を使います）",IF(OR(H201="？",I201="？",J201="？"),"クラブ番号がちがう",IF(OR(AND(H201&lt;&gt;"",H201&lt;&gt;"？",COUNTIF(設定!$P$8:$P$27,H201)=0),AND(I201&lt;&gt;"",I201&lt;&gt;"？",COUNTIF(設定!$P$8:$P$27,I201)=0),AND(J201&lt;&gt;"",J201&lt;&gt;"？",COUNTIF(設定!$P$8:$P$27,J201)=0)),"クラブ名がちがう",IF(H201="","第1希望がない",IF(OR(AND(H201&lt;&gt;"",H201=I201),AND(H201&lt;&gt;"",H201=J201),AND(I201&lt;&gt;"",I201=J201)),"同じクラブを重複して希望","OK")))))))</f>
        <v/>
      </c>
      <c r="L201" s="8">
        <f>IF(A201="","",A201&amp;"-"&amp;B201&amp;"-"&amp;C201)</f>
        <v/>
      </c>
      <c r="M201" s="8">
        <f>IF(OR(L201="",G201=""),"",IF(COUNTIF(L202:L$552,L201)=0,L201,""))</f>
        <v/>
      </c>
    </row>
    <row r="202">
      <c r="A202" s="40" t="n">
        <v>5</v>
      </c>
      <c r="B202" s="40" t="inlineStr">
        <is>
          <t>松</t>
        </is>
      </c>
      <c r="C202" s="40" t="n">
        <v>11</v>
      </c>
      <c r="D202" s="40" t="n">
        <v>10</v>
      </c>
      <c r="E202" s="40" t="n">
        <v>12</v>
      </c>
      <c r="F202" s="40" t="n">
        <v>9</v>
      </c>
      <c r="G202" s="3">
        <f>IF(L202="","",IFERROR(INDEX(前年度名簿!$D$2:$D$451,MATCH(L202,前年度名簿!$F$2:$F$451,0)),""))</f>
        <v/>
      </c>
      <c r="H202" s="44">
        <f>IF(D202="","",IF(ISERROR(VALUE(D202)),D202&amp;"",IF(AND(VALUE(D202)&gt;=1,VALUE(D202)&lt;=20),IF(INDEX(設定!$P$8:$P$27,VALUE(D202))="","？",INDEX(設定!$P$8:$P$27,VALUE(D202))),"？")))</f>
        <v/>
      </c>
      <c r="I202" s="44">
        <f>IF(E202="","",IF(ISERROR(VALUE(E202)),E202&amp;"",IF(AND(VALUE(E202)&gt;=1,VALUE(E202)&lt;=20),IF(INDEX(設定!$P$8:$P$27,VALUE(E202))="","？",INDEX(設定!$P$8:$P$27,VALUE(E202))),"？")))</f>
        <v/>
      </c>
      <c r="J202" s="44">
        <f>IF(F202="","",IF(ISERROR(VALUE(F202)),F202&amp;"",IF(AND(VALUE(F202)&gt;=1,VALUE(F202)&lt;=20),IF(INDEX(設定!$P$8:$P$27,VALUE(F202))="","？",INDEX(設定!$P$8:$P$27,VALUE(F202))),"？")))</f>
        <v/>
      </c>
      <c r="K202" s="45">
        <f>IF(L202="","",IF(G202="","名簿にいない",IF(COUNTIF(L203:L$552,L202)&gt;0,"2回提出（下の行を使います）",IF(OR(H202="？",I202="？",J202="？"),"クラブ番号がちがう",IF(OR(AND(H202&lt;&gt;"",H202&lt;&gt;"？",COUNTIF(設定!$P$8:$P$27,H202)=0),AND(I202&lt;&gt;"",I202&lt;&gt;"？",COUNTIF(設定!$P$8:$P$27,I202)=0),AND(J202&lt;&gt;"",J202&lt;&gt;"？",COUNTIF(設定!$P$8:$P$27,J202)=0)),"クラブ名がちがう",IF(H202="","第1希望がない",IF(OR(AND(H202&lt;&gt;"",H202=I202),AND(H202&lt;&gt;"",H202=J202),AND(I202&lt;&gt;"",I202=J202)),"同じクラブを重複して希望","OK")))))))</f>
        <v/>
      </c>
      <c r="L202" s="8">
        <f>IF(A202="","",A202&amp;"-"&amp;B202&amp;"-"&amp;C202)</f>
        <v/>
      </c>
      <c r="M202" s="8">
        <f>IF(OR(L202="",G202=""),"",IF(COUNTIF(L203:L$552,L202)=0,L202,""))</f>
        <v/>
      </c>
    </row>
    <row r="203">
      <c r="A203" s="40" t="n">
        <v>4</v>
      </c>
      <c r="B203" s="40" t="inlineStr">
        <is>
          <t>月</t>
        </is>
      </c>
      <c r="C203" s="40" t="n">
        <v>29</v>
      </c>
      <c r="D203" s="40" t="n">
        <v>10</v>
      </c>
      <c r="E203" s="40" t="n">
        <v>5</v>
      </c>
      <c r="F203" s="40" t="n">
        <v>2</v>
      </c>
      <c r="G203" s="3">
        <f>IF(L203="","",IFERROR(INDEX(前年度名簿!$D$2:$D$451,MATCH(L203,前年度名簿!$F$2:$F$451,0)),""))</f>
        <v/>
      </c>
      <c r="H203" s="44">
        <f>IF(D203="","",IF(ISERROR(VALUE(D203)),D203&amp;"",IF(AND(VALUE(D203)&gt;=1,VALUE(D203)&lt;=20),IF(INDEX(設定!$P$8:$P$27,VALUE(D203))="","？",INDEX(設定!$P$8:$P$27,VALUE(D203))),"？")))</f>
        <v/>
      </c>
      <c r="I203" s="44">
        <f>IF(E203="","",IF(ISERROR(VALUE(E203)),E203&amp;"",IF(AND(VALUE(E203)&gt;=1,VALUE(E203)&lt;=20),IF(INDEX(設定!$P$8:$P$27,VALUE(E203))="","？",INDEX(設定!$P$8:$P$27,VALUE(E203))),"？")))</f>
        <v/>
      </c>
      <c r="J203" s="44">
        <f>IF(F203="","",IF(ISERROR(VALUE(F203)),F203&amp;"",IF(AND(VALUE(F203)&gt;=1,VALUE(F203)&lt;=20),IF(INDEX(設定!$P$8:$P$27,VALUE(F203))="","？",INDEX(設定!$P$8:$P$27,VALUE(F203))),"？")))</f>
        <v/>
      </c>
      <c r="K203" s="45">
        <f>IF(L203="","",IF(G203="","名簿にいない",IF(COUNTIF(L204:L$552,L203)&gt;0,"2回提出（下の行を使います）",IF(OR(H203="？",I203="？",J203="？"),"クラブ番号がちがう",IF(OR(AND(H203&lt;&gt;"",H203&lt;&gt;"？",COUNTIF(設定!$P$8:$P$27,H203)=0),AND(I203&lt;&gt;"",I203&lt;&gt;"？",COUNTIF(設定!$P$8:$P$27,I203)=0),AND(J203&lt;&gt;"",J203&lt;&gt;"？",COUNTIF(設定!$P$8:$P$27,J203)=0)),"クラブ名がちがう",IF(H203="","第1希望がない",IF(OR(AND(H203&lt;&gt;"",H203=I203),AND(H203&lt;&gt;"",H203=J203),AND(I203&lt;&gt;"",I203=J203)),"同じクラブを重複して希望","OK")))))))</f>
        <v/>
      </c>
      <c r="L203" s="8">
        <f>IF(A203="","",A203&amp;"-"&amp;B203&amp;"-"&amp;C203)</f>
        <v/>
      </c>
      <c r="M203" s="8">
        <f>IF(OR(L203="",G203=""),"",IF(COUNTIF(L204:L$552,L203)=0,L203,""))</f>
        <v/>
      </c>
    </row>
    <row r="204">
      <c r="A204" s="40" t="n">
        <v>4</v>
      </c>
      <c r="B204" s="40" t="inlineStr">
        <is>
          <t>松</t>
        </is>
      </c>
      <c r="C204" s="40" t="n">
        <v>30</v>
      </c>
      <c r="D204" s="40" t="n">
        <v>12</v>
      </c>
      <c r="E204" s="40" t="n">
        <v>8</v>
      </c>
      <c r="F204" s="40" t="n">
        <v>7</v>
      </c>
      <c r="G204" s="3">
        <f>IF(L204="","",IFERROR(INDEX(前年度名簿!$D$2:$D$451,MATCH(L204,前年度名簿!$F$2:$F$451,0)),""))</f>
        <v/>
      </c>
      <c r="H204" s="44">
        <f>IF(D204="","",IF(ISERROR(VALUE(D204)),D204&amp;"",IF(AND(VALUE(D204)&gt;=1,VALUE(D204)&lt;=20),IF(INDEX(設定!$P$8:$P$27,VALUE(D204))="","？",INDEX(設定!$P$8:$P$27,VALUE(D204))),"？")))</f>
        <v/>
      </c>
      <c r="I204" s="44">
        <f>IF(E204="","",IF(ISERROR(VALUE(E204)),E204&amp;"",IF(AND(VALUE(E204)&gt;=1,VALUE(E204)&lt;=20),IF(INDEX(設定!$P$8:$P$27,VALUE(E204))="","？",INDEX(設定!$P$8:$P$27,VALUE(E204))),"？")))</f>
        <v/>
      </c>
      <c r="J204" s="44">
        <f>IF(F204="","",IF(ISERROR(VALUE(F204)),F204&amp;"",IF(AND(VALUE(F204)&gt;=1,VALUE(F204)&lt;=20),IF(INDEX(設定!$P$8:$P$27,VALUE(F204))="","？",INDEX(設定!$P$8:$P$27,VALUE(F204))),"？")))</f>
        <v/>
      </c>
      <c r="K204" s="45">
        <f>IF(L204="","",IF(G204="","名簿にいない",IF(COUNTIF(L205:L$552,L204)&gt;0,"2回提出（下の行を使います）",IF(OR(H204="？",I204="？",J204="？"),"クラブ番号がちがう",IF(OR(AND(H204&lt;&gt;"",H204&lt;&gt;"？",COUNTIF(設定!$P$8:$P$27,H204)=0),AND(I204&lt;&gt;"",I204&lt;&gt;"？",COUNTIF(設定!$P$8:$P$27,I204)=0),AND(J204&lt;&gt;"",J204&lt;&gt;"？",COUNTIF(設定!$P$8:$P$27,J204)=0)),"クラブ名がちがう",IF(H204="","第1希望がない",IF(OR(AND(H204&lt;&gt;"",H204=I204),AND(H204&lt;&gt;"",H204=J204),AND(I204&lt;&gt;"",I204=J204)),"同じクラブを重複して希望","OK")))))))</f>
        <v/>
      </c>
      <c r="L204" s="8">
        <f>IF(A204="","",A204&amp;"-"&amp;B204&amp;"-"&amp;C204)</f>
        <v/>
      </c>
      <c r="M204" s="8">
        <f>IF(OR(L204="",G204=""),"",IF(COUNTIF(L205:L$552,L204)=0,L204,""))</f>
        <v/>
      </c>
    </row>
    <row r="205">
      <c r="A205" s="40" t="n">
        <v>3</v>
      </c>
      <c r="B205" s="40" t="inlineStr">
        <is>
          <t>竹</t>
        </is>
      </c>
      <c r="C205" s="40" t="n">
        <v>6</v>
      </c>
      <c r="D205" s="40" t="n">
        <v>9</v>
      </c>
      <c r="E205" s="40" t="n">
        <v>4</v>
      </c>
      <c r="F205" s="40" t="n">
        <v>7</v>
      </c>
      <c r="G205" s="3">
        <f>IF(L205="","",IFERROR(INDEX(前年度名簿!$D$2:$D$451,MATCH(L205,前年度名簿!$F$2:$F$451,0)),""))</f>
        <v/>
      </c>
      <c r="H205" s="44">
        <f>IF(D205="","",IF(ISERROR(VALUE(D205)),D205&amp;"",IF(AND(VALUE(D205)&gt;=1,VALUE(D205)&lt;=20),IF(INDEX(設定!$P$8:$P$27,VALUE(D205))="","？",INDEX(設定!$P$8:$P$27,VALUE(D205))),"？")))</f>
        <v/>
      </c>
      <c r="I205" s="44">
        <f>IF(E205="","",IF(ISERROR(VALUE(E205)),E205&amp;"",IF(AND(VALUE(E205)&gt;=1,VALUE(E205)&lt;=20),IF(INDEX(設定!$P$8:$P$27,VALUE(E205))="","？",INDEX(設定!$P$8:$P$27,VALUE(E205))),"？")))</f>
        <v/>
      </c>
      <c r="J205" s="44">
        <f>IF(F205="","",IF(ISERROR(VALUE(F205)),F205&amp;"",IF(AND(VALUE(F205)&gt;=1,VALUE(F205)&lt;=20),IF(INDEX(設定!$P$8:$P$27,VALUE(F205))="","？",INDEX(設定!$P$8:$P$27,VALUE(F205))),"？")))</f>
        <v/>
      </c>
      <c r="K205" s="45">
        <f>IF(L205="","",IF(G205="","名簿にいない",IF(COUNTIF(L206:L$552,L205)&gt;0,"2回提出（下の行を使います）",IF(OR(H205="？",I205="？",J205="？"),"クラブ番号がちがう",IF(OR(AND(H205&lt;&gt;"",H205&lt;&gt;"？",COUNTIF(設定!$P$8:$P$27,H205)=0),AND(I205&lt;&gt;"",I205&lt;&gt;"？",COUNTIF(設定!$P$8:$P$27,I205)=0),AND(J205&lt;&gt;"",J205&lt;&gt;"？",COUNTIF(設定!$P$8:$P$27,J205)=0)),"クラブ名がちがう",IF(H205="","第1希望がない",IF(OR(AND(H205&lt;&gt;"",H205=I205),AND(H205&lt;&gt;"",H205=J205),AND(I205&lt;&gt;"",I205=J205)),"同じクラブを重複して希望","OK")))))))</f>
        <v/>
      </c>
      <c r="L205" s="8">
        <f>IF(A205="","",A205&amp;"-"&amp;B205&amp;"-"&amp;C205)</f>
        <v/>
      </c>
      <c r="M205" s="8">
        <f>IF(OR(L205="",G205=""),"",IF(COUNTIF(L206:L$552,L205)=0,L205,""))</f>
        <v/>
      </c>
    </row>
    <row r="206">
      <c r="A206" s="40" t="n">
        <v>5</v>
      </c>
      <c r="B206" s="40" t="inlineStr">
        <is>
          <t>竹</t>
        </is>
      </c>
      <c r="C206" s="40" t="n">
        <v>14</v>
      </c>
      <c r="D206" s="40" t="n">
        <v>1</v>
      </c>
      <c r="E206" s="40" t="n">
        <v>8</v>
      </c>
      <c r="F206" s="40" t="n">
        <v>5</v>
      </c>
      <c r="G206" s="3">
        <f>IF(L206="","",IFERROR(INDEX(前年度名簿!$D$2:$D$451,MATCH(L206,前年度名簿!$F$2:$F$451,0)),""))</f>
        <v/>
      </c>
      <c r="H206" s="44">
        <f>IF(D206="","",IF(ISERROR(VALUE(D206)),D206&amp;"",IF(AND(VALUE(D206)&gt;=1,VALUE(D206)&lt;=20),IF(INDEX(設定!$P$8:$P$27,VALUE(D206))="","？",INDEX(設定!$P$8:$P$27,VALUE(D206))),"？")))</f>
        <v/>
      </c>
      <c r="I206" s="44">
        <f>IF(E206="","",IF(ISERROR(VALUE(E206)),E206&amp;"",IF(AND(VALUE(E206)&gt;=1,VALUE(E206)&lt;=20),IF(INDEX(設定!$P$8:$P$27,VALUE(E206))="","？",INDEX(設定!$P$8:$P$27,VALUE(E206))),"？")))</f>
        <v/>
      </c>
      <c r="J206" s="44">
        <f>IF(F206="","",IF(ISERROR(VALUE(F206)),F206&amp;"",IF(AND(VALUE(F206)&gt;=1,VALUE(F206)&lt;=20),IF(INDEX(設定!$P$8:$P$27,VALUE(F206))="","？",INDEX(設定!$P$8:$P$27,VALUE(F206))),"？")))</f>
        <v/>
      </c>
      <c r="K206" s="45">
        <f>IF(L206="","",IF(G206="","名簿にいない",IF(COUNTIF(L207:L$552,L206)&gt;0,"2回提出（下の行を使います）",IF(OR(H206="？",I206="？",J206="？"),"クラブ番号がちがう",IF(OR(AND(H206&lt;&gt;"",H206&lt;&gt;"？",COUNTIF(設定!$P$8:$P$27,H206)=0),AND(I206&lt;&gt;"",I206&lt;&gt;"？",COUNTIF(設定!$P$8:$P$27,I206)=0),AND(J206&lt;&gt;"",J206&lt;&gt;"？",COUNTIF(設定!$P$8:$P$27,J206)=0)),"クラブ名がちがう",IF(H206="","第1希望がない",IF(OR(AND(H206&lt;&gt;"",H206=I206),AND(H206&lt;&gt;"",H206=J206),AND(I206&lt;&gt;"",I206=J206)),"同じクラブを重複して希望","OK")))))))</f>
        <v/>
      </c>
      <c r="L206" s="8">
        <f>IF(A206="","",A206&amp;"-"&amp;B206&amp;"-"&amp;C206)</f>
        <v/>
      </c>
      <c r="M206" s="8">
        <f>IF(OR(L206="",G206=""),"",IF(COUNTIF(L207:L$552,L206)=0,L206,""))</f>
        <v/>
      </c>
    </row>
    <row r="207">
      <c r="A207" s="40" t="n">
        <v>5</v>
      </c>
      <c r="B207" s="40" t="inlineStr">
        <is>
          <t>竹</t>
        </is>
      </c>
      <c r="C207" s="40" t="n">
        <v>3</v>
      </c>
      <c r="D207" s="40" t="n">
        <v>1</v>
      </c>
      <c r="E207" s="40" t="n">
        <v>8</v>
      </c>
      <c r="F207" s="40" t="n">
        <v>2</v>
      </c>
      <c r="G207" s="3">
        <f>IF(L207="","",IFERROR(INDEX(前年度名簿!$D$2:$D$451,MATCH(L207,前年度名簿!$F$2:$F$451,0)),""))</f>
        <v/>
      </c>
      <c r="H207" s="44">
        <f>IF(D207="","",IF(ISERROR(VALUE(D207)),D207&amp;"",IF(AND(VALUE(D207)&gt;=1,VALUE(D207)&lt;=20),IF(INDEX(設定!$P$8:$P$27,VALUE(D207))="","？",INDEX(設定!$P$8:$P$27,VALUE(D207))),"？")))</f>
        <v/>
      </c>
      <c r="I207" s="44">
        <f>IF(E207="","",IF(ISERROR(VALUE(E207)),E207&amp;"",IF(AND(VALUE(E207)&gt;=1,VALUE(E207)&lt;=20),IF(INDEX(設定!$P$8:$P$27,VALUE(E207))="","？",INDEX(設定!$P$8:$P$27,VALUE(E207))),"？")))</f>
        <v/>
      </c>
      <c r="J207" s="44">
        <f>IF(F207="","",IF(ISERROR(VALUE(F207)),F207&amp;"",IF(AND(VALUE(F207)&gt;=1,VALUE(F207)&lt;=20),IF(INDEX(設定!$P$8:$P$27,VALUE(F207))="","？",INDEX(設定!$P$8:$P$27,VALUE(F207))),"？")))</f>
        <v/>
      </c>
      <c r="K207" s="45">
        <f>IF(L207="","",IF(G207="","名簿にいない",IF(COUNTIF(L208:L$552,L207)&gt;0,"2回提出（下の行を使います）",IF(OR(H207="？",I207="？",J207="？"),"クラブ番号がちがう",IF(OR(AND(H207&lt;&gt;"",H207&lt;&gt;"？",COUNTIF(設定!$P$8:$P$27,H207)=0),AND(I207&lt;&gt;"",I207&lt;&gt;"？",COUNTIF(設定!$P$8:$P$27,I207)=0),AND(J207&lt;&gt;"",J207&lt;&gt;"？",COUNTIF(設定!$P$8:$P$27,J207)=0)),"クラブ名がちがう",IF(H207="","第1希望がない",IF(OR(AND(H207&lt;&gt;"",H207=I207),AND(H207&lt;&gt;"",H207=J207),AND(I207&lt;&gt;"",I207=J207)),"同じクラブを重複して希望","OK")))))))</f>
        <v/>
      </c>
      <c r="L207" s="8">
        <f>IF(A207="","",A207&amp;"-"&amp;B207&amp;"-"&amp;C207)</f>
        <v/>
      </c>
      <c r="M207" s="8">
        <f>IF(OR(L207="",G207=""),"",IF(COUNTIF(L208:L$552,L207)=0,L207,""))</f>
        <v/>
      </c>
    </row>
    <row r="208">
      <c r="A208" s="40" t="n">
        <v>3</v>
      </c>
      <c r="B208" s="40" t="inlineStr">
        <is>
          <t>月</t>
        </is>
      </c>
      <c r="C208" s="40" t="n">
        <v>19</v>
      </c>
      <c r="D208" s="40" t="n">
        <v>6</v>
      </c>
      <c r="E208" s="40" t="n">
        <v>8</v>
      </c>
      <c r="F208" s="40" t="n">
        <v>1</v>
      </c>
      <c r="G208" s="3">
        <f>IF(L208="","",IFERROR(INDEX(前年度名簿!$D$2:$D$451,MATCH(L208,前年度名簿!$F$2:$F$451,0)),""))</f>
        <v/>
      </c>
      <c r="H208" s="44">
        <f>IF(D208="","",IF(ISERROR(VALUE(D208)),D208&amp;"",IF(AND(VALUE(D208)&gt;=1,VALUE(D208)&lt;=20),IF(INDEX(設定!$P$8:$P$27,VALUE(D208))="","？",INDEX(設定!$P$8:$P$27,VALUE(D208))),"？")))</f>
        <v/>
      </c>
      <c r="I208" s="44">
        <f>IF(E208="","",IF(ISERROR(VALUE(E208)),E208&amp;"",IF(AND(VALUE(E208)&gt;=1,VALUE(E208)&lt;=20),IF(INDEX(設定!$P$8:$P$27,VALUE(E208))="","？",INDEX(設定!$P$8:$P$27,VALUE(E208))),"？")))</f>
        <v/>
      </c>
      <c r="J208" s="44">
        <f>IF(F208="","",IF(ISERROR(VALUE(F208)),F208&amp;"",IF(AND(VALUE(F208)&gt;=1,VALUE(F208)&lt;=20),IF(INDEX(設定!$P$8:$P$27,VALUE(F208))="","？",INDEX(設定!$P$8:$P$27,VALUE(F208))),"？")))</f>
        <v/>
      </c>
      <c r="K208" s="45">
        <f>IF(L208="","",IF(G208="","名簿にいない",IF(COUNTIF(L209:L$552,L208)&gt;0,"2回提出（下の行を使います）",IF(OR(H208="？",I208="？",J208="？"),"クラブ番号がちがう",IF(OR(AND(H208&lt;&gt;"",H208&lt;&gt;"？",COUNTIF(設定!$P$8:$P$27,H208)=0),AND(I208&lt;&gt;"",I208&lt;&gt;"？",COUNTIF(設定!$P$8:$P$27,I208)=0),AND(J208&lt;&gt;"",J208&lt;&gt;"？",COUNTIF(設定!$P$8:$P$27,J208)=0)),"クラブ名がちがう",IF(H208="","第1希望がない",IF(OR(AND(H208&lt;&gt;"",H208=I208),AND(H208&lt;&gt;"",H208=J208),AND(I208&lt;&gt;"",I208=J208)),"同じクラブを重複して希望","OK")))))))</f>
        <v/>
      </c>
      <c r="L208" s="8">
        <f>IF(A208="","",A208&amp;"-"&amp;B208&amp;"-"&amp;C208)</f>
        <v/>
      </c>
      <c r="M208" s="8">
        <f>IF(OR(L208="",G208=""),"",IF(COUNTIF(L209:L$552,L208)=0,L208,""))</f>
        <v/>
      </c>
    </row>
    <row r="209">
      <c r="A209" s="40" t="n">
        <v>3</v>
      </c>
      <c r="B209" s="40" t="inlineStr">
        <is>
          <t>松</t>
        </is>
      </c>
      <c r="C209" s="40" t="n">
        <v>7</v>
      </c>
      <c r="D209" s="40" t="n">
        <v>11</v>
      </c>
      <c r="E209" s="40" t="n">
        <v>7</v>
      </c>
      <c r="F209" s="40" t="n">
        <v>9</v>
      </c>
      <c r="G209" s="3">
        <f>IF(L209="","",IFERROR(INDEX(前年度名簿!$D$2:$D$451,MATCH(L209,前年度名簿!$F$2:$F$451,0)),""))</f>
        <v/>
      </c>
      <c r="H209" s="44">
        <f>IF(D209="","",IF(ISERROR(VALUE(D209)),D209&amp;"",IF(AND(VALUE(D209)&gt;=1,VALUE(D209)&lt;=20),IF(INDEX(設定!$P$8:$P$27,VALUE(D209))="","？",INDEX(設定!$P$8:$P$27,VALUE(D209))),"？")))</f>
        <v/>
      </c>
      <c r="I209" s="44">
        <f>IF(E209="","",IF(ISERROR(VALUE(E209)),E209&amp;"",IF(AND(VALUE(E209)&gt;=1,VALUE(E209)&lt;=20),IF(INDEX(設定!$P$8:$P$27,VALUE(E209))="","？",INDEX(設定!$P$8:$P$27,VALUE(E209))),"？")))</f>
        <v/>
      </c>
      <c r="J209" s="44">
        <f>IF(F209="","",IF(ISERROR(VALUE(F209)),F209&amp;"",IF(AND(VALUE(F209)&gt;=1,VALUE(F209)&lt;=20),IF(INDEX(設定!$P$8:$P$27,VALUE(F209))="","？",INDEX(設定!$P$8:$P$27,VALUE(F209))),"？")))</f>
        <v/>
      </c>
      <c r="K209" s="45">
        <f>IF(L209="","",IF(G209="","名簿にいない",IF(COUNTIF(L210:L$552,L209)&gt;0,"2回提出（下の行を使います）",IF(OR(H209="？",I209="？",J209="？"),"クラブ番号がちがう",IF(OR(AND(H209&lt;&gt;"",H209&lt;&gt;"？",COUNTIF(設定!$P$8:$P$27,H209)=0),AND(I209&lt;&gt;"",I209&lt;&gt;"？",COUNTIF(設定!$P$8:$P$27,I209)=0),AND(J209&lt;&gt;"",J209&lt;&gt;"？",COUNTIF(設定!$P$8:$P$27,J209)=0)),"クラブ名がちがう",IF(H209="","第1希望がない",IF(OR(AND(H209&lt;&gt;"",H209=I209),AND(H209&lt;&gt;"",H209=J209),AND(I209&lt;&gt;"",I209=J209)),"同じクラブを重複して希望","OK")))))))</f>
        <v/>
      </c>
      <c r="L209" s="8">
        <f>IF(A209="","",A209&amp;"-"&amp;B209&amp;"-"&amp;C209)</f>
        <v/>
      </c>
      <c r="M209" s="8">
        <f>IF(OR(L209="",G209=""),"",IF(COUNTIF(L210:L$552,L209)=0,L209,""))</f>
        <v/>
      </c>
    </row>
    <row r="210">
      <c r="A210" s="40" t="n">
        <v>4</v>
      </c>
      <c r="B210" s="40" t="inlineStr">
        <is>
          <t>月</t>
        </is>
      </c>
      <c r="C210" s="40" t="n">
        <v>2</v>
      </c>
      <c r="D210" s="40" t="n">
        <v>5</v>
      </c>
      <c r="E210" s="40" t="n">
        <v>4</v>
      </c>
      <c r="F210" s="40" t="n">
        <v>6</v>
      </c>
      <c r="G210" s="3">
        <f>IF(L210="","",IFERROR(INDEX(前年度名簿!$D$2:$D$451,MATCH(L210,前年度名簿!$F$2:$F$451,0)),""))</f>
        <v/>
      </c>
      <c r="H210" s="44">
        <f>IF(D210="","",IF(ISERROR(VALUE(D210)),D210&amp;"",IF(AND(VALUE(D210)&gt;=1,VALUE(D210)&lt;=20),IF(INDEX(設定!$P$8:$P$27,VALUE(D210))="","？",INDEX(設定!$P$8:$P$27,VALUE(D210))),"？")))</f>
        <v/>
      </c>
      <c r="I210" s="44">
        <f>IF(E210="","",IF(ISERROR(VALUE(E210)),E210&amp;"",IF(AND(VALUE(E210)&gt;=1,VALUE(E210)&lt;=20),IF(INDEX(設定!$P$8:$P$27,VALUE(E210))="","？",INDEX(設定!$P$8:$P$27,VALUE(E210))),"？")))</f>
        <v/>
      </c>
      <c r="J210" s="44">
        <f>IF(F210="","",IF(ISERROR(VALUE(F210)),F210&amp;"",IF(AND(VALUE(F210)&gt;=1,VALUE(F210)&lt;=20),IF(INDEX(設定!$P$8:$P$27,VALUE(F210))="","？",INDEX(設定!$P$8:$P$27,VALUE(F210))),"？")))</f>
        <v/>
      </c>
      <c r="K210" s="45">
        <f>IF(L210="","",IF(G210="","名簿にいない",IF(COUNTIF(L211:L$552,L210)&gt;0,"2回提出（下の行を使います）",IF(OR(H210="？",I210="？",J210="？"),"クラブ番号がちがう",IF(OR(AND(H210&lt;&gt;"",H210&lt;&gt;"？",COUNTIF(設定!$P$8:$P$27,H210)=0),AND(I210&lt;&gt;"",I210&lt;&gt;"？",COUNTIF(設定!$P$8:$P$27,I210)=0),AND(J210&lt;&gt;"",J210&lt;&gt;"？",COUNTIF(設定!$P$8:$P$27,J210)=0)),"クラブ名がちがう",IF(H210="","第1希望がない",IF(OR(AND(H210&lt;&gt;"",H210=I210),AND(H210&lt;&gt;"",H210=J210),AND(I210&lt;&gt;"",I210=J210)),"同じクラブを重複して希望","OK")))))))</f>
        <v/>
      </c>
      <c r="L210" s="8">
        <f>IF(A210="","",A210&amp;"-"&amp;B210&amp;"-"&amp;C210)</f>
        <v/>
      </c>
      <c r="M210" s="8">
        <f>IF(OR(L210="",G210=""),"",IF(COUNTIF(L211:L$552,L210)=0,L210,""))</f>
        <v/>
      </c>
    </row>
    <row r="211">
      <c r="A211" s="40" t="n">
        <v>4</v>
      </c>
      <c r="B211" s="40" t="inlineStr">
        <is>
          <t>竹</t>
        </is>
      </c>
      <c r="C211" s="40" t="n">
        <v>29</v>
      </c>
      <c r="D211" s="40" t="n">
        <v>6</v>
      </c>
      <c r="E211" s="40" t="n">
        <v>10</v>
      </c>
      <c r="F211" s="40" t="n">
        <v>5</v>
      </c>
      <c r="G211" s="3">
        <f>IF(L211="","",IFERROR(INDEX(前年度名簿!$D$2:$D$451,MATCH(L211,前年度名簿!$F$2:$F$451,0)),""))</f>
        <v/>
      </c>
      <c r="H211" s="44">
        <f>IF(D211="","",IF(ISERROR(VALUE(D211)),D211&amp;"",IF(AND(VALUE(D211)&gt;=1,VALUE(D211)&lt;=20),IF(INDEX(設定!$P$8:$P$27,VALUE(D211))="","？",INDEX(設定!$P$8:$P$27,VALUE(D211))),"？")))</f>
        <v/>
      </c>
      <c r="I211" s="44">
        <f>IF(E211="","",IF(ISERROR(VALUE(E211)),E211&amp;"",IF(AND(VALUE(E211)&gt;=1,VALUE(E211)&lt;=20),IF(INDEX(設定!$P$8:$P$27,VALUE(E211))="","？",INDEX(設定!$P$8:$P$27,VALUE(E211))),"？")))</f>
        <v/>
      </c>
      <c r="J211" s="44">
        <f>IF(F211="","",IF(ISERROR(VALUE(F211)),F211&amp;"",IF(AND(VALUE(F211)&gt;=1,VALUE(F211)&lt;=20),IF(INDEX(設定!$P$8:$P$27,VALUE(F211))="","？",INDEX(設定!$P$8:$P$27,VALUE(F211))),"？")))</f>
        <v/>
      </c>
      <c r="K211" s="45">
        <f>IF(L211="","",IF(G211="","名簿にいない",IF(COUNTIF(L212:L$552,L211)&gt;0,"2回提出（下の行を使います）",IF(OR(H211="？",I211="？",J211="？"),"クラブ番号がちがう",IF(OR(AND(H211&lt;&gt;"",H211&lt;&gt;"？",COUNTIF(設定!$P$8:$P$27,H211)=0),AND(I211&lt;&gt;"",I211&lt;&gt;"？",COUNTIF(設定!$P$8:$P$27,I211)=0),AND(J211&lt;&gt;"",J211&lt;&gt;"？",COUNTIF(設定!$P$8:$P$27,J211)=0)),"クラブ名がちがう",IF(H211="","第1希望がない",IF(OR(AND(H211&lt;&gt;"",H211=I211),AND(H211&lt;&gt;"",H211=J211),AND(I211&lt;&gt;"",I211=J211)),"同じクラブを重複して希望","OK")))))))</f>
        <v/>
      </c>
      <c r="L211" s="8">
        <f>IF(A211="","",A211&amp;"-"&amp;B211&amp;"-"&amp;C211)</f>
        <v/>
      </c>
      <c r="M211" s="8">
        <f>IF(OR(L211="",G211=""),"",IF(COUNTIF(L212:L$552,L211)=0,L211,""))</f>
        <v/>
      </c>
    </row>
    <row r="212">
      <c r="A212" s="40" t="n">
        <v>3</v>
      </c>
      <c r="B212" s="40" t="inlineStr">
        <is>
          <t>竹</t>
        </is>
      </c>
      <c r="C212" s="40" t="n">
        <v>22</v>
      </c>
      <c r="D212" s="40" t="n">
        <v>6</v>
      </c>
      <c r="E212" s="40" t="n">
        <v>4</v>
      </c>
      <c r="F212" s="40" t="n">
        <v>2</v>
      </c>
      <c r="G212" s="3">
        <f>IF(L212="","",IFERROR(INDEX(前年度名簿!$D$2:$D$451,MATCH(L212,前年度名簿!$F$2:$F$451,0)),""))</f>
        <v/>
      </c>
      <c r="H212" s="44">
        <f>IF(D212="","",IF(ISERROR(VALUE(D212)),D212&amp;"",IF(AND(VALUE(D212)&gt;=1,VALUE(D212)&lt;=20),IF(INDEX(設定!$P$8:$P$27,VALUE(D212))="","？",INDEX(設定!$P$8:$P$27,VALUE(D212))),"？")))</f>
        <v/>
      </c>
      <c r="I212" s="44">
        <f>IF(E212="","",IF(ISERROR(VALUE(E212)),E212&amp;"",IF(AND(VALUE(E212)&gt;=1,VALUE(E212)&lt;=20),IF(INDEX(設定!$P$8:$P$27,VALUE(E212))="","？",INDEX(設定!$P$8:$P$27,VALUE(E212))),"？")))</f>
        <v/>
      </c>
      <c r="J212" s="44">
        <f>IF(F212="","",IF(ISERROR(VALUE(F212)),F212&amp;"",IF(AND(VALUE(F212)&gt;=1,VALUE(F212)&lt;=20),IF(INDEX(設定!$P$8:$P$27,VALUE(F212))="","？",INDEX(設定!$P$8:$P$27,VALUE(F212))),"？")))</f>
        <v/>
      </c>
      <c r="K212" s="45">
        <f>IF(L212="","",IF(G212="","名簿にいない",IF(COUNTIF(L213:L$552,L212)&gt;0,"2回提出（下の行を使います）",IF(OR(H212="？",I212="？",J212="？"),"クラブ番号がちがう",IF(OR(AND(H212&lt;&gt;"",H212&lt;&gt;"？",COUNTIF(設定!$P$8:$P$27,H212)=0),AND(I212&lt;&gt;"",I212&lt;&gt;"？",COUNTIF(設定!$P$8:$P$27,I212)=0),AND(J212&lt;&gt;"",J212&lt;&gt;"？",COUNTIF(設定!$P$8:$P$27,J212)=0)),"クラブ名がちがう",IF(H212="","第1希望がない",IF(OR(AND(H212&lt;&gt;"",H212=I212),AND(H212&lt;&gt;"",H212=J212),AND(I212&lt;&gt;"",I212=J212)),"同じクラブを重複して希望","OK")))))))</f>
        <v/>
      </c>
      <c r="L212" s="8">
        <f>IF(A212="","",A212&amp;"-"&amp;B212&amp;"-"&amp;C212)</f>
        <v/>
      </c>
      <c r="M212" s="8">
        <f>IF(OR(L212="",G212=""),"",IF(COUNTIF(L213:L$552,L212)=0,L212,""))</f>
        <v/>
      </c>
    </row>
    <row r="213">
      <c r="A213" s="40" t="n">
        <v>4</v>
      </c>
      <c r="B213" s="40" t="inlineStr">
        <is>
          <t>竹</t>
        </is>
      </c>
      <c r="C213" s="40" t="n">
        <v>6</v>
      </c>
      <c r="D213" s="40" t="n">
        <v>1</v>
      </c>
      <c r="E213" s="40" t="n">
        <v>5</v>
      </c>
      <c r="F213" s="40" t="n">
        <v>4</v>
      </c>
      <c r="G213" s="3">
        <f>IF(L213="","",IFERROR(INDEX(前年度名簿!$D$2:$D$451,MATCH(L213,前年度名簿!$F$2:$F$451,0)),""))</f>
        <v/>
      </c>
      <c r="H213" s="44">
        <f>IF(D213="","",IF(ISERROR(VALUE(D213)),D213&amp;"",IF(AND(VALUE(D213)&gt;=1,VALUE(D213)&lt;=20),IF(INDEX(設定!$P$8:$P$27,VALUE(D213))="","？",INDEX(設定!$P$8:$P$27,VALUE(D213))),"？")))</f>
        <v/>
      </c>
      <c r="I213" s="44">
        <f>IF(E213="","",IF(ISERROR(VALUE(E213)),E213&amp;"",IF(AND(VALUE(E213)&gt;=1,VALUE(E213)&lt;=20),IF(INDEX(設定!$P$8:$P$27,VALUE(E213))="","？",INDEX(設定!$P$8:$P$27,VALUE(E213))),"？")))</f>
        <v/>
      </c>
      <c r="J213" s="44">
        <f>IF(F213="","",IF(ISERROR(VALUE(F213)),F213&amp;"",IF(AND(VALUE(F213)&gt;=1,VALUE(F213)&lt;=20),IF(INDEX(設定!$P$8:$P$27,VALUE(F213))="","？",INDEX(設定!$P$8:$P$27,VALUE(F213))),"？")))</f>
        <v/>
      </c>
      <c r="K213" s="45">
        <f>IF(L213="","",IF(G213="","名簿にいない",IF(COUNTIF(L214:L$552,L213)&gt;0,"2回提出（下の行を使います）",IF(OR(H213="？",I213="？",J213="？"),"クラブ番号がちがう",IF(OR(AND(H213&lt;&gt;"",H213&lt;&gt;"？",COUNTIF(設定!$P$8:$P$27,H213)=0),AND(I213&lt;&gt;"",I213&lt;&gt;"？",COUNTIF(設定!$P$8:$P$27,I213)=0),AND(J213&lt;&gt;"",J213&lt;&gt;"？",COUNTIF(設定!$P$8:$P$27,J213)=0)),"クラブ名がちがう",IF(H213="","第1希望がない",IF(OR(AND(H213&lt;&gt;"",H213=I213),AND(H213&lt;&gt;"",H213=J213),AND(I213&lt;&gt;"",I213=J213)),"同じクラブを重複して希望","OK")))))))</f>
        <v/>
      </c>
      <c r="L213" s="8">
        <f>IF(A213="","",A213&amp;"-"&amp;B213&amp;"-"&amp;C213)</f>
        <v/>
      </c>
      <c r="M213" s="8">
        <f>IF(OR(L213="",G213=""),"",IF(COUNTIF(L214:L$552,L213)=0,L213,""))</f>
        <v/>
      </c>
    </row>
    <row r="214">
      <c r="A214" s="40" t="n">
        <v>3</v>
      </c>
      <c r="B214" s="40" t="inlineStr">
        <is>
          <t>梅</t>
        </is>
      </c>
      <c r="C214" s="40" t="n">
        <v>7</v>
      </c>
      <c r="D214" s="40" t="n">
        <v>6</v>
      </c>
      <c r="E214" s="40" t="n">
        <v>10</v>
      </c>
      <c r="F214" s="40" t="n">
        <v>11</v>
      </c>
      <c r="G214" s="3">
        <f>IF(L214="","",IFERROR(INDEX(前年度名簿!$D$2:$D$451,MATCH(L214,前年度名簿!$F$2:$F$451,0)),""))</f>
        <v/>
      </c>
      <c r="H214" s="44">
        <f>IF(D214="","",IF(ISERROR(VALUE(D214)),D214&amp;"",IF(AND(VALUE(D214)&gt;=1,VALUE(D214)&lt;=20),IF(INDEX(設定!$P$8:$P$27,VALUE(D214))="","？",INDEX(設定!$P$8:$P$27,VALUE(D214))),"？")))</f>
        <v/>
      </c>
      <c r="I214" s="44">
        <f>IF(E214="","",IF(ISERROR(VALUE(E214)),E214&amp;"",IF(AND(VALUE(E214)&gt;=1,VALUE(E214)&lt;=20),IF(INDEX(設定!$P$8:$P$27,VALUE(E214))="","？",INDEX(設定!$P$8:$P$27,VALUE(E214))),"？")))</f>
        <v/>
      </c>
      <c r="J214" s="44">
        <f>IF(F214="","",IF(ISERROR(VALUE(F214)),F214&amp;"",IF(AND(VALUE(F214)&gt;=1,VALUE(F214)&lt;=20),IF(INDEX(設定!$P$8:$P$27,VALUE(F214))="","？",INDEX(設定!$P$8:$P$27,VALUE(F214))),"？")))</f>
        <v/>
      </c>
      <c r="K214" s="45">
        <f>IF(L214="","",IF(G214="","名簿にいない",IF(COUNTIF(L215:L$552,L214)&gt;0,"2回提出（下の行を使います）",IF(OR(H214="？",I214="？",J214="？"),"クラブ番号がちがう",IF(OR(AND(H214&lt;&gt;"",H214&lt;&gt;"？",COUNTIF(設定!$P$8:$P$27,H214)=0),AND(I214&lt;&gt;"",I214&lt;&gt;"？",COUNTIF(設定!$P$8:$P$27,I214)=0),AND(J214&lt;&gt;"",J214&lt;&gt;"？",COUNTIF(設定!$P$8:$P$27,J214)=0)),"クラブ名がちがう",IF(H214="","第1希望がない",IF(OR(AND(H214&lt;&gt;"",H214=I214),AND(H214&lt;&gt;"",H214=J214),AND(I214&lt;&gt;"",I214=J214)),"同じクラブを重複して希望","OK")))))))</f>
        <v/>
      </c>
      <c r="L214" s="8">
        <f>IF(A214="","",A214&amp;"-"&amp;B214&amp;"-"&amp;C214)</f>
        <v/>
      </c>
      <c r="M214" s="8">
        <f>IF(OR(L214="",G214=""),"",IF(COUNTIF(L215:L$552,L214)=0,L214,""))</f>
        <v/>
      </c>
    </row>
    <row r="215">
      <c r="A215" s="40" t="n">
        <v>5</v>
      </c>
      <c r="B215" s="40" t="inlineStr">
        <is>
          <t>梅</t>
        </is>
      </c>
      <c r="C215" s="40" t="n">
        <v>13</v>
      </c>
      <c r="D215" s="40" t="n">
        <v>3</v>
      </c>
      <c r="E215" s="40" t="n">
        <v>6</v>
      </c>
      <c r="F215" s="40" t="n">
        <v>5</v>
      </c>
      <c r="G215" s="3">
        <f>IF(L215="","",IFERROR(INDEX(前年度名簿!$D$2:$D$451,MATCH(L215,前年度名簿!$F$2:$F$451,0)),""))</f>
        <v/>
      </c>
      <c r="H215" s="44">
        <f>IF(D215="","",IF(ISERROR(VALUE(D215)),D215&amp;"",IF(AND(VALUE(D215)&gt;=1,VALUE(D215)&lt;=20),IF(INDEX(設定!$P$8:$P$27,VALUE(D215))="","？",INDEX(設定!$P$8:$P$27,VALUE(D215))),"？")))</f>
        <v/>
      </c>
      <c r="I215" s="44">
        <f>IF(E215="","",IF(ISERROR(VALUE(E215)),E215&amp;"",IF(AND(VALUE(E215)&gt;=1,VALUE(E215)&lt;=20),IF(INDEX(設定!$P$8:$P$27,VALUE(E215))="","？",INDEX(設定!$P$8:$P$27,VALUE(E215))),"？")))</f>
        <v/>
      </c>
      <c r="J215" s="44">
        <f>IF(F215="","",IF(ISERROR(VALUE(F215)),F215&amp;"",IF(AND(VALUE(F215)&gt;=1,VALUE(F215)&lt;=20),IF(INDEX(設定!$P$8:$P$27,VALUE(F215))="","？",INDEX(設定!$P$8:$P$27,VALUE(F215))),"？")))</f>
        <v/>
      </c>
      <c r="K215" s="45">
        <f>IF(L215="","",IF(G215="","名簿にいない",IF(COUNTIF(L216:L$552,L215)&gt;0,"2回提出（下の行を使います）",IF(OR(H215="？",I215="？",J215="？"),"クラブ番号がちがう",IF(OR(AND(H215&lt;&gt;"",H215&lt;&gt;"？",COUNTIF(設定!$P$8:$P$27,H215)=0),AND(I215&lt;&gt;"",I215&lt;&gt;"？",COUNTIF(設定!$P$8:$P$27,I215)=0),AND(J215&lt;&gt;"",J215&lt;&gt;"？",COUNTIF(設定!$P$8:$P$27,J215)=0)),"クラブ名がちがう",IF(H215="","第1希望がない",IF(OR(AND(H215&lt;&gt;"",H215=I215),AND(H215&lt;&gt;"",H215=J215),AND(I215&lt;&gt;"",I215=J215)),"同じクラブを重複して希望","OK")))))))</f>
        <v/>
      </c>
      <c r="L215" s="8">
        <f>IF(A215="","",A215&amp;"-"&amp;B215&amp;"-"&amp;C215)</f>
        <v/>
      </c>
      <c r="M215" s="8">
        <f>IF(OR(L215="",G215=""),"",IF(COUNTIF(L216:L$552,L215)=0,L215,""))</f>
        <v/>
      </c>
    </row>
    <row r="216">
      <c r="A216" s="40" t="n">
        <v>3</v>
      </c>
      <c r="B216" s="40" t="inlineStr">
        <is>
          <t>梅</t>
        </is>
      </c>
      <c r="C216" s="40" t="n">
        <v>17</v>
      </c>
      <c r="D216" s="40" t="n">
        <v>7</v>
      </c>
      <c r="E216" s="40" t="n">
        <v>1</v>
      </c>
      <c r="F216" s="40" t="n">
        <v>10</v>
      </c>
      <c r="G216" s="3">
        <f>IF(L216="","",IFERROR(INDEX(前年度名簿!$D$2:$D$451,MATCH(L216,前年度名簿!$F$2:$F$451,0)),""))</f>
        <v/>
      </c>
      <c r="H216" s="44">
        <f>IF(D216="","",IF(ISERROR(VALUE(D216)),D216&amp;"",IF(AND(VALUE(D216)&gt;=1,VALUE(D216)&lt;=20),IF(INDEX(設定!$P$8:$P$27,VALUE(D216))="","？",INDEX(設定!$P$8:$P$27,VALUE(D216))),"？")))</f>
        <v/>
      </c>
      <c r="I216" s="44">
        <f>IF(E216="","",IF(ISERROR(VALUE(E216)),E216&amp;"",IF(AND(VALUE(E216)&gt;=1,VALUE(E216)&lt;=20),IF(INDEX(設定!$P$8:$P$27,VALUE(E216))="","？",INDEX(設定!$P$8:$P$27,VALUE(E216))),"？")))</f>
        <v/>
      </c>
      <c r="J216" s="44">
        <f>IF(F216="","",IF(ISERROR(VALUE(F216)),F216&amp;"",IF(AND(VALUE(F216)&gt;=1,VALUE(F216)&lt;=20),IF(INDEX(設定!$P$8:$P$27,VALUE(F216))="","？",INDEX(設定!$P$8:$P$27,VALUE(F216))),"？")))</f>
        <v/>
      </c>
      <c r="K216" s="45">
        <f>IF(L216="","",IF(G216="","名簿にいない",IF(COUNTIF(L217:L$552,L216)&gt;0,"2回提出（下の行を使います）",IF(OR(H216="？",I216="？",J216="？"),"クラブ番号がちがう",IF(OR(AND(H216&lt;&gt;"",H216&lt;&gt;"？",COUNTIF(設定!$P$8:$P$27,H216)=0),AND(I216&lt;&gt;"",I216&lt;&gt;"？",COUNTIF(設定!$P$8:$P$27,I216)=0),AND(J216&lt;&gt;"",J216&lt;&gt;"？",COUNTIF(設定!$P$8:$P$27,J216)=0)),"クラブ名がちがう",IF(H216="","第1希望がない",IF(OR(AND(H216&lt;&gt;"",H216=I216),AND(H216&lt;&gt;"",H216=J216),AND(I216&lt;&gt;"",I216=J216)),"同じクラブを重複して希望","OK")))))))</f>
        <v/>
      </c>
      <c r="L216" s="8">
        <f>IF(A216="","",A216&amp;"-"&amp;B216&amp;"-"&amp;C216)</f>
        <v/>
      </c>
      <c r="M216" s="8">
        <f>IF(OR(L216="",G216=""),"",IF(COUNTIF(L217:L$552,L216)=0,L216,""))</f>
        <v/>
      </c>
    </row>
    <row r="217">
      <c r="A217" s="40" t="n">
        <v>4</v>
      </c>
      <c r="B217" s="40" t="inlineStr">
        <is>
          <t>月</t>
        </is>
      </c>
      <c r="C217" s="40" t="n">
        <v>19</v>
      </c>
      <c r="D217" s="40" t="n">
        <v>5</v>
      </c>
      <c r="E217" s="40" t="n">
        <v>7</v>
      </c>
      <c r="F217" s="40" t="n">
        <v>8</v>
      </c>
      <c r="G217" s="3">
        <f>IF(L217="","",IFERROR(INDEX(前年度名簿!$D$2:$D$451,MATCH(L217,前年度名簿!$F$2:$F$451,0)),""))</f>
        <v/>
      </c>
      <c r="H217" s="44">
        <f>IF(D217="","",IF(ISERROR(VALUE(D217)),D217&amp;"",IF(AND(VALUE(D217)&gt;=1,VALUE(D217)&lt;=20),IF(INDEX(設定!$P$8:$P$27,VALUE(D217))="","？",INDEX(設定!$P$8:$P$27,VALUE(D217))),"？")))</f>
        <v/>
      </c>
      <c r="I217" s="44">
        <f>IF(E217="","",IF(ISERROR(VALUE(E217)),E217&amp;"",IF(AND(VALUE(E217)&gt;=1,VALUE(E217)&lt;=20),IF(INDEX(設定!$P$8:$P$27,VALUE(E217))="","？",INDEX(設定!$P$8:$P$27,VALUE(E217))),"？")))</f>
        <v/>
      </c>
      <c r="J217" s="44">
        <f>IF(F217="","",IF(ISERROR(VALUE(F217)),F217&amp;"",IF(AND(VALUE(F217)&gt;=1,VALUE(F217)&lt;=20),IF(INDEX(設定!$P$8:$P$27,VALUE(F217))="","？",INDEX(設定!$P$8:$P$27,VALUE(F217))),"？")))</f>
        <v/>
      </c>
      <c r="K217" s="45">
        <f>IF(L217="","",IF(G217="","名簿にいない",IF(COUNTIF(L218:L$552,L217)&gt;0,"2回提出（下の行を使います）",IF(OR(H217="？",I217="？",J217="？"),"クラブ番号がちがう",IF(OR(AND(H217&lt;&gt;"",H217&lt;&gt;"？",COUNTIF(設定!$P$8:$P$27,H217)=0),AND(I217&lt;&gt;"",I217&lt;&gt;"？",COUNTIF(設定!$P$8:$P$27,I217)=0),AND(J217&lt;&gt;"",J217&lt;&gt;"？",COUNTIF(設定!$P$8:$P$27,J217)=0)),"クラブ名がちがう",IF(H217="","第1希望がない",IF(OR(AND(H217&lt;&gt;"",H217=I217),AND(H217&lt;&gt;"",H217=J217),AND(I217&lt;&gt;"",I217=J217)),"同じクラブを重複して希望","OK")))))))</f>
        <v/>
      </c>
      <c r="L217" s="8">
        <f>IF(A217="","",A217&amp;"-"&amp;B217&amp;"-"&amp;C217)</f>
        <v/>
      </c>
      <c r="M217" s="8">
        <f>IF(OR(L217="",G217=""),"",IF(COUNTIF(L218:L$552,L217)=0,L217,""))</f>
        <v/>
      </c>
    </row>
    <row r="218">
      <c r="A218" s="40" t="n">
        <v>4</v>
      </c>
      <c r="B218" s="40" t="inlineStr">
        <is>
          <t>梅</t>
        </is>
      </c>
      <c r="C218" s="40" t="n">
        <v>1</v>
      </c>
      <c r="D218" s="40" t="n">
        <v>2</v>
      </c>
      <c r="E218" s="40" t="n">
        <v>3</v>
      </c>
      <c r="F218" s="40" t="n">
        <v>7</v>
      </c>
      <c r="G218" s="3">
        <f>IF(L218="","",IFERROR(INDEX(前年度名簿!$D$2:$D$451,MATCH(L218,前年度名簿!$F$2:$F$451,0)),""))</f>
        <v/>
      </c>
      <c r="H218" s="44">
        <f>IF(D218="","",IF(ISERROR(VALUE(D218)),D218&amp;"",IF(AND(VALUE(D218)&gt;=1,VALUE(D218)&lt;=20),IF(INDEX(設定!$P$8:$P$27,VALUE(D218))="","？",INDEX(設定!$P$8:$P$27,VALUE(D218))),"？")))</f>
        <v/>
      </c>
      <c r="I218" s="44">
        <f>IF(E218="","",IF(ISERROR(VALUE(E218)),E218&amp;"",IF(AND(VALUE(E218)&gt;=1,VALUE(E218)&lt;=20),IF(INDEX(設定!$P$8:$P$27,VALUE(E218))="","？",INDEX(設定!$P$8:$P$27,VALUE(E218))),"？")))</f>
        <v/>
      </c>
      <c r="J218" s="44">
        <f>IF(F218="","",IF(ISERROR(VALUE(F218)),F218&amp;"",IF(AND(VALUE(F218)&gt;=1,VALUE(F218)&lt;=20),IF(INDEX(設定!$P$8:$P$27,VALUE(F218))="","？",INDEX(設定!$P$8:$P$27,VALUE(F218))),"？")))</f>
        <v/>
      </c>
      <c r="K218" s="45">
        <f>IF(L218="","",IF(G218="","名簿にいない",IF(COUNTIF(L219:L$552,L218)&gt;0,"2回提出（下の行を使います）",IF(OR(H218="？",I218="？",J218="？"),"クラブ番号がちがう",IF(OR(AND(H218&lt;&gt;"",H218&lt;&gt;"？",COUNTIF(設定!$P$8:$P$27,H218)=0),AND(I218&lt;&gt;"",I218&lt;&gt;"？",COUNTIF(設定!$P$8:$P$27,I218)=0),AND(J218&lt;&gt;"",J218&lt;&gt;"？",COUNTIF(設定!$P$8:$P$27,J218)=0)),"クラブ名がちがう",IF(H218="","第1希望がない",IF(OR(AND(H218&lt;&gt;"",H218=I218),AND(H218&lt;&gt;"",H218=J218),AND(I218&lt;&gt;"",I218=J218)),"同じクラブを重複して希望","OK")))))))</f>
        <v/>
      </c>
      <c r="L218" s="8">
        <f>IF(A218="","",A218&amp;"-"&amp;B218&amp;"-"&amp;C218)</f>
        <v/>
      </c>
      <c r="M218" s="8">
        <f>IF(OR(L218="",G218=""),"",IF(COUNTIF(L219:L$552,L218)=0,L218,""))</f>
        <v/>
      </c>
    </row>
    <row r="219">
      <c r="A219" s="40" t="n">
        <v>5</v>
      </c>
      <c r="B219" s="40" t="inlineStr">
        <is>
          <t>梅</t>
        </is>
      </c>
      <c r="C219" s="40" t="n">
        <v>28</v>
      </c>
      <c r="D219" s="40" t="n">
        <v>7</v>
      </c>
      <c r="E219" s="40" t="n">
        <v>5</v>
      </c>
      <c r="F219" s="40" t="n">
        <v>9</v>
      </c>
      <c r="G219" s="3">
        <f>IF(L219="","",IFERROR(INDEX(前年度名簿!$D$2:$D$451,MATCH(L219,前年度名簿!$F$2:$F$451,0)),""))</f>
        <v/>
      </c>
      <c r="H219" s="44">
        <f>IF(D219="","",IF(ISERROR(VALUE(D219)),D219&amp;"",IF(AND(VALUE(D219)&gt;=1,VALUE(D219)&lt;=20),IF(INDEX(設定!$P$8:$P$27,VALUE(D219))="","？",INDEX(設定!$P$8:$P$27,VALUE(D219))),"？")))</f>
        <v/>
      </c>
      <c r="I219" s="44">
        <f>IF(E219="","",IF(ISERROR(VALUE(E219)),E219&amp;"",IF(AND(VALUE(E219)&gt;=1,VALUE(E219)&lt;=20),IF(INDEX(設定!$P$8:$P$27,VALUE(E219))="","？",INDEX(設定!$P$8:$P$27,VALUE(E219))),"？")))</f>
        <v/>
      </c>
      <c r="J219" s="44">
        <f>IF(F219="","",IF(ISERROR(VALUE(F219)),F219&amp;"",IF(AND(VALUE(F219)&gt;=1,VALUE(F219)&lt;=20),IF(INDEX(設定!$P$8:$P$27,VALUE(F219))="","？",INDEX(設定!$P$8:$P$27,VALUE(F219))),"？")))</f>
        <v/>
      </c>
      <c r="K219" s="45">
        <f>IF(L219="","",IF(G219="","名簿にいない",IF(COUNTIF(L220:L$552,L219)&gt;0,"2回提出（下の行を使います）",IF(OR(H219="？",I219="？",J219="？"),"クラブ番号がちがう",IF(OR(AND(H219&lt;&gt;"",H219&lt;&gt;"？",COUNTIF(設定!$P$8:$P$27,H219)=0),AND(I219&lt;&gt;"",I219&lt;&gt;"？",COUNTIF(設定!$P$8:$P$27,I219)=0),AND(J219&lt;&gt;"",J219&lt;&gt;"？",COUNTIF(設定!$P$8:$P$27,J219)=0)),"クラブ名がちがう",IF(H219="","第1希望がない",IF(OR(AND(H219&lt;&gt;"",H219=I219),AND(H219&lt;&gt;"",H219=J219),AND(I219&lt;&gt;"",I219=J219)),"同じクラブを重複して希望","OK")))))))</f>
        <v/>
      </c>
      <c r="L219" s="8">
        <f>IF(A219="","",A219&amp;"-"&amp;B219&amp;"-"&amp;C219)</f>
        <v/>
      </c>
      <c r="M219" s="8">
        <f>IF(OR(L219="",G219=""),"",IF(COUNTIF(L220:L$552,L219)=0,L219,""))</f>
        <v/>
      </c>
    </row>
    <row r="220">
      <c r="A220" s="40" t="n">
        <v>4</v>
      </c>
      <c r="B220" s="40" t="inlineStr">
        <is>
          <t>月</t>
        </is>
      </c>
      <c r="C220" s="40" t="n">
        <v>1</v>
      </c>
      <c r="D220" s="40" t="n">
        <v>10</v>
      </c>
      <c r="E220" s="40" t="n">
        <v>4</v>
      </c>
      <c r="F220" s="40" t="n">
        <v>5</v>
      </c>
      <c r="G220" s="3">
        <f>IF(L220="","",IFERROR(INDEX(前年度名簿!$D$2:$D$451,MATCH(L220,前年度名簿!$F$2:$F$451,0)),""))</f>
        <v/>
      </c>
      <c r="H220" s="44">
        <f>IF(D220="","",IF(ISERROR(VALUE(D220)),D220&amp;"",IF(AND(VALUE(D220)&gt;=1,VALUE(D220)&lt;=20),IF(INDEX(設定!$P$8:$P$27,VALUE(D220))="","？",INDEX(設定!$P$8:$P$27,VALUE(D220))),"？")))</f>
        <v/>
      </c>
      <c r="I220" s="44">
        <f>IF(E220="","",IF(ISERROR(VALUE(E220)),E220&amp;"",IF(AND(VALUE(E220)&gt;=1,VALUE(E220)&lt;=20),IF(INDEX(設定!$P$8:$P$27,VALUE(E220))="","？",INDEX(設定!$P$8:$P$27,VALUE(E220))),"？")))</f>
        <v/>
      </c>
      <c r="J220" s="44">
        <f>IF(F220="","",IF(ISERROR(VALUE(F220)),F220&amp;"",IF(AND(VALUE(F220)&gt;=1,VALUE(F220)&lt;=20),IF(INDEX(設定!$P$8:$P$27,VALUE(F220))="","？",INDEX(設定!$P$8:$P$27,VALUE(F220))),"？")))</f>
        <v/>
      </c>
      <c r="K220" s="45">
        <f>IF(L220="","",IF(G220="","名簿にいない",IF(COUNTIF(L221:L$552,L220)&gt;0,"2回提出（下の行を使います）",IF(OR(H220="？",I220="？",J220="？"),"クラブ番号がちがう",IF(OR(AND(H220&lt;&gt;"",H220&lt;&gt;"？",COUNTIF(設定!$P$8:$P$27,H220)=0),AND(I220&lt;&gt;"",I220&lt;&gt;"？",COUNTIF(設定!$P$8:$P$27,I220)=0),AND(J220&lt;&gt;"",J220&lt;&gt;"？",COUNTIF(設定!$P$8:$P$27,J220)=0)),"クラブ名がちがう",IF(H220="","第1希望がない",IF(OR(AND(H220&lt;&gt;"",H220=I220),AND(H220&lt;&gt;"",H220=J220),AND(I220&lt;&gt;"",I220=J220)),"同じクラブを重複して希望","OK")))))))</f>
        <v/>
      </c>
      <c r="L220" s="8">
        <f>IF(A220="","",A220&amp;"-"&amp;B220&amp;"-"&amp;C220)</f>
        <v/>
      </c>
      <c r="M220" s="8">
        <f>IF(OR(L220="",G220=""),"",IF(COUNTIF(L221:L$552,L220)=0,L220,""))</f>
        <v/>
      </c>
    </row>
    <row r="221">
      <c r="A221" s="40" t="n">
        <v>5</v>
      </c>
      <c r="B221" s="40" t="inlineStr">
        <is>
          <t>松</t>
        </is>
      </c>
      <c r="C221" s="40" t="n">
        <v>4</v>
      </c>
      <c r="D221" s="40" t="n">
        <v>2</v>
      </c>
      <c r="E221" s="40" t="n">
        <v>3</v>
      </c>
      <c r="F221" s="40" t="n">
        <v>4</v>
      </c>
      <c r="G221" s="3">
        <f>IF(L221="","",IFERROR(INDEX(前年度名簿!$D$2:$D$451,MATCH(L221,前年度名簿!$F$2:$F$451,0)),""))</f>
        <v/>
      </c>
      <c r="H221" s="44">
        <f>IF(D221="","",IF(ISERROR(VALUE(D221)),D221&amp;"",IF(AND(VALUE(D221)&gt;=1,VALUE(D221)&lt;=20),IF(INDEX(設定!$P$8:$P$27,VALUE(D221))="","？",INDEX(設定!$P$8:$P$27,VALUE(D221))),"？")))</f>
        <v/>
      </c>
      <c r="I221" s="44">
        <f>IF(E221="","",IF(ISERROR(VALUE(E221)),E221&amp;"",IF(AND(VALUE(E221)&gt;=1,VALUE(E221)&lt;=20),IF(INDEX(設定!$P$8:$P$27,VALUE(E221))="","？",INDEX(設定!$P$8:$P$27,VALUE(E221))),"？")))</f>
        <v/>
      </c>
      <c r="J221" s="44">
        <f>IF(F221="","",IF(ISERROR(VALUE(F221)),F221&amp;"",IF(AND(VALUE(F221)&gt;=1,VALUE(F221)&lt;=20),IF(INDEX(設定!$P$8:$P$27,VALUE(F221))="","？",INDEX(設定!$P$8:$P$27,VALUE(F221))),"？")))</f>
        <v/>
      </c>
      <c r="K221" s="45">
        <f>IF(L221="","",IF(G221="","名簿にいない",IF(COUNTIF(L222:L$552,L221)&gt;0,"2回提出（下の行を使います）",IF(OR(H221="？",I221="？",J221="？"),"クラブ番号がちがう",IF(OR(AND(H221&lt;&gt;"",H221&lt;&gt;"？",COUNTIF(設定!$P$8:$P$27,H221)=0),AND(I221&lt;&gt;"",I221&lt;&gt;"？",COUNTIF(設定!$P$8:$P$27,I221)=0),AND(J221&lt;&gt;"",J221&lt;&gt;"？",COUNTIF(設定!$P$8:$P$27,J221)=0)),"クラブ名がちがう",IF(H221="","第1希望がない",IF(OR(AND(H221&lt;&gt;"",H221=I221),AND(H221&lt;&gt;"",H221=J221),AND(I221&lt;&gt;"",I221=J221)),"同じクラブを重複して希望","OK")))))))</f>
        <v/>
      </c>
      <c r="L221" s="8">
        <f>IF(A221="","",A221&amp;"-"&amp;B221&amp;"-"&amp;C221)</f>
        <v/>
      </c>
      <c r="M221" s="8">
        <f>IF(OR(L221="",G221=""),"",IF(COUNTIF(L222:L$552,L221)=0,L221,""))</f>
        <v/>
      </c>
    </row>
    <row r="222">
      <c r="A222" s="40" t="n">
        <v>3</v>
      </c>
      <c r="B222" s="40" t="inlineStr">
        <is>
          <t>梅</t>
        </is>
      </c>
      <c r="C222" s="40" t="n">
        <v>4</v>
      </c>
      <c r="D222" s="40" t="n">
        <v>6</v>
      </c>
      <c r="E222" s="40" t="n">
        <v>7</v>
      </c>
      <c r="F222" s="40" t="n">
        <v>10</v>
      </c>
      <c r="G222" s="3">
        <f>IF(L222="","",IFERROR(INDEX(前年度名簿!$D$2:$D$451,MATCH(L222,前年度名簿!$F$2:$F$451,0)),""))</f>
        <v/>
      </c>
      <c r="H222" s="44">
        <f>IF(D222="","",IF(ISERROR(VALUE(D222)),D222&amp;"",IF(AND(VALUE(D222)&gt;=1,VALUE(D222)&lt;=20),IF(INDEX(設定!$P$8:$P$27,VALUE(D222))="","？",INDEX(設定!$P$8:$P$27,VALUE(D222))),"？")))</f>
        <v/>
      </c>
      <c r="I222" s="44">
        <f>IF(E222="","",IF(ISERROR(VALUE(E222)),E222&amp;"",IF(AND(VALUE(E222)&gt;=1,VALUE(E222)&lt;=20),IF(INDEX(設定!$P$8:$P$27,VALUE(E222))="","？",INDEX(設定!$P$8:$P$27,VALUE(E222))),"？")))</f>
        <v/>
      </c>
      <c r="J222" s="44">
        <f>IF(F222="","",IF(ISERROR(VALUE(F222)),F222&amp;"",IF(AND(VALUE(F222)&gt;=1,VALUE(F222)&lt;=20),IF(INDEX(設定!$P$8:$P$27,VALUE(F222))="","？",INDEX(設定!$P$8:$P$27,VALUE(F222))),"？")))</f>
        <v/>
      </c>
      <c r="K222" s="45">
        <f>IF(L222="","",IF(G222="","名簿にいない",IF(COUNTIF(L223:L$552,L222)&gt;0,"2回提出（下の行を使います）",IF(OR(H222="？",I222="？",J222="？"),"クラブ番号がちがう",IF(OR(AND(H222&lt;&gt;"",H222&lt;&gt;"？",COUNTIF(設定!$P$8:$P$27,H222)=0),AND(I222&lt;&gt;"",I222&lt;&gt;"？",COUNTIF(設定!$P$8:$P$27,I222)=0),AND(J222&lt;&gt;"",J222&lt;&gt;"？",COUNTIF(設定!$P$8:$P$27,J222)=0)),"クラブ名がちがう",IF(H222="","第1希望がない",IF(OR(AND(H222&lt;&gt;"",H222=I222),AND(H222&lt;&gt;"",H222=J222),AND(I222&lt;&gt;"",I222=J222)),"同じクラブを重複して希望","OK")))))))</f>
        <v/>
      </c>
      <c r="L222" s="8">
        <f>IF(A222="","",A222&amp;"-"&amp;B222&amp;"-"&amp;C222)</f>
        <v/>
      </c>
      <c r="M222" s="8">
        <f>IF(OR(L222="",G222=""),"",IF(COUNTIF(L223:L$552,L222)=0,L222,""))</f>
        <v/>
      </c>
    </row>
    <row r="223">
      <c r="A223" s="40" t="n">
        <v>5</v>
      </c>
      <c r="B223" s="40" t="inlineStr">
        <is>
          <t>月</t>
        </is>
      </c>
      <c r="C223" s="40" t="n">
        <v>22</v>
      </c>
      <c r="D223" s="40" t="n">
        <v>8</v>
      </c>
      <c r="E223" s="40" t="n">
        <v>9</v>
      </c>
      <c r="F223" s="40" t="n">
        <v>5</v>
      </c>
      <c r="G223" s="3">
        <f>IF(L223="","",IFERROR(INDEX(前年度名簿!$D$2:$D$451,MATCH(L223,前年度名簿!$F$2:$F$451,0)),""))</f>
        <v/>
      </c>
      <c r="H223" s="44">
        <f>IF(D223="","",IF(ISERROR(VALUE(D223)),D223&amp;"",IF(AND(VALUE(D223)&gt;=1,VALUE(D223)&lt;=20),IF(INDEX(設定!$P$8:$P$27,VALUE(D223))="","？",INDEX(設定!$P$8:$P$27,VALUE(D223))),"？")))</f>
        <v/>
      </c>
      <c r="I223" s="44">
        <f>IF(E223="","",IF(ISERROR(VALUE(E223)),E223&amp;"",IF(AND(VALUE(E223)&gt;=1,VALUE(E223)&lt;=20),IF(INDEX(設定!$P$8:$P$27,VALUE(E223))="","？",INDEX(設定!$P$8:$P$27,VALUE(E223))),"？")))</f>
        <v/>
      </c>
      <c r="J223" s="44">
        <f>IF(F223="","",IF(ISERROR(VALUE(F223)),F223&amp;"",IF(AND(VALUE(F223)&gt;=1,VALUE(F223)&lt;=20),IF(INDEX(設定!$P$8:$P$27,VALUE(F223))="","？",INDEX(設定!$P$8:$P$27,VALUE(F223))),"？")))</f>
        <v/>
      </c>
      <c r="K223" s="45">
        <f>IF(L223="","",IF(G223="","名簿にいない",IF(COUNTIF(L224:L$552,L223)&gt;0,"2回提出（下の行を使います）",IF(OR(H223="？",I223="？",J223="？"),"クラブ番号がちがう",IF(OR(AND(H223&lt;&gt;"",H223&lt;&gt;"？",COUNTIF(設定!$P$8:$P$27,H223)=0),AND(I223&lt;&gt;"",I223&lt;&gt;"？",COUNTIF(設定!$P$8:$P$27,I223)=0),AND(J223&lt;&gt;"",J223&lt;&gt;"？",COUNTIF(設定!$P$8:$P$27,J223)=0)),"クラブ名がちがう",IF(H223="","第1希望がない",IF(OR(AND(H223&lt;&gt;"",H223=I223),AND(H223&lt;&gt;"",H223=J223),AND(I223&lt;&gt;"",I223=J223)),"同じクラブを重複して希望","OK")))))))</f>
        <v/>
      </c>
      <c r="L223" s="8">
        <f>IF(A223="","",A223&amp;"-"&amp;B223&amp;"-"&amp;C223)</f>
        <v/>
      </c>
      <c r="M223" s="8">
        <f>IF(OR(L223="",G223=""),"",IF(COUNTIF(L224:L$552,L223)=0,L223,""))</f>
        <v/>
      </c>
    </row>
    <row r="224">
      <c r="A224" s="40" t="n">
        <v>4</v>
      </c>
      <c r="B224" s="40" t="inlineStr">
        <is>
          <t>竹</t>
        </is>
      </c>
      <c r="C224" s="40" t="n">
        <v>23</v>
      </c>
      <c r="D224" s="40" t="n">
        <v>2</v>
      </c>
      <c r="E224" s="40" t="n">
        <v>9</v>
      </c>
      <c r="F224" s="40" t="n">
        <v>4</v>
      </c>
      <c r="G224" s="3">
        <f>IF(L224="","",IFERROR(INDEX(前年度名簿!$D$2:$D$451,MATCH(L224,前年度名簿!$F$2:$F$451,0)),""))</f>
        <v/>
      </c>
      <c r="H224" s="44">
        <f>IF(D224="","",IF(ISERROR(VALUE(D224)),D224&amp;"",IF(AND(VALUE(D224)&gt;=1,VALUE(D224)&lt;=20),IF(INDEX(設定!$P$8:$P$27,VALUE(D224))="","？",INDEX(設定!$P$8:$P$27,VALUE(D224))),"？")))</f>
        <v/>
      </c>
      <c r="I224" s="44">
        <f>IF(E224="","",IF(ISERROR(VALUE(E224)),E224&amp;"",IF(AND(VALUE(E224)&gt;=1,VALUE(E224)&lt;=20),IF(INDEX(設定!$P$8:$P$27,VALUE(E224))="","？",INDEX(設定!$P$8:$P$27,VALUE(E224))),"？")))</f>
        <v/>
      </c>
      <c r="J224" s="44">
        <f>IF(F224="","",IF(ISERROR(VALUE(F224)),F224&amp;"",IF(AND(VALUE(F224)&gt;=1,VALUE(F224)&lt;=20),IF(INDEX(設定!$P$8:$P$27,VALUE(F224))="","？",INDEX(設定!$P$8:$P$27,VALUE(F224))),"？")))</f>
        <v/>
      </c>
      <c r="K224" s="45">
        <f>IF(L224="","",IF(G224="","名簿にいない",IF(COUNTIF(L225:L$552,L224)&gt;0,"2回提出（下の行を使います）",IF(OR(H224="？",I224="？",J224="？"),"クラブ番号がちがう",IF(OR(AND(H224&lt;&gt;"",H224&lt;&gt;"？",COUNTIF(設定!$P$8:$P$27,H224)=0),AND(I224&lt;&gt;"",I224&lt;&gt;"？",COUNTIF(設定!$P$8:$P$27,I224)=0),AND(J224&lt;&gt;"",J224&lt;&gt;"？",COUNTIF(設定!$P$8:$P$27,J224)=0)),"クラブ名がちがう",IF(H224="","第1希望がない",IF(OR(AND(H224&lt;&gt;"",H224=I224),AND(H224&lt;&gt;"",H224=J224),AND(I224&lt;&gt;"",I224=J224)),"同じクラブを重複して希望","OK")))))))</f>
        <v/>
      </c>
      <c r="L224" s="8">
        <f>IF(A224="","",A224&amp;"-"&amp;B224&amp;"-"&amp;C224)</f>
        <v/>
      </c>
      <c r="M224" s="8">
        <f>IF(OR(L224="",G224=""),"",IF(COUNTIF(L225:L$552,L224)=0,L224,""))</f>
        <v/>
      </c>
    </row>
    <row r="225">
      <c r="A225" s="40" t="n">
        <v>3</v>
      </c>
      <c r="B225" s="40" t="inlineStr">
        <is>
          <t>竹</t>
        </is>
      </c>
      <c r="C225" s="40" t="n">
        <v>3</v>
      </c>
      <c r="D225" s="40" t="n">
        <v>5</v>
      </c>
      <c r="E225" s="40" t="n">
        <v>3</v>
      </c>
      <c r="F225" s="40" t="n">
        <v>7</v>
      </c>
      <c r="G225" s="3">
        <f>IF(L225="","",IFERROR(INDEX(前年度名簿!$D$2:$D$451,MATCH(L225,前年度名簿!$F$2:$F$451,0)),""))</f>
        <v/>
      </c>
      <c r="H225" s="44">
        <f>IF(D225="","",IF(ISERROR(VALUE(D225)),D225&amp;"",IF(AND(VALUE(D225)&gt;=1,VALUE(D225)&lt;=20),IF(INDEX(設定!$P$8:$P$27,VALUE(D225))="","？",INDEX(設定!$P$8:$P$27,VALUE(D225))),"？")))</f>
        <v/>
      </c>
      <c r="I225" s="44">
        <f>IF(E225="","",IF(ISERROR(VALUE(E225)),E225&amp;"",IF(AND(VALUE(E225)&gt;=1,VALUE(E225)&lt;=20),IF(INDEX(設定!$P$8:$P$27,VALUE(E225))="","？",INDEX(設定!$P$8:$P$27,VALUE(E225))),"？")))</f>
        <v/>
      </c>
      <c r="J225" s="44">
        <f>IF(F225="","",IF(ISERROR(VALUE(F225)),F225&amp;"",IF(AND(VALUE(F225)&gt;=1,VALUE(F225)&lt;=20),IF(INDEX(設定!$P$8:$P$27,VALUE(F225))="","？",INDEX(設定!$P$8:$P$27,VALUE(F225))),"？")))</f>
        <v/>
      </c>
      <c r="K225" s="45">
        <f>IF(L225="","",IF(G225="","名簿にいない",IF(COUNTIF(L226:L$552,L225)&gt;0,"2回提出（下の行を使います）",IF(OR(H225="？",I225="？",J225="？"),"クラブ番号がちがう",IF(OR(AND(H225&lt;&gt;"",H225&lt;&gt;"？",COUNTIF(設定!$P$8:$P$27,H225)=0),AND(I225&lt;&gt;"",I225&lt;&gt;"？",COUNTIF(設定!$P$8:$P$27,I225)=0),AND(J225&lt;&gt;"",J225&lt;&gt;"？",COUNTIF(設定!$P$8:$P$27,J225)=0)),"クラブ名がちがう",IF(H225="","第1希望がない",IF(OR(AND(H225&lt;&gt;"",H225=I225),AND(H225&lt;&gt;"",H225=J225),AND(I225&lt;&gt;"",I225=J225)),"同じクラブを重複して希望","OK")))))))</f>
        <v/>
      </c>
      <c r="L225" s="8">
        <f>IF(A225="","",A225&amp;"-"&amp;B225&amp;"-"&amp;C225)</f>
        <v/>
      </c>
      <c r="M225" s="8">
        <f>IF(OR(L225="",G225=""),"",IF(COUNTIF(L226:L$552,L225)=0,L225,""))</f>
        <v/>
      </c>
    </row>
    <row r="226">
      <c r="A226" s="40" t="n">
        <v>5</v>
      </c>
      <c r="B226" s="40" t="inlineStr">
        <is>
          <t>竹</t>
        </is>
      </c>
      <c r="C226" s="40" t="n">
        <v>21</v>
      </c>
      <c r="D226" s="40" t="n">
        <v>9</v>
      </c>
      <c r="E226" s="40" t="n">
        <v>5</v>
      </c>
      <c r="F226" s="40" t="n">
        <v>1</v>
      </c>
      <c r="G226" s="3">
        <f>IF(L226="","",IFERROR(INDEX(前年度名簿!$D$2:$D$451,MATCH(L226,前年度名簿!$F$2:$F$451,0)),""))</f>
        <v/>
      </c>
      <c r="H226" s="44">
        <f>IF(D226="","",IF(ISERROR(VALUE(D226)),D226&amp;"",IF(AND(VALUE(D226)&gt;=1,VALUE(D226)&lt;=20),IF(INDEX(設定!$P$8:$P$27,VALUE(D226))="","？",INDEX(設定!$P$8:$P$27,VALUE(D226))),"？")))</f>
        <v/>
      </c>
      <c r="I226" s="44">
        <f>IF(E226="","",IF(ISERROR(VALUE(E226)),E226&amp;"",IF(AND(VALUE(E226)&gt;=1,VALUE(E226)&lt;=20),IF(INDEX(設定!$P$8:$P$27,VALUE(E226))="","？",INDEX(設定!$P$8:$P$27,VALUE(E226))),"？")))</f>
        <v/>
      </c>
      <c r="J226" s="44">
        <f>IF(F226="","",IF(ISERROR(VALUE(F226)),F226&amp;"",IF(AND(VALUE(F226)&gt;=1,VALUE(F226)&lt;=20),IF(INDEX(設定!$P$8:$P$27,VALUE(F226))="","？",INDEX(設定!$P$8:$P$27,VALUE(F226))),"？")))</f>
        <v/>
      </c>
      <c r="K226" s="45">
        <f>IF(L226="","",IF(G226="","名簿にいない",IF(COUNTIF(L227:L$552,L226)&gt;0,"2回提出（下の行を使います）",IF(OR(H226="？",I226="？",J226="？"),"クラブ番号がちがう",IF(OR(AND(H226&lt;&gt;"",H226&lt;&gt;"？",COUNTIF(設定!$P$8:$P$27,H226)=0),AND(I226&lt;&gt;"",I226&lt;&gt;"？",COUNTIF(設定!$P$8:$P$27,I226)=0),AND(J226&lt;&gt;"",J226&lt;&gt;"？",COUNTIF(設定!$P$8:$P$27,J226)=0)),"クラブ名がちがう",IF(H226="","第1希望がない",IF(OR(AND(H226&lt;&gt;"",H226=I226),AND(H226&lt;&gt;"",H226=J226),AND(I226&lt;&gt;"",I226=J226)),"同じクラブを重複して希望","OK")))))))</f>
        <v/>
      </c>
      <c r="L226" s="8">
        <f>IF(A226="","",A226&amp;"-"&amp;B226&amp;"-"&amp;C226)</f>
        <v/>
      </c>
      <c r="M226" s="8">
        <f>IF(OR(L226="",G226=""),"",IF(COUNTIF(L227:L$552,L226)=0,L226,""))</f>
        <v/>
      </c>
    </row>
    <row r="227">
      <c r="A227" s="40" t="n">
        <v>4</v>
      </c>
      <c r="B227" s="40" t="inlineStr">
        <is>
          <t>梅</t>
        </is>
      </c>
      <c r="C227" s="40" t="n">
        <v>8</v>
      </c>
      <c r="D227" s="40" t="n">
        <v>1</v>
      </c>
      <c r="E227" s="40" t="n">
        <v>2</v>
      </c>
      <c r="F227" s="40" t="n">
        <v>12</v>
      </c>
      <c r="G227" s="3">
        <f>IF(L227="","",IFERROR(INDEX(前年度名簿!$D$2:$D$451,MATCH(L227,前年度名簿!$F$2:$F$451,0)),""))</f>
        <v/>
      </c>
      <c r="H227" s="44">
        <f>IF(D227="","",IF(ISERROR(VALUE(D227)),D227&amp;"",IF(AND(VALUE(D227)&gt;=1,VALUE(D227)&lt;=20),IF(INDEX(設定!$P$8:$P$27,VALUE(D227))="","？",INDEX(設定!$P$8:$P$27,VALUE(D227))),"？")))</f>
        <v/>
      </c>
      <c r="I227" s="44">
        <f>IF(E227="","",IF(ISERROR(VALUE(E227)),E227&amp;"",IF(AND(VALUE(E227)&gt;=1,VALUE(E227)&lt;=20),IF(INDEX(設定!$P$8:$P$27,VALUE(E227))="","？",INDEX(設定!$P$8:$P$27,VALUE(E227))),"？")))</f>
        <v/>
      </c>
      <c r="J227" s="44">
        <f>IF(F227="","",IF(ISERROR(VALUE(F227)),F227&amp;"",IF(AND(VALUE(F227)&gt;=1,VALUE(F227)&lt;=20),IF(INDEX(設定!$P$8:$P$27,VALUE(F227))="","？",INDEX(設定!$P$8:$P$27,VALUE(F227))),"？")))</f>
        <v/>
      </c>
      <c r="K227" s="45">
        <f>IF(L227="","",IF(G227="","名簿にいない",IF(COUNTIF(L228:L$552,L227)&gt;0,"2回提出（下の行を使います）",IF(OR(H227="？",I227="？",J227="？"),"クラブ番号がちがう",IF(OR(AND(H227&lt;&gt;"",H227&lt;&gt;"？",COUNTIF(設定!$P$8:$P$27,H227)=0),AND(I227&lt;&gt;"",I227&lt;&gt;"？",COUNTIF(設定!$P$8:$P$27,I227)=0),AND(J227&lt;&gt;"",J227&lt;&gt;"？",COUNTIF(設定!$P$8:$P$27,J227)=0)),"クラブ名がちがう",IF(H227="","第1希望がない",IF(OR(AND(H227&lt;&gt;"",H227=I227),AND(H227&lt;&gt;"",H227=J227),AND(I227&lt;&gt;"",I227=J227)),"同じクラブを重複して希望","OK")))))))</f>
        <v/>
      </c>
      <c r="L227" s="8">
        <f>IF(A227="","",A227&amp;"-"&amp;B227&amp;"-"&amp;C227)</f>
        <v/>
      </c>
      <c r="M227" s="8">
        <f>IF(OR(L227="",G227=""),"",IF(COUNTIF(L228:L$552,L227)=0,L227,""))</f>
        <v/>
      </c>
    </row>
    <row r="228">
      <c r="A228" s="40" t="n">
        <v>4</v>
      </c>
      <c r="B228" s="40" t="inlineStr">
        <is>
          <t>月</t>
        </is>
      </c>
      <c r="C228" s="40" t="n">
        <v>16</v>
      </c>
      <c r="D228" s="40" t="n">
        <v>10</v>
      </c>
      <c r="E228" s="40" t="n">
        <v>3</v>
      </c>
      <c r="F228" s="40" t="n">
        <v>6</v>
      </c>
      <c r="G228" s="3">
        <f>IF(L228="","",IFERROR(INDEX(前年度名簿!$D$2:$D$451,MATCH(L228,前年度名簿!$F$2:$F$451,0)),""))</f>
        <v/>
      </c>
      <c r="H228" s="44">
        <f>IF(D228="","",IF(ISERROR(VALUE(D228)),D228&amp;"",IF(AND(VALUE(D228)&gt;=1,VALUE(D228)&lt;=20),IF(INDEX(設定!$P$8:$P$27,VALUE(D228))="","？",INDEX(設定!$P$8:$P$27,VALUE(D228))),"？")))</f>
        <v/>
      </c>
      <c r="I228" s="44">
        <f>IF(E228="","",IF(ISERROR(VALUE(E228)),E228&amp;"",IF(AND(VALUE(E228)&gt;=1,VALUE(E228)&lt;=20),IF(INDEX(設定!$P$8:$P$27,VALUE(E228))="","？",INDEX(設定!$P$8:$P$27,VALUE(E228))),"？")))</f>
        <v/>
      </c>
      <c r="J228" s="44">
        <f>IF(F228="","",IF(ISERROR(VALUE(F228)),F228&amp;"",IF(AND(VALUE(F228)&gt;=1,VALUE(F228)&lt;=20),IF(INDEX(設定!$P$8:$P$27,VALUE(F228))="","？",INDEX(設定!$P$8:$P$27,VALUE(F228))),"？")))</f>
        <v/>
      </c>
      <c r="K228" s="45">
        <f>IF(L228="","",IF(G228="","名簿にいない",IF(COUNTIF(L229:L$552,L228)&gt;0,"2回提出（下の行を使います）",IF(OR(H228="？",I228="？",J228="？"),"クラブ番号がちがう",IF(OR(AND(H228&lt;&gt;"",H228&lt;&gt;"？",COUNTIF(設定!$P$8:$P$27,H228)=0),AND(I228&lt;&gt;"",I228&lt;&gt;"？",COUNTIF(設定!$P$8:$P$27,I228)=0),AND(J228&lt;&gt;"",J228&lt;&gt;"？",COUNTIF(設定!$P$8:$P$27,J228)=0)),"クラブ名がちがう",IF(H228="","第1希望がない",IF(OR(AND(H228&lt;&gt;"",H228=I228),AND(H228&lt;&gt;"",H228=J228),AND(I228&lt;&gt;"",I228=J228)),"同じクラブを重複して希望","OK")))))))</f>
        <v/>
      </c>
      <c r="L228" s="8">
        <f>IF(A228="","",A228&amp;"-"&amp;B228&amp;"-"&amp;C228)</f>
        <v/>
      </c>
      <c r="M228" s="8">
        <f>IF(OR(L228="",G228=""),"",IF(COUNTIF(L229:L$552,L228)=0,L228,""))</f>
        <v/>
      </c>
    </row>
    <row r="229">
      <c r="A229" s="40" t="n">
        <v>5</v>
      </c>
      <c r="B229" s="40" t="inlineStr">
        <is>
          <t>梅</t>
        </is>
      </c>
      <c r="C229" s="40" t="n">
        <v>22</v>
      </c>
      <c r="D229" s="40" t="n">
        <v>2</v>
      </c>
      <c r="E229" s="40" t="n">
        <v>4</v>
      </c>
      <c r="F229" s="40" t="n">
        <v>9</v>
      </c>
      <c r="G229" s="3">
        <f>IF(L229="","",IFERROR(INDEX(前年度名簿!$D$2:$D$451,MATCH(L229,前年度名簿!$F$2:$F$451,0)),""))</f>
        <v/>
      </c>
      <c r="H229" s="44">
        <f>IF(D229="","",IF(ISERROR(VALUE(D229)),D229&amp;"",IF(AND(VALUE(D229)&gt;=1,VALUE(D229)&lt;=20),IF(INDEX(設定!$P$8:$P$27,VALUE(D229))="","？",INDEX(設定!$P$8:$P$27,VALUE(D229))),"？")))</f>
        <v/>
      </c>
      <c r="I229" s="44">
        <f>IF(E229="","",IF(ISERROR(VALUE(E229)),E229&amp;"",IF(AND(VALUE(E229)&gt;=1,VALUE(E229)&lt;=20),IF(INDEX(設定!$P$8:$P$27,VALUE(E229))="","？",INDEX(設定!$P$8:$P$27,VALUE(E229))),"？")))</f>
        <v/>
      </c>
      <c r="J229" s="44">
        <f>IF(F229="","",IF(ISERROR(VALUE(F229)),F229&amp;"",IF(AND(VALUE(F229)&gt;=1,VALUE(F229)&lt;=20),IF(INDEX(設定!$P$8:$P$27,VALUE(F229))="","？",INDEX(設定!$P$8:$P$27,VALUE(F229))),"？")))</f>
        <v/>
      </c>
      <c r="K229" s="45">
        <f>IF(L229="","",IF(G229="","名簿にいない",IF(COUNTIF(L230:L$552,L229)&gt;0,"2回提出（下の行を使います）",IF(OR(H229="？",I229="？",J229="？"),"クラブ番号がちがう",IF(OR(AND(H229&lt;&gt;"",H229&lt;&gt;"？",COUNTIF(設定!$P$8:$P$27,H229)=0),AND(I229&lt;&gt;"",I229&lt;&gt;"？",COUNTIF(設定!$P$8:$P$27,I229)=0),AND(J229&lt;&gt;"",J229&lt;&gt;"？",COUNTIF(設定!$P$8:$P$27,J229)=0)),"クラブ名がちがう",IF(H229="","第1希望がない",IF(OR(AND(H229&lt;&gt;"",H229=I229),AND(H229&lt;&gt;"",H229=J229),AND(I229&lt;&gt;"",I229=J229)),"同じクラブを重複して希望","OK")))))))</f>
        <v/>
      </c>
      <c r="L229" s="8">
        <f>IF(A229="","",A229&amp;"-"&amp;B229&amp;"-"&amp;C229)</f>
        <v/>
      </c>
      <c r="M229" s="8">
        <f>IF(OR(L229="",G229=""),"",IF(COUNTIF(L230:L$552,L229)=0,L229,""))</f>
        <v/>
      </c>
    </row>
    <row r="230">
      <c r="A230" s="40" t="n">
        <v>4</v>
      </c>
      <c r="B230" s="40" t="inlineStr">
        <is>
          <t>竹</t>
        </is>
      </c>
      <c r="C230" s="40" t="n">
        <v>13</v>
      </c>
      <c r="D230" s="40" t="n">
        <v>7</v>
      </c>
      <c r="E230" s="40" t="n">
        <v>6</v>
      </c>
      <c r="F230" s="40" t="n">
        <v>4</v>
      </c>
      <c r="G230" s="3">
        <f>IF(L230="","",IFERROR(INDEX(前年度名簿!$D$2:$D$451,MATCH(L230,前年度名簿!$F$2:$F$451,0)),""))</f>
        <v/>
      </c>
      <c r="H230" s="44">
        <f>IF(D230="","",IF(ISERROR(VALUE(D230)),D230&amp;"",IF(AND(VALUE(D230)&gt;=1,VALUE(D230)&lt;=20),IF(INDEX(設定!$P$8:$P$27,VALUE(D230))="","？",INDEX(設定!$P$8:$P$27,VALUE(D230))),"？")))</f>
        <v/>
      </c>
      <c r="I230" s="44">
        <f>IF(E230="","",IF(ISERROR(VALUE(E230)),E230&amp;"",IF(AND(VALUE(E230)&gt;=1,VALUE(E230)&lt;=20),IF(INDEX(設定!$P$8:$P$27,VALUE(E230))="","？",INDEX(設定!$P$8:$P$27,VALUE(E230))),"？")))</f>
        <v/>
      </c>
      <c r="J230" s="44">
        <f>IF(F230="","",IF(ISERROR(VALUE(F230)),F230&amp;"",IF(AND(VALUE(F230)&gt;=1,VALUE(F230)&lt;=20),IF(INDEX(設定!$P$8:$P$27,VALUE(F230))="","？",INDEX(設定!$P$8:$P$27,VALUE(F230))),"？")))</f>
        <v/>
      </c>
      <c r="K230" s="45">
        <f>IF(L230="","",IF(G230="","名簿にいない",IF(COUNTIF(L231:L$552,L230)&gt;0,"2回提出（下の行を使います）",IF(OR(H230="？",I230="？",J230="？"),"クラブ番号がちがう",IF(OR(AND(H230&lt;&gt;"",H230&lt;&gt;"？",COUNTIF(設定!$P$8:$P$27,H230)=0),AND(I230&lt;&gt;"",I230&lt;&gt;"？",COUNTIF(設定!$P$8:$P$27,I230)=0),AND(J230&lt;&gt;"",J230&lt;&gt;"？",COUNTIF(設定!$P$8:$P$27,J230)=0)),"クラブ名がちがう",IF(H230="","第1希望がない",IF(OR(AND(H230&lt;&gt;"",H230=I230),AND(H230&lt;&gt;"",H230=J230),AND(I230&lt;&gt;"",I230=J230)),"同じクラブを重複して希望","OK")))))))</f>
        <v/>
      </c>
      <c r="L230" s="8">
        <f>IF(A230="","",A230&amp;"-"&amp;B230&amp;"-"&amp;C230)</f>
        <v/>
      </c>
      <c r="M230" s="8">
        <f>IF(OR(L230="",G230=""),"",IF(COUNTIF(L231:L$552,L230)=0,L230,""))</f>
        <v/>
      </c>
    </row>
    <row r="231">
      <c r="A231" s="40" t="n">
        <v>4</v>
      </c>
      <c r="B231" s="40" t="inlineStr">
        <is>
          <t>松</t>
        </is>
      </c>
      <c r="C231" s="40" t="n">
        <v>18</v>
      </c>
      <c r="D231" s="40" t="n">
        <v>3</v>
      </c>
      <c r="E231" s="40" t="n">
        <v>5</v>
      </c>
      <c r="F231" s="40" t="n">
        <v>4</v>
      </c>
      <c r="G231" s="3">
        <f>IF(L231="","",IFERROR(INDEX(前年度名簿!$D$2:$D$451,MATCH(L231,前年度名簿!$F$2:$F$451,0)),""))</f>
        <v/>
      </c>
      <c r="H231" s="44">
        <f>IF(D231="","",IF(ISERROR(VALUE(D231)),D231&amp;"",IF(AND(VALUE(D231)&gt;=1,VALUE(D231)&lt;=20),IF(INDEX(設定!$P$8:$P$27,VALUE(D231))="","？",INDEX(設定!$P$8:$P$27,VALUE(D231))),"？")))</f>
        <v/>
      </c>
      <c r="I231" s="44">
        <f>IF(E231="","",IF(ISERROR(VALUE(E231)),E231&amp;"",IF(AND(VALUE(E231)&gt;=1,VALUE(E231)&lt;=20),IF(INDEX(設定!$P$8:$P$27,VALUE(E231))="","？",INDEX(設定!$P$8:$P$27,VALUE(E231))),"？")))</f>
        <v/>
      </c>
      <c r="J231" s="44">
        <f>IF(F231="","",IF(ISERROR(VALUE(F231)),F231&amp;"",IF(AND(VALUE(F231)&gt;=1,VALUE(F231)&lt;=20),IF(INDEX(設定!$P$8:$P$27,VALUE(F231))="","？",INDEX(設定!$P$8:$P$27,VALUE(F231))),"？")))</f>
        <v/>
      </c>
      <c r="K231" s="45">
        <f>IF(L231="","",IF(G231="","名簿にいない",IF(COUNTIF(L232:L$552,L231)&gt;0,"2回提出（下の行を使います）",IF(OR(H231="？",I231="？",J231="？"),"クラブ番号がちがう",IF(OR(AND(H231&lt;&gt;"",H231&lt;&gt;"？",COUNTIF(設定!$P$8:$P$27,H231)=0),AND(I231&lt;&gt;"",I231&lt;&gt;"？",COUNTIF(設定!$P$8:$P$27,I231)=0),AND(J231&lt;&gt;"",J231&lt;&gt;"？",COUNTIF(設定!$P$8:$P$27,J231)=0)),"クラブ名がちがう",IF(H231="","第1希望がない",IF(OR(AND(H231&lt;&gt;"",H231=I231),AND(H231&lt;&gt;"",H231=J231),AND(I231&lt;&gt;"",I231=J231)),"同じクラブを重複して希望","OK")))))))</f>
        <v/>
      </c>
      <c r="L231" s="8">
        <f>IF(A231="","",A231&amp;"-"&amp;B231&amp;"-"&amp;C231)</f>
        <v/>
      </c>
      <c r="M231" s="8">
        <f>IF(OR(L231="",G231=""),"",IF(COUNTIF(L232:L$552,L231)=0,L231,""))</f>
        <v/>
      </c>
    </row>
    <row r="232">
      <c r="A232" s="40" t="n">
        <v>5</v>
      </c>
      <c r="B232" s="40" t="inlineStr">
        <is>
          <t>竹</t>
        </is>
      </c>
      <c r="C232" s="40" t="n">
        <v>23</v>
      </c>
      <c r="D232" s="40" t="n">
        <v>7</v>
      </c>
      <c r="E232" s="40" t="n">
        <v>1</v>
      </c>
      <c r="F232" s="40" t="n">
        <v>11</v>
      </c>
      <c r="G232" s="3">
        <f>IF(L232="","",IFERROR(INDEX(前年度名簿!$D$2:$D$451,MATCH(L232,前年度名簿!$F$2:$F$451,0)),""))</f>
        <v/>
      </c>
      <c r="H232" s="44">
        <f>IF(D232="","",IF(ISERROR(VALUE(D232)),D232&amp;"",IF(AND(VALUE(D232)&gt;=1,VALUE(D232)&lt;=20),IF(INDEX(設定!$P$8:$P$27,VALUE(D232))="","？",INDEX(設定!$P$8:$P$27,VALUE(D232))),"？")))</f>
        <v/>
      </c>
      <c r="I232" s="44">
        <f>IF(E232="","",IF(ISERROR(VALUE(E232)),E232&amp;"",IF(AND(VALUE(E232)&gt;=1,VALUE(E232)&lt;=20),IF(INDEX(設定!$P$8:$P$27,VALUE(E232))="","？",INDEX(設定!$P$8:$P$27,VALUE(E232))),"？")))</f>
        <v/>
      </c>
      <c r="J232" s="44">
        <f>IF(F232="","",IF(ISERROR(VALUE(F232)),F232&amp;"",IF(AND(VALUE(F232)&gt;=1,VALUE(F232)&lt;=20),IF(INDEX(設定!$P$8:$P$27,VALUE(F232))="","？",INDEX(設定!$P$8:$P$27,VALUE(F232))),"？")))</f>
        <v/>
      </c>
      <c r="K232" s="45">
        <f>IF(L232="","",IF(G232="","名簿にいない",IF(COUNTIF(L233:L$552,L232)&gt;0,"2回提出（下の行を使います）",IF(OR(H232="？",I232="？",J232="？"),"クラブ番号がちがう",IF(OR(AND(H232&lt;&gt;"",H232&lt;&gt;"？",COUNTIF(設定!$P$8:$P$27,H232)=0),AND(I232&lt;&gt;"",I232&lt;&gt;"？",COUNTIF(設定!$P$8:$P$27,I232)=0),AND(J232&lt;&gt;"",J232&lt;&gt;"？",COUNTIF(設定!$P$8:$P$27,J232)=0)),"クラブ名がちがう",IF(H232="","第1希望がない",IF(OR(AND(H232&lt;&gt;"",H232=I232),AND(H232&lt;&gt;"",H232=J232),AND(I232&lt;&gt;"",I232=J232)),"同じクラブを重複して希望","OK")))))))</f>
        <v/>
      </c>
      <c r="L232" s="8">
        <f>IF(A232="","",A232&amp;"-"&amp;B232&amp;"-"&amp;C232)</f>
        <v/>
      </c>
      <c r="M232" s="8">
        <f>IF(OR(L232="",G232=""),"",IF(COUNTIF(L233:L$552,L232)=0,L232,""))</f>
        <v/>
      </c>
    </row>
    <row r="233">
      <c r="A233" s="40" t="n">
        <v>3</v>
      </c>
      <c r="B233" s="40" t="inlineStr">
        <is>
          <t>梅</t>
        </is>
      </c>
      <c r="C233" s="40" t="n">
        <v>11</v>
      </c>
      <c r="D233" s="40" t="n">
        <v>8</v>
      </c>
      <c r="E233" s="40" t="n">
        <v>4</v>
      </c>
      <c r="F233" s="40" t="n">
        <v>9</v>
      </c>
      <c r="G233" s="3">
        <f>IF(L233="","",IFERROR(INDEX(前年度名簿!$D$2:$D$451,MATCH(L233,前年度名簿!$F$2:$F$451,0)),""))</f>
        <v/>
      </c>
      <c r="H233" s="44">
        <f>IF(D233="","",IF(ISERROR(VALUE(D233)),D233&amp;"",IF(AND(VALUE(D233)&gt;=1,VALUE(D233)&lt;=20),IF(INDEX(設定!$P$8:$P$27,VALUE(D233))="","？",INDEX(設定!$P$8:$P$27,VALUE(D233))),"？")))</f>
        <v/>
      </c>
      <c r="I233" s="44">
        <f>IF(E233="","",IF(ISERROR(VALUE(E233)),E233&amp;"",IF(AND(VALUE(E233)&gt;=1,VALUE(E233)&lt;=20),IF(INDEX(設定!$P$8:$P$27,VALUE(E233))="","？",INDEX(設定!$P$8:$P$27,VALUE(E233))),"？")))</f>
        <v/>
      </c>
      <c r="J233" s="44">
        <f>IF(F233="","",IF(ISERROR(VALUE(F233)),F233&amp;"",IF(AND(VALUE(F233)&gt;=1,VALUE(F233)&lt;=20),IF(INDEX(設定!$P$8:$P$27,VALUE(F233))="","？",INDEX(設定!$P$8:$P$27,VALUE(F233))),"？")))</f>
        <v/>
      </c>
      <c r="K233" s="45">
        <f>IF(L233="","",IF(G233="","名簿にいない",IF(COUNTIF(L234:L$552,L233)&gt;0,"2回提出（下の行を使います）",IF(OR(H233="？",I233="？",J233="？"),"クラブ番号がちがう",IF(OR(AND(H233&lt;&gt;"",H233&lt;&gt;"？",COUNTIF(設定!$P$8:$P$27,H233)=0),AND(I233&lt;&gt;"",I233&lt;&gt;"？",COUNTIF(設定!$P$8:$P$27,I233)=0),AND(J233&lt;&gt;"",J233&lt;&gt;"？",COUNTIF(設定!$P$8:$P$27,J233)=0)),"クラブ名がちがう",IF(H233="","第1希望がない",IF(OR(AND(H233&lt;&gt;"",H233=I233),AND(H233&lt;&gt;"",H233=J233),AND(I233&lt;&gt;"",I233=J233)),"同じクラブを重複して希望","OK")))))))</f>
        <v/>
      </c>
      <c r="L233" s="8">
        <f>IF(A233="","",A233&amp;"-"&amp;B233&amp;"-"&amp;C233)</f>
        <v/>
      </c>
      <c r="M233" s="8">
        <f>IF(OR(L233="",G233=""),"",IF(COUNTIF(L234:L$552,L233)=0,L233,""))</f>
        <v/>
      </c>
    </row>
    <row r="234">
      <c r="A234" s="40" t="n">
        <v>5</v>
      </c>
      <c r="B234" s="40" t="inlineStr">
        <is>
          <t>松</t>
        </is>
      </c>
      <c r="C234" s="40" t="n">
        <v>23</v>
      </c>
      <c r="D234" s="40" t="n">
        <v>1</v>
      </c>
      <c r="E234" s="40" t="n">
        <v>6</v>
      </c>
      <c r="F234" s="40" t="n">
        <v>10</v>
      </c>
      <c r="G234" s="3">
        <f>IF(L234="","",IFERROR(INDEX(前年度名簿!$D$2:$D$451,MATCH(L234,前年度名簿!$F$2:$F$451,0)),""))</f>
        <v/>
      </c>
      <c r="H234" s="44">
        <f>IF(D234="","",IF(ISERROR(VALUE(D234)),D234&amp;"",IF(AND(VALUE(D234)&gt;=1,VALUE(D234)&lt;=20),IF(INDEX(設定!$P$8:$P$27,VALUE(D234))="","？",INDEX(設定!$P$8:$P$27,VALUE(D234))),"？")))</f>
        <v/>
      </c>
      <c r="I234" s="44">
        <f>IF(E234="","",IF(ISERROR(VALUE(E234)),E234&amp;"",IF(AND(VALUE(E234)&gt;=1,VALUE(E234)&lt;=20),IF(INDEX(設定!$P$8:$P$27,VALUE(E234))="","？",INDEX(設定!$P$8:$P$27,VALUE(E234))),"？")))</f>
        <v/>
      </c>
      <c r="J234" s="44">
        <f>IF(F234="","",IF(ISERROR(VALUE(F234)),F234&amp;"",IF(AND(VALUE(F234)&gt;=1,VALUE(F234)&lt;=20),IF(INDEX(設定!$P$8:$P$27,VALUE(F234))="","？",INDEX(設定!$P$8:$P$27,VALUE(F234))),"？")))</f>
        <v/>
      </c>
      <c r="K234" s="45">
        <f>IF(L234="","",IF(G234="","名簿にいない",IF(COUNTIF(L235:L$552,L234)&gt;0,"2回提出（下の行を使います）",IF(OR(H234="？",I234="？",J234="？"),"クラブ番号がちがう",IF(OR(AND(H234&lt;&gt;"",H234&lt;&gt;"？",COUNTIF(設定!$P$8:$P$27,H234)=0),AND(I234&lt;&gt;"",I234&lt;&gt;"？",COUNTIF(設定!$P$8:$P$27,I234)=0),AND(J234&lt;&gt;"",J234&lt;&gt;"？",COUNTIF(設定!$P$8:$P$27,J234)=0)),"クラブ名がちがう",IF(H234="","第1希望がない",IF(OR(AND(H234&lt;&gt;"",H234=I234),AND(H234&lt;&gt;"",H234=J234),AND(I234&lt;&gt;"",I234=J234)),"同じクラブを重複して希望","OK")))))))</f>
        <v/>
      </c>
      <c r="L234" s="8">
        <f>IF(A234="","",A234&amp;"-"&amp;B234&amp;"-"&amp;C234)</f>
        <v/>
      </c>
      <c r="M234" s="8">
        <f>IF(OR(L234="",G234=""),"",IF(COUNTIF(L235:L$552,L234)=0,L234,""))</f>
        <v/>
      </c>
    </row>
    <row r="235">
      <c r="A235" s="40" t="n">
        <v>5</v>
      </c>
      <c r="B235" s="40" t="inlineStr">
        <is>
          <t>松</t>
        </is>
      </c>
      <c r="C235" s="40" t="n">
        <v>19</v>
      </c>
      <c r="D235" s="40" t="n">
        <v>7</v>
      </c>
      <c r="E235" s="40" t="n">
        <v>9</v>
      </c>
      <c r="F235" s="40" t="n">
        <v>10</v>
      </c>
      <c r="G235" s="3">
        <f>IF(L235="","",IFERROR(INDEX(前年度名簿!$D$2:$D$451,MATCH(L235,前年度名簿!$F$2:$F$451,0)),""))</f>
        <v/>
      </c>
      <c r="H235" s="44">
        <f>IF(D235="","",IF(ISERROR(VALUE(D235)),D235&amp;"",IF(AND(VALUE(D235)&gt;=1,VALUE(D235)&lt;=20),IF(INDEX(設定!$P$8:$P$27,VALUE(D235))="","？",INDEX(設定!$P$8:$P$27,VALUE(D235))),"？")))</f>
        <v/>
      </c>
      <c r="I235" s="44">
        <f>IF(E235="","",IF(ISERROR(VALUE(E235)),E235&amp;"",IF(AND(VALUE(E235)&gt;=1,VALUE(E235)&lt;=20),IF(INDEX(設定!$P$8:$P$27,VALUE(E235))="","？",INDEX(設定!$P$8:$P$27,VALUE(E235))),"？")))</f>
        <v/>
      </c>
      <c r="J235" s="44">
        <f>IF(F235="","",IF(ISERROR(VALUE(F235)),F235&amp;"",IF(AND(VALUE(F235)&gt;=1,VALUE(F235)&lt;=20),IF(INDEX(設定!$P$8:$P$27,VALUE(F235))="","？",INDEX(設定!$P$8:$P$27,VALUE(F235))),"？")))</f>
        <v/>
      </c>
      <c r="K235" s="45">
        <f>IF(L235="","",IF(G235="","名簿にいない",IF(COUNTIF(L236:L$552,L235)&gt;0,"2回提出（下の行を使います）",IF(OR(H235="？",I235="？",J235="？"),"クラブ番号がちがう",IF(OR(AND(H235&lt;&gt;"",H235&lt;&gt;"？",COUNTIF(設定!$P$8:$P$27,H235)=0),AND(I235&lt;&gt;"",I235&lt;&gt;"？",COUNTIF(設定!$P$8:$P$27,I235)=0),AND(J235&lt;&gt;"",J235&lt;&gt;"？",COUNTIF(設定!$P$8:$P$27,J235)=0)),"クラブ名がちがう",IF(H235="","第1希望がない",IF(OR(AND(H235&lt;&gt;"",H235=I235),AND(H235&lt;&gt;"",H235=J235),AND(I235&lt;&gt;"",I235=J235)),"同じクラブを重複して希望","OK")))))))</f>
        <v/>
      </c>
      <c r="L235" s="8">
        <f>IF(A235="","",A235&amp;"-"&amp;B235&amp;"-"&amp;C235)</f>
        <v/>
      </c>
      <c r="M235" s="8">
        <f>IF(OR(L235="",G235=""),"",IF(COUNTIF(L236:L$552,L235)=0,L235,""))</f>
        <v/>
      </c>
    </row>
    <row r="236">
      <c r="A236" s="40" t="n">
        <v>4</v>
      </c>
      <c r="B236" s="40" t="inlineStr">
        <is>
          <t>松</t>
        </is>
      </c>
      <c r="C236" s="40" t="n">
        <v>7</v>
      </c>
      <c r="D236" s="40" t="n">
        <v>10</v>
      </c>
      <c r="E236" s="40" t="n">
        <v>3</v>
      </c>
      <c r="F236" s="40" t="n">
        <v>6</v>
      </c>
      <c r="G236" s="3">
        <f>IF(L236="","",IFERROR(INDEX(前年度名簿!$D$2:$D$451,MATCH(L236,前年度名簿!$F$2:$F$451,0)),""))</f>
        <v/>
      </c>
      <c r="H236" s="44">
        <f>IF(D236="","",IF(ISERROR(VALUE(D236)),D236&amp;"",IF(AND(VALUE(D236)&gt;=1,VALUE(D236)&lt;=20),IF(INDEX(設定!$P$8:$P$27,VALUE(D236))="","？",INDEX(設定!$P$8:$P$27,VALUE(D236))),"？")))</f>
        <v/>
      </c>
      <c r="I236" s="44">
        <f>IF(E236="","",IF(ISERROR(VALUE(E236)),E236&amp;"",IF(AND(VALUE(E236)&gt;=1,VALUE(E236)&lt;=20),IF(INDEX(設定!$P$8:$P$27,VALUE(E236))="","？",INDEX(設定!$P$8:$P$27,VALUE(E236))),"？")))</f>
        <v/>
      </c>
      <c r="J236" s="44">
        <f>IF(F236="","",IF(ISERROR(VALUE(F236)),F236&amp;"",IF(AND(VALUE(F236)&gt;=1,VALUE(F236)&lt;=20),IF(INDEX(設定!$P$8:$P$27,VALUE(F236))="","？",INDEX(設定!$P$8:$P$27,VALUE(F236))),"？")))</f>
        <v/>
      </c>
      <c r="K236" s="45">
        <f>IF(L236="","",IF(G236="","名簿にいない",IF(COUNTIF(L237:L$552,L236)&gt;0,"2回提出（下の行を使います）",IF(OR(H236="？",I236="？",J236="？"),"クラブ番号がちがう",IF(OR(AND(H236&lt;&gt;"",H236&lt;&gt;"？",COUNTIF(設定!$P$8:$P$27,H236)=0),AND(I236&lt;&gt;"",I236&lt;&gt;"？",COUNTIF(設定!$P$8:$P$27,I236)=0),AND(J236&lt;&gt;"",J236&lt;&gt;"？",COUNTIF(設定!$P$8:$P$27,J236)=0)),"クラブ名がちがう",IF(H236="","第1希望がない",IF(OR(AND(H236&lt;&gt;"",H236=I236),AND(H236&lt;&gt;"",H236=J236),AND(I236&lt;&gt;"",I236=J236)),"同じクラブを重複して希望","OK")))))))</f>
        <v/>
      </c>
      <c r="L236" s="8">
        <f>IF(A236="","",A236&amp;"-"&amp;B236&amp;"-"&amp;C236)</f>
        <v/>
      </c>
      <c r="M236" s="8">
        <f>IF(OR(L236="",G236=""),"",IF(COUNTIF(L237:L$552,L236)=0,L236,""))</f>
        <v/>
      </c>
    </row>
    <row r="237">
      <c r="A237" s="40" t="n">
        <v>4</v>
      </c>
      <c r="B237" s="40" t="inlineStr">
        <is>
          <t>月</t>
        </is>
      </c>
      <c r="C237" s="40" t="n">
        <v>23</v>
      </c>
      <c r="D237" s="40" t="n">
        <v>6</v>
      </c>
      <c r="E237" s="40" t="n">
        <v>9</v>
      </c>
      <c r="F237" s="40" t="n">
        <v>4</v>
      </c>
      <c r="G237" s="3">
        <f>IF(L237="","",IFERROR(INDEX(前年度名簿!$D$2:$D$451,MATCH(L237,前年度名簿!$F$2:$F$451,0)),""))</f>
        <v/>
      </c>
      <c r="H237" s="44">
        <f>IF(D237="","",IF(ISERROR(VALUE(D237)),D237&amp;"",IF(AND(VALUE(D237)&gt;=1,VALUE(D237)&lt;=20),IF(INDEX(設定!$P$8:$P$27,VALUE(D237))="","？",INDEX(設定!$P$8:$P$27,VALUE(D237))),"？")))</f>
        <v/>
      </c>
      <c r="I237" s="44">
        <f>IF(E237="","",IF(ISERROR(VALUE(E237)),E237&amp;"",IF(AND(VALUE(E237)&gt;=1,VALUE(E237)&lt;=20),IF(INDEX(設定!$P$8:$P$27,VALUE(E237))="","？",INDEX(設定!$P$8:$P$27,VALUE(E237))),"？")))</f>
        <v/>
      </c>
      <c r="J237" s="44">
        <f>IF(F237="","",IF(ISERROR(VALUE(F237)),F237&amp;"",IF(AND(VALUE(F237)&gt;=1,VALUE(F237)&lt;=20),IF(INDEX(設定!$P$8:$P$27,VALUE(F237))="","？",INDEX(設定!$P$8:$P$27,VALUE(F237))),"？")))</f>
        <v/>
      </c>
      <c r="K237" s="45">
        <f>IF(L237="","",IF(G237="","名簿にいない",IF(COUNTIF(L238:L$552,L237)&gt;0,"2回提出（下の行を使います）",IF(OR(H237="？",I237="？",J237="？"),"クラブ番号がちがう",IF(OR(AND(H237&lt;&gt;"",H237&lt;&gt;"？",COUNTIF(設定!$P$8:$P$27,H237)=0),AND(I237&lt;&gt;"",I237&lt;&gt;"？",COUNTIF(設定!$P$8:$P$27,I237)=0),AND(J237&lt;&gt;"",J237&lt;&gt;"？",COUNTIF(設定!$P$8:$P$27,J237)=0)),"クラブ名がちがう",IF(H237="","第1希望がない",IF(OR(AND(H237&lt;&gt;"",H237=I237),AND(H237&lt;&gt;"",H237=J237),AND(I237&lt;&gt;"",I237=J237)),"同じクラブを重複して希望","OK")))))))</f>
        <v/>
      </c>
      <c r="L237" s="8">
        <f>IF(A237="","",A237&amp;"-"&amp;B237&amp;"-"&amp;C237)</f>
        <v/>
      </c>
      <c r="M237" s="8">
        <f>IF(OR(L237="",G237=""),"",IF(COUNTIF(L238:L$552,L237)=0,L237,""))</f>
        <v/>
      </c>
    </row>
    <row r="238">
      <c r="A238" s="40" t="n">
        <v>3</v>
      </c>
      <c r="B238" s="40" t="inlineStr">
        <is>
          <t>竹</t>
        </is>
      </c>
      <c r="C238" s="40" t="n">
        <v>26</v>
      </c>
      <c r="D238" s="40" t="n">
        <v>11</v>
      </c>
      <c r="E238" s="40" t="n">
        <v>1</v>
      </c>
      <c r="F238" s="40" t="n">
        <v>3</v>
      </c>
      <c r="G238" s="3">
        <f>IF(L238="","",IFERROR(INDEX(前年度名簿!$D$2:$D$451,MATCH(L238,前年度名簿!$F$2:$F$451,0)),""))</f>
        <v/>
      </c>
      <c r="H238" s="44">
        <f>IF(D238="","",IF(ISERROR(VALUE(D238)),D238&amp;"",IF(AND(VALUE(D238)&gt;=1,VALUE(D238)&lt;=20),IF(INDEX(設定!$P$8:$P$27,VALUE(D238))="","？",INDEX(設定!$P$8:$P$27,VALUE(D238))),"？")))</f>
        <v/>
      </c>
      <c r="I238" s="44">
        <f>IF(E238="","",IF(ISERROR(VALUE(E238)),E238&amp;"",IF(AND(VALUE(E238)&gt;=1,VALUE(E238)&lt;=20),IF(INDEX(設定!$P$8:$P$27,VALUE(E238))="","？",INDEX(設定!$P$8:$P$27,VALUE(E238))),"？")))</f>
        <v/>
      </c>
      <c r="J238" s="44">
        <f>IF(F238="","",IF(ISERROR(VALUE(F238)),F238&amp;"",IF(AND(VALUE(F238)&gt;=1,VALUE(F238)&lt;=20),IF(INDEX(設定!$P$8:$P$27,VALUE(F238))="","？",INDEX(設定!$P$8:$P$27,VALUE(F238))),"？")))</f>
        <v/>
      </c>
      <c r="K238" s="45">
        <f>IF(L238="","",IF(G238="","名簿にいない",IF(COUNTIF(L239:L$552,L238)&gt;0,"2回提出（下の行を使います）",IF(OR(H238="？",I238="？",J238="？"),"クラブ番号がちがう",IF(OR(AND(H238&lt;&gt;"",H238&lt;&gt;"？",COUNTIF(設定!$P$8:$P$27,H238)=0),AND(I238&lt;&gt;"",I238&lt;&gt;"？",COUNTIF(設定!$P$8:$P$27,I238)=0),AND(J238&lt;&gt;"",J238&lt;&gt;"？",COUNTIF(設定!$P$8:$P$27,J238)=0)),"クラブ名がちがう",IF(H238="","第1希望がない",IF(OR(AND(H238&lt;&gt;"",H238=I238),AND(H238&lt;&gt;"",H238=J238),AND(I238&lt;&gt;"",I238=J238)),"同じクラブを重複して希望","OK")))))))</f>
        <v/>
      </c>
      <c r="L238" s="8">
        <f>IF(A238="","",A238&amp;"-"&amp;B238&amp;"-"&amp;C238)</f>
        <v/>
      </c>
      <c r="M238" s="8">
        <f>IF(OR(L238="",G238=""),"",IF(COUNTIF(L239:L$552,L238)=0,L238,""))</f>
        <v/>
      </c>
    </row>
    <row r="239">
      <c r="A239" s="40" t="n">
        <v>3</v>
      </c>
      <c r="B239" s="40" t="inlineStr">
        <is>
          <t>松</t>
        </is>
      </c>
      <c r="C239" s="40" t="n">
        <v>6</v>
      </c>
      <c r="D239" s="40" t="n">
        <v>9</v>
      </c>
      <c r="E239" s="40" t="n">
        <v>6</v>
      </c>
      <c r="F239" s="40" t="n">
        <v>5</v>
      </c>
      <c r="G239" s="3">
        <f>IF(L239="","",IFERROR(INDEX(前年度名簿!$D$2:$D$451,MATCH(L239,前年度名簿!$F$2:$F$451,0)),""))</f>
        <v/>
      </c>
      <c r="H239" s="44">
        <f>IF(D239="","",IF(ISERROR(VALUE(D239)),D239&amp;"",IF(AND(VALUE(D239)&gt;=1,VALUE(D239)&lt;=20),IF(INDEX(設定!$P$8:$P$27,VALUE(D239))="","？",INDEX(設定!$P$8:$P$27,VALUE(D239))),"？")))</f>
        <v/>
      </c>
      <c r="I239" s="44">
        <f>IF(E239="","",IF(ISERROR(VALUE(E239)),E239&amp;"",IF(AND(VALUE(E239)&gt;=1,VALUE(E239)&lt;=20),IF(INDEX(設定!$P$8:$P$27,VALUE(E239))="","？",INDEX(設定!$P$8:$P$27,VALUE(E239))),"？")))</f>
        <v/>
      </c>
      <c r="J239" s="44">
        <f>IF(F239="","",IF(ISERROR(VALUE(F239)),F239&amp;"",IF(AND(VALUE(F239)&gt;=1,VALUE(F239)&lt;=20),IF(INDEX(設定!$P$8:$P$27,VALUE(F239))="","？",INDEX(設定!$P$8:$P$27,VALUE(F239))),"？")))</f>
        <v/>
      </c>
      <c r="K239" s="45">
        <f>IF(L239="","",IF(G239="","名簿にいない",IF(COUNTIF(L240:L$552,L239)&gt;0,"2回提出（下の行を使います）",IF(OR(H239="？",I239="？",J239="？"),"クラブ番号がちがう",IF(OR(AND(H239&lt;&gt;"",H239&lt;&gt;"？",COUNTIF(設定!$P$8:$P$27,H239)=0),AND(I239&lt;&gt;"",I239&lt;&gt;"？",COUNTIF(設定!$P$8:$P$27,I239)=0),AND(J239&lt;&gt;"",J239&lt;&gt;"？",COUNTIF(設定!$P$8:$P$27,J239)=0)),"クラブ名がちがう",IF(H239="","第1希望がない",IF(OR(AND(H239&lt;&gt;"",H239=I239),AND(H239&lt;&gt;"",H239=J239),AND(I239&lt;&gt;"",I239=J239)),"同じクラブを重複して希望","OK")))))))</f>
        <v/>
      </c>
      <c r="L239" s="8">
        <f>IF(A239="","",A239&amp;"-"&amp;B239&amp;"-"&amp;C239)</f>
        <v/>
      </c>
      <c r="M239" s="8">
        <f>IF(OR(L239="",G239=""),"",IF(COUNTIF(L240:L$552,L239)=0,L239,""))</f>
        <v/>
      </c>
    </row>
    <row r="240">
      <c r="A240" s="40" t="n">
        <v>4</v>
      </c>
      <c r="B240" s="40" t="inlineStr">
        <is>
          <t>竹</t>
        </is>
      </c>
      <c r="C240" s="40" t="n">
        <v>26</v>
      </c>
      <c r="D240" s="40" t="n">
        <v>10</v>
      </c>
      <c r="E240" s="40" t="n">
        <v>6</v>
      </c>
      <c r="F240" s="40" t="n">
        <v>7</v>
      </c>
      <c r="G240" s="3">
        <f>IF(L240="","",IFERROR(INDEX(前年度名簿!$D$2:$D$451,MATCH(L240,前年度名簿!$F$2:$F$451,0)),""))</f>
        <v/>
      </c>
      <c r="H240" s="44">
        <f>IF(D240="","",IF(ISERROR(VALUE(D240)),D240&amp;"",IF(AND(VALUE(D240)&gt;=1,VALUE(D240)&lt;=20),IF(INDEX(設定!$P$8:$P$27,VALUE(D240))="","？",INDEX(設定!$P$8:$P$27,VALUE(D240))),"？")))</f>
        <v/>
      </c>
      <c r="I240" s="44">
        <f>IF(E240="","",IF(ISERROR(VALUE(E240)),E240&amp;"",IF(AND(VALUE(E240)&gt;=1,VALUE(E240)&lt;=20),IF(INDEX(設定!$P$8:$P$27,VALUE(E240))="","？",INDEX(設定!$P$8:$P$27,VALUE(E240))),"？")))</f>
        <v/>
      </c>
      <c r="J240" s="44">
        <f>IF(F240="","",IF(ISERROR(VALUE(F240)),F240&amp;"",IF(AND(VALUE(F240)&gt;=1,VALUE(F240)&lt;=20),IF(INDEX(設定!$P$8:$P$27,VALUE(F240))="","？",INDEX(設定!$P$8:$P$27,VALUE(F240))),"？")))</f>
        <v/>
      </c>
      <c r="K240" s="45">
        <f>IF(L240="","",IF(G240="","名簿にいない",IF(COUNTIF(L241:L$552,L240)&gt;0,"2回提出（下の行を使います）",IF(OR(H240="？",I240="？",J240="？"),"クラブ番号がちがう",IF(OR(AND(H240&lt;&gt;"",H240&lt;&gt;"？",COUNTIF(設定!$P$8:$P$27,H240)=0),AND(I240&lt;&gt;"",I240&lt;&gt;"？",COUNTIF(設定!$P$8:$P$27,I240)=0),AND(J240&lt;&gt;"",J240&lt;&gt;"？",COUNTIF(設定!$P$8:$P$27,J240)=0)),"クラブ名がちがう",IF(H240="","第1希望がない",IF(OR(AND(H240&lt;&gt;"",H240=I240),AND(H240&lt;&gt;"",H240=J240),AND(I240&lt;&gt;"",I240=J240)),"同じクラブを重複して希望","OK")))))))</f>
        <v/>
      </c>
      <c r="L240" s="8">
        <f>IF(A240="","",A240&amp;"-"&amp;B240&amp;"-"&amp;C240)</f>
        <v/>
      </c>
      <c r="M240" s="8">
        <f>IF(OR(L240="",G240=""),"",IF(COUNTIF(L241:L$552,L240)=0,L240,""))</f>
        <v/>
      </c>
    </row>
    <row r="241">
      <c r="A241" s="40" t="n">
        <v>3</v>
      </c>
      <c r="B241" s="40" t="inlineStr">
        <is>
          <t>月</t>
        </is>
      </c>
      <c r="C241" s="40" t="n">
        <v>8</v>
      </c>
      <c r="D241" s="40" t="n">
        <v>10</v>
      </c>
      <c r="E241" s="40" t="n">
        <v>12</v>
      </c>
      <c r="F241" s="40" t="n">
        <v>6</v>
      </c>
      <c r="G241" s="3">
        <f>IF(L241="","",IFERROR(INDEX(前年度名簿!$D$2:$D$451,MATCH(L241,前年度名簿!$F$2:$F$451,0)),""))</f>
        <v/>
      </c>
      <c r="H241" s="44">
        <f>IF(D241="","",IF(ISERROR(VALUE(D241)),D241&amp;"",IF(AND(VALUE(D241)&gt;=1,VALUE(D241)&lt;=20),IF(INDEX(設定!$P$8:$P$27,VALUE(D241))="","？",INDEX(設定!$P$8:$P$27,VALUE(D241))),"？")))</f>
        <v/>
      </c>
      <c r="I241" s="44">
        <f>IF(E241="","",IF(ISERROR(VALUE(E241)),E241&amp;"",IF(AND(VALUE(E241)&gt;=1,VALUE(E241)&lt;=20),IF(INDEX(設定!$P$8:$P$27,VALUE(E241))="","？",INDEX(設定!$P$8:$P$27,VALUE(E241))),"？")))</f>
        <v/>
      </c>
      <c r="J241" s="44">
        <f>IF(F241="","",IF(ISERROR(VALUE(F241)),F241&amp;"",IF(AND(VALUE(F241)&gt;=1,VALUE(F241)&lt;=20),IF(INDEX(設定!$P$8:$P$27,VALUE(F241))="","？",INDEX(設定!$P$8:$P$27,VALUE(F241))),"？")))</f>
        <v/>
      </c>
      <c r="K241" s="45">
        <f>IF(L241="","",IF(G241="","名簿にいない",IF(COUNTIF(L242:L$552,L241)&gt;0,"2回提出（下の行を使います）",IF(OR(H241="？",I241="？",J241="？"),"クラブ番号がちがう",IF(OR(AND(H241&lt;&gt;"",H241&lt;&gt;"？",COUNTIF(設定!$P$8:$P$27,H241)=0),AND(I241&lt;&gt;"",I241&lt;&gt;"？",COUNTIF(設定!$P$8:$P$27,I241)=0),AND(J241&lt;&gt;"",J241&lt;&gt;"？",COUNTIF(設定!$P$8:$P$27,J241)=0)),"クラブ名がちがう",IF(H241="","第1希望がない",IF(OR(AND(H241&lt;&gt;"",H241=I241),AND(H241&lt;&gt;"",H241=J241),AND(I241&lt;&gt;"",I241=J241)),"同じクラブを重複して希望","OK")))))))</f>
        <v/>
      </c>
      <c r="L241" s="8">
        <f>IF(A241="","",A241&amp;"-"&amp;B241&amp;"-"&amp;C241)</f>
        <v/>
      </c>
      <c r="M241" s="8">
        <f>IF(OR(L241="",G241=""),"",IF(COUNTIF(L242:L$552,L241)=0,L241,""))</f>
        <v/>
      </c>
    </row>
    <row r="242">
      <c r="A242" s="40" t="n">
        <v>3</v>
      </c>
      <c r="B242" s="40" t="inlineStr">
        <is>
          <t>竹</t>
        </is>
      </c>
      <c r="C242" s="40" t="n">
        <v>7</v>
      </c>
      <c r="D242" s="40" t="n">
        <v>1</v>
      </c>
      <c r="E242" s="40" t="n">
        <v>11</v>
      </c>
      <c r="F242" s="40" t="n">
        <v>8</v>
      </c>
      <c r="G242" s="3">
        <f>IF(L242="","",IFERROR(INDEX(前年度名簿!$D$2:$D$451,MATCH(L242,前年度名簿!$F$2:$F$451,0)),""))</f>
        <v/>
      </c>
      <c r="H242" s="44">
        <f>IF(D242="","",IF(ISERROR(VALUE(D242)),D242&amp;"",IF(AND(VALUE(D242)&gt;=1,VALUE(D242)&lt;=20),IF(INDEX(設定!$P$8:$P$27,VALUE(D242))="","？",INDEX(設定!$P$8:$P$27,VALUE(D242))),"？")))</f>
        <v/>
      </c>
      <c r="I242" s="44">
        <f>IF(E242="","",IF(ISERROR(VALUE(E242)),E242&amp;"",IF(AND(VALUE(E242)&gt;=1,VALUE(E242)&lt;=20),IF(INDEX(設定!$P$8:$P$27,VALUE(E242))="","？",INDEX(設定!$P$8:$P$27,VALUE(E242))),"？")))</f>
        <v/>
      </c>
      <c r="J242" s="44">
        <f>IF(F242="","",IF(ISERROR(VALUE(F242)),F242&amp;"",IF(AND(VALUE(F242)&gt;=1,VALUE(F242)&lt;=20),IF(INDEX(設定!$P$8:$P$27,VALUE(F242))="","？",INDEX(設定!$P$8:$P$27,VALUE(F242))),"？")))</f>
        <v/>
      </c>
      <c r="K242" s="45">
        <f>IF(L242="","",IF(G242="","名簿にいない",IF(COUNTIF(L243:L$552,L242)&gt;0,"2回提出（下の行を使います）",IF(OR(H242="？",I242="？",J242="？"),"クラブ番号がちがう",IF(OR(AND(H242&lt;&gt;"",H242&lt;&gt;"？",COUNTIF(設定!$P$8:$P$27,H242)=0),AND(I242&lt;&gt;"",I242&lt;&gt;"？",COUNTIF(設定!$P$8:$P$27,I242)=0),AND(J242&lt;&gt;"",J242&lt;&gt;"？",COUNTIF(設定!$P$8:$P$27,J242)=0)),"クラブ名がちがう",IF(H242="","第1希望がない",IF(OR(AND(H242&lt;&gt;"",H242=I242),AND(H242&lt;&gt;"",H242=J242),AND(I242&lt;&gt;"",I242=J242)),"同じクラブを重複して希望","OK")))))))</f>
        <v/>
      </c>
      <c r="L242" s="8">
        <f>IF(A242="","",A242&amp;"-"&amp;B242&amp;"-"&amp;C242)</f>
        <v/>
      </c>
      <c r="M242" s="8">
        <f>IF(OR(L242="",G242=""),"",IF(COUNTIF(L243:L$552,L242)=0,L242,""))</f>
        <v/>
      </c>
    </row>
    <row r="243">
      <c r="A243" s="40" t="n">
        <v>5</v>
      </c>
      <c r="B243" s="40" t="inlineStr">
        <is>
          <t>月</t>
        </is>
      </c>
      <c r="C243" s="40" t="n">
        <v>11</v>
      </c>
      <c r="D243" s="40" t="n">
        <v>7</v>
      </c>
      <c r="E243" s="40" t="n">
        <v>6</v>
      </c>
      <c r="F243" s="40" t="n">
        <v>11</v>
      </c>
      <c r="G243" s="3">
        <f>IF(L243="","",IFERROR(INDEX(前年度名簿!$D$2:$D$451,MATCH(L243,前年度名簿!$F$2:$F$451,0)),""))</f>
        <v/>
      </c>
      <c r="H243" s="44">
        <f>IF(D243="","",IF(ISERROR(VALUE(D243)),D243&amp;"",IF(AND(VALUE(D243)&gt;=1,VALUE(D243)&lt;=20),IF(INDEX(設定!$P$8:$P$27,VALUE(D243))="","？",INDEX(設定!$P$8:$P$27,VALUE(D243))),"？")))</f>
        <v/>
      </c>
      <c r="I243" s="44">
        <f>IF(E243="","",IF(ISERROR(VALUE(E243)),E243&amp;"",IF(AND(VALUE(E243)&gt;=1,VALUE(E243)&lt;=20),IF(INDEX(設定!$P$8:$P$27,VALUE(E243))="","？",INDEX(設定!$P$8:$P$27,VALUE(E243))),"？")))</f>
        <v/>
      </c>
      <c r="J243" s="44">
        <f>IF(F243="","",IF(ISERROR(VALUE(F243)),F243&amp;"",IF(AND(VALUE(F243)&gt;=1,VALUE(F243)&lt;=20),IF(INDEX(設定!$P$8:$P$27,VALUE(F243))="","？",INDEX(設定!$P$8:$P$27,VALUE(F243))),"？")))</f>
        <v/>
      </c>
      <c r="K243" s="45">
        <f>IF(L243="","",IF(G243="","名簿にいない",IF(COUNTIF(L244:L$552,L243)&gt;0,"2回提出（下の行を使います）",IF(OR(H243="？",I243="？",J243="？"),"クラブ番号がちがう",IF(OR(AND(H243&lt;&gt;"",H243&lt;&gt;"？",COUNTIF(設定!$P$8:$P$27,H243)=0),AND(I243&lt;&gt;"",I243&lt;&gt;"？",COUNTIF(設定!$P$8:$P$27,I243)=0),AND(J243&lt;&gt;"",J243&lt;&gt;"？",COUNTIF(設定!$P$8:$P$27,J243)=0)),"クラブ名がちがう",IF(H243="","第1希望がない",IF(OR(AND(H243&lt;&gt;"",H243=I243),AND(H243&lt;&gt;"",H243=J243),AND(I243&lt;&gt;"",I243=J243)),"同じクラブを重複して希望","OK")))))))</f>
        <v/>
      </c>
      <c r="L243" s="8">
        <f>IF(A243="","",A243&amp;"-"&amp;B243&amp;"-"&amp;C243)</f>
        <v/>
      </c>
      <c r="M243" s="8">
        <f>IF(OR(L243="",G243=""),"",IF(COUNTIF(L244:L$552,L243)=0,L243,""))</f>
        <v/>
      </c>
    </row>
    <row r="244">
      <c r="A244" s="40" t="n">
        <v>4</v>
      </c>
      <c r="B244" s="40" t="inlineStr">
        <is>
          <t>竹</t>
        </is>
      </c>
      <c r="C244" s="40" t="n">
        <v>9</v>
      </c>
      <c r="D244" s="40" t="n">
        <v>8</v>
      </c>
      <c r="E244" s="40" t="n">
        <v>11</v>
      </c>
      <c r="F244" s="40" t="n">
        <v>1</v>
      </c>
      <c r="G244" s="3">
        <f>IF(L244="","",IFERROR(INDEX(前年度名簿!$D$2:$D$451,MATCH(L244,前年度名簿!$F$2:$F$451,0)),""))</f>
        <v/>
      </c>
      <c r="H244" s="44">
        <f>IF(D244="","",IF(ISERROR(VALUE(D244)),D244&amp;"",IF(AND(VALUE(D244)&gt;=1,VALUE(D244)&lt;=20),IF(INDEX(設定!$P$8:$P$27,VALUE(D244))="","？",INDEX(設定!$P$8:$P$27,VALUE(D244))),"？")))</f>
        <v/>
      </c>
      <c r="I244" s="44">
        <f>IF(E244="","",IF(ISERROR(VALUE(E244)),E244&amp;"",IF(AND(VALUE(E244)&gt;=1,VALUE(E244)&lt;=20),IF(INDEX(設定!$P$8:$P$27,VALUE(E244))="","？",INDEX(設定!$P$8:$P$27,VALUE(E244))),"？")))</f>
        <v/>
      </c>
      <c r="J244" s="44">
        <f>IF(F244="","",IF(ISERROR(VALUE(F244)),F244&amp;"",IF(AND(VALUE(F244)&gt;=1,VALUE(F244)&lt;=20),IF(INDEX(設定!$P$8:$P$27,VALUE(F244))="","？",INDEX(設定!$P$8:$P$27,VALUE(F244))),"？")))</f>
        <v/>
      </c>
      <c r="K244" s="45">
        <f>IF(L244="","",IF(G244="","名簿にいない",IF(COUNTIF(L245:L$552,L244)&gt;0,"2回提出（下の行を使います）",IF(OR(H244="？",I244="？",J244="？"),"クラブ番号がちがう",IF(OR(AND(H244&lt;&gt;"",H244&lt;&gt;"？",COUNTIF(設定!$P$8:$P$27,H244)=0),AND(I244&lt;&gt;"",I244&lt;&gt;"？",COUNTIF(設定!$P$8:$P$27,I244)=0),AND(J244&lt;&gt;"",J244&lt;&gt;"？",COUNTIF(設定!$P$8:$P$27,J244)=0)),"クラブ名がちがう",IF(H244="","第1希望がない",IF(OR(AND(H244&lt;&gt;"",H244=I244),AND(H244&lt;&gt;"",H244=J244),AND(I244&lt;&gt;"",I244=J244)),"同じクラブを重複して希望","OK")))))))</f>
        <v/>
      </c>
      <c r="L244" s="8">
        <f>IF(A244="","",A244&amp;"-"&amp;B244&amp;"-"&amp;C244)</f>
        <v/>
      </c>
      <c r="M244" s="8">
        <f>IF(OR(L244="",G244=""),"",IF(COUNTIF(L245:L$552,L244)=0,L244,""))</f>
        <v/>
      </c>
    </row>
    <row r="245">
      <c r="A245" s="40" t="n">
        <v>5</v>
      </c>
      <c r="B245" s="40" t="inlineStr">
        <is>
          <t>竹</t>
        </is>
      </c>
      <c r="C245" s="40" t="n">
        <v>17</v>
      </c>
      <c r="D245" s="40" t="n">
        <v>10</v>
      </c>
      <c r="E245" s="40" t="n">
        <v>4</v>
      </c>
      <c r="F245" s="40" t="n">
        <v>5</v>
      </c>
      <c r="G245" s="3">
        <f>IF(L245="","",IFERROR(INDEX(前年度名簿!$D$2:$D$451,MATCH(L245,前年度名簿!$F$2:$F$451,0)),""))</f>
        <v/>
      </c>
      <c r="H245" s="44">
        <f>IF(D245="","",IF(ISERROR(VALUE(D245)),D245&amp;"",IF(AND(VALUE(D245)&gt;=1,VALUE(D245)&lt;=20),IF(INDEX(設定!$P$8:$P$27,VALUE(D245))="","？",INDEX(設定!$P$8:$P$27,VALUE(D245))),"？")))</f>
        <v/>
      </c>
      <c r="I245" s="44">
        <f>IF(E245="","",IF(ISERROR(VALUE(E245)),E245&amp;"",IF(AND(VALUE(E245)&gt;=1,VALUE(E245)&lt;=20),IF(INDEX(設定!$P$8:$P$27,VALUE(E245))="","？",INDEX(設定!$P$8:$P$27,VALUE(E245))),"？")))</f>
        <v/>
      </c>
      <c r="J245" s="44">
        <f>IF(F245="","",IF(ISERROR(VALUE(F245)),F245&amp;"",IF(AND(VALUE(F245)&gt;=1,VALUE(F245)&lt;=20),IF(INDEX(設定!$P$8:$P$27,VALUE(F245))="","？",INDEX(設定!$P$8:$P$27,VALUE(F245))),"？")))</f>
        <v/>
      </c>
      <c r="K245" s="45">
        <f>IF(L245="","",IF(G245="","名簿にいない",IF(COUNTIF(L246:L$552,L245)&gt;0,"2回提出（下の行を使います）",IF(OR(H245="？",I245="？",J245="？"),"クラブ番号がちがう",IF(OR(AND(H245&lt;&gt;"",H245&lt;&gt;"？",COUNTIF(設定!$P$8:$P$27,H245)=0),AND(I245&lt;&gt;"",I245&lt;&gt;"？",COUNTIF(設定!$P$8:$P$27,I245)=0),AND(J245&lt;&gt;"",J245&lt;&gt;"？",COUNTIF(設定!$P$8:$P$27,J245)=0)),"クラブ名がちがう",IF(H245="","第1希望がない",IF(OR(AND(H245&lt;&gt;"",H245=I245),AND(H245&lt;&gt;"",H245=J245),AND(I245&lt;&gt;"",I245=J245)),"同じクラブを重複して希望","OK")))))))</f>
        <v/>
      </c>
      <c r="L245" s="8">
        <f>IF(A245="","",A245&amp;"-"&amp;B245&amp;"-"&amp;C245)</f>
        <v/>
      </c>
      <c r="M245" s="8">
        <f>IF(OR(L245="",G245=""),"",IF(COUNTIF(L246:L$552,L245)=0,L245,""))</f>
        <v/>
      </c>
    </row>
    <row r="246">
      <c r="A246" s="40" t="n">
        <v>3</v>
      </c>
      <c r="B246" s="40" t="inlineStr">
        <is>
          <t>竹</t>
        </is>
      </c>
      <c r="C246" s="40" t="n">
        <v>9</v>
      </c>
      <c r="D246" s="40" t="n">
        <v>12</v>
      </c>
      <c r="E246" s="40" t="n">
        <v>7</v>
      </c>
      <c r="F246" s="40" t="n">
        <v>4</v>
      </c>
      <c r="G246" s="3">
        <f>IF(L246="","",IFERROR(INDEX(前年度名簿!$D$2:$D$451,MATCH(L246,前年度名簿!$F$2:$F$451,0)),""))</f>
        <v/>
      </c>
      <c r="H246" s="44">
        <f>IF(D246="","",IF(ISERROR(VALUE(D246)),D246&amp;"",IF(AND(VALUE(D246)&gt;=1,VALUE(D246)&lt;=20),IF(INDEX(設定!$P$8:$P$27,VALUE(D246))="","？",INDEX(設定!$P$8:$P$27,VALUE(D246))),"？")))</f>
        <v/>
      </c>
      <c r="I246" s="44">
        <f>IF(E246="","",IF(ISERROR(VALUE(E246)),E246&amp;"",IF(AND(VALUE(E246)&gt;=1,VALUE(E246)&lt;=20),IF(INDEX(設定!$P$8:$P$27,VALUE(E246))="","？",INDEX(設定!$P$8:$P$27,VALUE(E246))),"？")))</f>
        <v/>
      </c>
      <c r="J246" s="44">
        <f>IF(F246="","",IF(ISERROR(VALUE(F246)),F246&amp;"",IF(AND(VALUE(F246)&gt;=1,VALUE(F246)&lt;=20),IF(INDEX(設定!$P$8:$P$27,VALUE(F246))="","？",INDEX(設定!$P$8:$P$27,VALUE(F246))),"？")))</f>
        <v/>
      </c>
      <c r="K246" s="45">
        <f>IF(L246="","",IF(G246="","名簿にいない",IF(COUNTIF(L247:L$552,L246)&gt;0,"2回提出（下の行を使います）",IF(OR(H246="？",I246="？",J246="？"),"クラブ番号がちがう",IF(OR(AND(H246&lt;&gt;"",H246&lt;&gt;"？",COUNTIF(設定!$P$8:$P$27,H246)=0),AND(I246&lt;&gt;"",I246&lt;&gt;"？",COUNTIF(設定!$P$8:$P$27,I246)=0),AND(J246&lt;&gt;"",J246&lt;&gt;"？",COUNTIF(設定!$P$8:$P$27,J246)=0)),"クラブ名がちがう",IF(H246="","第1希望がない",IF(OR(AND(H246&lt;&gt;"",H246=I246),AND(H246&lt;&gt;"",H246=J246),AND(I246&lt;&gt;"",I246=J246)),"同じクラブを重複して希望","OK")))))))</f>
        <v/>
      </c>
      <c r="L246" s="8">
        <f>IF(A246="","",A246&amp;"-"&amp;B246&amp;"-"&amp;C246)</f>
        <v/>
      </c>
      <c r="M246" s="8">
        <f>IF(OR(L246="",G246=""),"",IF(COUNTIF(L247:L$552,L246)=0,L246,""))</f>
        <v/>
      </c>
    </row>
    <row r="247">
      <c r="A247" s="40" t="n">
        <v>5</v>
      </c>
      <c r="B247" s="40" t="inlineStr">
        <is>
          <t>竹</t>
        </is>
      </c>
      <c r="C247" s="40" t="n">
        <v>1</v>
      </c>
      <c r="D247" s="40" t="n">
        <v>7</v>
      </c>
      <c r="E247" s="40" t="n">
        <v>1</v>
      </c>
      <c r="F247" s="40" t="n">
        <v>11</v>
      </c>
      <c r="G247" s="3">
        <f>IF(L247="","",IFERROR(INDEX(前年度名簿!$D$2:$D$451,MATCH(L247,前年度名簿!$F$2:$F$451,0)),""))</f>
        <v/>
      </c>
      <c r="H247" s="44">
        <f>IF(D247="","",IF(ISERROR(VALUE(D247)),D247&amp;"",IF(AND(VALUE(D247)&gt;=1,VALUE(D247)&lt;=20),IF(INDEX(設定!$P$8:$P$27,VALUE(D247))="","？",INDEX(設定!$P$8:$P$27,VALUE(D247))),"？")))</f>
        <v/>
      </c>
      <c r="I247" s="44">
        <f>IF(E247="","",IF(ISERROR(VALUE(E247)),E247&amp;"",IF(AND(VALUE(E247)&gt;=1,VALUE(E247)&lt;=20),IF(INDEX(設定!$P$8:$P$27,VALUE(E247))="","？",INDEX(設定!$P$8:$P$27,VALUE(E247))),"？")))</f>
        <v/>
      </c>
      <c r="J247" s="44">
        <f>IF(F247="","",IF(ISERROR(VALUE(F247)),F247&amp;"",IF(AND(VALUE(F247)&gt;=1,VALUE(F247)&lt;=20),IF(INDEX(設定!$P$8:$P$27,VALUE(F247))="","？",INDEX(設定!$P$8:$P$27,VALUE(F247))),"？")))</f>
        <v/>
      </c>
      <c r="K247" s="45">
        <f>IF(L247="","",IF(G247="","名簿にいない",IF(COUNTIF(L248:L$552,L247)&gt;0,"2回提出（下の行を使います）",IF(OR(H247="？",I247="？",J247="？"),"クラブ番号がちがう",IF(OR(AND(H247&lt;&gt;"",H247&lt;&gt;"？",COUNTIF(設定!$P$8:$P$27,H247)=0),AND(I247&lt;&gt;"",I247&lt;&gt;"？",COUNTIF(設定!$P$8:$P$27,I247)=0),AND(J247&lt;&gt;"",J247&lt;&gt;"？",COUNTIF(設定!$P$8:$P$27,J247)=0)),"クラブ名がちがう",IF(H247="","第1希望がない",IF(OR(AND(H247&lt;&gt;"",H247=I247),AND(H247&lt;&gt;"",H247=J247),AND(I247&lt;&gt;"",I247=J247)),"同じクラブを重複して希望","OK")))))))</f>
        <v/>
      </c>
      <c r="L247" s="8">
        <f>IF(A247="","",A247&amp;"-"&amp;B247&amp;"-"&amp;C247)</f>
        <v/>
      </c>
      <c r="M247" s="8">
        <f>IF(OR(L247="",G247=""),"",IF(COUNTIF(L248:L$552,L247)=0,L247,""))</f>
        <v/>
      </c>
    </row>
    <row r="248">
      <c r="A248" s="40" t="n">
        <v>5</v>
      </c>
      <c r="B248" s="40" t="inlineStr">
        <is>
          <t>梅</t>
        </is>
      </c>
      <c r="C248" s="40" t="n">
        <v>15</v>
      </c>
      <c r="D248" s="40" t="n">
        <v>7</v>
      </c>
      <c r="E248" s="40" t="n">
        <v>12</v>
      </c>
      <c r="F248" s="40" t="n">
        <v>11</v>
      </c>
      <c r="G248" s="3">
        <f>IF(L248="","",IFERROR(INDEX(前年度名簿!$D$2:$D$451,MATCH(L248,前年度名簿!$F$2:$F$451,0)),""))</f>
        <v/>
      </c>
      <c r="H248" s="44">
        <f>IF(D248="","",IF(ISERROR(VALUE(D248)),D248&amp;"",IF(AND(VALUE(D248)&gt;=1,VALUE(D248)&lt;=20),IF(INDEX(設定!$P$8:$P$27,VALUE(D248))="","？",INDEX(設定!$P$8:$P$27,VALUE(D248))),"？")))</f>
        <v/>
      </c>
      <c r="I248" s="44">
        <f>IF(E248="","",IF(ISERROR(VALUE(E248)),E248&amp;"",IF(AND(VALUE(E248)&gt;=1,VALUE(E248)&lt;=20),IF(INDEX(設定!$P$8:$P$27,VALUE(E248))="","？",INDEX(設定!$P$8:$P$27,VALUE(E248))),"？")))</f>
        <v/>
      </c>
      <c r="J248" s="44">
        <f>IF(F248="","",IF(ISERROR(VALUE(F248)),F248&amp;"",IF(AND(VALUE(F248)&gt;=1,VALUE(F248)&lt;=20),IF(INDEX(設定!$P$8:$P$27,VALUE(F248))="","？",INDEX(設定!$P$8:$P$27,VALUE(F248))),"？")))</f>
        <v/>
      </c>
      <c r="K248" s="45">
        <f>IF(L248="","",IF(G248="","名簿にいない",IF(COUNTIF(L249:L$552,L248)&gt;0,"2回提出（下の行を使います）",IF(OR(H248="？",I248="？",J248="？"),"クラブ番号がちがう",IF(OR(AND(H248&lt;&gt;"",H248&lt;&gt;"？",COUNTIF(設定!$P$8:$P$27,H248)=0),AND(I248&lt;&gt;"",I248&lt;&gt;"？",COUNTIF(設定!$P$8:$P$27,I248)=0),AND(J248&lt;&gt;"",J248&lt;&gt;"？",COUNTIF(設定!$P$8:$P$27,J248)=0)),"クラブ名がちがう",IF(H248="","第1希望がない",IF(OR(AND(H248&lt;&gt;"",H248=I248),AND(H248&lt;&gt;"",H248=J248),AND(I248&lt;&gt;"",I248=J248)),"同じクラブを重複して希望","OK")))))))</f>
        <v/>
      </c>
      <c r="L248" s="8">
        <f>IF(A248="","",A248&amp;"-"&amp;B248&amp;"-"&amp;C248)</f>
        <v/>
      </c>
      <c r="M248" s="8">
        <f>IF(OR(L248="",G248=""),"",IF(COUNTIF(L249:L$552,L248)=0,L248,""))</f>
        <v/>
      </c>
    </row>
    <row r="249">
      <c r="A249" s="40" t="n">
        <v>4</v>
      </c>
      <c r="B249" s="40" t="inlineStr">
        <is>
          <t>月</t>
        </is>
      </c>
      <c r="C249" s="40" t="n">
        <v>5</v>
      </c>
      <c r="D249" s="40" t="n">
        <v>2</v>
      </c>
      <c r="E249" s="40" t="n">
        <v>1</v>
      </c>
      <c r="F249" s="40" t="n">
        <v>10</v>
      </c>
      <c r="G249" s="3">
        <f>IF(L249="","",IFERROR(INDEX(前年度名簿!$D$2:$D$451,MATCH(L249,前年度名簿!$F$2:$F$451,0)),""))</f>
        <v/>
      </c>
      <c r="H249" s="44">
        <f>IF(D249="","",IF(ISERROR(VALUE(D249)),D249&amp;"",IF(AND(VALUE(D249)&gt;=1,VALUE(D249)&lt;=20),IF(INDEX(設定!$P$8:$P$27,VALUE(D249))="","？",INDEX(設定!$P$8:$P$27,VALUE(D249))),"？")))</f>
        <v/>
      </c>
      <c r="I249" s="44">
        <f>IF(E249="","",IF(ISERROR(VALUE(E249)),E249&amp;"",IF(AND(VALUE(E249)&gt;=1,VALUE(E249)&lt;=20),IF(INDEX(設定!$P$8:$P$27,VALUE(E249))="","？",INDEX(設定!$P$8:$P$27,VALUE(E249))),"？")))</f>
        <v/>
      </c>
      <c r="J249" s="44">
        <f>IF(F249="","",IF(ISERROR(VALUE(F249)),F249&amp;"",IF(AND(VALUE(F249)&gt;=1,VALUE(F249)&lt;=20),IF(INDEX(設定!$P$8:$P$27,VALUE(F249))="","？",INDEX(設定!$P$8:$P$27,VALUE(F249))),"？")))</f>
        <v/>
      </c>
      <c r="K249" s="45">
        <f>IF(L249="","",IF(G249="","名簿にいない",IF(COUNTIF(L250:L$552,L249)&gt;0,"2回提出（下の行を使います）",IF(OR(H249="？",I249="？",J249="？"),"クラブ番号がちがう",IF(OR(AND(H249&lt;&gt;"",H249&lt;&gt;"？",COUNTIF(設定!$P$8:$P$27,H249)=0),AND(I249&lt;&gt;"",I249&lt;&gt;"？",COUNTIF(設定!$P$8:$P$27,I249)=0),AND(J249&lt;&gt;"",J249&lt;&gt;"？",COUNTIF(設定!$P$8:$P$27,J249)=0)),"クラブ名がちがう",IF(H249="","第1希望がない",IF(OR(AND(H249&lt;&gt;"",H249=I249),AND(H249&lt;&gt;"",H249=J249),AND(I249&lt;&gt;"",I249=J249)),"同じクラブを重複して希望","OK")))))))</f>
        <v/>
      </c>
      <c r="L249" s="8">
        <f>IF(A249="","",A249&amp;"-"&amp;B249&amp;"-"&amp;C249)</f>
        <v/>
      </c>
      <c r="M249" s="8">
        <f>IF(OR(L249="",G249=""),"",IF(COUNTIF(L250:L$552,L249)=0,L249,""))</f>
        <v/>
      </c>
    </row>
    <row r="250">
      <c r="A250" s="40" t="n">
        <v>3</v>
      </c>
      <c r="B250" s="40" t="inlineStr">
        <is>
          <t>竹</t>
        </is>
      </c>
      <c r="C250" s="40" t="n">
        <v>27</v>
      </c>
      <c r="D250" s="40" t="n">
        <v>4</v>
      </c>
      <c r="E250" s="40" t="n">
        <v>2</v>
      </c>
      <c r="F250" s="40" t="n">
        <v>1</v>
      </c>
      <c r="G250" s="3">
        <f>IF(L250="","",IFERROR(INDEX(前年度名簿!$D$2:$D$451,MATCH(L250,前年度名簿!$F$2:$F$451,0)),""))</f>
        <v/>
      </c>
      <c r="H250" s="44">
        <f>IF(D250="","",IF(ISERROR(VALUE(D250)),D250&amp;"",IF(AND(VALUE(D250)&gt;=1,VALUE(D250)&lt;=20),IF(INDEX(設定!$P$8:$P$27,VALUE(D250))="","？",INDEX(設定!$P$8:$P$27,VALUE(D250))),"？")))</f>
        <v/>
      </c>
      <c r="I250" s="44">
        <f>IF(E250="","",IF(ISERROR(VALUE(E250)),E250&amp;"",IF(AND(VALUE(E250)&gt;=1,VALUE(E250)&lt;=20),IF(INDEX(設定!$P$8:$P$27,VALUE(E250))="","？",INDEX(設定!$P$8:$P$27,VALUE(E250))),"？")))</f>
        <v/>
      </c>
      <c r="J250" s="44">
        <f>IF(F250="","",IF(ISERROR(VALUE(F250)),F250&amp;"",IF(AND(VALUE(F250)&gt;=1,VALUE(F250)&lt;=20),IF(INDEX(設定!$P$8:$P$27,VALUE(F250))="","？",INDEX(設定!$P$8:$P$27,VALUE(F250))),"？")))</f>
        <v/>
      </c>
      <c r="K250" s="45">
        <f>IF(L250="","",IF(G250="","名簿にいない",IF(COUNTIF(L251:L$552,L250)&gt;0,"2回提出（下の行を使います）",IF(OR(H250="？",I250="？",J250="？"),"クラブ番号がちがう",IF(OR(AND(H250&lt;&gt;"",H250&lt;&gt;"？",COUNTIF(設定!$P$8:$P$27,H250)=0),AND(I250&lt;&gt;"",I250&lt;&gt;"？",COUNTIF(設定!$P$8:$P$27,I250)=0),AND(J250&lt;&gt;"",J250&lt;&gt;"？",COUNTIF(設定!$P$8:$P$27,J250)=0)),"クラブ名がちがう",IF(H250="","第1希望がない",IF(OR(AND(H250&lt;&gt;"",H250=I250),AND(H250&lt;&gt;"",H250=J250),AND(I250&lt;&gt;"",I250=J250)),"同じクラブを重複して希望","OK")))))))</f>
        <v/>
      </c>
      <c r="L250" s="8">
        <f>IF(A250="","",A250&amp;"-"&amp;B250&amp;"-"&amp;C250)</f>
        <v/>
      </c>
      <c r="M250" s="8">
        <f>IF(OR(L250="",G250=""),"",IF(COUNTIF(L251:L$552,L250)=0,L250,""))</f>
        <v/>
      </c>
    </row>
    <row r="251">
      <c r="A251" s="40" t="n">
        <v>4</v>
      </c>
      <c r="B251" s="40" t="inlineStr">
        <is>
          <t>月</t>
        </is>
      </c>
      <c r="C251" s="40" t="n">
        <v>13</v>
      </c>
      <c r="D251" s="40" t="n">
        <v>9</v>
      </c>
      <c r="E251" s="40" t="n">
        <v>6</v>
      </c>
      <c r="F251" s="40" t="n">
        <v>4</v>
      </c>
      <c r="G251" s="3">
        <f>IF(L251="","",IFERROR(INDEX(前年度名簿!$D$2:$D$451,MATCH(L251,前年度名簿!$F$2:$F$451,0)),""))</f>
        <v/>
      </c>
      <c r="H251" s="44">
        <f>IF(D251="","",IF(ISERROR(VALUE(D251)),D251&amp;"",IF(AND(VALUE(D251)&gt;=1,VALUE(D251)&lt;=20),IF(INDEX(設定!$P$8:$P$27,VALUE(D251))="","？",INDEX(設定!$P$8:$P$27,VALUE(D251))),"？")))</f>
        <v/>
      </c>
      <c r="I251" s="44">
        <f>IF(E251="","",IF(ISERROR(VALUE(E251)),E251&amp;"",IF(AND(VALUE(E251)&gt;=1,VALUE(E251)&lt;=20),IF(INDEX(設定!$P$8:$P$27,VALUE(E251))="","？",INDEX(設定!$P$8:$P$27,VALUE(E251))),"？")))</f>
        <v/>
      </c>
      <c r="J251" s="44">
        <f>IF(F251="","",IF(ISERROR(VALUE(F251)),F251&amp;"",IF(AND(VALUE(F251)&gt;=1,VALUE(F251)&lt;=20),IF(INDEX(設定!$P$8:$P$27,VALUE(F251))="","？",INDEX(設定!$P$8:$P$27,VALUE(F251))),"？")))</f>
        <v/>
      </c>
      <c r="K251" s="45">
        <f>IF(L251="","",IF(G251="","名簿にいない",IF(COUNTIF(L252:L$552,L251)&gt;0,"2回提出（下の行を使います）",IF(OR(H251="？",I251="？",J251="？"),"クラブ番号がちがう",IF(OR(AND(H251&lt;&gt;"",H251&lt;&gt;"？",COUNTIF(設定!$P$8:$P$27,H251)=0),AND(I251&lt;&gt;"",I251&lt;&gt;"？",COUNTIF(設定!$P$8:$P$27,I251)=0),AND(J251&lt;&gt;"",J251&lt;&gt;"？",COUNTIF(設定!$P$8:$P$27,J251)=0)),"クラブ名がちがう",IF(H251="","第1希望がない",IF(OR(AND(H251&lt;&gt;"",H251=I251),AND(H251&lt;&gt;"",H251=J251),AND(I251&lt;&gt;"",I251=J251)),"同じクラブを重複して希望","OK")))))))</f>
        <v/>
      </c>
      <c r="L251" s="8">
        <f>IF(A251="","",A251&amp;"-"&amp;B251&amp;"-"&amp;C251)</f>
        <v/>
      </c>
      <c r="M251" s="8">
        <f>IF(OR(L251="",G251=""),"",IF(COUNTIF(L252:L$552,L251)=0,L251,""))</f>
        <v/>
      </c>
    </row>
    <row r="252">
      <c r="A252" s="40" t="n">
        <v>3</v>
      </c>
      <c r="B252" s="40" t="inlineStr">
        <is>
          <t>松</t>
        </is>
      </c>
      <c r="C252" s="40" t="n">
        <v>8</v>
      </c>
      <c r="D252" s="40" t="n">
        <v>7</v>
      </c>
      <c r="E252" s="40" t="n">
        <v>8</v>
      </c>
      <c r="F252" s="40" t="n">
        <v>5</v>
      </c>
      <c r="G252" s="3">
        <f>IF(L252="","",IFERROR(INDEX(前年度名簿!$D$2:$D$451,MATCH(L252,前年度名簿!$F$2:$F$451,0)),""))</f>
        <v/>
      </c>
      <c r="H252" s="44">
        <f>IF(D252="","",IF(ISERROR(VALUE(D252)),D252&amp;"",IF(AND(VALUE(D252)&gt;=1,VALUE(D252)&lt;=20),IF(INDEX(設定!$P$8:$P$27,VALUE(D252))="","？",INDEX(設定!$P$8:$P$27,VALUE(D252))),"？")))</f>
        <v/>
      </c>
      <c r="I252" s="44">
        <f>IF(E252="","",IF(ISERROR(VALUE(E252)),E252&amp;"",IF(AND(VALUE(E252)&gt;=1,VALUE(E252)&lt;=20),IF(INDEX(設定!$P$8:$P$27,VALUE(E252))="","？",INDEX(設定!$P$8:$P$27,VALUE(E252))),"？")))</f>
        <v/>
      </c>
      <c r="J252" s="44">
        <f>IF(F252="","",IF(ISERROR(VALUE(F252)),F252&amp;"",IF(AND(VALUE(F252)&gt;=1,VALUE(F252)&lt;=20),IF(INDEX(設定!$P$8:$P$27,VALUE(F252))="","？",INDEX(設定!$P$8:$P$27,VALUE(F252))),"？")))</f>
        <v/>
      </c>
      <c r="K252" s="45">
        <f>IF(L252="","",IF(G252="","名簿にいない",IF(COUNTIF(L253:L$552,L252)&gt;0,"2回提出（下の行を使います）",IF(OR(H252="？",I252="？",J252="？"),"クラブ番号がちがう",IF(OR(AND(H252&lt;&gt;"",H252&lt;&gt;"？",COUNTIF(設定!$P$8:$P$27,H252)=0),AND(I252&lt;&gt;"",I252&lt;&gt;"？",COUNTIF(設定!$P$8:$P$27,I252)=0),AND(J252&lt;&gt;"",J252&lt;&gt;"？",COUNTIF(設定!$P$8:$P$27,J252)=0)),"クラブ名がちがう",IF(H252="","第1希望がない",IF(OR(AND(H252&lt;&gt;"",H252=I252),AND(H252&lt;&gt;"",H252=J252),AND(I252&lt;&gt;"",I252=J252)),"同じクラブを重複して希望","OK")))))))</f>
        <v/>
      </c>
      <c r="L252" s="8">
        <f>IF(A252="","",A252&amp;"-"&amp;B252&amp;"-"&amp;C252)</f>
        <v/>
      </c>
      <c r="M252" s="8">
        <f>IF(OR(L252="",G252=""),"",IF(COUNTIF(L253:L$552,L252)=0,L252,""))</f>
        <v/>
      </c>
    </row>
    <row r="253">
      <c r="A253" s="40" t="n">
        <v>5</v>
      </c>
      <c r="B253" s="40" t="inlineStr">
        <is>
          <t>梅</t>
        </is>
      </c>
      <c r="C253" s="40" t="n">
        <v>30</v>
      </c>
      <c r="D253" s="40" t="n">
        <v>11</v>
      </c>
      <c r="E253" s="40" t="n">
        <v>1</v>
      </c>
      <c r="F253" s="40" t="n">
        <v>10</v>
      </c>
      <c r="G253" s="3">
        <f>IF(L253="","",IFERROR(INDEX(前年度名簿!$D$2:$D$451,MATCH(L253,前年度名簿!$F$2:$F$451,0)),""))</f>
        <v/>
      </c>
      <c r="H253" s="44">
        <f>IF(D253="","",IF(ISERROR(VALUE(D253)),D253&amp;"",IF(AND(VALUE(D253)&gt;=1,VALUE(D253)&lt;=20),IF(INDEX(設定!$P$8:$P$27,VALUE(D253))="","？",INDEX(設定!$P$8:$P$27,VALUE(D253))),"？")))</f>
        <v/>
      </c>
      <c r="I253" s="44">
        <f>IF(E253="","",IF(ISERROR(VALUE(E253)),E253&amp;"",IF(AND(VALUE(E253)&gt;=1,VALUE(E253)&lt;=20),IF(INDEX(設定!$P$8:$P$27,VALUE(E253))="","？",INDEX(設定!$P$8:$P$27,VALUE(E253))),"？")))</f>
        <v/>
      </c>
      <c r="J253" s="44">
        <f>IF(F253="","",IF(ISERROR(VALUE(F253)),F253&amp;"",IF(AND(VALUE(F253)&gt;=1,VALUE(F253)&lt;=20),IF(INDEX(設定!$P$8:$P$27,VALUE(F253))="","？",INDEX(設定!$P$8:$P$27,VALUE(F253))),"？")))</f>
        <v/>
      </c>
      <c r="K253" s="45">
        <f>IF(L253="","",IF(G253="","名簿にいない",IF(COUNTIF(L254:L$552,L253)&gt;0,"2回提出（下の行を使います）",IF(OR(H253="？",I253="？",J253="？"),"クラブ番号がちがう",IF(OR(AND(H253&lt;&gt;"",H253&lt;&gt;"？",COUNTIF(設定!$P$8:$P$27,H253)=0),AND(I253&lt;&gt;"",I253&lt;&gt;"？",COUNTIF(設定!$P$8:$P$27,I253)=0),AND(J253&lt;&gt;"",J253&lt;&gt;"？",COUNTIF(設定!$P$8:$P$27,J253)=0)),"クラブ名がちがう",IF(H253="","第1希望がない",IF(OR(AND(H253&lt;&gt;"",H253=I253),AND(H253&lt;&gt;"",H253=J253),AND(I253&lt;&gt;"",I253=J253)),"同じクラブを重複して希望","OK")))))))</f>
        <v/>
      </c>
      <c r="L253" s="8">
        <f>IF(A253="","",A253&amp;"-"&amp;B253&amp;"-"&amp;C253)</f>
        <v/>
      </c>
      <c r="M253" s="8">
        <f>IF(OR(L253="",G253=""),"",IF(COUNTIF(L254:L$552,L253)=0,L253,""))</f>
        <v/>
      </c>
    </row>
    <row r="254">
      <c r="A254" s="40" t="n">
        <v>4</v>
      </c>
      <c r="B254" s="40" t="inlineStr">
        <is>
          <t>月</t>
        </is>
      </c>
      <c r="C254" s="40" t="n">
        <v>30</v>
      </c>
      <c r="D254" s="40" t="n">
        <v>3</v>
      </c>
      <c r="E254" s="40" t="n">
        <v>9</v>
      </c>
      <c r="F254" s="40" t="n">
        <v>10</v>
      </c>
      <c r="G254" s="3">
        <f>IF(L254="","",IFERROR(INDEX(前年度名簿!$D$2:$D$451,MATCH(L254,前年度名簿!$F$2:$F$451,0)),""))</f>
        <v/>
      </c>
      <c r="H254" s="44">
        <f>IF(D254="","",IF(ISERROR(VALUE(D254)),D254&amp;"",IF(AND(VALUE(D254)&gt;=1,VALUE(D254)&lt;=20),IF(INDEX(設定!$P$8:$P$27,VALUE(D254))="","？",INDEX(設定!$P$8:$P$27,VALUE(D254))),"？")))</f>
        <v/>
      </c>
      <c r="I254" s="44">
        <f>IF(E254="","",IF(ISERROR(VALUE(E254)),E254&amp;"",IF(AND(VALUE(E254)&gt;=1,VALUE(E254)&lt;=20),IF(INDEX(設定!$P$8:$P$27,VALUE(E254))="","？",INDEX(設定!$P$8:$P$27,VALUE(E254))),"？")))</f>
        <v/>
      </c>
      <c r="J254" s="44">
        <f>IF(F254="","",IF(ISERROR(VALUE(F254)),F254&amp;"",IF(AND(VALUE(F254)&gt;=1,VALUE(F254)&lt;=20),IF(INDEX(設定!$P$8:$P$27,VALUE(F254))="","？",INDEX(設定!$P$8:$P$27,VALUE(F254))),"？")))</f>
        <v/>
      </c>
      <c r="K254" s="45">
        <f>IF(L254="","",IF(G254="","名簿にいない",IF(COUNTIF(L255:L$552,L254)&gt;0,"2回提出（下の行を使います）",IF(OR(H254="？",I254="？",J254="？"),"クラブ番号がちがう",IF(OR(AND(H254&lt;&gt;"",H254&lt;&gt;"？",COUNTIF(設定!$P$8:$P$27,H254)=0),AND(I254&lt;&gt;"",I254&lt;&gt;"？",COUNTIF(設定!$P$8:$P$27,I254)=0),AND(J254&lt;&gt;"",J254&lt;&gt;"？",COUNTIF(設定!$P$8:$P$27,J254)=0)),"クラブ名がちがう",IF(H254="","第1希望がない",IF(OR(AND(H254&lt;&gt;"",H254=I254),AND(H254&lt;&gt;"",H254=J254),AND(I254&lt;&gt;"",I254=J254)),"同じクラブを重複して希望","OK")))))))</f>
        <v/>
      </c>
      <c r="L254" s="8">
        <f>IF(A254="","",A254&amp;"-"&amp;B254&amp;"-"&amp;C254)</f>
        <v/>
      </c>
      <c r="M254" s="8">
        <f>IF(OR(L254="",G254=""),"",IF(COUNTIF(L255:L$552,L254)=0,L254,""))</f>
        <v/>
      </c>
    </row>
    <row r="255">
      <c r="A255" s="40" t="n">
        <v>5</v>
      </c>
      <c r="B255" s="40" t="inlineStr">
        <is>
          <t>松</t>
        </is>
      </c>
      <c r="C255" s="40" t="n">
        <v>10</v>
      </c>
      <c r="D255" s="40" t="n">
        <v>7</v>
      </c>
      <c r="E255" s="40" t="n">
        <v>5</v>
      </c>
      <c r="F255" s="40" t="n">
        <v>6</v>
      </c>
      <c r="G255" s="3">
        <f>IF(L255="","",IFERROR(INDEX(前年度名簿!$D$2:$D$451,MATCH(L255,前年度名簿!$F$2:$F$451,0)),""))</f>
        <v/>
      </c>
      <c r="H255" s="44">
        <f>IF(D255="","",IF(ISERROR(VALUE(D255)),D255&amp;"",IF(AND(VALUE(D255)&gt;=1,VALUE(D255)&lt;=20),IF(INDEX(設定!$P$8:$P$27,VALUE(D255))="","？",INDEX(設定!$P$8:$P$27,VALUE(D255))),"？")))</f>
        <v/>
      </c>
      <c r="I255" s="44">
        <f>IF(E255="","",IF(ISERROR(VALUE(E255)),E255&amp;"",IF(AND(VALUE(E255)&gt;=1,VALUE(E255)&lt;=20),IF(INDEX(設定!$P$8:$P$27,VALUE(E255))="","？",INDEX(設定!$P$8:$P$27,VALUE(E255))),"？")))</f>
        <v/>
      </c>
      <c r="J255" s="44">
        <f>IF(F255="","",IF(ISERROR(VALUE(F255)),F255&amp;"",IF(AND(VALUE(F255)&gt;=1,VALUE(F255)&lt;=20),IF(INDEX(設定!$P$8:$P$27,VALUE(F255))="","？",INDEX(設定!$P$8:$P$27,VALUE(F255))),"？")))</f>
        <v/>
      </c>
      <c r="K255" s="45">
        <f>IF(L255="","",IF(G255="","名簿にいない",IF(COUNTIF(L256:L$552,L255)&gt;0,"2回提出（下の行を使います）",IF(OR(H255="？",I255="？",J255="？"),"クラブ番号がちがう",IF(OR(AND(H255&lt;&gt;"",H255&lt;&gt;"？",COUNTIF(設定!$P$8:$P$27,H255)=0),AND(I255&lt;&gt;"",I255&lt;&gt;"？",COUNTIF(設定!$P$8:$P$27,I255)=0),AND(J255&lt;&gt;"",J255&lt;&gt;"？",COUNTIF(設定!$P$8:$P$27,J255)=0)),"クラブ名がちがう",IF(H255="","第1希望がない",IF(OR(AND(H255&lt;&gt;"",H255=I255),AND(H255&lt;&gt;"",H255=J255),AND(I255&lt;&gt;"",I255=J255)),"同じクラブを重複して希望","OK")))))))</f>
        <v/>
      </c>
      <c r="L255" s="8">
        <f>IF(A255="","",A255&amp;"-"&amp;B255&amp;"-"&amp;C255)</f>
        <v/>
      </c>
      <c r="M255" s="8">
        <f>IF(OR(L255="",G255=""),"",IF(COUNTIF(L256:L$552,L255)=0,L255,""))</f>
        <v/>
      </c>
    </row>
    <row r="256">
      <c r="A256" s="40" t="n">
        <v>5</v>
      </c>
      <c r="B256" s="40" t="inlineStr">
        <is>
          <t>梅</t>
        </is>
      </c>
      <c r="C256" s="40" t="n">
        <v>27</v>
      </c>
      <c r="D256" s="40" t="n">
        <v>2</v>
      </c>
      <c r="E256" s="40" t="n">
        <v>8</v>
      </c>
      <c r="F256" s="40" t="n">
        <v>10</v>
      </c>
      <c r="G256" s="3">
        <f>IF(L256="","",IFERROR(INDEX(前年度名簿!$D$2:$D$451,MATCH(L256,前年度名簿!$F$2:$F$451,0)),""))</f>
        <v/>
      </c>
      <c r="H256" s="44">
        <f>IF(D256="","",IF(ISERROR(VALUE(D256)),D256&amp;"",IF(AND(VALUE(D256)&gt;=1,VALUE(D256)&lt;=20),IF(INDEX(設定!$P$8:$P$27,VALUE(D256))="","？",INDEX(設定!$P$8:$P$27,VALUE(D256))),"？")))</f>
        <v/>
      </c>
      <c r="I256" s="44">
        <f>IF(E256="","",IF(ISERROR(VALUE(E256)),E256&amp;"",IF(AND(VALUE(E256)&gt;=1,VALUE(E256)&lt;=20),IF(INDEX(設定!$P$8:$P$27,VALUE(E256))="","？",INDEX(設定!$P$8:$P$27,VALUE(E256))),"？")))</f>
        <v/>
      </c>
      <c r="J256" s="44">
        <f>IF(F256="","",IF(ISERROR(VALUE(F256)),F256&amp;"",IF(AND(VALUE(F256)&gt;=1,VALUE(F256)&lt;=20),IF(INDEX(設定!$P$8:$P$27,VALUE(F256))="","？",INDEX(設定!$P$8:$P$27,VALUE(F256))),"？")))</f>
        <v/>
      </c>
      <c r="K256" s="45">
        <f>IF(L256="","",IF(G256="","名簿にいない",IF(COUNTIF(L257:L$552,L256)&gt;0,"2回提出（下の行を使います）",IF(OR(H256="？",I256="？",J256="？"),"クラブ番号がちがう",IF(OR(AND(H256&lt;&gt;"",H256&lt;&gt;"？",COUNTIF(設定!$P$8:$P$27,H256)=0),AND(I256&lt;&gt;"",I256&lt;&gt;"？",COUNTIF(設定!$P$8:$P$27,I256)=0),AND(J256&lt;&gt;"",J256&lt;&gt;"？",COUNTIF(設定!$P$8:$P$27,J256)=0)),"クラブ名がちがう",IF(H256="","第1希望がない",IF(OR(AND(H256&lt;&gt;"",H256=I256),AND(H256&lt;&gt;"",H256=J256),AND(I256&lt;&gt;"",I256=J256)),"同じクラブを重複して希望","OK")))))))</f>
        <v/>
      </c>
      <c r="L256" s="8">
        <f>IF(A256="","",A256&amp;"-"&amp;B256&amp;"-"&amp;C256)</f>
        <v/>
      </c>
      <c r="M256" s="8">
        <f>IF(OR(L256="",G256=""),"",IF(COUNTIF(L257:L$552,L256)=0,L256,""))</f>
        <v/>
      </c>
    </row>
    <row r="257">
      <c r="A257" s="40" t="n">
        <v>5</v>
      </c>
      <c r="B257" s="40" t="inlineStr">
        <is>
          <t>竹</t>
        </is>
      </c>
      <c r="C257" s="40" t="n">
        <v>22</v>
      </c>
      <c r="D257" s="40" t="n">
        <v>11</v>
      </c>
      <c r="E257" s="40" t="n">
        <v>4</v>
      </c>
      <c r="F257" s="40" t="n">
        <v>10</v>
      </c>
      <c r="G257" s="3">
        <f>IF(L257="","",IFERROR(INDEX(前年度名簿!$D$2:$D$451,MATCH(L257,前年度名簿!$F$2:$F$451,0)),""))</f>
        <v/>
      </c>
      <c r="H257" s="44">
        <f>IF(D257="","",IF(ISERROR(VALUE(D257)),D257&amp;"",IF(AND(VALUE(D257)&gt;=1,VALUE(D257)&lt;=20),IF(INDEX(設定!$P$8:$P$27,VALUE(D257))="","？",INDEX(設定!$P$8:$P$27,VALUE(D257))),"？")))</f>
        <v/>
      </c>
      <c r="I257" s="44">
        <f>IF(E257="","",IF(ISERROR(VALUE(E257)),E257&amp;"",IF(AND(VALUE(E257)&gt;=1,VALUE(E257)&lt;=20),IF(INDEX(設定!$P$8:$P$27,VALUE(E257))="","？",INDEX(設定!$P$8:$P$27,VALUE(E257))),"？")))</f>
        <v/>
      </c>
      <c r="J257" s="44">
        <f>IF(F257="","",IF(ISERROR(VALUE(F257)),F257&amp;"",IF(AND(VALUE(F257)&gt;=1,VALUE(F257)&lt;=20),IF(INDEX(設定!$P$8:$P$27,VALUE(F257))="","？",INDEX(設定!$P$8:$P$27,VALUE(F257))),"？")))</f>
        <v/>
      </c>
      <c r="K257" s="45">
        <f>IF(L257="","",IF(G257="","名簿にいない",IF(COUNTIF(L258:L$552,L257)&gt;0,"2回提出（下の行を使います）",IF(OR(H257="？",I257="？",J257="？"),"クラブ番号がちがう",IF(OR(AND(H257&lt;&gt;"",H257&lt;&gt;"？",COUNTIF(設定!$P$8:$P$27,H257)=0),AND(I257&lt;&gt;"",I257&lt;&gt;"？",COUNTIF(設定!$P$8:$P$27,I257)=0),AND(J257&lt;&gt;"",J257&lt;&gt;"？",COUNTIF(設定!$P$8:$P$27,J257)=0)),"クラブ名がちがう",IF(H257="","第1希望がない",IF(OR(AND(H257&lt;&gt;"",H257=I257),AND(H257&lt;&gt;"",H257=J257),AND(I257&lt;&gt;"",I257=J257)),"同じクラブを重複して希望","OK")))))))</f>
        <v/>
      </c>
      <c r="L257" s="8">
        <f>IF(A257="","",A257&amp;"-"&amp;B257&amp;"-"&amp;C257)</f>
        <v/>
      </c>
      <c r="M257" s="8">
        <f>IF(OR(L257="",G257=""),"",IF(COUNTIF(L258:L$552,L257)=0,L257,""))</f>
        <v/>
      </c>
    </row>
    <row r="258">
      <c r="A258" s="40" t="n">
        <v>3</v>
      </c>
      <c r="B258" s="40" t="inlineStr">
        <is>
          <t>月</t>
        </is>
      </c>
      <c r="C258" s="40" t="n">
        <v>30</v>
      </c>
      <c r="D258" s="40" t="n">
        <v>7</v>
      </c>
      <c r="E258" s="40" t="n">
        <v>9</v>
      </c>
      <c r="F258" s="40" t="n">
        <v>8</v>
      </c>
      <c r="G258" s="3">
        <f>IF(L258="","",IFERROR(INDEX(前年度名簿!$D$2:$D$451,MATCH(L258,前年度名簿!$F$2:$F$451,0)),""))</f>
        <v/>
      </c>
      <c r="H258" s="44">
        <f>IF(D258="","",IF(ISERROR(VALUE(D258)),D258&amp;"",IF(AND(VALUE(D258)&gt;=1,VALUE(D258)&lt;=20),IF(INDEX(設定!$P$8:$P$27,VALUE(D258))="","？",INDEX(設定!$P$8:$P$27,VALUE(D258))),"？")))</f>
        <v/>
      </c>
      <c r="I258" s="44">
        <f>IF(E258="","",IF(ISERROR(VALUE(E258)),E258&amp;"",IF(AND(VALUE(E258)&gt;=1,VALUE(E258)&lt;=20),IF(INDEX(設定!$P$8:$P$27,VALUE(E258))="","？",INDEX(設定!$P$8:$P$27,VALUE(E258))),"？")))</f>
        <v/>
      </c>
      <c r="J258" s="44">
        <f>IF(F258="","",IF(ISERROR(VALUE(F258)),F258&amp;"",IF(AND(VALUE(F258)&gt;=1,VALUE(F258)&lt;=20),IF(INDEX(設定!$P$8:$P$27,VALUE(F258))="","？",INDEX(設定!$P$8:$P$27,VALUE(F258))),"？")))</f>
        <v/>
      </c>
      <c r="K258" s="45">
        <f>IF(L258="","",IF(G258="","名簿にいない",IF(COUNTIF(L259:L$552,L258)&gt;0,"2回提出（下の行を使います）",IF(OR(H258="？",I258="？",J258="？"),"クラブ番号がちがう",IF(OR(AND(H258&lt;&gt;"",H258&lt;&gt;"？",COUNTIF(設定!$P$8:$P$27,H258)=0),AND(I258&lt;&gt;"",I258&lt;&gt;"？",COUNTIF(設定!$P$8:$P$27,I258)=0),AND(J258&lt;&gt;"",J258&lt;&gt;"？",COUNTIF(設定!$P$8:$P$27,J258)=0)),"クラブ名がちがう",IF(H258="","第1希望がない",IF(OR(AND(H258&lt;&gt;"",H258=I258),AND(H258&lt;&gt;"",H258=J258),AND(I258&lt;&gt;"",I258=J258)),"同じクラブを重複して希望","OK")))))))</f>
        <v/>
      </c>
      <c r="L258" s="8">
        <f>IF(A258="","",A258&amp;"-"&amp;B258&amp;"-"&amp;C258)</f>
        <v/>
      </c>
      <c r="M258" s="8">
        <f>IF(OR(L258="",G258=""),"",IF(COUNTIF(L259:L$552,L258)=0,L258,""))</f>
        <v/>
      </c>
    </row>
    <row r="259">
      <c r="A259" s="40" t="n">
        <v>4</v>
      </c>
      <c r="B259" s="40" t="inlineStr">
        <is>
          <t>梅</t>
        </is>
      </c>
      <c r="C259" s="40" t="n">
        <v>9</v>
      </c>
      <c r="D259" s="40" t="n">
        <v>10</v>
      </c>
      <c r="E259" s="40" t="n">
        <v>6</v>
      </c>
      <c r="F259" s="40" t="n">
        <v>12</v>
      </c>
      <c r="G259" s="3">
        <f>IF(L259="","",IFERROR(INDEX(前年度名簿!$D$2:$D$451,MATCH(L259,前年度名簿!$F$2:$F$451,0)),""))</f>
        <v/>
      </c>
      <c r="H259" s="44">
        <f>IF(D259="","",IF(ISERROR(VALUE(D259)),D259&amp;"",IF(AND(VALUE(D259)&gt;=1,VALUE(D259)&lt;=20),IF(INDEX(設定!$P$8:$P$27,VALUE(D259))="","？",INDEX(設定!$P$8:$P$27,VALUE(D259))),"？")))</f>
        <v/>
      </c>
      <c r="I259" s="44">
        <f>IF(E259="","",IF(ISERROR(VALUE(E259)),E259&amp;"",IF(AND(VALUE(E259)&gt;=1,VALUE(E259)&lt;=20),IF(INDEX(設定!$P$8:$P$27,VALUE(E259))="","？",INDEX(設定!$P$8:$P$27,VALUE(E259))),"？")))</f>
        <v/>
      </c>
      <c r="J259" s="44">
        <f>IF(F259="","",IF(ISERROR(VALUE(F259)),F259&amp;"",IF(AND(VALUE(F259)&gt;=1,VALUE(F259)&lt;=20),IF(INDEX(設定!$P$8:$P$27,VALUE(F259))="","？",INDEX(設定!$P$8:$P$27,VALUE(F259))),"？")))</f>
        <v/>
      </c>
      <c r="K259" s="45">
        <f>IF(L259="","",IF(G259="","名簿にいない",IF(COUNTIF(L260:L$552,L259)&gt;0,"2回提出（下の行を使います）",IF(OR(H259="？",I259="？",J259="？"),"クラブ番号がちがう",IF(OR(AND(H259&lt;&gt;"",H259&lt;&gt;"？",COUNTIF(設定!$P$8:$P$27,H259)=0),AND(I259&lt;&gt;"",I259&lt;&gt;"？",COUNTIF(設定!$P$8:$P$27,I259)=0),AND(J259&lt;&gt;"",J259&lt;&gt;"？",COUNTIF(設定!$P$8:$P$27,J259)=0)),"クラブ名がちがう",IF(H259="","第1希望がない",IF(OR(AND(H259&lt;&gt;"",H259=I259),AND(H259&lt;&gt;"",H259=J259),AND(I259&lt;&gt;"",I259=J259)),"同じクラブを重複して希望","OK")))))))</f>
        <v/>
      </c>
      <c r="L259" s="8">
        <f>IF(A259="","",A259&amp;"-"&amp;B259&amp;"-"&amp;C259)</f>
        <v/>
      </c>
      <c r="M259" s="8">
        <f>IF(OR(L259="",G259=""),"",IF(COUNTIF(L260:L$552,L259)=0,L259,""))</f>
        <v/>
      </c>
    </row>
    <row r="260">
      <c r="A260" s="40" t="n">
        <v>3</v>
      </c>
      <c r="B260" s="40" t="inlineStr">
        <is>
          <t>梅</t>
        </is>
      </c>
      <c r="C260" s="40" t="n">
        <v>10</v>
      </c>
      <c r="D260" s="40" t="n">
        <v>1</v>
      </c>
      <c r="E260" s="40" t="n">
        <v>5</v>
      </c>
      <c r="F260" s="40" t="n">
        <v>6</v>
      </c>
      <c r="G260" s="3">
        <f>IF(L260="","",IFERROR(INDEX(前年度名簿!$D$2:$D$451,MATCH(L260,前年度名簿!$F$2:$F$451,0)),""))</f>
        <v/>
      </c>
      <c r="H260" s="44">
        <f>IF(D260="","",IF(ISERROR(VALUE(D260)),D260&amp;"",IF(AND(VALUE(D260)&gt;=1,VALUE(D260)&lt;=20),IF(INDEX(設定!$P$8:$P$27,VALUE(D260))="","？",INDEX(設定!$P$8:$P$27,VALUE(D260))),"？")))</f>
        <v/>
      </c>
      <c r="I260" s="44">
        <f>IF(E260="","",IF(ISERROR(VALUE(E260)),E260&amp;"",IF(AND(VALUE(E260)&gt;=1,VALUE(E260)&lt;=20),IF(INDEX(設定!$P$8:$P$27,VALUE(E260))="","？",INDEX(設定!$P$8:$P$27,VALUE(E260))),"？")))</f>
        <v/>
      </c>
      <c r="J260" s="44">
        <f>IF(F260="","",IF(ISERROR(VALUE(F260)),F260&amp;"",IF(AND(VALUE(F260)&gt;=1,VALUE(F260)&lt;=20),IF(INDEX(設定!$P$8:$P$27,VALUE(F260))="","？",INDEX(設定!$P$8:$P$27,VALUE(F260))),"？")))</f>
        <v/>
      </c>
      <c r="K260" s="45">
        <f>IF(L260="","",IF(G260="","名簿にいない",IF(COUNTIF(L261:L$552,L260)&gt;0,"2回提出（下の行を使います）",IF(OR(H260="？",I260="？",J260="？"),"クラブ番号がちがう",IF(OR(AND(H260&lt;&gt;"",H260&lt;&gt;"？",COUNTIF(設定!$P$8:$P$27,H260)=0),AND(I260&lt;&gt;"",I260&lt;&gt;"？",COUNTIF(設定!$P$8:$P$27,I260)=0),AND(J260&lt;&gt;"",J260&lt;&gt;"？",COUNTIF(設定!$P$8:$P$27,J260)=0)),"クラブ名がちがう",IF(H260="","第1希望がない",IF(OR(AND(H260&lt;&gt;"",H260=I260),AND(H260&lt;&gt;"",H260=J260),AND(I260&lt;&gt;"",I260=J260)),"同じクラブを重複して希望","OK")))))))</f>
        <v/>
      </c>
      <c r="L260" s="8">
        <f>IF(A260="","",A260&amp;"-"&amp;B260&amp;"-"&amp;C260)</f>
        <v/>
      </c>
      <c r="M260" s="8">
        <f>IF(OR(L260="",G260=""),"",IF(COUNTIF(L261:L$552,L260)=0,L260,""))</f>
        <v/>
      </c>
    </row>
    <row r="261">
      <c r="A261" s="40" t="n">
        <v>3</v>
      </c>
      <c r="B261" s="40" t="inlineStr">
        <is>
          <t>竹</t>
        </is>
      </c>
      <c r="C261" s="40" t="n">
        <v>17</v>
      </c>
      <c r="D261" s="40" t="n">
        <v>7</v>
      </c>
      <c r="E261" s="40" t="n">
        <v>5</v>
      </c>
      <c r="F261" s="40" t="n">
        <v>11</v>
      </c>
      <c r="G261" s="3">
        <f>IF(L261="","",IFERROR(INDEX(前年度名簿!$D$2:$D$451,MATCH(L261,前年度名簿!$F$2:$F$451,0)),""))</f>
        <v/>
      </c>
      <c r="H261" s="44">
        <f>IF(D261="","",IF(ISERROR(VALUE(D261)),D261&amp;"",IF(AND(VALUE(D261)&gt;=1,VALUE(D261)&lt;=20),IF(INDEX(設定!$P$8:$P$27,VALUE(D261))="","？",INDEX(設定!$P$8:$P$27,VALUE(D261))),"？")))</f>
        <v/>
      </c>
      <c r="I261" s="44">
        <f>IF(E261="","",IF(ISERROR(VALUE(E261)),E261&amp;"",IF(AND(VALUE(E261)&gt;=1,VALUE(E261)&lt;=20),IF(INDEX(設定!$P$8:$P$27,VALUE(E261))="","？",INDEX(設定!$P$8:$P$27,VALUE(E261))),"？")))</f>
        <v/>
      </c>
      <c r="J261" s="44">
        <f>IF(F261="","",IF(ISERROR(VALUE(F261)),F261&amp;"",IF(AND(VALUE(F261)&gt;=1,VALUE(F261)&lt;=20),IF(INDEX(設定!$P$8:$P$27,VALUE(F261))="","？",INDEX(設定!$P$8:$P$27,VALUE(F261))),"？")))</f>
        <v/>
      </c>
      <c r="K261" s="45">
        <f>IF(L261="","",IF(G261="","名簿にいない",IF(COUNTIF(L262:L$552,L261)&gt;0,"2回提出（下の行を使います）",IF(OR(H261="？",I261="？",J261="？"),"クラブ番号がちがう",IF(OR(AND(H261&lt;&gt;"",H261&lt;&gt;"？",COUNTIF(設定!$P$8:$P$27,H261)=0),AND(I261&lt;&gt;"",I261&lt;&gt;"？",COUNTIF(設定!$P$8:$P$27,I261)=0),AND(J261&lt;&gt;"",J261&lt;&gt;"？",COUNTIF(設定!$P$8:$P$27,J261)=0)),"クラブ名がちがう",IF(H261="","第1希望がない",IF(OR(AND(H261&lt;&gt;"",H261=I261),AND(H261&lt;&gt;"",H261=J261),AND(I261&lt;&gt;"",I261=J261)),"同じクラブを重複して希望","OK")))))))</f>
        <v/>
      </c>
      <c r="L261" s="8">
        <f>IF(A261="","",A261&amp;"-"&amp;B261&amp;"-"&amp;C261)</f>
        <v/>
      </c>
      <c r="M261" s="8">
        <f>IF(OR(L261="",G261=""),"",IF(COUNTIF(L262:L$552,L261)=0,L261,""))</f>
        <v/>
      </c>
    </row>
    <row r="262">
      <c r="A262" s="40" t="n">
        <v>3</v>
      </c>
      <c r="B262" s="40" t="inlineStr">
        <is>
          <t>月</t>
        </is>
      </c>
      <c r="C262" s="40" t="n">
        <v>15</v>
      </c>
      <c r="D262" s="40" t="n">
        <v>4</v>
      </c>
      <c r="E262" s="40" t="n">
        <v>3</v>
      </c>
      <c r="F262" s="40" t="n">
        <v>7</v>
      </c>
      <c r="G262" s="3">
        <f>IF(L262="","",IFERROR(INDEX(前年度名簿!$D$2:$D$451,MATCH(L262,前年度名簿!$F$2:$F$451,0)),""))</f>
        <v/>
      </c>
      <c r="H262" s="44">
        <f>IF(D262="","",IF(ISERROR(VALUE(D262)),D262&amp;"",IF(AND(VALUE(D262)&gt;=1,VALUE(D262)&lt;=20),IF(INDEX(設定!$P$8:$P$27,VALUE(D262))="","？",INDEX(設定!$P$8:$P$27,VALUE(D262))),"？")))</f>
        <v/>
      </c>
      <c r="I262" s="44">
        <f>IF(E262="","",IF(ISERROR(VALUE(E262)),E262&amp;"",IF(AND(VALUE(E262)&gt;=1,VALUE(E262)&lt;=20),IF(INDEX(設定!$P$8:$P$27,VALUE(E262))="","？",INDEX(設定!$P$8:$P$27,VALUE(E262))),"？")))</f>
        <v/>
      </c>
      <c r="J262" s="44">
        <f>IF(F262="","",IF(ISERROR(VALUE(F262)),F262&amp;"",IF(AND(VALUE(F262)&gt;=1,VALUE(F262)&lt;=20),IF(INDEX(設定!$P$8:$P$27,VALUE(F262))="","？",INDEX(設定!$P$8:$P$27,VALUE(F262))),"？")))</f>
        <v/>
      </c>
      <c r="K262" s="45">
        <f>IF(L262="","",IF(G262="","名簿にいない",IF(COUNTIF(L263:L$552,L262)&gt;0,"2回提出（下の行を使います）",IF(OR(H262="？",I262="？",J262="？"),"クラブ番号がちがう",IF(OR(AND(H262&lt;&gt;"",H262&lt;&gt;"？",COUNTIF(設定!$P$8:$P$27,H262)=0),AND(I262&lt;&gt;"",I262&lt;&gt;"？",COUNTIF(設定!$P$8:$P$27,I262)=0),AND(J262&lt;&gt;"",J262&lt;&gt;"？",COUNTIF(設定!$P$8:$P$27,J262)=0)),"クラブ名がちがう",IF(H262="","第1希望がない",IF(OR(AND(H262&lt;&gt;"",H262=I262),AND(H262&lt;&gt;"",H262=J262),AND(I262&lt;&gt;"",I262=J262)),"同じクラブを重複して希望","OK")))))))</f>
        <v/>
      </c>
      <c r="L262" s="8">
        <f>IF(A262="","",A262&amp;"-"&amp;B262&amp;"-"&amp;C262)</f>
        <v/>
      </c>
      <c r="M262" s="8">
        <f>IF(OR(L262="",G262=""),"",IF(COUNTIF(L263:L$552,L262)=0,L262,""))</f>
        <v/>
      </c>
    </row>
    <row r="263">
      <c r="A263" s="40" t="n">
        <v>3</v>
      </c>
      <c r="B263" s="40" t="inlineStr">
        <is>
          <t>松</t>
        </is>
      </c>
      <c r="C263" s="40" t="n">
        <v>18</v>
      </c>
      <c r="D263" s="40" t="n">
        <v>9</v>
      </c>
      <c r="E263" s="40" t="n">
        <v>11</v>
      </c>
      <c r="F263" s="40" t="n">
        <v>5</v>
      </c>
      <c r="G263" s="3">
        <f>IF(L263="","",IFERROR(INDEX(前年度名簿!$D$2:$D$451,MATCH(L263,前年度名簿!$F$2:$F$451,0)),""))</f>
        <v/>
      </c>
      <c r="H263" s="44">
        <f>IF(D263="","",IF(ISERROR(VALUE(D263)),D263&amp;"",IF(AND(VALUE(D263)&gt;=1,VALUE(D263)&lt;=20),IF(INDEX(設定!$P$8:$P$27,VALUE(D263))="","？",INDEX(設定!$P$8:$P$27,VALUE(D263))),"？")))</f>
        <v/>
      </c>
      <c r="I263" s="44">
        <f>IF(E263="","",IF(ISERROR(VALUE(E263)),E263&amp;"",IF(AND(VALUE(E263)&gt;=1,VALUE(E263)&lt;=20),IF(INDEX(設定!$P$8:$P$27,VALUE(E263))="","？",INDEX(設定!$P$8:$P$27,VALUE(E263))),"？")))</f>
        <v/>
      </c>
      <c r="J263" s="44">
        <f>IF(F263="","",IF(ISERROR(VALUE(F263)),F263&amp;"",IF(AND(VALUE(F263)&gt;=1,VALUE(F263)&lt;=20),IF(INDEX(設定!$P$8:$P$27,VALUE(F263))="","？",INDEX(設定!$P$8:$P$27,VALUE(F263))),"？")))</f>
        <v/>
      </c>
      <c r="K263" s="45">
        <f>IF(L263="","",IF(G263="","名簿にいない",IF(COUNTIF(L264:L$552,L263)&gt;0,"2回提出（下の行を使います）",IF(OR(H263="？",I263="？",J263="？"),"クラブ番号がちがう",IF(OR(AND(H263&lt;&gt;"",H263&lt;&gt;"？",COUNTIF(設定!$P$8:$P$27,H263)=0),AND(I263&lt;&gt;"",I263&lt;&gt;"？",COUNTIF(設定!$P$8:$P$27,I263)=0),AND(J263&lt;&gt;"",J263&lt;&gt;"？",COUNTIF(設定!$P$8:$P$27,J263)=0)),"クラブ名がちがう",IF(H263="","第1希望がない",IF(OR(AND(H263&lt;&gt;"",H263=I263),AND(H263&lt;&gt;"",H263=J263),AND(I263&lt;&gt;"",I263=J263)),"同じクラブを重複して希望","OK")))))))</f>
        <v/>
      </c>
      <c r="L263" s="8">
        <f>IF(A263="","",A263&amp;"-"&amp;B263&amp;"-"&amp;C263)</f>
        <v/>
      </c>
      <c r="M263" s="8">
        <f>IF(OR(L263="",G263=""),"",IF(COUNTIF(L264:L$552,L263)=0,L263,""))</f>
        <v/>
      </c>
    </row>
    <row r="264">
      <c r="A264" s="40" t="n">
        <v>5</v>
      </c>
      <c r="B264" s="40" t="inlineStr">
        <is>
          <t>竹</t>
        </is>
      </c>
      <c r="C264" s="40" t="n">
        <v>7</v>
      </c>
      <c r="D264" s="40" t="n">
        <v>1</v>
      </c>
      <c r="E264" s="40" t="n">
        <v>7</v>
      </c>
      <c r="F264" s="40" t="n">
        <v>9</v>
      </c>
      <c r="G264" s="3">
        <f>IF(L264="","",IFERROR(INDEX(前年度名簿!$D$2:$D$451,MATCH(L264,前年度名簿!$F$2:$F$451,0)),""))</f>
        <v/>
      </c>
      <c r="H264" s="44">
        <f>IF(D264="","",IF(ISERROR(VALUE(D264)),D264&amp;"",IF(AND(VALUE(D264)&gt;=1,VALUE(D264)&lt;=20),IF(INDEX(設定!$P$8:$P$27,VALUE(D264))="","？",INDEX(設定!$P$8:$P$27,VALUE(D264))),"？")))</f>
        <v/>
      </c>
      <c r="I264" s="44">
        <f>IF(E264="","",IF(ISERROR(VALUE(E264)),E264&amp;"",IF(AND(VALUE(E264)&gt;=1,VALUE(E264)&lt;=20),IF(INDEX(設定!$P$8:$P$27,VALUE(E264))="","？",INDEX(設定!$P$8:$P$27,VALUE(E264))),"？")))</f>
        <v/>
      </c>
      <c r="J264" s="44">
        <f>IF(F264="","",IF(ISERROR(VALUE(F264)),F264&amp;"",IF(AND(VALUE(F264)&gt;=1,VALUE(F264)&lt;=20),IF(INDEX(設定!$P$8:$P$27,VALUE(F264))="","？",INDEX(設定!$P$8:$P$27,VALUE(F264))),"？")))</f>
        <v/>
      </c>
      <c r="K264" s="45">
        <f>IF(L264="","",IF(G264="","名簿にいない",IF(COUNTIF(L265:L$552,L264)&gt;0,"2回提出（下の行を使います）",IF(OR(H264="？",I264="？",J264="？"),"クラブ番号がちがう",IF(OR(AND(H264&lt;&gt;"",H264&lt;&gt;"？",COUNTIF(設定!$P$8:$P$27,H264)=0),AND(I264&lt;&gt;"",I264&lt;&gt;"？",COUNTIF(設定!$P$8:$P$27,I264)=0),AND(J264&lt;&gt;"",J264&lt;&gt;"？",COUNTIF(設定!$P$8:$P$27,J264)=0)),"クラブ名がちがう",IF(H264="","第1希望がない",IF(OR(AND(H264&lt;&gt;"",H264=I264),AND(H264&lt;&gt;"",H264=J264),AND(I264&lt;&gt;"",I264=J264)),"同じクラブを重複して希望","OK")))))))</f>
        <v/>
      </c>
      <c r="L264" s="8">
        <f>IF(A264="","",A264&amp;"-"&amp;B264&amp;"-"&amp;C264)</f>
        <v/>
      </c>
      <c r="M264" s="8">
        <f>IF(OR(L264="",G264=""),"",IF(COUNTIF(L265:L$552,L264)=0,L264,""))</f>
        <v/>
      </c>
    </row>
    <row r="265">
      <c r="A265" s="40" t="n">
        <v>4</v>
      </c>
      <c r="B265" s="40" t="inlineStr">
        <is>
          <t>松</t>
        </is>
      </c>
      <c r="C265" s="40" t="n">
        <v>5</v>
      </c>
      <c r="D265" s="40" t="n">
        <v>12</v>
      </c>
      <c r="E265" s="40" t="n">
        <v>5</v>
      </c>
      <c r="F265" s="40" t="n">
        <v>2</v>
      </c>
      <c r="G265" s="3">
        <f>IF(L265="","",IFERROR(INDEX(前年度名簿!$D$2:$D$451,MATCH(L265,前年度名簿!$F$2:$F$451,0)),""))</f>
        <v/>
      </c>
      <c r="H265" s="44">
        <f>IF(D265="","",IF(ISERROR(VALUE(D265)),D265&amp;"",IF(AND(VALUE(D265)&gt;=1,VALUE(D265)&lt;=20),IF(INDEX(設定!$P$8:$P$27,VALUE(D265))="","？",INDEX(設定!$P$8:$P$27,VALUE(D265))),"？")))</f>
        <v/>
      </c>
      <c r="I265" s="44">
        <f>IF(E265="","",IF(ISERROR(VALUE(E265)),E265&amp;"",IF(AND(VALUE(E265)&gt;=1,VALUE(E265)&lt;=20),IF(INDEX(設定!$P$8:$P$27,VALUE(E265))="","？",INDEX(設定!$P$8:$P$27,VALUE(E265))),"？")))</f>
        <v/>
      </c>
      <c r="J265" s="44">
        <f>IF(F265="","",IF(ISERROR(VALUE(F265)),F265&amp;"",IF(AND(VALUE(F265)&gt;=1,VALUE(F265)&lt;=20),IF(INDEX(設定!$P$8:$P$27,VALUE(F265))="","？",INDEX(設定!$P$8:$P$27,VALUE(F265))),"？")))</f>
        <v/>
      </c>
      <c r="K265" s="45">
        <f>IF(L265="","",IF(G265="","名簿にいない",IF(COUNTIF(L266:L$552,L265)&gt;0,"2回提出（下の行を使います）",IF(OR(H265="？",I265="？",J265="？"),"クラブ番号がちがう",IF(OR(AND(H265&lt;&gt;"",H265&lt;&gt;"？",COUNTIF(設定!$P$8:$P$27,H265)=0),AND(I265&lt;&gt;"",I265&lt;&gt;"？",COUNTIF(設定!$P$8:$P$27,I265)=0),AND(J265&lt;&gt;"",J265&lt;&gt;"？",COUNTIF(設定!$P$8:$P$27,J265)=0)),"クラブ名がちがう",IF(H265="","第1希望がない",IF(OR(AND(H265&lt;&gt;"",H265=I265),AND(H265&lt;&gt;"",H265=J265),AND(I265&lt;&gt;"",I265=J265)),"同じクラブを重複して希望","OK")))))))</f>
        <v/>
      </c>
      <c r="L265" s="8">
        <f>IF(A265="","",A265&amp;"-"&amp;B265&amp;"-"&amp;C265)</f>
        <v/>
      </c>
      <c r="M265" s="8">
        <f>IF(OR(L265="",G265=""),"",IF(COUNTIF(L266:L$552,L265)=0,L265,""))</f>
        <v/>
      </c>
    </row>
    <row r="266">
      <c r="A266" s="40" t="n">
        <v>3</v>
      </c>
      <c r="B266" s="40" t="inlineStr">
        <is>
          <t>梅</t>
        </is>
      </c>
      <c r="C266" s="40" t="n">
        <v>23</v>
      </c>
      <c r="D266" s="40" t="n">
        <v>2</v>
      </c>
      <c r="E266" s="40" t="n">
        <v>6</v>
      </c>
      <c r="F266" s="40" t="n">
        <v>5</v>
      </c>
      <c r="G266" s="3">
        <f>IF(L266="","",IFERROR(INDEX(前年度名簿!$D$2:$D$451,MATCH(L266,前年度名簿!$F$2:$F$451,0)),""))</f>
        <v/>
      </c>
      <c r="H266" s="44">
        <f>IF(D266="","",IF(ISERROR(VALUE(D266)),D266&amp;"",IF(AND(VALUE(D266)&gt;=1,VALUE(D266)&lt;=20),IF(INDEX(設定!$P$8:$P$27,VALUE(D266))="","？",INDEX(設定!$P$8:$P$27,VALUE(D266))),"？")))</f>
        <v/>
      </c>
      <c r="I266" s="44">
        <f>IF(E266="","",IF(ISERROR(VALUE(E266)),E266&amp;"",IF(AND(VALUE(E266)&gt;=1,VALUE(E266)&lt;=20),IF(INDEX(設定!$P$8:$P$27,VALUE(E266))="","？",INDEX(設定!$P$8:$P$27,VALUE(E266))),"？")))</f>
        <v/>
      </c>
      <c r="J266" s="44">
        <f>IF(F266="","",IF(ISERROR(VALUE(F266)),F266&amp;"",IF(AND(VALUE(F266)&gt;=1,VALUE(F266)&lt;=20),IF(INDEX(設定!$P$8:$P$27,VALUE(F266))="","？",INDEX(設定!$P$8:$P$27,VALUE(F266))),"？")))</f>
        <v/>
      </c>
      <c r="K266" s="45">
        <f>IF(L266="","",IF(G266="","名簿にいない",IF(COUNTIF(L267:L$552,L266)&gt;0,"2回提出（下の行を使います）",IF(OR(H266="？",I266="？",J266="？"),"クラブ番号がちがう",IF(OR(AND(H266&lt;&gt;"",H266&lt;&gt;"？",COUNTIF(設定!$P$8:$P$27,H266)=0),AND(I266&lt;&gt;"",I266&lt;&gt;"？",COUNTIF(設定!$P$8:$P$27,I266)=0),AND(J266&lt;&gt;"",J266&lt;&gt;"？",COUNTIF(設定!$P$8:$P$27,J266)=0)),"クラブ名がちがう",IF(H266="","第1希望がない",IF(OR(AND(H266&lt;&gt;"",H266=I266),AND(H266&lt;&gt;"",H266=J266),AND(I266&lt;&gt;"",I266=J266)),"同じクラブを重複して希望","OK")))))))</f>
        <v/>
      </c>
      <c r="L266" s="8">
        <f>IF(A266="","",A266&amp;"-"&amp;B266&amp;"-"&amp;C266)</f>
        <v/>
      </c>
      <c r="M266" s="8">
        <f>IF(OR(L266="",G266=""),"",IF(COUNTIF(L267:L$552,L266)=0,L266,""))</f>
        <v/>
      </c>
    </row>
    <row r="267">
      <c r="A267" s="40" t="n">
        <v>3</v>
      </c>
      <c r="B267" s="40" t="inlineStr">
        <is>
          <t>月</t>
        </is>
      </c>
      <c r="C267" s="40" t="n">
        <v>10</v>
      </c>
      <c r="D267" s="40" t="n">
        <v>12</v>
      </c>
      <c r="E267" s="40" t="n">
        <v>5</v>
      </c>
      <c r="F267" s="40" t="n">
        <v>6</v>
      </c>
      <c r="G267" s="3">
        <f>IF(L267="","",IFERROR(INDEX(前年度名簿!$D$2:$D$451,MATCH(L267,前年度名簿!$F$2:$F$451,0)),""))</f>
        <v/>
      </c>
      <c r="H267" s="44">
        <f>IF(D267="","",IF(ISERROR(VALUE(D267)),D267&amp;"",IF(AND(VALUE(D267)&gt;=1,VALUE(D267)&lt;=20),IF(INDEX(設定!$P$8:$P$27,VALUE(D267))="","？",INDEX(設定!$P$8:$P$27,VALUE(D267))),"？")))</f>
        <v/>
      </c>
      <c r="I267" s="44">
        <f>IF(E267="","",IF(ISERROR(VALUE(E267)),E267&amp;"",IF(AND(VALUE(E267)&gt;=1,VALUE(E267)&lt;=20),IF(INDEX(設定!$P$8:$P$27,VALUE(E267))="","？",INDEX(設定!$P$8:$P$27,VALUE(E267))),"？")))</f>
        <v/>
      </c>
      <c r="J267" s="44">
        <f>IF(F267="","",IF(ISERROR(VALUE(F267)),F267&amp;"",IF(AND(VALUE(F267)&gt;=1,VALUE(F267)&lt;=20),IF(INDEX(設定!$P$8:$P$27,VALUE(F267))="","？",INDEX(設定!$P$8:$P$27,VALUE(F267))),"？")))</f>
        <v/>
      </c>
      <c r="K267" s="45">
        <f>IF(L267="","",IF(G267="","名簿にいない",IF(COUNTIF(L268:L$552,L267)&gt;0,"2回提出（下の行を使います）",IF(OR(H267="？",I267="？",J267="？"),"クラブ番号がちがう",IF(OR(AND(H267&lt;&gt;"",H267&lt;&gt;"？",COUNTIF(設定!$P$8:$P$27,H267)=0),AND(I267&lt;&gt;"",I267&lt;&gt;"？",COUNTIF(設定!$P$8:$P$27,I267)=0),AND(J267&lt;&gt;"",J267&lt;&gt;"？",COUNTIF(設定!$P$8:$P$27,J267)=0)),"クラブ名がちがう",IF(H267="","第1希望がない",IF(OR(AND(H267&lt;&gt;"",H267=I267),AND(H267&lt;&gt;"",H267=J267),AND(I267&lt;&gt;"",I267=J267)),"同じクラブを重複して希望","OK")))))))</f>
        <v/>
      </c>
      <c r="L267" s="8">
        <f>IF(A267="","",A267&amp;"-"&amp;B267&amp;"-"&amp;C267)</f>
        <v/>
      </c>
      <c r="M267" s="8">
        <f>IF(OR(L267="",G267=""),"",IF(COUNTIF(L268:L$552,L267)=0,L267,""))</f>
        <v/>
      </c>
    </row>
    <row r="268">
      <c r="A268" s="40" t="n">
        <v>5</v>
      </c>
      <c r="B268" s="40" t="inlineStr">
        <is>
          <t>竹</t>
        </is>
      </c>
      <c r="C268" s="40" t="n">
        <v>25</v>
      </c>
      <c r="D268" s="40" t="n">
        <v>6</v>
      </c>
      <c r="E268" s="40" t="n">
        <v>7</v>
      </c>
      <c r="F268" s="40" t="n">
        <v>3</v>
      </c>
      <c r="G268" s="3">
        <f>IF(L268="","",IFERROR(INDEX(前年度名簿!$D$2:$D$451,MATCH(L268,前年度名簿!$F$2:$F$451,0)),""))</f>
        <v/>
      </c>
      <c r="H268" s="44">
        <f>IF(D268="","",IF(ISERROR(VALUE(D268)),D268&amp;"",IF(AND(VALUE(D268)&gt;=1,VALUE(D268)&lt;=20),IF(INDEX(設定!$P$8:$P$27,VALUE(D268))="","？",INDEX(設定!$P$8:$P$27,VALUE(D268))),"？")))</f>
        <v/>
      </c>
      <c r="I268" s="44">
        <f>IF(E268="","",IF(ISERROR(VALUE(E268)),E268&amp;"",IF(AND(VALUE(E268)&gt;=1,VALUE(E268)&lt;=20),IF(INDEX(設定!$P$8:$P$27,VALUE(E268))="","？",INDEX(設定!$P$8:$P$27,VALUE(E268))),"？")))</f>
        <v/>
      </c>
      <c r="J268" s="44">
        <f>IF(F268="","",IF(ISERROR(VALUE(F268)),F268&amp;"",IF(AND(VALUE(F268)&gt;=1,VALUE(F268)&lt;=20),IF(INDEX(設定!$P$8:$P$27,VALUE(F268))="","？",INDEX(設定!$P$8:$P$27,VALUE(F268))),"？")))</f>
        <v/>
      </c>
      <c r="K268" s="45">
        <f>IF(L268="","",IF(G268="","名簿にいない",IF(COUNTIF(L269:L$552,L268)&gt;0,"2回提出（下の行を使います）",IF(OR(H268="？",I268="？",J268="？"),"クラブ番号がちがう",IF(OR(AND(H268&lt;&gt;"",H268&lt;&gt;"？",COUNTIF(設定!$P$8:$P$27,H268)=0),AND(I268&lt;&gt;"",I268&lt;&gt;"？",COUNTIF(設定!$P$8:$P$27,I268)=0),AND(J268&lt;&gt;"",J268&lt;&gt;"？",COUNTIF(設定!$P$8:$P$27,J268)=0)),"クラブ名がちがう",IF(H268="","第1希望がない",IF(OR(AND(H268&lt;&gt;"",H268=I268),AND(H268&lt;&gt;"",H268=J268),AND(I268&lt;&gt;"",I268=J268)),"同じクラブを重複して希望","OK")))))))</f>
        <v/>
      </c>
      <c r="L268" s="8">
        <f>IF(A268="","",A268&amp;"-"&amp;B268&amp;"-"&amp;C268)</f>
        <v/>
      </c>
      <c r="M268" s="8">
        <f>IF(OR(L268="",G268=""),"",IF(COUNTIF(L269:L$552,L268)=0,L268,""))</f>
        <v/>
      </c>
    </row>
    <row r="269">
      <c r="A269" s="40" t="n">
        <v>5</v>
      </c>
      <c r="B269" s="40" t="inlineStr">
        <is>
          <t>竹</t>
        </is>
      </c>
      <c r="C269" s="40" t="n">
        <v>8</v>
      </c>
      <c r="D269" s="40" t="n">
        <v>11</v>
      </c>
      <c r="E269" s="40" t="n">
        <v>1</v>
      </c>
      <c r="F269" s="40" t="n">
        <v>9</v>
      </c>
      <c r="G269" s="3">
        <f>IF(L269="","",IFERROR(INDEX(前年度名簿!$D$2:$D$451,MATCH(L269,前年度名簿!$F$2:$F$451,0)),""))</f>
        <v/>
      </c>
      <c r="H269" s="44">
        <f>IF(D269="","",IF(ISERROR(VALUE(D269)),D269&amp;"",IF(AND(VALUE(D269)&gt;=1,VALUE(D269)&lt;=20),IF(INDEX(設定!$P$8:$P$27,VALUE(D269))="","？",INDEX(設定!$P$8:$P$27,VALUE(D269))),"？")))</f>
        <v/>
      </c>
      <c r="I269" s="44">
        <f>IF(E269="","",IF(ISERROR(VALUE(E269)),E269&amp;"",IF(AND(VALUE(E269)&gt;=1,VALUE(E269)&lt;=20),IF(INDEX(設定!$P$8:$P$27,VALUE(E269))="","？",INDEX(設定!$P$8:$P$27,VALUE(E269))),"？")))</f>
        <v/>
      </c>
      <c r="J269" s="44">
        <f>IF(F269="","",IF(ISERROR(VALUE(F269)),F269&amp;"",IF(AND(VALUE(F269)&gt;=1,VALUE(F269)&lt;=20),IF(INDEX(設定!$P$8:$P$27,VALUE(F269))="","？",INDEX(設定!$P$8:$P$27,VALUE(F269))),"？")))</f>
        <v/>
      </c>
      <c r="K269" s="45">
        <f>IF(L269="","",IF(G269="","名簿にいない",IF(COUNTIF(L270:L$552,L269)&gt;0,"2回提出（下の行を使います）",IF(OR(H269="？",I269="？",J269="？"),"クラブ番号がちがう",IF(OR(AND(H269&lt;&gt;"",H269&lt;&gt;"？",COUNTIF(設定!$P$8:$P$27,H269)=0),AND(I269&lt;&gt;"",I269&lt;&gt;"？",COUNTIF(設定!$P$8:$P$27,I269)=0),AND(J269&lt;&gt;"",J269&lt;&gt;"？",COUNTIF(設定!$P$8:$P$27,J269)=0)),"クラブ名がちがう",IF(H269="","第1希望がない",IF(OR(AND(H269&lt;&gt;"",H269=I269),AND(H269&lt;&gt;"",H269=J269),AND(I269&lt;&gt;"",I269=J269)),"同じクラブを重複して希望","OK")))))))</f>
        <v/>
      </c>
      <c r="L269" s="8">
        <f>IF(A269="","",A269&amp;"-"&amp;B269&amp;"-"&amp;C269)</f>
        <v/>
      </c>
      <c r="M269" s="8">
        <f>IF(OR(L269="",G269=""),"",IF(COUNTIF(L270:L$552,L269)=0,L269,""))</f>
        <v/>
      </c>
    </row>
    <row r="270">
      <c r="A270" s="40" t="n">
        <v>4</v>
      </c>
      <c r="B270" s="40" t="inlineStr">
        <is>
          <t>松</t>
        </is>
      </c>
      <c r="C270" s="40" t="n">
        <v>4</v>
      </c>
      <c r="D270" s="40" t="n">
        <v>2</v>
      </c>
      <c r="E270" s="40" t="n">
        <v>12</v>
      </c>
      <c r="F270" s="40" t="n">
        <v>5</v>
      </c>
      <c r="G270" s="3">
        <f>IF(L270="","",IFERROR(INDEX(前年度名簿!$D$2:$D$451,MATCH(L270,前年度名簿!$F$2:$F$451,0)),""))</f>
        <v/>
      </c>
      <c r="H270" s="44">
        <f>IF(D270="","",IF(ISERROR(VALUE(D270)),D270&amp;"",IF(AND(VALUE(D270)&gt;=1,VALUE(D270)&lt;=20),IF(INDEX(設定!$P$8:$P$27,VALUE(D270))="","？",INDEX(設定!$P$8:$P$27,VALUE(D270))),"？")))</f>
        <v/>
      </c>
      <c r="I270" s="44">
        <f>IF(E270="","",IF(ISERROR(VALUE(E270)),E270&amp;"",IF(AND(VALUE(E270)&gt;=1,VALUE(E270)&lt;=20),IF(INDEX(設定!$P$8:$P$27,VALUE(E270))="","？",INDEX(設定!$P$8:$P$27,VALUE(E270))),"？")))</f>
        <v/>
      </c>
      <c r="J270" s="44">
        <f>IF(F270="","",IF(ISERROR(VALUE(F270)),F270&amp;"",IF(AND(VALUE(F270)&gt;=1,VALUE(F270)&lt;=20),IF(INDEX(設定!$P$8:$P$27,VALUE(F270))="","？",INDEX(設定!$P$8:$P$27,VALUE(F270))),"？")))</f>
        <v/>
      </c>
      <c r="K270" s="45">
        <f>IF(L270="","",IF(G270="","名簿にいない",IF(COUNTIF(L271:L$552,L270)&gt;0,"2回提出（下の行を使います）",IF(OR(H270="？",I270="？",J270="？"),"クラブ番号がちがう",IF(OR(AND(H270&lt;&gt;"",H270&lt;&gt;"？",COUNTIF(設定!$P$8:$P$27,H270)=0),AND(I270&lt;&gt;"",I270&lt;&gt;"？",COUNTIF(設定!$P$8:$P$27,I270)=0),AND(J270&lt;&gt;"",J270&lt;&gt;"？",COUNTIF(設定!$P$8:$P$27,J270)=0)),"クラブ名がちがう",IF(H270="","第1希望がない",IF(OR(AND(H270&lt;&gt;"",H270=I270),AND(H270&lt;&gt;"",H270=J270),AND(I270&lt;&gt;"",I270=J270)),"同じクラブを重複して希望","OK")))))))</f>
        <v/>
      </c>
      <c r="L270" s="8">
        <f>IF(A270="","",A270&amp;"-"&amp;B270&amp;"-"&amp;C270)</f>
        <v/>
      </c>
      <c r="M270" s="8">
        <f>IF(OR(L270="",G270=""),"",IF(COUNTIF(L271:L$552,L270)=0,L270,""))</f>
        <v/>
      </c>
    </row>
    <row r="271">
      <c r="A271" s="40" t="n">
        <v>4</v>
      </c>
      <c r="B271" s="40" t="inlineStr">
        <is>
          <t>松</t>
        </is>
      </c>
      <c r="C271" s="40" t="n">
        <v>25</v>
      </c>
      <c r="D271" s="40" t="n">
        <v>6</v>
      </c>
      <c r="E271" s="40" t="n">
        <v>10</v>
      </c>
      <c r="F271" s="40" t="n">
        <v>5</v>
      </c>
      <c r="G271" s="3">
        <f>IF(L271="","",IFERROR(INDEX(前年度名簿!$D$2:$D$451,MATCH(L271,前年度名簿!$F$2:$F$451,0)),""))</f>
        <v/>
      </c>
      <c r="H271" s="44">
        <f>IF(D271="","",IF(ISERROR(VALUE(D271)),D271&amp;"",IF(AND(VALUE(D271)&gt;=1,VALUE(D271)&lt;=20),IF(INDEX(設定!$P$8:$P$27,VALUE(D271))="","？",INDEX(設定!$P$8:$P$27,VALUE(D271))),"？")))</f>
        <v/>
      </c>
      <c r="I271" s="44">
        <f>IF(E271="","",IF(ISERROR(VALUE(E271)),E271&amp;"",IF(AND(VALUE(E271)&gt;=1,VALUE(E271)&lt;=20),IF(INDEX(設定!$P$8:$P$27,VALUE(E271))="","？",INDEX(設定!$P$8:$P$27,VALUE(E271))),"？")))</f>
        <v/>
      </c>
      <c r="J271" s="44">
        <f>IF(F271="","",IF(ISERROR(VALUE(F271)),F271&amp;"",IF(AND(VALUE(F271)&gt;=1,VALUE(F271)&lt;=20),IF(INDEX(設定!$P$8:$P$27,VALUE(F271))="","？",INDEX(設定!$P$8:$P$27,VALUE(F271))),"？")))</f>
        <v/>
      </c>
      <c r="K271" s="45">
        <f>IF(L271="","",IF(G271="","名簿にいない",IF(COUNTIF(L272:L$552,L271)&gt;0,"2回提出（下の行を使います）",IF(OR(H271="？",I271="？",J271="？"),"クラブ番号がちがう",IF(OR(AND(H271&lt;&gt;"",H271&lt;&gt;"？",COUNTIF(設定!$P$8:$P$27,H271)=0),AND(I271&lt;&gt;"",I271&lt;&gt;"？",COUNTIF(設定!$P$8:$P$27,I271)=0),AND(J271&lt;&gt;"",J271&lt;&gt;"？",COUNTIF(設定!$P$8:$P$27,J271)=0)),"クラブ名がちがう",IF(H271="","第1希望がない",IF(OR(AND(H271&lt;&gt;"",H271=I271),AND(H271&lt;&gt;"",H271=J271),AND(I271&lt;&gt;"",I271=J271)),"同じクラブを重複して希望","OK")))))))</f>
        <v/>
      </c>
      <c r="L271" s="8">
        <f>IF(A271="","",A271&amp;"-"&amp;B271&amp;"-"&amp;C271)</f>
        <v/>
      </c>
      <c r="M271" s="8">
        <f>IF(OR(L271="",G271=""),"",IF(COUNTIF(L272:L$552,L271)=0,L271,""))</f>
        <v/>
      </c>
    </row>
    <row r="272">
      <c r="A272" s="40" t="n">
        <v>3</v>
      </c>
      <c r="B272" s="40" t="inlineStr">
        <is>
          <t>松</t>
        </is>
      </c>
      <c r="C272" s="40" t="n">
        <v>14</v>
      </c>
      <c r="D272" s="40" t="n">
        <v>7</v>
      </c>
      <c r="E272" s="40" t="n">
        <v>8</v>
      </c>
      <c r="F272" s="40" t="n">
        <v>3</v>
      </c>
      <c r="G272" s="3">
        <f>IF(L272="","",IFERROR(INDEX(前年度名簿!$D$2:$D$451,MATCH(L272,前年度名簿!$F$2:$F$451,0)),""))</f>
        <v/>
      </c>
      <c r="H272" s="44">
        <f>IF(D272="","",IF(ISERROR(VALUE(D272)),D272&amp;"",IF(AND(VALUE(D272)&gt;=1,VALUE(D272)&lt;=20),IF(INDEX(設定!$P$8:$P$27,VALUE(D272))="","？",INDEX(設定!$P$8:$P$27,VALUE(D272))),"？")))</f>
        <v/>
      </c>
      <c r="I272" s="44">
        <f>IF(E272="","",IF(ISERROR(VALUE(E272)),E272&amp;"",IF(AND(VALUE(E272)&gt;=1,VALUE(E272)&lt;=20),IF(INDEX(設定!$P$8:$P$27,VALUE(E272))="","？",INDEX(設定!$P$8:$P$27,VALUE(E272))),"？")))</f>
        <v/>
      </c>
      <c r="J272" s="44">
        <f>IF(F272="","",IF(ISERROR(VALUE(F272)),F272&amp;"",IF(AND(VALUE(F272)&gt;=1,VALUE(F272)&lt;=20),IF(INDEX(設定!$P$8:$P$27,VALUE(F272))="","？",INDEX(設定!$P$8:$P$27,VALUE(F272))),"？")))</f>
        <v/>
      </c>
      <c r="K272" s="45">
        <f>IF(L272="","",IF(G272="","名簿にいない",IF(COUNTIF(L273:L$552,L272)&gt;0,"2回提出（下の行を使います）",IF(OR(H272="？",I272="？",J272="？"),"クラブ番号がちがう",IF(OR(AND(H272&lt;&gt;"",H272&lt;&gt;"？",COUNTIF(設定!$P$8:$P$27,H272)=0),AND(I272&lt;&gt;"",I272&lt;&gt;"？",COUNTIF(設定!$P$8:$P$27,I272)=0),AND(J272&lt;&gt;"",J272&lt;&gt;"？",COUNTIF(設定!$P$8:$P$27,J272)=0)),"クラブ名がちがう",IF(H272="","第1希望がない",IF(OR(AND(H272&lt;&gt;"",H272=I272),AND(H272&lt;&gt;"",H272=J272),AND(I272&lt;&gt;"",I272=J272)),"同じクラブを重複して希望","OK")))))))</f>
        <v/>
      </c>
      <c r="L272" s="8">
        <f>IF(A272="","",A272&amp;"-"&amp;B272&amp;"-"&amp;C272)</f>
        <v/>
      </c>
      <c r="M272" s="8">
        <f>IF(OR(L272="",G272=""),"",IF(COUNTIF(L273:L$552,L272)=0,L272,""))</f>
        <v/>
      </c>
    </row>
    <row r="273">
      <c r="A273" s="40" t="n">
        <v>5</v>
      </c>
      <c r="B273" s="40" t="inlineStr">
        <is>
          <t>月</t>
        </is>
      </c>
      <c r="C273" s="40" t="n">
        <v>12</v>
      </c>
      <c r="D273" s="40" t="n">
        <v>6</v>
      </c>
      <c r="E273" s="40" t="n">
        <v>11</v>
      </c>
      <c r="F273" s="40" t="n">
        <v>3</v>
      </c>
      <c r="G273" s="3">
        <f>IF(L273="","",IFERROR(INDEX(前年度名簿!$D$2:$D$451,MATCH(L273,前年度名簿!$F$2:$F$451,0)),""))</f>
        <v/>
      </c>
      <c r="H273" s="44">
        <f>IF(D273="","",IF(ISERROR(VALUE(D273)),D273&amp;"",IF(AND(VALUE(D273)&gt;=1,VALUE(D273)&lt;=20),IF(INDEX(設定!$P$8:$P$27,VALUE(D273))="","？",INDEX(設定!$P$8:$P$27,VALUE(D273))),"？")))</f>
        <v/>
      </c>
      <c r="I273" s="44">
        <f>IF(E273="","",IF(ISERROR(VALUE(E273)),E273&amp;"",IF(AND(VALUE(E273)&gt;=1,VALUE(E273)&lt;=20),IF(INDEX(設定!$P$8:$P$27,VALUE(E273))="","？",INDEX(設定!$P$8:$P$27,VALUE(E273))),"？")))</f>
        <v/>
      </c>
      <c r="J273" s="44">
        <f>IF(F273="","",IF(ISERROR(VALUE(F273)),F273&amp;"",IF(AND(VALUE(F273)&gt;=1,VALUE(F273)&lt;=20),IF(INDEX(設定!$P$8:$P$27,VALUE(F273))="","？",INDEX(設定!$P$8:$P$27,VALUE(F273))),"？")))</f>
        <v/>
      </c>
      <c r="K273" s="45">
        <f>IF(L273="","",IF(G273="","名簿にいない",IF(COUNTIF(L274:L$552,L273)&gt;0,"2回提出（下の行を使います）",IF(OR(H273="？",I273="？",J273="？"),"クラブ番号がちがう",IF(OR(AND(H273&lt;&gt;"",H273&lt;&gt;"？",COUNTIF(設定!$P$8:$P$27,H273)=0),AND(I273&lt;&gt;"",I273&lt;&gt;"？",COUNTIF(設定!$P$8:$P$27,I273)=0),AND(J273&lt;&gt;"",J273&lt;&gt;"？",COUNTIF(設定!$P$8:$P$27,J273)=0)),"クラブ名がちがう",IF(H273="","第1希望がない",IF(OR(AND(H273&lt;&gt;"",H273=I273),AND(H273&lt;&gt;"",H273=J273),AND(I273&lt;&gt;"",I273=J273)),"同じクラブを重複して希望","OK")))))))</f>
        <v/>
      </c>
      <c r="L273" s="8">
        <f>IF(A273="","",A273&amp;"-"&amp;B273&amp;"-"&amp;C273)</f>
        <v/>
      </c>
      <c r="M273" s="8">
        <f>IF(OR(L273="",G273=""),"",IF(COUNTIF(L274:L$552,L273)=0,L273,""))</f>
        <v/>
      </c>
    </row>
    <row r="274">
      <c r="A274" s="40" t="n">
        <v>4</v>
      </c>
      <c r="B274" s="40" t="inlineStr">
        <is>
          <t>月</t>
        </is>
      </c>
      <c r="C274" s="40" t="n">
        <v>10</v>
      </c>
      <c r="D274" s="40" t="n">
        <v>2</v>
      </c>
      <c r="E274" s="40" t="n">
        <v>10</v>
      </c>
      <c r="F274" s="40" t="n">
        <v>7</v>
      </c>
      <c r="G274" s="3">
        <f>IF(L274="","",IFERROR(INDEX(前年度名簿!$D$2:$D$451,MATCH(L274,前年度名簿!$F$2:$F$451,0)),""))</f>
        <v/>
      </c>
      <c r="H274" s="44">
        <f>IF(D274="","",IF(ISERROR(VALUE(D274)),D274&amp;"",IF(AND(VALUE(D274)&gt;=1,VALUE(D274)&lt;=20),IF(INDEX(設定!$P$8:$P$27,VALUE(D274))="","？",INDEX(設定!$P$8:$P$27,VALUE(D274))),"？")))</f>
        <v/>
      </c>
      <c r="I274" s="44">
        <f>IF(E274="","",IF(ISERROR(VALUE(E274)),E274&amp;"",IF(AND(VALUE(E274)&gt;=1,VALUE(E274)&lt;=20),IF(INDEX(設定!$P$8:$P$27,VALUE(E274))="","？",INDEX(設定!$P$8:$P$27,VALUE(E274))),"？")))</f>
        <v/>
      </c>
      <c r="J274" s="44">
        <f>IF(F274="","",IF(ISERROR(VALUE(F274)),F274&amp;"",IF(AND(VALUE(F274)&gt;=1,VALUE(F274)&lt;=20),IF(INDEX(設定!$P$8:$P$27,VALUE(F274))="","？",INDEX(設定!$P$8:$P$27,VALUE(F274))),"？")))</f>
        <v/>
      </c>
      <c r="K274" s="45">
        <f>IF(L274="","",IF(G274="","名簿にいない",IF(COUNTIF(L275:L$552,L274)&gt;0,"2回提出（下の行を使います）",IF(OR(H274="？",I274="？",J274="？"),"クラブ番号がちがう",IF(OR(AND(H274&lt;&gt;"",H274&lt;&gt;"？",COUNTIF(設定!$P$8:$P$27,H274)=0),AND(I274&lt;&gt;"",I274&lt;&gt;"？",COUNTIF(設定!$P$8:$P$27,I274)=0),AND(J274&lt;&gt;"",J274&lt;&gt;"？",COUNTIF(設定!$P$8:$P$27,J274)=0)),"クラブ名がちがう",IF(H274="","第1希望がない",IF(OR(AND(H274&lt;&gt;"",H274=I274),AND(H274&lt;&gt;"",H274=J274),AND(I274&lt;&gt;"",I274=J274)),"同じクラブを重複して希望","OK")))))))</f>
        <v/>
      </c>
      <c r="L274" s="8">
        <f>IF(A274="","",A274&amp;"-"&amp;B274&amp;"-"&amp;C274)</f>
        <v/>
      </c>
      <c r="M274" s="8">
        <f>IF(OR(L274="",G274=""),"",IF(COUNTIF(L275:L$552,L274)=0,L274,""))</f>
        <v/>
      </c>
    </row>
    <row r="275">
      <c r="A275" s="40" t="n">
        <v>5</v>
      </c>
      <c r="B275" s="40" t="inlineStr">
        <is>
          <t>松</t>
        </is>
      </c>
      <c r="C275" s="40" t="n">
        <v>8</v>
      </c>
      <c r="D275" s="40" t="n">
        <v>8</v>
      </c>
      <c r="E275" s="40" t="n">
        <v>4</v>
      </c>
      <c r="F275" s="40" t="n">
        <v>10</v>
      </c>
      <c r="G275" s="3">
        <f>IF(L275="","",IFERROR(INDEX(前年度名簿!$D$2:$D$451,MATCH(L275,前年度名簿!$F$2:$F$451,0)),""))</f>
        <v/>
      </c>
      <c r="H275" s="44">
        <f>IF(D275="","",IF(ISERROR(VALUE(D275)),D275&amp;"",IF(AND(VALUE(D275)&gt;=1,VALUE(D275)&lt;=20),IF(INDEX(設定!$P$8:$P$27,VALUE(D275))="","？",INDEX(設定!$P$8:$P$27,VALUE(D275))),"？")))</f>
        <v/>
      </c>
      <c r="I275" s="44">
        <f>IF(E275="","",IF(ISERROR(VALUE(E275)),E275&amp;"",IF(AND(VALUE(E275)&gt;=1,VALUE(E275)&lt;=20),IF(INDEX(設定!$P$8:$P$27,VALUE(E275))="","？",INDEX(設定!$P$8:$P$27,VALUE(E275))),"？")))</f>
        <v/>
      </c>
      <c r="J275" s="44">
        <f>IF(F275="","",IF(ISERROR(VALUE(F275)),F275&amp;"",IF(AND(VALUE(F275)&gt;=1,VALUE(F275)&lt;=20),IF(INDEX(設定!$P$8:$P$27,VALUE(F275))="","？",INDEX(設定!$P$8:$P$27,VALUE(F275))),"？")))</f>
        <v/>
      </c>
      <c r="K275" s="45">
        <f>IF(L275="","",IF(G275="","名簿にいない",IF(COUNTIF(L276:L$552,L275)&gt;0,"2回提出（下の行を使います）",IF(OR(H275="？",I275="？",J275="？"),"クラブ番号がちがう",IF(OR(AND(H275&lt;&gt;"",H275&lt;&gt;"？",COUNTIF(設定!$P$8:$P$27,H275)=0),AND(I275&lt;&gt;"",I275&lt;&gt;"？",COUNTIF(設定!$P$8:$P$27,I275)=0),AND(J275&lt;&gt;"",J275&lt;&gt;"？",COUNTIF(設定!$P$8:$P$27,J275)=0)),"クラブ名がちがう",IF(H275="","第1希望がない",IF(OR(AND(H275&lt;&gt;"",H275=I275),AND(H275&lt;&gt;"",H275=J275),AND(I275&lt;&gt;"",I275=J275)),"同じクラブを重複して希望","OK")))))))</f>
        <v/>
      </c>
      <c r="L275" s="8">
        <f>IF(A275="","",A275&amp;"-"&amp;B275&amp;"-"&amp;C275)</f>
        <v/>
      </c>
      <c r="M275" s="8">
        <f>IF(OR(L275="",G275=""),"",IF(COUNTIF(L276:L$552,L275)=0,L275,""))</f>
        <v/>
      </c>
    </row>
    <row r="276">
      <c r="A276" s="40" t="n">
        <v>3</v>
      </c>
      <c r="B276" s="40" t="inlineStr">
        <is>
          <t>梅</t>
        </is>
      </c>
      <c r="C276" s="40" t="n">
        <v>13</v>
      </c>
      <c r="D276" s="40" t="n">
        <v>10</v>
      </c>
      <c r="E276" s="40" t="n">
        <v>3</v>
      </c>
      <c r="F276" s="40" t="n">
        <v>1</v>
      </c>
      <c r="G276" s="3">
        <f>IF(L276="","",IFERROR(INDEX(前年度名簿!$D$2:$D$451,MATCH(L276,前年度名簿!$F$2:$F$451,0)),""))</f>
        <v/>
      </c>
      <c r="H276" s="44">
        <f>IF(D276="","",IF(ISERROR(VALUE(D276)),D276&amp;"",IF(AND(VALUE(D276)&gt;=1,VALUE(D276)&lt;=20),IF(INDEX(設定!$P$8:$P$27,VALUE(D276))="","？",INDEX(設定!$P$8:$P$27,VALUE(D276))),"？")))</f>
        <v/>
      </c>
      <c r="I276" s="44">
        <f>IF(E276="","",IF(ISERROR(VALUE(E276)),E276&amp;"",IF(AND(VALUE(E276)&gt;=1,VALUE(E276)&lt;=20),IF(INDEX(設定!$P$8:$P$27,VALUE(E276))="","？",INDEX(設定!$P$8:$P$27,VALUE(E276))),"？")))</f>
        <v/>
      </c>
      <c r="J276" s="44">
        <f>IF(F276="","",IF(ISERROR(VALUE(F276)),F276&amp;"",IF(AND(VALUE(F276)&gt;=1,VALUE(F276)&lt;=20),IF(INDEX(設定!$P$8:$P$27,VALUE(F276))="","？",INDEX(設定!$P$8:$P$27,VALUE(F276))),"？")))</f>
        <v/>
      </c>
      <c r="K276" s="45">
        <f>IF(L276="","",IF(G276="","名簿にいない",IF(COUNTIF(L277:L$552,L276)&gt;0,"2回提出（下の行を使います）",IF(OR(H276="？",I276="？",J276="？"),"クラブ番号がちがう",IF(OR(AND(H276&lt;&gt;"",H276&lt;&gt;"？",COUNTIF(設定!$P$8:$P$27,H276)=0),AND(I276&lt;&gt;"",I276&lt;&gt;"？",COUNTIF(設定!$P$8:$P$27,I276)=0),AND(J276&lt;&gt;"",J276&lt;&gt;"？",COUNTIF(設定!$P$8:$P$27,J276)=0)),"クラブ名がちがう",IF(H276="","第1希望がない",IF(OR(AND(H276&lt;&gt;"",H276=I276),AND(H276&lt;&gt;"",H276=J276),AND(I276&lt;&gt;"",I276=J276)),"同じクラブを重複して希望","OK")))))))</f>
        <v/>
      </c>
      <c r="L276" s="8">
        <f>IF(A276="","",A276&amp;"-"&amp;B276&amp;"-"&amp;C276)</f>
        <v/>
      </c>
      <c r="M276" s="8">
        <f>IF(OR(L276="",G276=""),"",IF(COUNTIF(L277:L$552,L276)=0,L276,""))</f>
        <v/>
      </c>
    </row>
    <row r="277">
      <c r="A277" s="40" t="n">
        <v>5</v>
      </c>
      <c r="B277" s="40" t="inlineStr">
        <is>
          <t>月</t>
        </is>
      </c>
      <c r="C277" s="40" t="n">
        <v>18</v>
      </c>
      <c r="D277" s="40" t="n">
        <v>5</v>
      </c>
      <c r="E277" s="40" t="n">
        <v>3</v>
      </c>
      <c r="F277" s="40" t="n">
        <v>10</v>
      </c>
      <c r="G277" s="3">
        <f>IF(L277="","",IFERROR(INDEX(前年度名簿!$D$2:$D$451,MATCH(L277,前年度名簿!$F$2:$F$451,0)),""))</f>
        <v/>
      </c>
      <c r="H277" s="44">
        <f>IF(D277="","",IF(ISERROR(VALUE(D277)),D277&amp;"",IF(AND(VALUE(D277)&gt;=1,VALUE(D277)&lt;=20),IF(INDEX(設定!$P$8:$P$27,VALUE(D277))="","？",INDEX(設定!$P$8:$P$27,VALUE(D277))),"？")))</f>
        <v/>
      </c>
      <c r="I277" s="44">
        <f>IF(E277="","",IF(ISERROR(VALUE(E277)),E277&amp;"",IF(AND(VALUE(E277)&gt;=1,VALUE(E277)&lt;=20),IF(INDEX(設定!$P$8:$P$27,VALUE(E277))="","？",INDEX(設定!$P$8:$P$27,VALUE(E277))),"？")))</f>
        <v/>
      </c>
      <c r="J277" s="44">
        <f>IF(F277="","",IF(ISERROR(VALUE(F277)),F277&amp;"",IF(AND(VALUE(F277)&gt;=1,VALUE(F277)&lt;=20),IF(INDEX(設定!$P$8:$P$27,VALUE(F277))="","？",INDEX(設定!$P$8:$P$27,VALUE(F277))),"？")))</f>
        <v/>
      </c>
      <c r="K277" s="45">
        <f>IF(L277="","",IF(G277="","名簿にいない",IF(COUNTIF(L278:L$552,L277)&gt;0,"2回提出（下の行を使います）",IF(OR(H277="？",I277="？",J277="？"),"クラブ番号がちがう",IF(OR(AND(H277&lt;&gt;"",H277&lt;&gt;"？",COUNTIF(設定!$P$8:$P$27,H277)=0),AND(I277&lt;&gt;"",I277&lt;&gt;"？",COUNTIF(設定!$P$8:$P$27,I277)=0),AND(J277&lt;&gt;"",J277&lt;&gt;"？",COUNTIF(設定!$P$8:$P$27,J277)=0)),"クラブ名がちがう",IF(H277="","第1希望がない",IF(OR(AND(H277&lt;&gt;"",H277=I277),AND(H277&lt;&gt;"",H277=J277),AND(I277&lt;&gt;"",I277=J277)),"同じクラブを重複して希望","OK")))))))</f>
        <v/>
      </c>
      <c r="L277" s="8">
        <f>IF(A277="","",A277&amp;"-"&amp;B277&amp;"-"&amp;C277)</f>
        <v/>
      </c>
      <c r="M277" s="8">
        <f>IF(OR(L277="",G277=""),"",IF(COUNTIF(L278:L$552,L277)=0,L277,""))</f>
        <v/>
      </c>
    </row>
    <row r="278">
      <c r="A278" s="40" t="n">
        <v>3</v>
      </c>
      <c r="B278" s="40" t="inlineStr">
        <is>
          <t>月</t>
        </is>
      </c>
      <c r="C278" s="40" t="n">
        <v>3</v>
      </c>
      <c r="D278" s="40" t="n">
        <v>12</v>
      </c>
      <c r="E278" s="40" t="n">
        <v>6</v>
      </c>
      <c r="F278" s="40" t="n">
        <v>9</v>
      </c>
      <c r="G278" s="3">
        <f>IF(L278="","",IFERROR(INDEX(前年度名簿!$D$2:$D$451,MATCH(L278,前年度名簿!$F$2:$F$451,0)),""))</f>
        <v/>
      </c>
      <c r="H278" s="44">
        <f>IF(D278="","",IF(ISERROR(VALUE(D278)),D278&amp;"",IF(AND(VALUE(D278)&gt;=1,VALUE(D278)&lt;=20),IF(INDEX(設定!$P$8:$P$27,VALUE(D278))="","？",INDEX(設定!$P$8:$P$27,VALUE(D278))),"？")))</f>
        <v/>
      </c>
      <c r="I278" s="44">
        <f>IF(E278="","",IF(ISERROR(VALUE(E278)),E278&amp;"",IF(AND(VALUE(E278)&gt;=1,VALUE(E278)&lt;=20),IF(INDEX(設定!$P$8:$P$27,VALUE(E278))="","？",INDEX(設定!$P$8:$P$27,VALUE(E278))),"？")))</f>
        <v/>
      </c>
      <c r="J278" s="44">
        <f>IF(F278="","",IF(ISERROR(VALUE(F278)),F278&amp;"",IF(AND(VALUE(F278)&gt;=1,VALUE(F278)&lt;=20),IF(INDEX(設定!$P$8:$P$27,VALUE(F278))="","？",INDEX(設定!$P$8:$P$27,VALUE(F278))),"？")))</f>
        <v/>
      </c>
      <c r="K278" s="45">
        <f>IF(L278="","",IF(G278="","名簿にいない",IF(COUNTIF(L279:L$552,L278)&gt;0,"2回提出（下の行を使います）",IF(OR(H278="？",I278="？",J278="？"),"クラブ番号がちがう",IF(OR(AND(H278&lt;&gt;"",H278&lt;&gt;"？",COUNTIF(設定!$P$8:$P$27,H278)=0),AND(I278&lt;&gt;"",I278&lt;&gt;"？",COUNTIF(設定!$P$8:$P$27,I278)=0),AND(J278&lt;&gt;"",J278&lt;&gt;"？",COUNTIF(設定!$P$8:$P$27,J278)=0)),"クラブ名がちがう",IF(H278="","第1希望がない",IF(OR(AND(H278&lt;&gt;"",H278=I278),AND(H278&lt;&gt;"",H278=J278),AND(I278&lt;&gt;"",I278=J278)),"同じクラブを重複して希望","OK")))))))</f>
        <v/>
      </c>
      <c r="L278" s="8">
        <f>IF(A278="","",A278&amp;"-"&amp;B278&amp;"-"&amp;C278)</f>
        <v/>
      </c>
      <c r="M278" s="8">
        <f>IF(OR(L278="",G278=""),"",IF(COUNTIF(L279:L$552,L278)=0,L278,""))</f>
        <v/>
      </c>
    </row>
    <row r="279">
      <c r="A279" s="40" t="n">
        <v>4</v>
      </c>
      <c r="B279" s="40" t="inlineStr">
        <is>
          <t>竹</t>
        </is>
      </c>
      <c r="C279" s="40" t="n">
        <v>30</v>
      </c>
      <c r="D279" s="40" t="n">
        <v>10</v>
      </c>
      <c r="E279" s="40" t="n">
        <v>1</v>
      </c>
      <c r="F279" s="40" t="n">
        <v>7</v>
      </c>
      <c r="G279" s="3">
        <f>IF(L279="","",IFERROR(INDEX(前年度名簿!$D$2:$D$451,MATCH(L279,前年度名簿!$F$2:$F$451,0)),""))</f>
        <v/>
      </c>
      <c r="H279" s="44">
        <f>IF(D279="","",IF(ISERROR(VALUE(D279)),D279&amp;"",IF(AND(VALUE(D279)&gt;=1,VALUE(D279)&lt;=20),IF(INDEX(設定!$P$8:$P$27,VALUE(D279))="","？",INDEX(設定!$P$8:$P$27,VALUE(D279))),"？")))</f>
        <v/>
      </c>
      <c r="I279" s="44">
        <f>IF(E279="","",IF(ISERROR(VALUE(E279)),E279&amp;"",IF(AND(VALUE(E279)&gt;=1,VALUE(E279)&lt;=20),IF(INDEX(設定!$P$8:$P$27,VALUE(E279))="","？",INDEX(設定!$P$8:$P$27,VALUE(E279))),"？")))</f>
        <v/>
      </c>
      <c r="J279" s="44">
        <f>IF(F279="","",IF(ISERROR(VALUE(F279)),F279&amp;"",IF(AND(VALUE(F279)&gt;=1,VALUE(F279)&lt;=20),IF(INDEX(設定!$P$8:$P$27,VALUE(F279))="","？",INDEX(設定!$P$8:$P$27,VALUE(F279))),"？")))</f>
        <v/>
      </c>
      <c r="K279" s="45">
        <f>IF(L279="","",IF(G279="","名簿にいない",IF(COUNTIF(L280:L$552,L279)&gt;0,"2回提出（下の行を使います）",IF(OR(H279="？",I279="？",J279="？"),"クラブ番号がちがう",IF(OR(AND(H279&lt;&gt;"",H279&lt;&gt;"？",COUNTIF(設定!$P$8:$P$27,H279)=0),AND(I279&lt;&gt;"",I279&lt;&gt;"？",COUNTIF(設定!$P$8:$P$27,I279)=0),AND(J279&lt;&gt;"",J279&lt;&gt;"？",COUNTIF(設定!$P$8:$P$27,J279)=0)),"クラブ名がちがう",IF(H279="","第1希望がない",IF(OR(AND(H279&lt;&gt;"",H279=I279),AND(H279&lt;&gt;"",H279=J279),AND(I279&lt;&gt;"",I279=J279)),"同じクラブを重複して希望","OK")))))))</f>
        <v/>
      </c>
      <c r="L279" s="8">
        <f>IF(A279="","",A279&amp;"-"&amp;B279&amp;"-"&amp;C279)</f>
        <v/>
      </c>
      <c r="M279" s="8">
        <f>IF(OR(L279="",G279=""),"",IF(COUNTIF(L280:L$552,L279)=0,L279,""))</f>
        <v/>
      </c>
    </row>
    <row r="280">
      <c r="A280" s="40" t="n">
        <v>3</v>
      </c>
      <c r="B280" s="40" t="inlineStr">
        <is>
          <t>松</t>
        </is>
      </c>
      <c r="C280" s="40" t="n">
        <v>29</v>
      </c>
      <c r="D280" s="40" t="n">
        <v>8</v>
      </c>
      <c r="E280" s="40" t="n">
        <v>6</v>
      </c>
      <c r="F280" s="40" t="n">
        <v>10</v>
      </c>
      <c r="G280" s="3">
        <f>IF(L280="","",IFERROR(INDEX(前年度名簿!$D$2:$D$451,MATCH(L280,前年度名簿!$F$2:$F$451,0)),""))</f>
        <v/>
      </c>
      <c r="H280" s="44">
        <f>IF(D280="","",IF(ISERROR(VALUE(D280)),D280&amp;"",IF(AND(VALUE(D280)&gt;=1,VALUE(D280)&lt;=20),IF(INDEX(設定!$P$8:$P$27,VALUE(D280))="","？",INDEX(設定!$P$8:$P$27,VALUE(D280))),"？")))</f>
        <v/>
      </c>
      <c r="I280" s="44">
        <f>IF(E280="","",IF(ISERROR(VALUE(E280)),E280&amp;"",IF(AND(VALUE(E280)&gt;=1,VALUE(E280)&lt;=20),IF(INDEX(設定!$P$8:$P$27,VALUE(E280))="","？",INDEX(設定!$P$8:$P$27,VALUE(E280))),"？")))</f>
        <v/>
      </c>
      <c r="J280" s="44">
        <f>IF(F280="","",IF(ISERROR(VALUE(F280)),F280&amp;"",IF(AND(VALUE(F280)&gt;=1,VALUE(F280)&lt;=20),IF(INDEX(設定!$P$8:$P$27,VALUE(F280))="","？",INDEX(設定!$P$8:$P$27,VALUE(F280))),"？")))</f>
        <v/>
      </c>
      <c r="K280" s="45">
        <f>IF(L280="","",IF(G280="","名簿にいない",IF(COUNTIF(L281:L$552,L280)&gt;0,"2回提出（下の行を使います）",IF(OR(H280="？",I280="？",J280="？"),"クラブ番号がちがう",IF(OR(AND(H280&lt;&gt;"",H280&lt;&gt;"？",COUNTIF(設定!$P$8:$P$27,H280)=0),AND(I280&lt;&gt;"",I280&lt;&gt;"？",COUNTIF(設定!$P$8:$P$27,I280)=0),AND(J280&lt;&gt;"",J280&lt;&gt;"？",COUNTIF(設定!$P$8:$P$27,J280)=0)),"クラブ名がちがう",IF(H280="","第1希望がない",IF(OR(AND(H280&lt;&gt;"",H280=I280),AND(H280&lt;&gt;"",H280=J280),AND(I280&lt;&gt;"",I280=J280)),"同じクラブを重複して希望","OK")))))))</f>
        <v/>
      </c>
      <c r="L280" s="8">
        <f>IF(A280="","",A280&amp;"-"&amp;B280&amp;"-"&amp;C280)</f>
        <v/>
      </c>
      <c r="M280" s="8">
        <f>IF(OR(L280="",G280=""),"",IF(COUNTIF(L281:L$552,L280)=0,L280,""))</f>
        <v/>
      </c>
    </row>
    <row r="281">
      <c r="A281" s="40" t="n">
        <v>3</v>
      </c>
      <c r="B281" s="40" t="inlineStr">
        <is>
          <t>竹</t>
        </is>
      </c>
      <c r="C281" s="40" t="n">
        <v>20</v>
      </c>
      <c r="D281" s="40" t="n">
        <v>7</v>
      </c>
      <c r="E281" s="40" t="n">
        <v>5</v>
      </c>
      <c r="F281" s="40" t="n">
        <v>8</v>
      </c>
      <c r="G281" s="3">
        <f>IF(L281="","",IFERROR(INDEX(前年度名簿!$D$2:$D$451,MATCH(L281,前年度名簿!$F$2:$F$451,0)),""))</f>
        <v/>
      </c>
      <c r="H281" s="44">
        <f>IF(D281="","",IF(ISERROR(VALUE(D281)),D281&amp;"",IF(AND(VALUE(D281)&gt;=1,VALUE(D281)&lt;=20),IF(INDEX(設定!$P$8:$P$27,VALUE(D281))="","？",INDEX(設定!$P$8:$P$27,VALUE(D281))),"？")))</f>
        <v/>
      </c>
      <c r="I281" s="44">
        <f>IF(E281="","",IF(ISERROR(VALUE(E281)),E281&amp;"",IF(AND(VALUE(E281)&gt;=1,VALUE(E281)&lt;=20),IF(INDEX(設定!$P$8:$P$27,VALUE(E281))="","？",INDEX(設定!$P$8:$P$27,VALUE(E281))),"？")))</f>
        <v/>
      </c>
      <c r="J281" s="44">
        <f>IF(F281="","",IF(ISERROR(VALUE(F281)),F281&amp;"",IF(AND(VALUE(F281)&gt;=1,VALUE(F281)&lt;=20),IF(INDEX(設定!$P$8:$P$27,VALUE(F281))="","？",INDEX(設定!$P$8:$P$27,VALUE(F281))),"？")))</f>
        <v/>
      </c>
      <c r="K281" s="45">
        <f>IF(L281="","",IF(G281="","名簿にいない",IF(COUNTIF(L282:L$552,L281)&gt;0,"2回提出（下の行を使います）",IF(OR(H281="？",I281="？",J281="？"),"クラブ番号がちがう",IF(OR(AND(H281&lt;&gt;"",H281&lt;&gt;"？",COUNTIF(設定!$P$8:$P$27,H281)=0),AND(I281&lt;&gt;"",I281&lt;&gt;"？",COUNTIF(設定!$P$8:$P$27,I281)=0),AND(J281&lt;&gt;"",J281&lt;&gt;"？",COUNTIF(設定!$P$8:$P$27,J281)=0)),"クラブ名がちがう",IF(H281="","第1希望がない",IF(OR(AND(H281&lt;&gt;"",H281=I281),AND(H281&lt;&gt;"",H281=J281),AND(I281&lt;&gt;"",I281=J281)),"同じクラブを重複して希望","OK")))))))</f>
        <v/>
      </c>
      <c r="L281" s="8">
        <f>IF(A281="","",A281&amp;"-"&amp;B281&amp;"-"&amp;C281)</f>
        <v/>
      </c>
      <c r="M281" s="8">
        <f>IF(OR(L281="",G281=""),"",IF(COUNTIF(L282:L$552,L281)=0,L281,""))</f>
        <v/>
      </c>
    </row>
    <row r="282">
      <c r="A282" s="40" t="n">
        <v>4</v>
      </c>
      <c r="B282" s="40" t="inlineStr">
        <is>
          <t>竹</t>
        </is>
      </c>
      <c r="C282" s="40" t="n">
        <v>27</v>
      </c>
      <c r="D282" s="40" t="n">
        <v>6</v>
      </c>
      <c r="E282" s="40" t="n">
        <v>3</v>
      </c>
      <c r="F282" s="40" t="n">
        <v>9</v>
      </c>
      <c r="G282" s="3">
        <f>IF(L282="","",IFERROR(INDEX(前年度名簿!$D$2:$D$451,MATCH(L282,前年度名簿!$F$2:$F$451,0)),""))</f>
        <v/>
      </c>
      <c r="H282" s="44">
        <f>IF(D282="","",IF(ISERROR(VALUE(D282)),D282&amp;"",IF(AND(VALUE(D282)&gt;=1,VALUE(D282)&lt;=20),IF(INDEX(設定!$P$8:$P$27,VALUE(D282))="","？",INDEX(設定!$P$8:$P$27,VALUE(D282))),"？")))</f>
        <v/>
      </c>
      <c r="I282" s="44">
        <f>IF(E282="","",IF(ISERROR(VALUE(E282)),E282&amp;"",IF(AND(VALUE(E282)&gt;=1,VALUE(E282)&lt;=20),IF(INDEX(設定!$P$8:$P$27,VALUE(E282))="","？",INDEX(設定!$P$8:$P$27,VALUE(E282))),"？")))</f>
        <v/>
      </c>
      <c r="J282" s="44">
        <f>IF(F282="","",IF(ISERROR(VALUE(F282)),F282&amp;"",IF(AND(VALUE(F282)&gt;=1,VALUE(F282)&lt;=20),IF(INDEX(設定!$P$8:$P$27,VALUE(F282))="","？",INDEX(設定!$P$8:$P$27,VALUE(F282))),"？")))</f>
        <v/>
      </c>
      <c r="K282" s="45">
        <f>IF(L282="","",IF(G282="","名簿にいない",IF(COUNTIF(L283:L$552,L282)&gt;0,"2回提出（下の行を使います）",IF(OR(H282="？",I282="？",J282="？"),"クラブ番号がちがう",IF(OR(AND(H282&lt;&gt;"",H282&lt;&gt;"？",COUNTIF(設定!$P$8:$P$27,H282)=0),AND(I282&lt;&gt;"",I282&lt;&gt;"？",COUNTIF(設定!$P$8:$P$27,I282)=0),AND(J282&lt;&gt;"",J282&lt;&gt;"？",COUNTIF(設定!$P$8:$P$27,J282)=0)),"クラブ名がちがう",IF(H282="","第1希望がない",IF(OR(AND(H282&lt;&gt;"",H282=I282),AND(H282&lt;&gt;"",H282=J282),AND(I282&lt;&gt;"",I282=J282)),"同じクラブを重複して希望","OK")))))))</f>
        <v/>
      </c>
      <c r="L282" s="8">
        <f>IF(A282="","",A282&amp;"-"&amp;B282&amp;"-"&amp;C282)</f>
        <v/>
      </c>
      <c r="M282" s="8">
        <f>IF(OR(L282="",G282=""),"",IF(COUNTIF(L283:L$552,L282)=0,L282,""))</f>
        <v/>
      </c>
    </row>
    <row r="283">
      <c r="A283" s="40" t="n">
        <v>5</v>
      </c>
      <c r="B283" s="40" t="inlineStr">
        <is>
          <t>松</t>
        </is>
      </c>
      <c r="C283" s="40" t="n">
        <v>20</v>
      </c>
      <c r="D283" s="40" t="n">
        <v>7</v>
      </c>
      <c r="E283" s="40" t="n">
        <v>2</v>
      </c>
      <c r="F283" s="40" t="n">
        <v>10</v>
      </c>
      <c r="G283" s="3">
        <f>IF(L283="","",IFERROR(INDEX(前年度名簿!$D$2:$D$451,MATCH(L283,前年度名簿!$F$2:$F$451,0)),""))</f>
        <v/>
      </c>
      <c r="H283" s="44">
        <f>IF(D283="","",IF(ISERROR(VALUE(D283)),D283&amp;"",IF(AND(VALUE(D283)&gt;=1,VALUE(D283)&lt;=20),IF(INDEX(設定!$P$8:$P$27,VALUE(D283))="","？",INDEX(設定!$P$8:$P$27,VALUE(D283))),"？")))</f>
        <v/>
      </c>
      <c r="I283" s="44">
        <f>IF(E283="","",IF(ISERROR(VALUE(E283)),E283&amp;"",IF(AND(VALUE(E283)&gt;=1,VALUE(E283)&lt;=20),IF(INDEX(設定!$P$8:$P$27,VALUE(E283))="","？",INDEX(設定!$P$8:$P$27,VALUE(E283))),"？")))</f>
        <v/>
      </c>
      <c r="J283" s="44">
        <f>IF(F283="","",IF(ISERROR(VALUE(F283)),F283&amp;"",IF(AND(VALUE(F283)&gt;=1,VALUE(F283)&lt;=20),IF(INDEX(設定!$P$8:$P$27,VALUE(F283))="","？",INDEX(設定!$P$8:$P$27,VALUE(F283))),"？")))</f>
        <v/>
      </c>
      <c r="K283" s="45">
        <f>IF(L283="","",IF(G283="","名簿にいない",IF(COUNTIF(L284:L$552,L283)&gt;0,"2回提出（下の行を使います）",IF(OR(H283="？",I283="？",J283="？"),"クラブ番号がちがう",IF(OR(AND(H283&lt;&gt;"",H283&lt;&gt;"？",COUNTIF(設定!$P$8:$P$27,H283)=0),AND(I283&lt;&gt;"",I283&lt;&gt;"？",COUNTIF(設定!$P$8:$P$27,I283)=0),AND(J283&lt;&gt;"",J283&lt;&gt;"？",COUNTIF(設定!$P$8:$P$27,J283)=0)),"クラブ名がちがう",IF(H283="","第1希望がない",IF(OR(AND(H283&lt;&gt;"",H283=I283),AND(H283&lt;&gt;"",H283=J283),AND(I283&lt;&gt;"",I283=J283)),"同じクラブを重複して希望","OK")))))))</f>
        <v/>
      </c>
      <c r="L283" s="8">
        <f>IF(A283="","",A283&amp;"-"&amp;B283&amp;"-"&amp;C283)</f>
        <v/>
      </c>
      <c r="M283" s="8">
        <f>IF(OR(L283="",G283=""),"",IF(COUNTIF(L284:L$552,L283)=0,L283,""))</f>
        <v/>
      </c>
    </row>
    <row r="284">
      <c r="A284" s="40" t="n">
        <v>5</v>
      </c>
      <c r="B284" s="40" t="inlineStr">
        <is>
          <t>月</t>
        </is>
      </c>
      <c r="C284" s="40" t="n">
        <v>6</v>
      </c>
      <c r="D284" s="40" t="n">
        <v>9</v>
      </c>
      <c r="E284" s="40" t="n">
        <v>6</v>
      </c>
      <c r="F284" s="40" t="n">
        <v>5</v>
      </c>
      <c r="G284" s="3">
        <f>IF(L284="","",IFERROR(INDEX(前年度名簿!$D$2:$D$451,MATCH(L284,前年度名簿!$F$2:$F$451,0)),""))</f>
        <v/>
      </c>
      <c r="H284" s="44">
        <f>IF(D284="","",IF(ISERROR(VALUE(D284)),D284&amp;"",IF(AND(VALUE(D284)&gt;=1,VALUE(D284)&lt;=20),IF(INDEX(設定!$P$8:$P$27,VALUE(D284))="","？",INDEX(設定!$P$8:$P$27,VALUE(D284))),"？")))</f>
        <v/>
      </c>
      <c r="I284" s="44">
        <f>IF(E284="","",IF(ISERROR(VALUE(E284)),E284&amp;"",IF(AND(VALUE(E284)&gt;=1,VALUE(E284)&lt;=20),IF(INDEX(設定!$P$8:$P$27,VALUE(E284))="","？",INDEX(設定!$P$8:$P$27,VALUE(E284))),"？")))</f>
        <v/>
      </c>
      <c r="J284" s="44">
        <f>IF(F284="","",IF(ISERROR(VALUE(F284)),F284&amp;"",IF(AND(VALUE(F284)&gt;=1,VALUE(F284)&lt;=20),IF(INDEX(設定!$P$8:$P$27,VALUE(F284))="","？",INDEX(設定!$P$8:$P$27,VALUE(F284))),"？")))</f>
        <v/>
      </c>
      <c r="K284" s="45">
        <f>IF(L284="","",IF(G284="","名簿にいない",IF(COUNTIF(L285:L$552,L284)&gt;0,"2回提出（下の行を使います）",IF(OR(H284="？",I284="？",J284="？"),"クラブ番号がちがう",IF(OR(AND(H284&lt;&gt;"",H284&lt;&gt;"？",COUNTIF(設定!$P$8:$P$27,H284)=0),AND(I284&lt;&gt;"",I284&lt;&gt;"？",COUNTIF(設定!$P$8:$P$27,I284)=0),AND(J284&lt;&gt;"",J284&lt;&gt;"？",COUNTIF(設定!$P$8:$P$27,J284)=0)),"クラブ名がちがう",IF(H284="","第1希望がない",IF(OR(AND(H284&lt;&gt;"",H284=I284),AND(H284&lt;&gt;"",H284=J284),AND(I284&lt;&gt;"",I284=J284)),"同じクラブを重複して希望","OK")))))))</f>
        <v/>
      </c>
      <c r="L284" s="8">
        <f>IF(A284="","",A284&amp;"-"&amp;B284&amp;"-"&amp;C284)</f>
        <v/>
      </c>
      <c r="M284" s="8">
        <f>IF(OR(L284="",G284=""),"",IF(COUNTIF(L285:L$552,L284)=0,L284,""))</f>
        <v/>
      </c>
    </row>
    <row r="285">
      <c r="A285" s="40" t="n">
        <v>5</v>
      </c>
      <c r="B285" s="40" t="inlineStr">
        <is>
          <t>竹</t>
        </is>
      </c>
      <c r="C285" s="40" t="n">
        <v>4</v>
      </c>
      <c r="D285" s="40" t="n">
        <v>4</v>
      </c>
      <c r="E285" s="40" t="n">
        <v>9</v>
      </c>
      <c r="F285" s="40" t="n">
        <v>1</v>
      </c>
      <c r="G285" s="3">
        <f>IF(L285="","",IFERROR(INDEX(前年度名簿!$D$2:$D$451,MATCH(L285,前年度名簿!$F$2:$F$451,0)),""))</f>
        <v/>
      </c>
      <c r="H285" s="44">
        <f>IF(D285="","",IF(ISERROR(VALUE(D285)),D285&amp;"",IF(AND(VALUE(D285)&gt;=1,VALUE(D285)&lt;=20),IF(INDEX(設定!$P$8:$P$27,VALUE(D285))="","？",INDEX(設定!$P$8:$P$27,VALUE(D285))),"？")))</f>
        <v/>
      </c>
      <c r="I285" s="44">
        <f>IF(E285="","",IF(ISERROR(VALUE(E285)),E285&amp;"",IF(AND(VALUE(E285)&gt;=1,VALUE(E285)&lt;=20),IF(INDEX(設定!$P$8:$P$27,VALUE(E285))="","？",INDEX(設定!$P$8:$P$27,VALUE(E285))),"？")))</f>
        <v/>
      </c>
      <c r="J285" s="44">
        <f>IF(F285="","",IF(ISERROR(VALUE(F285)),F285&amp;"",IF(AND(VALUE(F285)&gt;=1,VALUE(F285)&lt;=20),IF(INDEX(設定!$P$8:$P$27,VALUE(F285))="","？",INDEX(設定!$P$8:$P$27,VALUE(F285))),"？")))</f>
        <v/>
      </c>
      <c r="K285" s="45">
        <f>IF(L285="","",IF(G285="","名簿にいない",IF(COUNTIF(L286:L$552,L285)&gt;0,"2回提出（下の行を使います）",IF(OR(H285="？",I285="？",J285="？"),"クラブ番号がちがう",IF(OR(AND(H285&lt;&gt;"",H285&lt;&gt;"？",COUNTIF(設定!$P$8:$P$27,H285)=0),AND(I285&lt;&gt;"",I285&lt;&gt;"？",COUNTIF(設定!$P$8:$P$27,I285)=0),AND(J285&lt;&gt;"",J285&lt;&gt;"？",COUNTIF(設定!$P$8:$P$27,J285)=0)),"クラブ名がちがう",IF(H285="","第1希望がない",IF(OR(AND(H285&lt;&gt;"",H285=I285),AND(H285&lt;&gt;"",H285=J285),AND(I285&lt;&gt;"",I285=J285)),"同じクラブを重複して希望","OK")))))))</f>
        <v/>
      </c>
      <c r="L285" s="8">
        <f>IF(A285="","",A285&amp;"-"&amp;B285&amp;"-"&amp;C285)</f>
        <v/>
      </c>
      <c r="M285" s="8">
        <f>IF(OR(L285="",G285=""),"",IF(COUNTIF(L286:L$552,L285)=0,L285,""))</f>
        <v/>
      </c>
    </row>
    <row r="286">
      <c r="A286" s="40" t="n">
        <v>4</v>
      </c>
      <c r="B286" s="40" t="inlineStr">
        <is>
          <t>松</t>
        </is>
      </c>
      <c r="C286" s="40" t="n">
        <v>15</v>
      </c>
      <c r="D286" s="40" t="n">
        <v>10</v>
      </c>
      <c r="E286" s="40" t="n">
        <v>5</v>
      </c>
      <c r="F286" s="40" t="n">
        <v>7</v>
      </c>
      <c r="G286" s="3">
        <f>IF(L286="","",IFERROR(INDEX(前年度名簿!$D$2:$D$451,MATCH(L286,前年度名簿!$F$2:$F$451,0)),""))</f>
        <v/>
      </c>
      <c r="H286" s="44">
        <f>IF(D286="","",IF(ISERROR(VALUE(D286)),D286&amp;"",IF(AND(VALUE(D286)&gt;=1,VALUE(D286)&lt;=20),IF(INDEX(設定!$P$8:$P$27,VALUE(D286))="","？",INDEX(設定!$P$8:$P$27,VALUE(D286))),"？")))</f>
        <v/>
      </c>
      <c r="I286" s="44">
        <f>IF(E286="","",IF(ISERROR(VALUE(E286)),E286&amp;"",IF(AND(VALUE(E286)&gt;=1,VALUE(E286)&lt;=20),IF(INDEX(設定!$P$8:$P$27,VALUE(E286))="","？",INDEX(設定!$P$8:$P$27,VALUE(E286))),"？")))</f>
        <v/>
      </c>
      <c r="J286" s="44">
        <f>IF(F286="","",IF(ISERROR(VALUE(F286)),F286&amp;"",IF(AND(VALUE(F286)&gt;=1,VALUE(F286)&lt;=20),IF(INDEX(設定!$P$8:$P$27,VALUE(F286))="","？",INDEX(設定!$P$8:$P$27,VALUE(F286))),"？")))</f>
        <v/>
      </c>
      <c r="K286" s="45">
        <f>IF(L286="","",IF(G286="","名簿にいない",IF(COUNTIF(L287:L$552,L286)&gt;0,"2回提出（下の行を使います）",IF(OR(H286="？",I286="？",J286="？"),"クラブ番号がちがう",IF(OR(AND(H286&lt;&gt;"",H286&lt;&gt;"？",COUNTIF(設定!$P$8:$P$27,H286)=0),AND(I286&lt;&gt;"",I286&lt;&gt;"？",COUNTIF(設定!$P$8:$P$27,I286)=0),AND(J286&lt;&gt;"",J286&lt;&gt;"？",COUNTIF(設定!$P$8:$P$27,J286)=0)),"クラブ名がちがう",IF(H286="","第1希望がない",IF(OR(AND(H286&lt;&gt;"",H286=I286),AND(H286&lt;&gt;"",H286=J286),AND(I286&lt;&gt;"",I286=J286)),"同じクラブを重複して希望","OK")))))))</f>
        <v/>
      </c>
      <c r="L286" s="8">
        <f>IF(A286="","",A286&amp;"-"&amp;B286&amp;"-"&amp;C286)</f>
        <v/>
      </c>
      <c r="M286" s="8">
        <f>IF(OR(L286="",G286=""),"",IF(COUNTIF(L287:L$552,L286)=0,L286,""))</f>
        <v/>
      </c>
    </row>
    <row r="287">
      <c r="A287" s="40" t="n">
        <v>4</v>
      </c>
      <c r="B287" s="40" t="inlineStr">
        <is>
          <t>松</t>
        </is>
      </c>
      <c r="C287" s="40" t="n">
        <v>10</v>
      </c>
      <c r="D287" s="40" t="n">
        <v>10</v>
      </c>
      <c r="E287" s="40" t="n">
        <v>6</v>
      </c>
      <c r="F287" s="40" t="n">
        <v>7</v>
      </c>
      <c r="G287" s="3">
        <f>IF(L287="","",IFERROR(INDEX(前年度名簿!$D$2:$D$451,MATCH(L287,前年度名簿!$F$2:$F$451,0)),""))</f>
        <v/>
      </c>
      <c r="H287" s="44">
        <f>IF(D287="","",IF(ISERROR(VALUE(D287)),D287&amp;"",IF(AND(VALUE(D287)&gt;=1,VALUE(D287)&lt;=20),IF(INDEX(設定!$P$8:$P$27,VALUE(D287))="","？",INDEX(設定!$P$8:$P$27,VALUE(D287))),"？")))</f>
        <v/>
      </c>
      <c r="I287" s="44">
        <f>IF(E287="","",IF(ISERROR(VALUE(E287)),E287&amp;"",IF(AND(VALUE(E287)&gt;=1,VALUE(E287)&lt;=20),IF(INDEX(設定!$P$8:$P$27,VALUE(E287))="","？",INDEX(設定!$P$8:$P$27,VALUE(E287))),"？")))</f>
        <v/>
      </c>
      <c r="J287" s="44">
        <f>IF(F287="","",IF(ISERROR(VALUE(F287)),F287&amp;"",IF(AND(VALUE(F287)&gt;=1,VALUE(F287)&lt;=20),IF(INDEX(設定!$P$8:$P$27,VALUE(F287))="","？",INDEX(設定!$P$8:$P$27,VALUE(F287))),"？")))</f>
        <v/>
      </c>
      <c r="K287" s="45">
        <f>IF(L287="","",IF(G287="","名簿にいない",IF(COUNTIF(L288:L$552,L287)&gt;0,"2回提出（下の行を使います）",IF(OR(H287="？",I287="？",J287="？"),"クラブ番号がちがう",IF(OR(AND(H287&lt;&gt;"",H287&lt;&gt;"？",COUNTIF(設定!$P$8:$P$27,H287)=0),AND(I287&lt;&gt;"",I287&lt;&gt;"？",COUNTIF(設定!$P$8:$P$27,I287)=0),AND(J287&lt;&gt;"",J287&lt;&gt;"？",COUNTIF(設定!$P$8:$P$27,J287)=0)),"クラブ名がちがう",IF(H287="","第1希望がない",IF(OR(AND(H287&lt;&gt;"",H287=I287),AND(H287&lt;&gt;"",H287=J287),AND(I287&lt;&gt;"",I287=J287)),"同じクラブを重複して希望","OK")))))))</f>
        <v/>
      </c>
      <c r="L287" s="8">
        <f>IF(A287="","",A287&amp;"-"&amp;B287&amp;"-"&amp;C287)</f>
        <v/>
      </c>
      <c r="M287" s="8">
        <f>IF(OR(L287="",G287=""),"",IF(COUNTIF(L288:L$552,L287)=0,L287,""))</f>
        <v/>
      </c>
    </row>
    <row r="288">
      <c r="A288" s="40" t="n">
        <v>3</v>
      </c>
      <c r="B288" s="40" t="inlineStr">
        <is>
          <t>松</t>
        </is>
      </c>
      <c r="C288" s="40" t="n">
        <v>25</v>
      </c>
      <c r="D288" s="40" t="n">
        <v>8</v>
      </c>
      <c r="E288" s="40" t="n">
        <v>7</v>
      </c>
      <c r="F288" s="40" t="n">
        <v>3</v>
      </c>
      <c r="G288" s="3">
        <f>IF(L288="","",IFERROR(INDEX(前年度名簿!$D$2:$D$451,MATCH(L288,前年度名簿!$F$2:$F$451,0)),""))</f>
        <v/>
      </c>
      <c r="H288" s="44">
        <f>IF(D288="","",IF(ISERROR(VALUE(D288)),D288&amp;"",IF(AND(VALUE(D288)&gt;=1,VALUE(D288)&lt;=20),IF(INDEX(設定!$P$8:$P$27,VALUE(D288))="","？",INDEX(設定!$P$8:$P$27,VALUE(D288))),"？")))</f>
        <v/>
      </c>
      <c r="I288" s="44">
        <f>IF(E288="","",IF(ISERROR(VALUE(E288)),E288&amp;"",IF(AND(VALUE(E288)&gt;=1,VALUE(E288)&lt;=20),IF(INDEX(設定!$P$8:$P$27,VALUE(E288))="","？",INDEX(設定!$P$8:$P$27,VALUE(E288))),"？")))</f>
        <v/>
      </c>
      <c r="J288" s="44">
        <f>IF(F288="","",IF(ISERROR(VALUE(F288)),F288&amp;"",IF(AND(VALUE(F288)&gt;=1,VALUE(F288)&lt;=20),IF(INDEX(設定!$P$8:$P$27,VALUE(F288))="","？",INDEX(設定!$P$8:$P$27,VALUE(F288))),"？")))</f>
        <v/>
      </c>
      <c r="K288" s="45">
        <f>IF(L288="","",IF(G288="","名簿にいない",IF(COUNTIF(L289:L$552,L288)&gt;0,"2回提出（下の行を使います）",IF(OR(H288="？",I288="？",J288="？"),"クラブ番号がちがう",IF(OR(AND(H288&lt;&gt;"",H288&lt;&gt;"？",COUNTIF(設定!$P$8:$P$27,H288)=0),AND(I288&lt;&gt;"",I288&lt;&gt;"？",COUNTIF(設定!$P$8:$P$27,I288)=0),AND(J288&lt;&gt;"",J288&lt;&gt;"？",COUNTIF(設定!$P$8:$P$27,J288)=0)),"クラブ名がちがう",IF(H288="","第1希望がない",IF(OR(AND(H288&lt;&gt;"",H288=I288),AND(H288&lt;&gt;"",H288=J288),AND(I288&lt;&gt;"",I288=J288)),"同じクラブを重複して希望","OK")))))))</f>
        <v/>
      </c>
      <c r="L288" s="8">
        <f>IF(A288="","",A288&amp;"-"&amp;B288&amp;"-"&amp;C288)</f>
        <v/>
      </c>
      <c r="M288" s="8">
        <f>IF(OR(L288="",G288=""),"",IF(COUNTIF(L289:L$552,L288)=0,L288,""))</f>
        <v/>
      </c>
    </row>
    <row r="289">
      <c r="A289" s="40" t="n">
        <v>5</v>
      </c>
      <c r="B289" s="40" t="inlineStr">
        <is>
          <t>竹</t>
        </is>
      </c>
      <c r="C289" s="40" t="n">
        <v>24</v>
      </c>
      <c r="D289" s="40" t="n">
        <v>10</v>
      </c>
      <c r="E289" s="40" t="n">
        <v>8</v>
      </c>
      <c r="F289" s="40" t="n">
        <v>3</v>
      </c>
      <c r="G289" s="3">
        <f>IF(L289="","",IFERROR(INDEX(前年度名簿!$D$2:$D$451,MATCH(L289,前年度名簿!$F$2:$F$451,0)),""))</f>
        <v/>
      </c>
      <c r="H289" s="44">
        <f>IF(D289="","",IF(ISERROR(VALUE(D289)),D289&amp;"",IF(AND(VALUE(D289)&gt;=1,VALUE(D289)&lt;=20),IF(INDEX(設定!$P$8:$P$27,VALUE(D289))="","？",INDEX(設定!$P$8:$P$27,VALUE(D289))),"？")))</f>
        <v/>
      </c>
      <c r="I289" s="44">
        <f>IF(E289="","",IF(ISERROR(VALUE(E289)),E289&amp;"",IF(AND(VALUE(E289)&gt;=1,VALUE(E289)&lt;=20),IF(INDEX(設定!$P$8:$P$27,VALUE(E289))="","？",INDEX(設定!$P$8:$P$27,VALUE(E289))),"？")))</f>
        <v/>
      </c>
      <c r="J289" s="44">
        <f>IF(F289="","",IF(ISERROR(VALUE(F289)),F289&amp;"",IF(AND(VALUE(F289)&gt;=1,VALUE(F289)&lt;=20),IF(INDEX(設定!$P$8:$P$27,VALUE(F289))="","？",INDEX(設定!$P$8:$P$27,VALUE(F289))),"？")))</f>
        <v/>
      </c>
      <c r="K289" s="45">
        <f>IF(L289="","",IF(G289="","名簿にいない",IF(COUNTIF(L290:L$552,L289)&gt;0,"2回提出（下の行を使います）",IF(OR(H289="？",I289="？",J289="？"),"クラブ番号がちがう",IF(OR(AND(H289&lt;&gt;"",H289&lt;&gt;"？",COUNTIF(設定!$P$8:$P$27,H289)=0),AND(I289&lt;&gt;"",I289&lt;&gt;"？",COUNTIF(設定!$P$8:$P$27,I289)=0),AND(J289&lt;&gt;"",J289&lt;&gt;"？",COUNTIF(設定!$P$8:$P$27,J289)=0)),"クラブ名がちがう",IF(H289="","第1希望がない",IF(OR(AND(H289&lt;&gt;"",H289=I289),AND(H289&lt;&gt;"",H289=J289),AND(I289&lt;&gt;"",I289=J289)),"同じクラブを重複して希望","OK")))))))</f>
        <v/>
      </c>
      <c r="L289" s="8">
        <f>IF(A289="","",A289&amp;"-"&amp;B289&amp;"-"&amp;C289)</f>
        <v/>
      </c>
      <c r="M289" s="8">
        <f>IF(OR(L289="",G289=""),"",IF(COUNTIF(L290:L$552,L289)=0,L289,""))</f>
        <v/>
      </c>
    </row>
    <row r="290">
      <c r="A290" s="40" t="n">
        <v>3</v>
      </c>
      <c r="B290" s="40" t="inlineStr">
        <is>
          <t>月</t>
        </is>
      </c>
      <c r="C290" s="40" t="n">
        <v>5</v>
      </c>
      <c r="D290" s="40" t="n">
        <v>7</v>
      </c>
      <c r="E290" s="40" t="n">
        <v>6</v>
      </c>
      <c r="F290" s="40" t="n">
        <v>9</v>
      </c>
      <c r="G290" s="3">
        <f>IF(L290="","",IFERROR(INDEX(前年度名簿!$D$2:$D$451,MATCH(L290,前年度名簿!$F$2:$F$451,0)),""))</f>
        <v/>
      </c>
      <c r="H290" s="44">
        <f>IF(D290="","",IF(ISERROR(VALUE(D290)),D290&amp;"",IF(AND(VALUE(D290)&gt;=1,VALUE(D290)&lt;=20),IF(INDEX(設定!$P$8:$P$27,VALUE(D290))="","？",INDEX(設定!$P$8:$P$27,VALUE(D290))),"？")))</f>
        <v/>
      </c>
      <c r="I290" s="44">
        <f>IF(E290="","",IF(ISERROR(VALUE(E290)),E290&amp;"",IF(AND(VALUE(E290)&gt;=1,VALUE(E290)&lt;=20),IF(INDEX(設定!$P$8:$P$27,VALUE(E290))="","？",INDEX(設定!$P$8:$P$27,VALUE(E290))),"？")))</f>
        <v/>
      </c>
      <c r="J290" s="44">
        <f>IF(F290="","",IF(ISERROR(VALUE(F290)),F290&amp;"",IF(AND(VALUE(F290)&gt;=1,VALUE(F290)&lt;=20),IF(INDEX(設定!$P$8:$P$27,VALUE(F290))="","？",INDEX(設定!$P$8:$P$27,VALUE(F290))),"？")))</f>
        <v/>
      </c>
      <c r="K290" s="45">
        <f>IF(L290="","",IF(G290="","名簿にいない",IF(COUNTIF(L291:L$552,L290)&gt;0,"2回提出（下の行を使います）",IF(OR(H290="？",I290="？",J290="？"),"クラブ番号がちがう",IF(OR(AND(H290&lt;&gt;"",H290&lt;&gt;"？",COUNTIF(設定!$P$8:$P$27,H290)=0),AND(I290&lt;&gt;"",I290&lt;&gt;"？",COUNTIF(設定!$P$8:$P$27,I290)=0),AND(J290&lt;&gt;"",J290&lt;&gt;"？",COUNTIF(設定!$P$8:$P$27,J290)=0)),"クラブ名がちがう",IF(H290="","第1希望がない",IF(OR(AND(H290&lt;&gt;"",H290=I290),AND(H290&lt;&gt;"",H290=J290),AND(I290&lt;&gt;"",I290=J290)),"同じクラブを重複して希望","OK")))))))</f>
        <v/>
      </c>
      <c r="L290" s="8">
        <f>IF(A290="","",A290&amp;"-"&amp;B290&amp;"-"&amp;C290)</f>
        <v/>
      </c>
      <c r="M290" s="8">
        <f>IF(OR(L290="",G290=""),"",IF(COUNTIF(L291:L$552,L290)=0,L290,""))</f>
        <v/>
      </c>
    </row>
    <row r="291">
      <c r="A291" s="40" t="n">
        <v>5</v>
      </c>
      <c r="B291" s="40" t="inlineStr">
        <is>
          <t>梅</t>
        </is>
      </c>
      <c r="C291" s="40" t="n">
        <v>14</v>
      </c>
      <c r="D291" s="40" t="n">
        <v>7</v>
      </c>
      <c r="E291" s="40" t="n">
        <v>3</v>
      </c>
      <c r="F291" s="40" t="n">
        <v>9</v>
      </c>
      <c r="G291" s="3">
        <f>IF(L291="","",IFERROR(INDEX(前年度名簿!$D$2:$D$451,MATCH(L291,前年度名簿!$F$2:$F$451,0)),""))</f>
        <v/>
      </c>
      <c r="H291" s="44">
        <f>IF(D291="","",IF(ISERROR(VALUE(D291)),D291&amp;"",IF(AND(VALUE(D291)&gt;=1,VALUE(D291)&lt;=20),IF(INDEX(設定!$P$8:$P$27,VALUE(D291))="","？",INDEX(設定!$P$8:$P$27,VALUE(D291))),"？")))</f>
        <v/>
      </c>
      <c r="I291" s="44">
        <f>IF(E291="","",IF(ISERROR(VALUE(E291)),E291&amp;"",IF(AND(VALUE(E291)&gt;=1,VALUE(E291)&lt;=20),IF(INDEX(設定!$P$8:$P$27,VALUE(E291))="","？",INDEX(設定!$P$8:$P$27,VALUE(E291))),"？")))</f>
        <v/>
      </c>
      <c r="J291" s="44">
        <f>IF(F291="","",IF(ISERROR(VALUE(F291)),F291&amp;"",IF(AND(VALUE(F291)&gt;=1,VALUE(F291)&lt;=20),IF(INDEX(設定!$P$8:$P$27,VALUE(F291))="","？",INDEX(設定!$P$8:$P$27,VALUE(F291))),"？")))</f>
        <v/>
      </c>
      <c r="K291" s="45">
        <f>IF(L291="","",IF(G291="","名簿にいない",IF(COUNTIF(L292:L$552,L291)&gt;0,"2回提出（下の行を使います）",IF(OR(H291="？",I291="？",J291="？"),"クラブ番号がちがう",IF(OR(AND(H291&lt;&gt;"",H291&lt;&gt;"？",COUNTIF(設定!$P$8:$P$27,H291)=0),AND(I291&lt;&gt;"",I291&lt;&gt;"？",COUNTIF(設定!$P$8:$P$27,I291)=0),AND(J291&lt;&gt;"",J291&lt;&gt;"？",COUNTIF(設定!$P$8:$P$27,J291)=0)),"クラブ名がちがう",IF(H291="","第1希望がない",IF(OR(AND(H291&lt;&gt;"",H291=I291),AND(H291&lt;&gt;"",H291=J291),AND(I291&lt;&gt;"",I291=J291)),"同じクラブを重複して希望","OK")))))))</f>
        <v/>
      </c>
      <c r="L291" s="8">
        <f>IF(A291="","",A291&amp;"-"&amp;B291&amp;"-"&amp;C291)</f>
        <v/>
      </c>
      <c r="M291" s="8">
        <f>IF(OR(L291="",G291=""),"",IF(COUNTIF(L292:L$552,L291)=0,L291,""))</f>
        <v/>
      </c>
    </row>
    <row r="292">
      <c r="A292" s="40" t="n">
        <v>5</v>
      </c>
      <c r="B292" s="40" t="inlineStr">
        <is>
          <t>月</t>
        </is>
      </c>
      <c r="C292" s="40" t="n">
        <v>7</v>
      </c>
      <c r="D292" s="40" t="n">
        <v>2</v>
      </c>
      <c r="E292" s="40" t="n">
        <v>7</v>
      </c>
      <c r="F292" s="40" t="n">
        <v>11</v>
      </c>
      <c r="G292" s="3">
        <f>IF(L292="","",IFERROR(INDEX(前年度名簿!$D$2:$D$451,MATCH(L292,前年度名簿!$F$2:$F$451,0)),""))</f>
        <v/>
      </c>
      <c r="H292" s="44">
        <f>IF(D292="","",IF(ISERROR(VALUE(D292)),D292&amp;"",IF(AND(VALUE(D292)&gt;=1,VALUE(D292)&lt;=20),IF(INDEX(設定!$P$8:$P$27,VALUE(D292))="","？",INDEX(設定!$P$8:$P$27,VALUE(D292))),"？")))</f>
        <v/>
      </c>
      <c r="I292" s="44">
        <f>IF(E292="","",IF(ISERROR(VALUE(E292)),E292&amp;"",IF(AND(VALUE(E292)&gt;=1,VALUE(E292)&lt;=20),IF(INDEX(設定!$P$8:$P$27,VALUE(E292))="","？",INDEX(設定!$P$8:$P$27,VALUE(E292))),"？")))</f>
        <v/>
      </c>
      <c r="J292" s="44">
        <f>IF(F292="","",IF(ISERROR(VALUE(F292)),F292&amp;"",IF(AND(VALUE(F292)&gt;=1,VALUE(F292)&lt;=20),IF(INDEX(設定!$P$8:$P$27,VALUE(F292))="","？",INDEX(設定!$P$8:$P$27,VALUE(F292))),"？")))</f>
        <v/>
      </c>
      <c r="K292" s="45">
        <f>IF(L292="","",IF(G292="","名簿にいない",IF(COUNTIF(L293:L$552,L292)&gt;0,"2回提出（下の行を使います）",IF(OR(H292="？",I292="？",J292="？"),"クラブ番号がちがう",IF(OR(AND(H292&lt;&gt;"",H292&lt;&gt;"？",COUNTIF(設定!$P$8:$P$27,H292)=0),AND(I292&lt;&gt;"",I292&lt;&gt;"？",COUNTIF(設定!$P$8:$P$27,I292)=0),AND(J292&lt;&gt;"",J292&lt;&gt;"？",COUNTIF(設定!$P$8:$P$27,J292)=0)),"クラブ名がちがう",IF(H292="","第1希望がない",IF(OR(AND(H292&lt;&gt;"",H292=I292),AND(H292&lt;&gt;"",H292=J292),AND(I292&lt;&gt;"",I292=J292)),"同じクラブを重複して希望","OK")))))))</f>
        <v/>
      </c>
      <c r="L292" s="8">
        <f>IF(A292="","",A292&amp;"-"&amp;B292&amp;"-"&amp;C292)</f>
        <v/>
      </c>
      <c r="M292" s="8">
        <f>IF(OR(L292="",G292=""),"",IF(COUNTIF(L293:L$552,L292)=0,L292,""))</f>
        <v/>
      </c>
    </row>
    <row r="293">
      <c r="A293" s="40" t="n">
        <v>4</v>
      </c>
      <c r="B293" s="40" t="inlineStr">
        <is>
          <t>松</t>
        </is>
      </c>
      <c r="C293" s="40" t="n">
        <v>1</v>
      </c>
      <c r="D293" s="40" t="n">
        <v>5</v>
      </c>
      <c r="E293" s="40" t="n">
        <v>10</v>
      </c>
      <c r="F293" s="40" t="n">
        <v>3</v>
      </c>
      <c r="G293" s="3">
        <f>IF(L293="","",IFERROR(INDEX(前年度名簿!$D$2:$D$451,MATCH(L293,前年度名簿!$F$2:$F$451,0)),""))</f>
        <v/>
      </c>
      <c r="H293" s="44">
        <f>IF(D293="","",IF(ISERROR(VALUE(D293)),D293&amp;"",IF(AND(VALUE(D293)&gt;=1,VALUE(D293)&lt;=20),IF(INDEX(設定!$P$8:$P$27,VALUE(D293))="","？",INDEX(設定!$P$8:$P$27,VALUE(D293))),"？")))</f>
        <v/>
      </c>
      <c r="I293" s="44">
        <f>IF(E293="","",IF(ISERROR(VALUE(E293)),E293&amp;"",IF(AND(VALUE(E293)&gt;=1,VALUE(E293)&lt;=20),IF(INDEX(設定!$P$8:$P$27,VALUE(E293))="","？",INDEX(設定!$P$8:$P$27,VALUE(E293))),"？")))</f>
        <v/>
      </c>
      <c r="J293" s="44">
        <f>IF(F293="","",IF(ISERROR(VALUE(F293)),F293&amp;"",IF(AND(VALUE(F293)&gt;=1,VALUE(F293)&lt;=20),IF(INDEX(設定!$P$8:$P$27,VALUE(F293))="","？",INDEX(設定!$P$8:$P$27,VALUE(F293))),"？")))</f>
        <v/>
      </c>
      <c r="K293" s="45">
        <f>IF(L293="","",IF(G293="","名簿にいない",IF(COUNTIF(L294:L$552,L293)&gt;0,"2回提出（下の行を使います）",IF(OR(H293="？",I293="？",J293="？"),"クラブ番号がちがう",IF(OR(AND(H293&lt;&gt;"",H293&lt;&gt;"？",COUNTIF(設定!$P$8:$P$27,H293)=0),AND(I293&lt;&gt;"",I293&lt;&gt;"？",COUNTIF(設定!$P$8:$P$27,I293)=0),AND(J293&lt;&gt;"",J293&lt;&gt;"？",COUNTIF(設定!$P$8:$P$27,J293)=0)),"クラブ名がちがう",IF(H293="","第1希望がない",IF(OR(AND(H293&lt;&gt;"",H293=I293),AND(H293&lt;&gt;"",H293=J293),AND(I293&lt;&gt;"",I293=J293)),"同じクラブを重複して希望","OK")))))))</f>
        <v/>
      </c>
      <c r="L293" s="8">
        <f>IF(A293="","",A293&amp;"-"&amp;B293&amp;"-"&amp;C293)</f>
        <v/>
      </c>
      <c r="M293" s="8">
        <f>IF(OR(L293="",G293=""),"",IF(COUNTIF(L294:L$552,L293)=0,L293,""))</f>
        <v/>
      </c>
    </row>
    <row r="294">
      <c r="A294" s="40" t="n">
        <v>5</v>
      </c>
      <c r="B294" s="40" t="inlineStr">
        <is>
          <t>竹</t>
        </is>
      </c>
      <c r="C294" s="40" t="n">
        <v>27</v>
      </c>
      <c r="D294" s="40" t="n">
        <v>11</v>
      </c>
      <c r="E294" s="40" t="n">
        <v>10</v>
      </c>
      <c r="F294" s="40" t="n">
        <v>8</v>
      </c>
      <c r="G294" s="3">
        <f>IF(L294="","",IFERROR(INDEX(前年度名簿!$D$2:$D$451,MATCH(L294,前年度名簿!$F$2:$F$451,0)),""))</f>
        <v/>
      </c>
      <c r="H294" s="44">
        <f>IF(D294="","",IF(ISERROR(VALUE(D294)),D294&amp;"",IF(AND(VALUE(D294)&gt;=1,VALUE(D294)&lt;=20),IF(INDEX(設定!$P$8:$P$27,VALUE(D294))="","？",INDEX(設定!$P$8:$P$27,VALUE(D294))),"？")))</f>
        <v/>
      </c>
      <c r="I294" s="44">
        <f>IF(E294="","",IF(ISERROR(VALUE(E294)),E294&amp;"",IF(AND(VALUE(E294)&gt;=1,VALUE(E294)&lt;=20),IF(INDEX(設定!$P$8:$P$27,VALUE(E294))="","？",INDEX(設定!$P$8:$P$27,VALUE(E294))),"？")))</f>
        <v/>
      </c>
      <c r="J294" s="44">
        <f>IF(F294="","",IF(ISERROR(VALUE(F294)),F294&amp;"",IF(AND(VALUE(F294)&gt;=1,VALUE(F294)&lt;=20),IF(INDEX(設定!$P$8:$P$27,VALUE(F294))="","？",INDEX(設定!$P$8:$P$27,VALUE(F294))),"？")))</f>
        <v/>
      </c>
      <c r="K294" s="45">
        <f>IF(L294="","",IF(G294="","名簿にいない",IF(COUNTIF(L295:L$552,L294)&gt;0,"2回提出（下の行を使います）",IF(OR(H294="？",I294="？",J294="？"),"クラブ番号がちがう",IF(OR(AND(H294&lt;&gt;"",H294&lt;&gt;"？",COUNTIF(設定!$P$8:$P$27,H294)=0),AND(I294&lt;&gt;"",I294&lt;&gt;"？",COUNTIF(設定!$P$8:$P$27,I294)=0),AND(J294&lt;&gt;"",J294&lt;&gt;"？",COUNTIF(設定!$P$8:$P$27,J294)=0)),"クラブ名がちがう",IF(H294="","第1希望がない",IF(OR(AND(H294&lt;&gt;"",H294=I294),AND(H294&lt;&gt;"",H294=J294),AND(I294&lt;&gt;"",I294=J294)),"同じクラブを重複して希望","OK")))))))</f>
        <v/>
      </c>
      <c r="L294" s="8">
        <f>IF(A294="","",A294&amp;"-"&amp;B294&amp;"-"&amp;C294)</f>
        <v/>
      </c>
      <c r="M294" s="8">
        <f>IF(OR(L294="",G294=""),"",IF(COUNTIF(L295:L$552,L294)=0,L294,""))</f>
        <v/>
      </c>
    </row>
    <row r="295">
      <c r="A295" s="40" t="n">
        <v>3</v>
      </c>
      <c r="B295" s="40" t="inlineStr">
        <is>
          <t>松</t>
        </is>
      </c>
      <c r="C295" s="40" t="n">
        <v>15</v>
      </c>
      <c r="D295" s="40" t="n">
        <v>1</v>
      </c>
      <c r="E295" s="40" t="n">
        <v>11</v>
      </c>
      <c r="F295" s="40" t="n">
        <v>6</v>
      </c>
      <c r="G295" s="3">
        <f>IF(L295="","",IFERROR(INDEX(前年度名簿!$D$2:$D$451,MATCH(L295,前年度名簿!$F$2:$F$451,0)),""))</f>
        <v/>
      </c>
      <c r="H295" s="44">
        <f>IF(D295="","",IF(ISERROR(VALUE(D295)),D295&amp;"",IF(AND(VALUE(D295)&gt;=1,VALUE(D295)&lt;=20),IF(INDEX(設定!$P$8:$P$27,VALUE(D295))="","？",INDEX(設定!$P$8:$P$27,VALUE(D295))),"？")))</f>
        <v/>
      </c>
      <c r="I295" s="44">
        <f>IF(E295="","",IF(ISERROR(VALUE(E295)),E295&amp;"",IF(AND(VALUE(E295)&gt;=1,VALUE(E295)&lt;=20),IF(INDEX(設定!$P$8:$P$27,VALUE(E295))="","？",INDEX(設定!$P$8:$P$27,VALUE(E295))),"？")))</f>
        <v/>
      </c>
      <c r="J295" s="44">
        <f>IF(F295="","",IF(ISERROR(VALUE(F295)),F295&amp;"",IF(AND(VALUE(F295)&gt;=1,VALUE(F295)&lt;=20),IF(INDEX(設定!$P$8:$P$27,VALUE(F295))="","？",INDEX(設定!$P$8:$P$27,VALUE(F295))),"？")))</f>
        <v/>
      </c>
      <c r="K295" s="45">
        <f>IF(L295="","",IF(G295="","名簿にいない",IF(COUNTIF(L296:L$552,L295)&gt;0,"2回提出（下の行を使います）",IF(OR(H295="？",I295="？",J295="？"),"クラブ番号がちがう",IF(OR(AND(H295&lt;&gt;"",H295&lt;&gt;"？",COUNTIF(設定!$P$8:$P$27,H295)=0),AND(I295&lt;&gt;"",I295&lt;&gt;"？",COUNTIF(設定!$P$8:$P$27,I295)=0),AND(J295&lt;&gt;"",J295&lt;&gt;"？",COUNTIF(設定!$P$8:$P$27,J295)=0)),"クラブ名がちがう",IF(H295="","第1希望がない",IF(OR(AND(H295&lt;&gt;"",H295=I295),AND(H295&lt;&gt;"",H295=J295),AND(I295&lt;&gt;"",I295=J295)),"同じクラブを重複して希望","OK")))))))</f>
        <v/>
      </c>
      <c r="L295" s="8">
        <f>IF(A295="","",A295&amp;"-"&amp;B295&amp;"-"&amp;C295)</f>
        <v/>
      </c>
      <c r="M295" s="8">
        <f>IF(OR(L295="",G295=""),"",IF(COUNTIF(L296:L$552,L295)=0,L295,""))</f>
        <v/>
      </c>
    </row>
    <row r="296">
      <c r="A296" s="40" t="n">
        <v>5</v>
      </c>
      <c r="B296" s="40" t="inlineStr">
        <is>
          <t>梅</t>
        </is>
      </c>
      <c r="C296" s="40" t="n">
        <v>5</v>
      </c>
      <c r="D296" s="40" t="n">
        <v>10</v>
      </c>
      <c r="E296" s="40" t="n">
        <v>1</v>
      </c>
      <c r="F296" s="40" t="n">
        <v>5</v>
      </c>
      <c r="G296" s="3">
        <f>IF(L296="","",IFERROR(INDEX(前年度名簿!$D$2:$D$451,MATCH(L296,前年度名簿!$F$2:$F$451,0)),""))</f>
        <v/>
      </c>
      <c r="H296" s="44">
        <f>IF(D296="","",IF(ISERROR(VALUE(D296)),D296&amp;"",IF(AND(VALUE(D296)&gt;=1,VALUE(D296)&lt;=20),IF(INDEX(設定!$P$8:$P$27,VALUE(D296))="","？",INDEX(設定!$P$8:$P$27,VALUE(D296))),"？")))</f>
        <v/>
      </c>
      <c r="I296" s="44">
        <f>IF(E296="","",IF(ISERROR(VALUE(E296)),E296&amp;"",IF(AND(VALUE(E296)&gt;=1,VALUE(E296)&lt;=20),IF(INDEX(設定!$P$8:$P$27,VALUE(E296))="","？",INDEX(設定!$P$8:$P$27,VALUE(E296))),"？")))</f>
        <v/>
      </c>
      <c r="J296" s="44">
        <f>IF(F296="","",IF(ISERROR(VALUE(F296)),F296&amp;"",IF(AND(VALUE(F296)&gt;=1,VALUE(F296)&lt;=20),IF(INDEX(設定!$P$8:$P$27,VALUE(F296))="","？",INDEX(設定!$P$8:$P$27,VALUE(F296))),"？")))</f>
        <v/>
      </c>
      <c r="K296" s="45">
        <f>IF(L296="","",IF(G296="","名簿にいない",IF(COUNTIF(L297:L$552,L296)&gt;0,"2回提出（下の行を使います）",IF(OR(H296="？",I296="？",J296="？"),"クラブ番号がちがう",IF(OR(AND(H296&lt;&gt;"",H296&lt;&gt;"？",COUNTIF(設定!$P$8:$P$27,H296)=0),AND(I296&lt;&gt;"",I296&lt;&gt;"？",COUNTIF(設定!$P$8:$P$27,I296)=0),AND(J296&lt;&gt;"",J296&lt;&gt;"？",COUNTIF(設定!$P$8:$P$27,J296)=0)),"クラブ名がちがう",IF(H296="","第1希望がない",IF(OR(AND(H296&lt;&gt;"",H296=I296),AND(H296&lt;&gt;"",H296=J296),AND(I296&lt;&gt;"",I296=J296)),"同じクラブを重複して希望","OK")))))))</f>
        <v/>
      </c>
      <c r="L296" s="8">
        <f>IF(A296="","",A296&amp;"-"&amp;B296&amp;"-"&amp;C296)</f>
        <v/>
      </c>
      <c r="M296" s="8">
        <f>IF(OR(L296="",G296=""),"",IF(COUNTIF(L297:L$552,L296)=0,L296,""))</f>
        <v/>
      </c>
    </row>
    <row r="297">
      <c r="A297" s="40" t="n">
        <v>5</v>
      </c>
      <c r="B297" s="40" t="inlineStr">
        <is>
          <t>松</t>
        </is>
      </c>
      <c r="C297" s="40" t="n">
        <v>27</v>
      </c>
      <c r="D297" s="40" t="n">
        <v>6</v>
      </c>
      <c r="E297" s="40" t="n">
        <v>4</v>
      </c>
      <c r="F297" s="40" t="n">
        <v>12</v>
      </c>
      <c r="G297" s="3">
        <f>IF(L297="","",IFERROR(INDEX(前年度名簿!$D$2:$D$451,MATCH(L297,前年度名簿!$F$2:$F$451,0)),""))</f>
        <v/>
      </c>
      <c r="H297" s="44">
        <f>IF(D297="","",IF(ISERROR(VALUE(D297)),D297&amp;"",IF(AND(VALUE(D297)&gt;=1,VALUE(D297)&lt;=20),IF(INDEX(設定!$P$8:$P$27,VALUE(D297))="","？",INDEX(設定!$P$8:$P$27,VALUE(D297))),"？")))</f>
        <v/>
      </c>
      <c r="I297" s="44">
        <f>IF(E297="","",IF(ISERROR(VALUE(E297)),E297&amp;"",IF(AND(VALUE(E297)&gt;=1,VALUE(E297)&lt;=20),IF(INDEX(設定!$P$8:$P$27,VALUE(E297))="","？",INDEX(設定!$P$8:$P$27,VALUE(E297))),"？")))</f>
        <v/>
      </c>
      <c r="J297" s="44">
        <f>IF(F297="","",IF(ISERROR(VALUE(F297)),F297&amp;"",IF(AND(VALUE(F297)&gt;=1,VALUE(F297)&lt;=20),IF(INDEX(設定!$P$8:$P$27,VALUE(F297))="","？",INDEX(設定!$P$8:$P$27,VALUE(F297))),"？")))</f>
        <v/>
      </c>
      <c r="K297" s="45">
        <f>IF(L297="","",IF(G297="","名簿にいない",IF(COUNTIF(L298:L$552,L297)&gt;0,"2回提出（下の行を使います）",IF(OR(H297="？",I297="？",J297="？"),"クラブ番号がちがう",IF(OR(AND(H297&lt;&gt;"",H297&lt;&gt;"？",COUNTIF(設定!$P$8:$P$27,H297)=0),AND(I297&lt;&gt;"",I297&lt;&gt;"？",COUNTIF(設定!$P$8:$P$27,I297)=0),AND(J297&lt;&gt;"",J297&lt;&gt;"？",COUNTIF(設定!$P$8:$P$27,J297)=0)),"クラブ名がちがう",IF(H297="","第1希望がない",IF(OR(AND(H297&lt;&gt;"",H297=I297),AND(H297&lt;&gt;"",H297=J297),AND(I297&lt;&gt;"",I297=J297)),"同じクラブを重複して希望","OK")))))))</f>
        <v/>
      </c>
      <c r="L297" s="8">
        <f>IF(A297="","",A297&amp;"-"&amp;B297&amp;"-"&amp;C297)</f>
        <v/>
      </c>
      <c r="M297" s="8">
        <f>IF(OR(L297="",G297=""),"",IF(COUNTIF(L298:L$552,L297)=0,L297,""))</f>
        <v/>
      </c>
    </row>
    <row r="298">
      <c r="A298" s="40" t="n">
        <v>4</v>
      </c>
      <c r="B298" s="40" t="inlineStr">
        <is>
          <t>梅</t>
        </is>
      </c>
      <c r="C298" s="40" t="n">
        <v>27</v>
      </c>
      <c r="D298" s="40" t="n">
        <v>2</v>
      </c>
      <c r="E298" s="40" t="n">
        <v>6</v>
      </c>
      <c r="F298" s="40" t="n">
        <v>12</v>
      </c>
      <c r="G298" s="3">
        <f>IF(L298="","",IFERROR(INDEX(前年度名簿!$D$2:$D$451,MATCH(L298,前年度名簿!$F$2:$F$451,0)),""))</f>
        <v/>
      </c>
      <c r="H298" s="44">
        <f>IF(D298="","",IF(ISERROR(VALUE(D298)),D298&amp;"",IF(AND(VALUE(D298)&gt;=1,VALUE(D298)&lt;=20),IF(INDEX(設定!$P$8:$P$27,VALUE(D298))="","？",INDEX(設定!$P$8:$P$27,VALUE(D298))),"？")))</f>
        <v/>
      </c>
      <c r="I298" s="44">
        <f>IF(E298="","",IF(ISERROR(VALUE(E298)),E298&amp;"",IF(AND(VALUE(E298)&gt;=1,VALUE(E298)&lt;=20),IF(INDEX(設定!$P$8:$P$27,VALUE(E298))="","？",INDEX(設定!$P$8:$P$27,VALUE(E298))),"？")))</f>
        <v/>
      </c>
      <c r="J298" s="44">
        <f>IF(F298="","",IF(ISERROR(VALUE(F298)),F298&amp;"",IF(AND(VALUE(F298)&gt;=1,VALUE(F298)&lt;=20),IF(INDEX(設定!$P$8:$P$27,VALUE(F298))="","？",INDEX(設定!$P$8:$P$27,VALUE(F298))),"？")))</f>
        <v/>
      </c>
      <c r="K298" s="45">
        <f>IF(L298="","",IF(G298="","名簿にいない",IF(COUNTIF(L299:L$552,L298)&gt;0,"2回提出（下の行を使います）",IF(OR(H298="？",I298="？",J298="？"),"クラブ番号がちがう",IF(OR(AND(H298&lt;&gt;"",H298&lt;&gt;"？",COUNTIF(設定!$P$8:$P$27,H298)=0),AND(I298&lt;&gt;"",I298&lt;&gt;"？",COUNTIF(設定!$P$8:$P$27,I298)=0),AND(J298&lt;&gt;"",J298&lt;&gt;"？",COUNTIF(設定!$P$8:$P$27,J298)=0)),"クラブ名がちがう",IF(H298="","第1希望がない",IF(OR(AND(H298&lt;&gt;"",H298=I298),AND(H298&lt;&gt;"",H298=J298),AND(I298&lt;&gt;"",I298=J298)),"同じクラブを重複して希望","OK")))))))</f>
        <v/>
      </c>
      <c r="L298" s="8">
        <f>IF(A298="","",A298&amp;"-"&amp;B298&amp;"-"&amp;C298)</f>
        <v/>
      </c>
      <c r="M298" s="8">
        <f>IF(OR(L298="",G298=""),"",IF(COUNTIF(L299:L$552,L298)=0,L298,""))</f>
        <v/>
      </c>
    </row>
    <row r="299">
      <c r="A299" s="40" t="n">
        <v>3</v>
      </c>
      <c r="B299" s="40" t="inlineStr">
        <is>
          <t>竹</t>
        </is>
      </c>
      <c r="C299" s="40" t="n">
        <v>16</v>
      </c>
      <c r="D299" s="40" t="n">
        <v>2</v>
      </c>
      <c r="E299" s="40" t="n">
        <v>7</v>
      </c>
      <c r="F299" s="40" t="n">
        <v>1</v>
      </c>
      <c r="G299" s="3">
        <f>IF(L299="","",IFERROR(INDEX(前年度名簿!$D$2:$D$451,MATCH(L299,前年度名簿!$F$2:$F$451,0)),""))</f>
        <v/>
      </c>
      <c r="H299" s="44">
        <f>IF(D299="","",IF(ISERROR(VALUE(D299)),D299&amp;"",IF(AND(VALUE(D299)&gt;=1,VALUE(D299)&lt;=20),IF(INDEX(設定!$P$8:$P$27,VALUE(D299))="","？",INDEX(設定!$P$8:$P$27,VALUE(D299))),"？")))</f>
        <v/>
      </c>
      <c r="I299" s="44">
        <f>IF(E299="","",IF(ISERROR(VALUE(E299)),E299&amp;"",IF(AND(VALUE(E299)&gt;=1,VALUE(E299)&lt;=20),IF(INDEX(設定!$P$8:$P$27,VALUE(E299))="","？",INDEX(設定!$P$8:$P$27,VALUE(E299))),"？")))</f>
        <v/>
      </c>
      <c r="J299" s="44">
        <f>IF(F299="","",IF(ISERROR(VALUE(F299)),F299&amp;"",IF(AND(VALUE(F299)&gt;=1,VALUE(F299)&lt;=20),IF(INDEX(設定!$P$8:$P$27,VALUE(F299))="","？",INDEX(設定!$P$8:$P$27,VALUE(F299))),"？")))</f>
        <v/>
      </c>
      <c r="K299" s="45">
        <f>IF(L299="","",IF(G299="","名簿にいない",IF(COUNTIF(L300:L$552,L299)&gt;0,"2回提出（下の行を使います）",IF(OR(H299="？",I299="？",J299="？"),"クラブ番号がちがう",IF(OR(AND(H299&lt;&gt;"",H299&lt;&gt;"？",COUNTIF(設定!$P$8:$P$27,H299)=0),AND(I299&lt;&gt;"",I299&lt;&gt;"？",COUNTIF(設定!$P$8:$P$27,I299)=0),AND(J299&lt;&gt;"",J299&lt;&gt;"？",COUNTIF(設定!$P$8:$P$27,J299)=0)),"クラブ名がちがう",IF(H299="","第1希望がない",IF(OR(AND(H299&lt;&gt;"",H299=I299),AND(H299&lt;&gt;"",H299=J299),AND(I299&lt;&gt;"",I299=J299)),"同じクラブを重複して希望","OK")))))))</f>
        <v/>
      </c>
      <c r="L299" s="8">
        <f>IF(A299="","",A299&amp;"-"&amp;B299&amp;"-"&amp;C299)</f>
        <v/>
      </c>
      <c r="M299" s="8">
        <f>IF(OR(L299="",G299=""),"",IF(COUNTIF(L300:L$552,L299)=0,L299,""))</f>
        <v/>
      </c>
    </row>
    <row r="300">
      <c r="A300" s="40" t="n">
        <v>3</v>
      </c>
      <c r="B300" s="40" t="inlineStr">
        <is>
          <t>松</t>
        </is>
      </c>
      <c r="C300" s="40" t="n">
        <v>4</v>
      </c>
      <c r="D300" s="40" t="n">
        <v>6</v>
      </c>
      <c r="E300" s="40" t="n">
        <v>11</v>
      </c>
      <c r="F300" s="40" t="n">
        <v>8</v>
      </c>
      <c r="G300" s="3">
        <f>IF(L300="","",IFERROR(INDEX(前年度名簿!$D$2:$D$451,MATCH(L300,前年度名簿!$F$2:$F$451,0)),""))</f>
        <v/>
      </c>
      <c r="H300" s="44">
        <f>IF(D300="","",IF(ISERROR(VALUE(D300)),D300&amp;"",IF(AND(VALUE(D300)&gt;=1,VALUE(D300)&lt;=20),IF(INDEX(設定!$P$8:$P$27,VALUE(D300))="","？",INDEX(設定!$P$8:$P$27,VALUE(D300))),"？")))</f>
        <v/>
      </c>
      <c r="I300" s="44">
        <f>IF(E300="","",IF(ISERROR(VALUE(E300)),E300&amp;"",IF(AND(VALUE(E300)&gt;=1,VALUE(E300)&lt;=20),IF(INDEX(設定!$P$8:$P$27,VALUE(E300))="","？",INDEX(設定!$P$8:$P$27,VALUE(E300))),"？")))</f>
        <v/>
      </c>
      <c r="J300" s="44">
        <f>IF(F300="","",IF(ISERROR(VALUE(F300)),F300&amp;"",IF(AND(VALUE(F300)&gt;=1,VALUE(F300)&lt;=20),IF(INDEX(設定!$P$8:$P$27,VALUE(F300))="","？",INDEX(設定!$P$8:$P$27,VALUE(F300))),"？")))</f>
        <v/>
      </c>
      <c r="K300" s="45">
        <f>IF(L300="","",IF(G300="","名簿にいない",IF(COUNTIF(L301:L$552,L300)&gt;0,"2回提出（下の行を使います）",IF(OR(H300="？",I300="？",J300="？"),"クラブ番号がちがう",IF(OR(AND(H300&lt;&gt;"",H300&lt;&gt;"？",COUNTIF(設定!$P$8:$P$27,H300)=0),AND(I300&lt;&gt;"",I300&lt;&gt;"？",COUNTIF(設定!$P$8:$P$27,I300)=0),AND(J300&lt;&gt;"",J300&lt;&gt;"？",COUNTIF(設定!$P$8:$P$27,J300)=0)),"クラブ名がちがう",IF(H300="","第1希望がない",IF(OR(AND(H300&lt;&gt;"",H300=I300),AND(H300&lt;&gt;"",H300=J300),AND(I300&lt;&gt;"",I300=J300)),"同じクラブを重複して希望","OK")))))))</f>
        <v/>
      </c>
      <c r="L300" s="8">
        <f>IF(A300="","",A300&amp;"-"&amp;B300&amp;"-"&amp;C300)</f>
        <v/>
      </c>
      <c r="M300" s="8">
        <f>IF(OR(L300="",G300=""),"",IF(COUNTIF(L301:L$552,L300)=0,L300,""))</f>
        <v/>
      </c>
    </row>
    <row r="301">
      <c r="A301" s="40" t="n">
        <v>5</v>
      </c>
      <c r="B301" s="40" t="inlineStr">
        <is>
          <t>月</t>
        </is>
      </c>
      <c r="C301" s="40" t="n">
        <v>8</v>
      </c>
      <c r="D301" s="40" t="n">
        <v>4</v>
      </c>
      <c r="E301" s="40" t="n">
        <v>5</v>
      </c>
      <c r="F301" s="40" t="n">
        <v>1</v>
      </c>
      <c r="G301" s="3">
        <f>IF(L301="","",IFERROR(INDEX(前年度名簿!$D$2:$D$451,MATCH(L301,前年度名簿!$F$2:$F$451,0)),""))</f>
        <v/>
      </c>
      <c r="H301" s="44">
        <f>IF(D301="","",IF(ISERROR(VALUE(D301)),D301&amp;"",IF(AND(VALUE(D301)&gt;=1,VALUE(D301)&lt;=20),IF(INDEX(設定!$P$8:$P$27,VALUE(D301))="","？",INDEX(設定!$P$8:$P$27,VALUE(D301))),"？")))</f>
        <v/>
      </c>
      <c r="I301" s="44">
        <f>IF(E301="","",IF(ISERROR(VALUE(E301)),E301&amp;"",IF(AND(VALUE(E301)&gt;=1,VALUE(E301)&lt;=20),IF(INDEX(設定!$P$8:$P$27,VALUE(E301))="","？",INDEX(設定!$P$8:$P$27,VALUE(E301))),"？")))</f>
        <v/>
      </c>
      <c r="J301" s="44">
        <f>IF(F301="","",IF(ISERROR(VALUE(F301)),F301&amp;"",IF(AND(VALUE(F301)&gt;=1,VALUE(F301)&lt;=20),IF(INDEX(設定!$P$8:$P$27,VALUE(F301))="","？",INDEX(設定!$P$8:$P$27,VALUE(F301))),"？")))</f>
        <v/>
      </c>
      <c r="K301" s="45">
        <f>IF(L301="","",IF(G301="","名簿にいない",IF(COUNTIF(L302:L$552,L301)&gt;0,"2回提出（下の行を使います）",IF(OR(H301="？",I301="？",J301="？"),"クラブ番号がちがう",IF(OR(AND(H301&lt;&gt;"",H301&lt;&gt;"？",COUNTIF(設定!$P$8:$P$27,H301)=0),AND(I301&lt;&gt;"",I301&lt;&gt;"？",COUNTIF(設定!$P$8:$P$27,I301)=0),AND(J301&lt;&gt;"",J301&lt;&gt;"？",COUNTIF(設定!$P$8:$P$27,J301)=0)),"クラブ名がちがう",IF(H301="","第1希望がない",IF(OR(AND(H301&lt;&gt;"",H301=I301),AND(H301&lt;&gt;"",H301=J301),AND(I301&lt;&gt;"",I301=J301)),"同じクラブを重複して希望","OK")))))))</f>
        <v/>
      </c>
      <c r="L301" s="8">
        <f>IF(A301="","",A301&amp;"-"&amp;B301&amp;"-"&amp;C301)</f>
        <v/>
      </c>
      <c r="M301" s="8">
        <f>IF(OR(L301="",G301=""),"",IF(COUNTIF(L302:L$552,L301)=0,L301,""))</f>
        <v/>
      </c>
    </row>
    <row r="302">
      <c r="A302" s="40" t="n">
        <v>4</v>
      </c>
      <c r="B302" s="40" t="inlineStr">
        <is>
          <t>竹</t>
        </is>
      </c>
      <c r="C302" s="40" t="n">
        <v>12</v>
      </c>
      <c r="D302" s="40" t="n">
        <v>12</v>
      </c>
      <c r="E302" s="40" t="n">
        <v>6</v>
      </c>
      <c r="F302" s="40" t="n">
        <v>2</v>
      </c>
      <c r="G302" s="3">
        <f>IF(L302="","",IFERROR(INDEX(前年度名簿!$D$2:$D$451,MATCH(L302,前年度名簿!$F$2:$F$451,0)),""))</f>
        <v/>
      </c>
      <c r="H302" s="44">
        <f>IF(D302="","",IF(ISERROR(VALUE(D302)),D302&amp;"",IF(AND(VALUE(D302)&gt;=1,VALUE(D302)&lt;=20),IF(INDEX(設定!$P$8:$P$27,VALUE(D302))="","？",INDEX(設定!$P$8:$P$27,VALUE(D302))),"？")))</f>
        <v/>
      </c>
      <c r="I302" s="44">
        <f>IF(E302="","",IF(ISERROR(VALUE(E302)),E302&amp;"",IF(AND(VALUE(E302)&gt;=1,VALUE(E302)&lt;=20),IF(INDEX(設定!$P$8:$P$27,VALUE(E302))="","？",INDEX(設定!$P$8:$P$27,VALUE(E302))),"？")))</f>
        <v/>
      </c>
      <c r="J302" s="44">
        <f>IF(F302="","",IF(ISERROR(VALUE(F302)),F302&amp;"",IF(AND(VALUE(F302)&gt;=1,VALUE(F302)&lt;=20),IF(INDEX(設定!$P$8:$P$27,VALUE(F302))="","？",INDEX(設定!$P$8:$P$27,VALUE(F302))),"？")))</f>
        <v/>
      </c>
      <c r="K302" s="45">
        <f>IF(L302="","",IF(G302="","名簿にいない",IF(COUNTIF(L303:L$552,L302)&gt;0,"2回提出（下の行を使います）",IF(OR(H302="？",I302="？",J302="？"),"クラブ番号がちがう",IF(OR(AND(H302&lt;&gt;"",H302&lt;&gt;"？",COUNTIF(設定!$P$8:$P$27,H302)=0),AND(I302&lt;&gt;"",I302&lt;&gt;"？",COUNTIF(設定!$P$8:$P$27,I302)=0),AND(J302&lt;&gt;"",J302&lt;&gt;"？",COUNTIF(設定!$P$8:$P$27,J302)=0)),"クラブ名がちがう",IF(H302="","第1希望がない",IF(OR(AND(H302&lt;&gt;"",H302=I302),AND(H302&lt;&gt;"",H302=J302),AND(I302&lt;&gt;"",I302=J302)),"同じクラブを重複して希望","OK")))))))</f>
        <v/>
      </c>
      <c r="L302" s="8">
        <f>IF(A302="","",A302&amp;"-"&amp;B302&amp;"-"&amp;C302)</f>
        <v/>
      </c>
      <c r="M302" s="8">
        <f>IF(OR(L302="",G302=""),"",IF(COUNTIF(L303:L$552,L302)=0,L302,""))</f>
        <v/>
      </c>
    </row>
    <row r="303">
      <c r="A303" s="40" t="n">
        <v>4</v>
      </c>
      <c r="B303" s="40" t="inlineStr">
        <is>
          <t>松</t>
        </is>
      </c>
      <c r="C303" s="40" t="n">
        <v>13</v>
      </c>
      <c r="D303" s="40" t="n">
        <v>7</v>
      </c>
      <c r="E303" s="40" t="n">
        <v>5</v>
      </c>
      <c r="F303" s="40" t="n">
        <v>10</v>
      </c>
      <c r="G303" s="3">
        <f>IF(L303="","",IFERROR(INDEX(前年度名簿!$D$2:$D$451,MATCH(L303,前年度名簿!$F$2:$F$451,0)),""))</f>
        <v/>
      </c>
      <c r="H303" s="44">
        <f>IF(D303="","",IF(ISERROR(VALUE(D303)),D303&amp;"",IF(AND(VALUE(D303)&gt;=1,VALUE(D303)&lt;=20),IF(INDEX(設定!$P$8:$P$27,VALUE(D303))="","？",INDEX(設定!$P$8:$P$27,VALUE(D303))),"？")))</f>
        <v/>
      </c>
      <c r="I303" s="44">
        <f>IF(E303="","",IF(ISERROR(VALUE(E303)),E303&amp;"",IF(AND(VALUE(E303)&gt;=1,VALUE(E303)&lt;=20),IF(INDEX(設定!$P$8:$P$27,VALUE(E303))="","？",INDEX(設定!$P$8:$P$27,VALUE(E303))),"？")))</f>
        <v/>
      </c>
      <c r="J303" s="44">
        <f>IF(F303="","",IF(ISERROR(VALUE(F303)),F303&amp;"",IF(AND(VALUE(F303)&gt;=1,VALUE(F303)&lt;=20),IF(INDEX(設定!$P$8:$P$27,VALUE(F303))="","？",INDEX(設定!$P$8:$P$27,VALUE(F303))),"？")))</f>
        <v/>
      </c>
      <c r="K303" s="45">
        <f>IF(L303="","",IF(G303="","名簿にいない",IF(COUNTIF(L304:L$552,L303)&gt;0,"2回提出（下の行を使います）",IF(OR(H303="？",I303="？",J303="？"),"クラブ番号がちがう",IF(OR(AND(H303&lt;&gt;"",H303&lt;&gt;"？",COUNTIF(設定!$P$8:$P$27,H303)=0),AND(I303&lt;&gt;"",I303&lt;&gt;"？",COUNTIF(設定!$P$8:$P$27,I303)=0),AND(J303&lt;&gt;"",J303&lt;&gt;"？",COUNTIF(設定!$P$8:$P$27,J303)=0)),"クラブ名がちがう",IF(H303="","第1希望がない",IF(OR(AND(H303&lt;&gt;"",H303=I303),AND(H303&lt;&gt;"",H303=J303),AND(I303&lt;&gt;"",I303=J303)),"同じクラブを重複して希望","OK")))))))</f>
        <v/>
      </c>
      <c r="L303" s="8">
        <f>IF(A303="","",A303&amp;"-"&amp;B303&amp;"-"&amp;C303)</f>
        <v/>
      </c>
      <c r="M303" s="8">
        <f>IF(OR(L303="",G303=""),"",IF(COUNTIF(L304:L$552,L303)=0,L303,""))</f>
        <v/>
      </c>
    </row>
    <row r="304">
      <c r="A304" s="40" t="n">
        <v>4</v>
      </c>
      <c r="B304" s="40" t="inlineStr">
        <is>
          <t>竹</t>
        </is>
      </c>
      <c r="C304" s="40" t="n">
        <v>20</v>
      </c>
      <c r="D304" s="40" t="n">
        <v>10</v>
      </c>
      <c r="E304" s="40" t="n">
        <v>8</v>
      </c>
      <c r="F304" s="40" t="n">
        <v>5</v>
      </c>
      <c r="G304" s="3">
        <f>IF(L304="","",IFERROR(INDEX(前年度名簿!$D$2:$D$451,MATCH(L304,前年度名簿!$F$2:$F$451,0)),""))</f>
        <v/>
      </c>
      <c r="H304" s="44">
        <f>IF(D304="","",IF(ISERROR(VALUE(D304)),D304&amp;"",IF(AND(VALUE(D304)&gt;=1,VALUE(D304)&lt;=20),IF(INDEX(設定!$P$8:$P$27,VALUE(D304))="","？",INDEX(設定!$P$8:$P$27,VALUE(D304))),"？")))</f>
        <v/>
      </c>
      <c r="I304" s="44">
        <f>IF(E304="","",IF(ISERROR(VALUE(E304)),E304&amp;"",IF(AND(VALUE(E304)&gt;=1,VALUE(E304)&lt;=20),IF(INDEX(設定!$P$8:$P$27,VALUE(E304))="","？",INDEX(設定!$P$8:$P$27,VALUE(E304))),"？")))</f>
        <v/>
      </c>
      <c r="J304" s="44">
        <f>IF(F304="","",IF(ISERROR(VALUE(F304)),F304&amp;"",IF(AND(VALUE(F304)&gt;=1,VALUE(F304)&lt;=20),IF(INDEX(設定!$P$8:$P$27,VALUE(F304))="","？",INDEX(設定!$P$8:$P$27,VALUE(F304))),"？")))</f>
        <v/>
      </c>
      <c r="K304" s="45">
        <f>IF(L304="","",IF(G304="","名簿にいない",IF(COUNTIF(L305:L$552,L304)&gt;0,"2回提出（下の行を使います）",IF(OR(H304="？",I304="？",J304="？"),"クラブ番号がちがう",IF(OR(AND(H304&lt;&gt;"",H304&lt;&gt;"？",COUNTIF(設定!$P$8:$P$27,H304)=0),AND(I304&lt;&gt;"",I304&lt;&gt;"？",COUNTIF(設定!$P$8:$P$27,I304)=0),AND(J304&lt;&gt;"",J304&lt;&gt;"？",COUNTIF(設定!$P$8:$P$27,J304)=0)),"クラブ名がちがう",IF(H304="","第1希望がない",IF(OR(AND(H304&lt;&gt;"",H304=I304),AND(H304&lt;&gt;"",H304=J304),AND(I304&lt;&gt;"",I304=J304)),"同じクラブを重複して希望","OK")))))))</f>
        <v/>
      </c>
      <c r="L304" s="8">
        <f>IF(A304="","",A304&amp;"-"&amp;B304&amp;"-"&amp;C304)</f>
        <v/>
      </c>
      <c r="M304" s="8">
        <f>IF(OR(L304="",G304=""),"",IF(COUNTIF(L305:L$552,L304)=0,L304,""))</f>
        <v/>
      </c>
    </row>
    <row r="305">
      <c r="A305" s="40" t="n">
        <v>3</v>
      </c>
      <c r="B305" s="40" t="inlineStr">
        <is>
          <t>月</t>
        </is>
      </c>
      <c r="C305" s="40" t="n">
        <v>1</v>
      </c>
      <c r="D305" s="40" t="n">
        <v>2</v>
      </c>
      <c r="E305" s="40" t="n">
        <v>4</v>
      </c>
      <c r="F305" s="40" t="n">
        <v>5</v>
      </c>
      <c r="G305" s="3">
        <f>IF(L305="","",IFERROR(INDEX(前年度名簿!$D$2:$D$451,MATCH(L305,前年度名簿!$F$2:$F$451,0)),""))</f>
        <v/>
      </c>
      <c r="H305" s="44">
        <f>IF(D305="","",IF(ISERROR(VALUE(D305)),D305&amp;"",IF(AND(VALUE(D305)&gt;=1,VALUE(D305)&lt;=20),IF(INDEX(設定!$P$8:$P$27,VALUE(D305))="","？",INDEX(設定!$P$8:$P$27,VALUE(D305))),"？")))</f>
        <v/>
      </c>
      <c r="I305" s="44">
        <f>IF(E305="","",IF(ISERROR(VALUE(E305)),E305&amp;"",IF(AND(VALUE(E305)&gt;=1,VALUE(E305)&lt;=20),IF(INDEX(設定!$P$8:$P$27,VALUE(E305))="","？",INDEX(設定!$P$8:$P$27,VALUE(E305))),"？")))</f>
        <v/>
      </c>
      <c r="J305" s="44">
        <f>IF(F305="","",IF(ISERROR(VALUE(F305)),F305&amp;"",IF(AND(VALUE(F305)&gt;=1,VALUE(F305)&lt;=20),IF(INDEX(設定!$P$8:$P$27,VALUE(F305))="","？",INDEX(設定!$P$8:$P$27,VALUE(F305))),"？")))</f>
        <v/>
      </c>
      <c r="K305" s="45">
        <f>IF(L305="","",IF(G305="","名簿にいない",IF(COUNTIF(L306:L$552,L305)&gt;0,"2回提出（下の行を使います）",IF(OR(H305="？",I305="？",J305="？"),"クラブ番号がちがう",IF(OR(AND(H305&lt;&gt;"",H305&lt;&gt;"？",COUNTIF(設定!$P$8:$P$27,H305)=0),AND(I305&lt;&gt;"",I305&lt;&gt;"？",COUNTIF(設定!$P$8:$P$27,I305)=0),AND(J305&lt;&gt;"",J305&lt;&gt;"？",COUNTIF(設定!$P$8:$P$27,J305)=0)),"クラブ名がちがう",IF(H305="","第1希望がない",IF(OR(AND(H305&lt;&gt;"",H305=I305),AND(H305&lt;&gt;"",H305=J305),AND(I305&lt;&gt;"",I305=J305)),"同じクラブを重複して希望","OK")))))))</f>
        <v/>
      </c>
      <c r="L305" s="8">
        <f>IF(A305="","",A305&amp;"-"&amp;B305&amp;"-"&amp;C305)</f>
        <v/>
      </c>
      <c r="M305" s="8">
        <f>IF(OR(L305="",G305=""),"",IF(COUNTIF(L306:L$552,L305)=0,L305,""))</f>
        <v/>
      </c>
    </row>
    <row r="306">
      <c r="A306" s="40" t="n">
        <v>3</v>
      </c>
      <c r="B306" s="40" t="inlineStr">
        <is>
          <t>竹</t>
        </is>
      </c>
      <c r="C306" s="40" t="n">
        <v>8</v>
      </c>
      <c r="D306" s="40" t="n">
        <v>8</v>
      </c>
      <c r="E306" s="40" t="n">
        <v>3</v>
      </c>
      <c r="F306" s="40" t="n">
        <v>11</v>
      </c>
      <c r="G306" s="3">
        <f>IF(L306="","",IFERROR(INDEX(前年度名簿!$D$2:$D$451,MATCH(L306,前年度名簿!$F$2:$F$451,0)),""))</f>
        <v/>
      </c>
      <c r="H306" s="44">
        <f>IF(D306="","",IF(ISERROR(VALUE(D306)),D306&amp;"",IF(AND(VALUE(D306)&gt;=1,VALUE(D306)&lt;=20),IF(INDEX(設定!$P$8:$P$27,VALUE(D306))="","？",INDEX(設定!$P$8:$P$27,VALUE(D306))),"？")))</f>
        <v/>
      </c>
      <c r="I306" s="44">
        <f>IF(E306="","",IF(ISERROR(VALUE(E306)),E306&amp;"",IF(AND(VALUE(E306)&gt;=1,VALUE(E306)&lt;=20),IF(INDEX(設定!$P$8:$P$27,VALUE(E306))="","？",INDEX(設定!$P$8:$P$27,VALUE(E306))),"？")))</f>
        <v/>
      </c>
      <c r="J306" s="44">
        <f>IF(F306="","",IF(ISERROR(VALUE(F306)),F306&amp;"",IF(AND(VALUE(F306)&gt;=1,VALUE(F306)&lt;=20),IF(INDEX(設定!$P$8:$P$27,VALUE(F306))="","？",INDEX(設定!$P$8:$P$27,VALUE(F306))),"？")))</f>
        <v/>
      </c>
      <c r="K306" s="45">
        <f>IF(L306="","",IF(G306="","名簿にいない",IF(COUNTIF(L307:L$552,L306)&gt;0,"2回提出（下の行を使います）",IF(OR(H306="？",I306="？",J306="？"),"クラブ番号がちがう",IF(OR(AND(H306&lt;&gt;"",H306&lt;&gt;"？",COUNTIF(設定!$P$8:$P$27,H306)=0),AND(I306&lt;&gt;"",I306&lt;&gt;"？",COUNTIF(設定!$P$8:$P$27,I306)=0),AND(J306&lt;&gt;"",J306&lt;&gt;"？",COUNTIF(設定!$P$8:$P$27,J306)=0)),"クラブ名がちがう",IF(H306="","第1希望がない",IF(OR(AND(H306&lt;&gt;"",H306=I306),AND(H306&lt;&gt;"",H306=J306),AND(I306&lt;&gt;"",I306=J306)),"同じクラブを重複して希望","OK")))))))</f>
        <v/>
      </c>
      <c r="L306" s="8">
        <f>IF(A306="","",A306&amp;"-"&amp;B306&amp;"-"&amp;C306)</f>
        <v/>
      </c>
      <c r="M306" s="8">
        <f>IF(OR(L306="",G306=""),"",IF(COUNTIF(L307:L$552,L306)=0,L306,""))</f>
        <v/>
      </c>
    </row>
    <row r="307">
      <c r="A307" s="40" t="n">
        <v>5</v>
      </c>
      <c r="B307" s="40" t="inlineStr">
        <is>
          <t>梅</t>
        </is>
      </c>
      <c r="C307" s="40" t="n">
        <v>19</v>
      </c>
      <c r="D307" s="40" t="n">
        <v>8</v>
      </c>
      <c r="E307" s="40" t="n">
        <v>4</v>
      </c>
      <c r="F307" s="40" t="n">
        <v>1</v>
      </c>
      <c r="G307" s="3">
        <f>IF(L307="","",IFERROR(INDEX(前年度名簿!$D$2:$D$451,MATCH(L307,前年度名簿!$F$2:$F$451,0)),""))</f>
        <v/>
      </c>
      <c r="H307" s="44">
        <f>IF(D307="","",IF(ISERROR(VALUE(D307)),D307&amp;"",IF(AND(VALUE(D307)&gt;=1,VALUE(D307)&lt;=20),IF(INDEX(設定!$P$8:$P$27,VALUE(D307))="","？",INDEX(設定!$P$8:$P$27,VALUE(D307))),"？")))</f>
        <v/>
      </c>
      <c r="I307" s="44">
        <f>IF(E307="","",IF(ISERROR(VALUE(E307)),E307&amp;"",IF(AND(VALUE(E307)&gt;=1,VALUE(E307)&lt;=20),IF(INDEX(設定!$P$8:$P$27,VALUE(E307))="","？",INDEX(設定!$P$8:$P$27,VALUE(E307))),"？")))</f>
        <v/>
      </c>
      <c r="J307" s="44">
        <f>IF(F307="","",IF(ISERROR(VALUE(F307)),F307&amp;"",IF(AND(VALUE(F307)&gt;=1,VALUE(F307)&lt;=20),IF(INDEX(設定!$P$8:$P$27,VALUE(F307))="","？",INDEX(設定!$P$8:$P$27,VALUE(F307))),"？")))</f>
        <v/>
      </c>
      <c r="K307" s="45">
        <f>IF(L307="","",IF(G307="","名簿にいない",IF(COUNTIF(L308:L$552,L307)&gt;0,"2回提出（下の行を使います）",IF(OR(H307="？",I307="？",J307="？"),"クラブ番号がちがう",IF(OR(AND(H307&lt;&gt;"",H307&lt;&gt;"？",COUNTIF(設定!$P$8:$P$27,H307)=0),AND(I307&lt;&gt;"",I307&lt;&gt;"？",COUNTIF(設定!$P$8:$P$27,I307)=0),AND(J307&lt;&gt;"",J307&lt;&gt;"？",COUNTIF(設定!$P$8:$P$27,J307)=0)),"クラブ名がちがう",IF(H307="","第1希望がない",IF(OR(AND(H307&lt;&gt;"",H307=I307),AND(H307&lt;&gt;"",H307=J307),AND(I307&lt;&gt;"",I307=J307)),"同じクラブを重複して希望","OK")))))))</f>
        <v/>
      </c>
      <c r="L307" s="8">
        <f>IF(A307="","",A307&amp;"-"&amp;B307&amp;"-"&amp;C307)</f>
        <v/>
      </c>
      <c r="M307" s="8">
        <f>IF(OR(L307="",G307=""),"",IF(COUNTIF(L308:L$552,L307)=0,L307,""))</f>
        <v/>
      </c>
    </row>
    <row r="308">
      <c r="A308" s="40" t="n">
        <v>4</v>
      </c>
      <c r="B308" s="40" t="inlineStr">
        <is>
          <t>竹</t>
        </is>
      </c>
      <c r="C308" s="40" t="n">
        <v>18</v>
      </c>
      <c r="D308" s="40" t="n">
        <v>1</v>
      </c>
      <c r="E308" s="40" t="n">
        <v>9</v>
      </c>
      <c r="F308" s="40" t="n">
        <v>8</v>
      </c>
      <c r="G308" s="3">
        <f>IF(L308="","",IFERROR(INDEX(前年度名簿!$D$2:$D$451,MATCH(L308,前年度名簿!$F$2:$F$451,0)),""))</f>
        <v/>
      </c>
      <c r="H308" s="44">
        <f>IF(D308="","",IF(ISERROR(VALUE(D308)),D308&amp;"",IF(AND(VALUE(D308)&gt;=1,VALUE(D308)&lt;=20),IF(INDEX(設定!$P$8:$P$27,VALUE(D308))="","？",INDEX(設定!$P$8:$P$27,VALUE(D308))),"？")))</f>
        <v/>
      </c>
      <c r="I308" s="44">
        <f>IF(E308="","",IF(ISERROR(VALUE(E308)),E308&amp;"",IF(AND(VALUE(E308)&gt;=1,VALUE(E308)&lt;=20),IF(INDEX(設定!$P$8:$P$27,VALUE(E308))="","？",INDEX(設定!$P$8:$P$27,VALUE(E308))),"？")))</f>
        <v/>
      </c>
      <c r="J308" s="44">
        <f>IF(F308="","",IF(ISERROR(VALUE(F308)),F308&amp;"",IF(AND(VALUE(F308)&gt;=1,VALUE(F308)&lt;=20),IF(INDEX(設定!$P$8:$P$27,VALUE(F308))="","？",INDEX(設定!$P$8:$P$27,VALUE(F308))),"？")))</f>
        <v/>
      </c>
      <c r="K308" s="45">
        <f>IF(L308="","",IF(G308="","名簿にいない",IF(COUNTIF(L309:L$552,L308)&gt;0,"2回提出（下の行を使います）",IF(OR(H308="？",I308="？",J308="？"),"クラブ番号がちがう",IF(OR(AND(H308&lt;&gt;"",H308&lt;&gt;"？",COUNTIF(設定!$P$8:$P$27,H308)=0),AND(I308&lt;&gt;"",I308&lt;&gt;"？",COUNTIF(設定!$P$8:$P$27,I308)=0),AND(J308&lt;&gt;"",J308&lt;&gt;"？",COUNTIF(設定!$P$8:$P$27,J308)=0)),"クラブ名がちがう",IF(H308="","第1希望がない",IF(OR(AND(H308&lt;&gt;"",H308=I308),AND(H308&lt;&gt;"",H308=J308),AND(I308&lt;&gt;"",I308=J308)),"同じクラブを重複して希望","OK")))))))</f>
        <v/>
      </c>
      <c r="L308" s="8">
        <f>IF(A308="","",A308&amp;"-"&amp;B308&amp;"-"&amp;C308)</f>
        <v/>
      </c>
      <c r="M308" s="8">
        <f>IF(OR(L308="",G308=""),"",IF(COUNTIF(L309:L$552,L308)=0,L308,""))</f>
        <v/>
      </c>
    </row>
    <row r="309">
      <c r="A309" s="40" t="n">
        <v>5</v>
      </c>
      <c r="B309" s="40" t="inlineStr">
        <is>
          <t>松</t>
        </is>
      </c>
      <c r="C309" s="40" t="n">
        <v>28</v>
      </c>
      <c r="D309" s="40" t="n">
        <v>1</v>
      </c>
      <c r="E309" s="40" t="n">
        <v>4</v>
      </c>
      <c r="F309" s="40" t="n">
        <v>6</v>
      </c>
      <c r="G309" s="3">
        <f>IF(L309="","",IFERROR(INDEX(前年度名簿!$D$2:$D$451,MATCH(L309,前年度名簿!$F$2:$F$451,0)),""))</f>
        <v/>
      </c>
      <c r="H309" s="44">
        <f>IF(D309="","",IF(ISERROR(VALUE(D309)),D309&amp;"",IF(AND(VALUE(D309)&gt;=1,VALUE(D309)&lt;=20),IF(INDEX(設定!$P$8:$P$27,VALUE(D309))="","？",INDEX(設定!$P$8:$P$27,VALUE(D309))),"？")))</f>
        <v/>
      </c>
      <c r="I309" s="44">
        <f>IF(E309="","",IF(ISERROR(VALUE(E309)),E309&amp;"",IF(AND(VALUE(E309)&gt;=1,VALUE(E309)&lt;=20),IF(INDEX(設定!$P$8:$P$27,VALUE(E309))="","？",INDEX(設定!$P$8:$P$27,VALUE(E309))),"？")))</f>
        <v/>
      </c>
      <c r="J309" s="44">
        <f>IF(F309="","",IF(ISERROR(VALUE(F309)),F309&amp;"",IF(AND(VALUE(F309)&gt;=1,VALUE(F309)&lt;=20),IF(INDEX(設定!$P$8:$P$27,VALUE(F309))="","？",INDEX(設定!$P$8:$P$27,VALUE(F309))),"？")))</f>
        <v/>
      </c>
      <c r="K309" s="45">
        <f>IF(L309="","",IF(G309="","名簿にいない",IF(COUNTIF(L310:L$552,L309)&gt;0,"2回提出（下の行を使います）",IF(OR(H309="？",I309="？",J309="？"),"クラブ番号がちがう",IF(OR(AND(H309&lt;&gt;"",H309&lt;&gt;"？",COUNTIF(設定!$P$8:$P$27,H309)=0),AND(I309&lt;&gt;"",I309&lt;&gt;"？",COUNTIF(設定!$P$8:$P$27,I309)=0),AND(J309&lt;&gt;"",J309&lt;&gt;"？",COUNTIF(設定!$P$8:$P$27,J309)=0)),"クラブ名がちがう",IF(H309="","第1希望がない",IF(OR(AND(H309&lt;&gt;"",H309=I309),AND(H309&lt;&gt;"",H309=J309),AND(I309&lt;&gt;"",I309=J309)),"同じクラブを重複して希望","OK")))))))</f>
        <v/>
      </c>
      <c r="L309" s="8">
        <f>IF(A309="","",A309&amp;"-"&amp;B309&amp;"-"&amp;C309)</f>
        <v/>
      </c>
      <c r="M309" s="8">
        <f>IF(OR(L309="",G309=""),"",IF(COUNTIF(L310:L$552,L309)=0,L309,""))</f>
        <v/>
      </c>
    </row>
    <row r="310">
      <c r="A310" s="40" t="n">
        <v>3</v>
      </c>
      <c r="B310" s="40" t="inlineStr">
        <is>
          <t>梅</t>
        </is>
      </c>
      <c r="C310" s="40" t="n">
        <v>9</v>
      </c>
      <c r="D310" s="40" t="n">
        <v>4</v>
      </c>
      <c r="E310" s="40" t="n">
        <v>6</v>
      </c>
      <c r="F310" s="40" t="n">
        <v>12</v>
      </c>
      <c r="G310" s="3">
        <f>IF(L310="","",IFERROR(INDEX(前年度名簿!$D$2:$D$451,MATCH(L310,前年度名簿!$F$2:$F$451,0)),""))</f>
        <v/>
      </c>
      <c r="H310" s="44">
        <f>IF(D310="","",IF(ISERROR(VALUE(D310)),D310&amp;"",IF(AND(VALUE(D310)&gt;=1,VALUE(D310)&lt;=20),IF(INDEX(設定!$P$8:$P$27,VALUE(D310))="","？",INDEX(設定!$P$8:$P$27,VALUE(D310))),"？")))</f>
        <v/>
      </c>
      <c r="I310" s="44">
        <f>IF(E310="","",IF(ISERROR(VALUE(E310)),E310&amp;"",IF(AND(VALUE(E310)&gt;=1,VALUE(E310)&lt;=20),IF(INDEX(設定!$P$8:$P$27,VALUE(E310))="","？",INDEX(設定!$P$8:$P$27,VALUE(E310))),"？")))</f>
        <v/>
      </c>
      <c r="J310" s="44">
        <f>IF(F310="","",IF(ISERROR(VALUE(F310)),F310&amp;"",IF(AND(VALUE(F310)&gt;=1,VALUE(F310)&lt;=20),IF(INDEX(設定!$P$8:$P$27,VALUE(F310))="","？",INDEX(設定!$P$8:$P$27,VALUE(F310))),"？")))</f>
        <v/>
      </c>
      <c r="K310" s="45">
        <f>IF(L310="","",IF(G310="","名簿にいない",IF(COUNTIF(L311:L$552,L310)&gt;0,"2回提出（下の行を使います）",IF(OR(H310="？",I310="？",J310="？"),"クラブ番号がちがう",IF(OR(AND(H310&lt;&gt;"",H310&lt;&gt;"？",COUNTIF(設定!$P$8:$P$27,H310)=0),AND(I310&lt;&gt;"",I310&lt;&gt;"？",COUNTIF(設定!$P$8:$P$27,I310)=0),AND(J310&lt;&gt;"",J310&lt;&gt;"？",COUNTIF(設定!$P$8:$P$27,J310)=0)),"クラブ名がちがう",IF(H310="","第1希望がない",IF(OR(AND(H310&lt;&gt;"",H310=I310),AND(H310&lt;&gt;"",H310=J310),AND(I310&lt;&gt;"",I310=J310)),"同じクラブを重複して希望","OK")))))))</f>
        <v/>
      </c>
      <c r="L310" s="8">
        <f>IF(A310="","",A310&amp;"-"&amp;B310&amp;"-"&amp;C310)</f>
        <v/>
      </c>
      <c r="M310" s="8">
        <f>IF(OR(L310="",G310=""),"",IF(COUNTIF(L311:L$552,L310)=0,L310,""))</f>
        <v/>
      </c>
    </row>
    <row r="311">
      <c r="A311" s="40" t="n">
        <v>5</v>
      </c>
      <c r="B311" s="40" t="inlineStr">
        <is>
          <t>松</t>
        </is>
      </c>
      <c r="C311" s="40" t="n">
        <v>24</v>
      </c>
      <c r="D311" s="40" t="n">
        <v>7</v>
      </c>
      <c r="E311" s="40" t="n">
        <v>5</v>
      </c>
      <c r="F311" s="40" t="n">
        <v>8</v>
      </c>
      <c r="G311" s="3">
        <f>IF(L311="","",IFERROR(INDEX(前年度名簿!$D$2:$D$451,MATCH(L311,前年度名簿!$F$2:$F$451,0)),""))</f>
        <v/>
      </c>
      <c r="H311" s="44">
        <f>IF(D311="","",IF(ISERROR(VALUE(D311)),D311&amp;"",IF(AND(VALUE(D311)&gt;=1,VALUE(D311)&lt;=20),IF(INDEX(設定!$P$8:$P$27,VALUE(D311))="","？",INDEX(設定!$P$8:$P$27,VALUE(D311))),"？")))</f>
        <v/>
      </c>
      <c r="I311" s="44">
        <f>IF(E311="","",IF(ISERROR(VALUE(E311)),E311&amp;"",IF(AND(VALUE(E311)&gt;=1,VALUE(E311)&lt;=20),IF(INDEX(設定!$P$8:$P$27,VALUE(E311))="","？",INDEX(設定!$P$8:$P$27,VALUE(E311))),"？")))</f>
        <v/>
      </c>
      <c r="J311" s="44">
        <f>IF(F311="","",IF(ISERROR(VALUE(F311)),F311&amp;"",IF(AND(VALUE(F311)&gt;=1,VALUE(F311)&lt;=20),IF(INDEX(設定!$P$8:$P$27,VALUE(F311))="","？",INDEX(設定!$P$8:$P$27,VALUE(F311))),"？")))</f>
        <v/>
      </c>
      <c r="K311" s="45">
        <f>IF(L311="","",IF(G311="","名簿にいない",IF(COUNTIF(L312:L$552,L311)&gt;0,"2回提出（下の行を使います）",IF(OR(H311="？",I311="？",J311="？"),"クラブ番号がちがう",IF(OR(AND(H311&lt;&gt;"",H311&lt;&gt;"？",COUNTIF(設定!$P$8:$P$27,H311)=0),AND(I311&lt;&gt;"",I311&lt;&gt;"？",COUNTIF(設定!$P$8:$P$27,I311)=0),AND(J311&lt;&gt;"",J311&lt;&gt;"？",COUNTIF(設定!$P$8:$P$27,J311)=0)),"クラブ名がちがう",IF(H311="","第1希望がない",IF(OR(AND(H311&lt;&gt;"",H311=I311),AND(H311&lt;&gt;"",H311=J311),AND(I311&lt;&gt;"",I311=J311)),"同じクラブを重複して希望","OK")))))))</f>
        <v/>
      </c>
      <c r="L311" s="8">
        <f>IF(A311="","",A311&amp;"-"&amp;B311&amp;"-"&amp;C311)</f>
        <v/>
      </c>
      <c r="M311" s="8">
        <f>IF(OR(L311="",G311=""),"",IF(COUNTIF(L312:L$552,L311)=0,L311,""))</f>
        <v/>
      </c>
    </row>
    <row r="312">
      <c r="A312" s="40" t="n">
        <v>3</v>
      </c>
      <c r="B312" s="40" t="inlineStr">
        <is>
          <t>梅</t>
        </is>
      </c>
      <c r="C312" s="40" t="n">
        <v>8</v>
      </c>
      <c r="D312" s="40" t="n">
        <v>3</v>
      </c>
      <c r="E312" s="40" t="n">
        <v>12</v>
      </c>
      <c r="F312" s="40" t="n">
        <v>11</v>
      </c>
      <c r="G312" s="3">
        <f>IF(L312="","",IFERROR(INDEX(前年度名簿!$D$2:$D$451,MATCH(L312,前年度名簿!$F$2:$F$451,0)),""))</f>
        <v/>
      </c>
      <c r="H312" s="44">
        <f>IF(D312="","",IF(ISERROR(VALUE(D312)),D312&amp;"",IF(AND(VALUE(D312)&gt;=1,VALUE(D312)&lt;=20),IF(INDEX(設定!$P$8:$P$27,VALUE(D312))="","？",INDEX(設定!$P$8:$P$27,VALUE(D312))),"？")))</f>
        <v/>
      </c>
      <c r="I312" s="44">
        <f>IF(E312="","",IF(ISERROR(VALUE(E312)),E312&amp;"",IF(AND(VALUE(E312)&gt;=1,VALUE(E312)&lt;=20),IF(INDEX(設定!$P$8:$P$27,VALUE(E312))="","？",INDEX(設定!$P$8:$P$27,VALUE(E312))),"？")))</f>
        <v/>
      </c>
      <c r="J312" s="44">
        <f>IF(F312="","",IF(ISERROR(VALUE(F312)),F312&amp;"",IF(AND(VALUE(F312)&gt;=1,VALUE(F312)&lt;=20),IF(INDEX(設定!$P$8:$P$27,VALUE(F312))="","？",INDEX(設定!$P$8:$P$27,VALUE(F312))),"？")))</f>
        <v/>
      </c>
      <c r="K312" s="45">
        <f>IF(L312="","",IF(G312="","名簿にいない",IF(COUNTIF(L313:L$552,L312)&gt;0,"2回提出（下の行を使います）",IF(OR(H312="？",I312="？",J312="？"),"クラブ番号がちがう",IF(OR(AND(H312&lt;&gt;"",H312&lt;&gt;"？",COUNTIF(設定!$P$8:$P$27,H312)=0),AND(I312&lt;&gt;"",I312&lt;&gt;"？",COUNTIF(設定!$P$8:$P$27,I312)=0),AND(J312&lt;&gt;"",J312&lt;&gt;"？",COUNTIF(設定!$P$8:$P$27,J312)=0)),"クラブ名がちがう",IF(H312="","第1希望がない",IF(OR(AND(H312&lt;&gt;"",H312=I312),AND(H312&lt;&gt;"",H312=J312),AND(I312&lt;&gt;"",I312=J312)),"同じクラブを重複して希望","OK")))))))</f>
        <v/>
      </c>
      <c r="L312" s="8">
        <f>IF(A312="","",A312&amp;"-"&amp;B312&amp;"-"&amp;C312)</f>
        <v/>
      </c>
      <c r="M312" s="8">
        <f>IF(OR(L312="",G312=""),"",IF(COUNTIF(L313:L$552,L312)=0,L312,""))</f>
        <v/>
      </c>
    </row>
    <row r="313">
      <c r="A313" s="40" t="n">
        <v>4</v>
      </c>
      <c r="B313" s="40" t="inlineStr">
        <is>
          <t>松</t>
        </is>
      </c>
      <c r="C313" s="40" t="n">
        <v>27</v>
      </c>
      <c r="D313" s="40" t="n">
        <v>12</v>
      </c>
      <c r="E313" s="40" t="n">
        <v>11</v>
      </c>
      <c r="F313" s="40" t="n">
        <v>7</v>
      </c>
      <c r="G313" s="3">
        <f>IF(L313="","",IFERROR(INDEX(前年度名簿!$D$2:$D$451,MATCH(L313,前年度名簿!$F$2:$F$451,0)),""))</f>
        <v/>
      </c>
      <c r="H313" s="44">
        <f>IF(D313="","",IF(ISERROR(VALUE(D313)),D313&amp;"",IF(AND(VALUE(D313)&gt;=1,VALUE(D313)&lt;=20),IF(INDEX(設定!$P$8:$P$27,VALUE(D313))="","？",INDEX(設定!$P$8:$P$27,VALUE(D313))),"？")))</f>
        <v/>
      </c>
      <c r="I313" s="44">
        <f>IF(E313="","",IF(ISERROR(VALUE(E313)),E313&amp;"",IF(AND(VALUE(E313)&gt;=1,VALUE(E313)&lt;=20),IF(INDEX(設定!$P$8:$P$27,VALUE(E313))="","？",INDEX(設定!$P$8:$P$27,VALUE(E313))),"？")))</f>
        <v/>
      </c>
      <c r="J313" s="44">
        <f>IF(F313="","",IF(ISERROR(VALUE(F313)),F313&amp;"",IF(AND(VALUE(F313)&gt;=1,VALUE(F313)&lt;=20),IF(INDEX(設定!$P$8:$P$27,VALUE(F313))="","？",INDEX(設定!$P$8:$P$27,VALUE(F313))),"？")))</f>
        <v/>
      </c>
      <c r="K313" s="45">
        <f>IF(L313="","",IF(G313="","名簿にいない",IF(COUNTIF(L314:L$552,L313)&gt;0,"2回提出（下の行を使います）",IF(OR(H313="？",I313="？",J313="？"),"クラブ番号がちがう",IF(OR(AND(H313&lt;&gt;"",H313&lt;&gt;"？",COUNTIF(設定!$P$8:$P$27,H313)=0),AND(I313&lt;&gt;"",I313&lt;&gt;"？",COUNTIF(設定!$P$8:$P$27,I313)=0),AND(J313&lt;&gt;"",J313&lt;&gt;"？",COUNTIF(設定!$P$8:$P$27,J313)=0)),"クラブ名がちがう",IF(H313="","第1希望がない",IF(OR(AND(H313&lt;&gt;"",H313=I313),AND(H313&lt;&gt;"",H313=J313),AND(I313&lt;&gt;"",I313=J313)),"同じクラブを重複して希望","OK")))))))</f>
        <v/>
      </c>
      <c r="L313" s="8">
        <f>IF(A313="","",A313&amp;"-"&amp;B313&amp;"-"&amp;C313)</f>
        <v/>
      </c>
      <c r="M313" s="8">
        <f>IF(OR(L313="",G313=""),"",IF(COUNTIF(L314:L$552,L313)=0,L313,""))</f>
        <v/>
      </c>
    </row>
    <row r="314">
      <c r="A314" s="40" t="n">
        <v>4</v>
      </c>
      <c r="B314" s="40" t="inlineStr">
        <is>
          <t>月</t>
        </is>
      </c>
      <c r="C314" s="40" t="n">
        <v>20</v>
      </c>
      <c r="D314" s="40" t="n">
        <v>10</v>
      </c>
      <c r="E314" s="40" t="n">
        <v>5</v>
      </c>
      <c r="F314" s="40" t="n">
        <v>6</v>
      </c>
      <c r="G314" s="3">
        <f>IF(L314="","",IFERROR(INDEX(前年度名簿!$D$2:$D$451,MATCH(L314,前年度名簿!$F$2:$F$451,0)),""))</f>
        <v/>
      </c>
      <c r="H314" s="44">
        <f>IF(D314="","",IF(ISERROR(VALUE(D314)),D314&amp;"",IF(AND(VALUE(D314)&gt;=1,VALUE(D314)&lt;=20),IF(INDEX(設定!$P$8:$P$27,VALUE(D314))="","？",INDEX(設定!$P$8:$P$27,VALUE(D314))),"？")))</f>
        <v/>
      </c>
      <c r="I314" s="44">
        <f>IF(E314="","",IF(ISERROR(VALUE(E314)),E314&amp;"",IF(AND(VALUE(E314)&gt;=1,VALUE(E314)&lt;=20),IF(INDEX(設定!$P$8:$P$27,VALUE(E314))="","？",INDEX(設定!$P$8:$P$27,VALUE(E314))),"？")))</f>
        <v/>
      </c>
      <c r="J314" s="44">
        <f>IF(F314="","",IF(ISERROR(VALUE(F314)),F314&amp;"",IF(AND(VALUE(F314)&gt;=1,VALUE(F314)&lt;=20),IF(INDEX(設定!$P$8:$P$27,VALUE(F314))="","？",INDEX(設定!$P$8:$P$27,VALUE(F314))),"？")))</f>
        <v/>
      </c>
      <c r="K314" s="45">
        <f>IF(L314="","",IF(G314="","名簿にいない",IF(COUNTIF(L315:L$552,L314)&gt;0,"2回提出（下の行を使います）",IF(OR(H314="？",I314="？",J314="？"),"クラブ番号がちがう",IF(OR(AND(H314&lt;&gt;"",H314&lt;&gt;"？",COUNTIF(設定!$P$8:$P$27,H314)=0),AND(I314&lt;&gt;"",I314&lt;&gt;"？",COUNTIF(設定!$P$8:$P$27,I314)=0),AND(J314&lt;&gt;"",J314&lt;&gt;"？",COUNTIF(設定!$P$8:$P$27,J314)=0)),"クラブ名がちがう",IF(H314="","第1希望がない",IF(OR(AND(H314&lt;&gt;"",H314=I314),AND(H314&lt;&gt;"",H314=J314),AND(I314&lt;&gt;"",I314=J314)),"同じクラブを重複して希望","OK")))))))</f>
        <v/>
      </c>
      <c r="L314" s="8">
        <f>IF(A314="","",A314&amp;"-"&amp;B314&amp;"-"&amp;C314)</f>
        <v/>
      </c>
      <c r="M314" s="8">
        <f>IF(OR(L314="",G314=""),"",IF(COUNTIF(L315:L$552,L314)=0,L314,""))</f>
        <v/>
      </c>
    </row>
    <row r="315">
      <c r="A315" s="40" t="n">
        <v>4</v>
      </c>
      <c r="B315" s="40" t="inlineStr">
        <is>
          <t>月</t>
        </is>
      </c>
      <c r="C315" s="40" t="n">
        <v>24</v>
      </c>
      <c r="D315" s="40" t="n">
        <v>1</v>
      </c>
      <c r="E315" s="40" t="n">
        <v>12</v>
      </c>
      <c r="F315" s="40" t="n">
        <v>5</v>
      </c>
      <c r="G315" s="3">
        <f>IF(L315="","",IFERROR(INDEX(前年度名簿!$D$2:$D$451,MATCH(L315,前年度名簿!$F$2:$F$451,0)),""))</f>
        <v/>
      </c>
      <c r="H315" s="44">
        <f>IF(D315="","",IF(ISERROR(VALUE(D315)),D315&amp;"",IF(AND(VALUE(D315)&gt;=1,VALUE(D315)&lt;=20),IF(INDEX(設定!$P$8:$P$27,VALUE(D315))="","？",INDEX(設定!$P$8:$P$27,VALUE(D315))),"？")))</f>
        <v/>
      </c>
      <c r="I315" s="44">
        <f>IF(E315="","",IF(ISERROR(VALUE(E315)),E315&amp;"",IF(AND(VALUE(E315)&gt;=1,VALUE(E315)&lt;=20),IF(INDEX(設定!$P$8:$P$27,VALUE(E315))="","？",INDEX(設定!$P$8:$P$27,VALUE(E315))),"？")))</f>
        <v/>
      </c>
      <c r="J315" s="44">
        <f>IF(F315="","",IF(ISERROR(VALUE(F315)),F315&amp;"",IF(AND(VALUE(F315)&gt;=1,VALUE(F315)&lt;=20),IF(INDEX(設定!$P$8:$P$27,VALUE(F315))="","？",INDEX(設定!$P$8:$P$27,VALUE(F315))),"？")))</f>
        <v/>
      </c>
      <c r="K315" s="45">
        <f>IF(L315="","",IF(G315="","名簿にいない",IF(COUNTIF(L316:L$552,L315)&gt;0,"2回提出（下の行を使います）",IF(OR(H315="？",I315="？",J315="？"),"クラブ番号がちがう",IF(OR(AND(H315&lt;&gt;"",H315&lt;&gt;"？",COUNTIF(設定!$P$8:$P$27,H315)=0),AND(I315&lt;&gt;"",I315&lt;&gt;"？",COUNTIF(設定!$P$8:$P$27,I315)=0),AND(J315&lt;&gt;"",J315&lt;&gt;"？",COUNTIF(設定!$P$8:$P$27,J315)=0)),"クラブ名がちがう",IF(H315="","第1希望がない",IF(OR(AND(H315&lt;&gt;"",H315=I315),AND(H315&lt;&gt;"",H315=J315),AND(I315&lt;&gt;"",I315=J315)),"同じクラブを重複して希望","OK")))))))</f>
        <v/>
      </c>
      <c r="L315" s="8">
        <f>IF(A315="","",A315&amp;"-"&amp;B315&amp;"-"&amp;C315)</f>
        <v/>
      </c>
      <c r="M315" s="8">
        <f>IF(OR(L315="",G315=""),"",IF(COUNTIF(L316:L$552,L315)=0,L315,""))</f>
        <v/>
      </c>
    </row>
    <row r="316">
      <c r="A316" s="40" t="n">
        <v>3</v>
      </c>
      <c r="B316" s="40" t="inlineStr">
        <is>
          <t>竹</t>
        </is>
      </c>
      <c r="C316" s="40" t="n">
        <v>4</v>
      </c>
      <c r="D316" s="40" t="n">
        <v>2</v>
      </c>
      <c r="E316" s="40" t="n">
        <v>3</v>
      </c>
      <c r="F316" s="40" t="n">
        <v>6</v>
      </c>
      <c r="G316" s="3">
        <f>IF(L316="","",IFERROR(INDEX(前年度名簿!$D$2:$D$451,MATCH(L316,前年度名簿!$F$2:$F$451,0)),""))</f>
        <v/>
      </c>
      <c r="H316" s="44">
        <f>IF(D316="","",IF(ISERROR(VALUE(D316)),D316&amp;"",IF(AND(VALUE(D316)&gt;=1,VALUE(D316)&lt;=20),IF(INDEX(設定!$P$8:$P$27,VALUE(D316))="","？",INDEX(設定!$P$8:$P$27,VALUE(D316))),"？")))</f>
        <v/>
      </c>
      <c r="I316" s="44">
        <f>IF(E316="","",IF(ISERROR(VALUE(E316)),E316&amp;"",IF(AND(VALUE(E316)&gt;=1,VALUE(E316)&lt;=20),IF(INDEX(設定!$P$8:$P$27,VALUE(E316))="","？",INDEX(設定!$P$8:$P$27,VALUE(E316))),"？")))</f>
        <v/>
      </c>
      <c r="J316" s="44">
        <f>IF(F316="","",IF(ISERROR(VALUE(F316)),F316&amp;"",IF(AND(VALUE(F316)&gt;=1,VALUE(F316)&lt;=20),IF(INDEX(設定!$P$8:$P$27,VALUE(F316))="","？",INDEX(設定!$P$8:$P$27,VALUE(F316))),"？")))</f>
        <v/>
      </c>
      <c r="K316" s="45">
        <f>IF(L316="","",IF(G316="","名簿にいない",IF(COUNTIF(L317:L$552,L316)&gt;0,"2回提出（下の行を使います）",IF(OR(H316="？",I316="？",J316="？"),"クラブ番号がちがう",IF(OR(AND(H316&lt;&gt;"",H316&lt;&gt;"？",COUNTIF(設定!$P$8:$P$27,H316)=0),AND(I316&lt;&gt;"",I316&lt;&gt;"？",COUNTIF(設定!$P$8:$P$27,I316)=0),AND(J316&lt;&gt;"",J316&lt;&gt;"？",COUNTIF(設定!$P$8:$P$27,J316)=0)),"クラブ名がちがう",IF(H316="","第1希望がない",IF(OR(AND(H316&lt;&gt;"",H316=I316),AND(H316&lt;&gt;"",H316=J316),AND(I316&lt;&gt;"",I316=J316)),"同じクラブを重複して希望","OK")))))))</f>
        <v/>
      </c>
      <c r="L316" s="8">
        <f>IF(A316="","",A316&amp;"-"&amp;B316&amp;"-"&amp;C316)</f>
        <v/>
      </c>
      <c r="M316" s="8">
        <f>IF(OR(L316="",G316=""),"",IF(COUNTIF(L317:L$552,L316)=0,L316,""))</f>
        <v/>
      </c>
    </row>
    <row r="317">
      <c r="A317" s="40" t="n">
        <v>5</v>
      </c>
      <c r="B317" s="40" t="inlineStr">
        <is>
          <t>松</t>
        </is>
      </c>
      <c r="C317" s="40" t="n">
        <v>17</v>
      </c>
      <c r="D317" s="40" t="n">
        <v>12</v>
      </c>
      <c r="E317" s="40" t="n">
        <v>11</v>
      </c>
      <c r="F317" s="40" t="n">
        <v>2</v>
      </c>
      <c r="G317" s="3">
        <f>IF(L317="","",IFERROR(INDEX(前年度名簿!$D$2:$D$451,MATCH(L317,前年度名簿!$F$2:$F$451,0)),""))</f>
        <v/>
      </c>
      <c r="H317" s="44">
        <f>IF(D317="","",IF(ISERROR(VALUE(D317)),D317&amp;"",IF(AND(VALUE(D317)&gt;=1,VALUE(D317)&lt;=20),IF(INDEX(設定!$P$8:$P$27,VALUE(D317))="","？",INDEX(設定!$P$8:$P$27,VALUE(D317))),"？")))</f>
        <v/>
      </c>
      <c r="I317" s="44">
        <f>IF(E317="","",IF(ISERROR(VALUE(E317)),E317&amp;"",IF(AND(VALUE(E317)&gt;=1,VALUE(E317)&lt;=20),IF(INDEX(設定!$P$8:$P$27,VALUE(E317))="","？",INDEX(設定!$P$8:$P$27,VALUE(E317))),"？")))</f>
        <v/>
      </c>
      <c r="J317" s="44">
        <f>IF(F317="","",IF(ISERROR(VALUE(F317)),F317&amp;"",IF(AND(VALUE(F317)&gt;=1,VALUE(F317)&lt;=20),IF(INDEX(設定!$P$8:$P$27,VALUE(F317))="","？",INDEX(設定!$P$8:$P$27,VALUE(F317))),"？")))</f>
        <v/>
      </c>
      <c r="K317" s="45">
        <f>IF(L317="","",IF(G317="","名簿にいない",IF(COUNTIF(L318:L$552,L317)&gt;0,"2回提出（下の行を使います）",IF(OR(H317="？",I317="？",J317="？"),"クラブ番号がちがう",IF(OR(AND(H317&lt;&gt;"",H317&lt;&gt;"？",COUNTIF(設定!$P$8:$P$27,H317)=0),AND(I317&lt;&gt;"",I317&lt;&gt;"？",COUNTIF(設定!$P$8:$P$27,I317)=0),AND(J317&lt;&gt;"",J317&lt;&gt;"？",COUNTIF(設定!$P$8:$P$27,J317)=0)),"クラブ名がちがう",IF(H317="","第1希望がない",IF(OR(AND(H317&lt;&gt;"",H317=I317),AND(H317&lt;&gt;"",H317=J317),AND(I317&lt;&gt;"",I317=J317)),"同じクラブを重複して希望","OK")))))))</f>
        <v/>
      </c>
      <c r="L317" s="8">
        <f>IF(A317="","",A317&amp;"-"&amp;B317&amp;"-"&amp;C317)</f>
        <v/>
      </c>
      <c r="M317" s="8">
        <f>IF(OR(L317="",G317=""),"",IF(COUNTIF(L318:L$552,L317)=0,L317,""))</f>
        <v/>
      </c>
    </row>
    <row r="318">
      <c r="A318" s="40" t="n">
        <v>3</v>
      </c>
      <c r="B318" s="40" t="inlineStr">
        <is>
          <t>松</t>
        </is>
      </c>
      <c r="C318" s="40" t="n">
        <v>27</v>
      </c>
      <c r="D318" s="40" t="n">
        <v>2</v>
      </c>
      <c r="E318" s="40" t="n">
        <v>3</v>
      </c>
      <c r="F318" s="40" t="n">
        <v>1</v>
      </c>
      <c r="G318" s="3">
        <f>IF(L318="","",IFERROR(INDEX(前年度名簿!$D$2:$D$451,MATCH(L318,前年度名簿!$F$2:$F$451,0)),""))</f>
        <v/>
      </c>
      <c r="H318" s="44">
        <f>IF(D318="","",IF(ISERROR(VALUE(D318)),D318&amp;"",IF(AND(VALUE(D318)&gt;=1,VALUE(D318)&lt;=20),IF(INDEX(設定!$P$8:$P$27,VALUE(D318))="","？",INDEX(設定!$P$8:$P$27,VALUE(D318))),"？")))</f>
        <v/>
      </c>
      <c r="I318" s="44">
        <f>IF(E318="","",IF(ISERROR(VALUE(E318)),E318&amp;"",IF(AND(VALUE(E318)&gt;=1,VALUE(E318)&lt;=20),IF(INDEX(設定!$P$8:$P$27,VALUE(E318))="","？",INDEX(設定!$P$8:$P$27,VALUE(E318))),"？")))</f>
        <v/>
      </c>
      <c r="J318" s="44">
        <f>IF(F318="","",IF(ISERROR(VALUE(F318)),F318&amp;"",IF(AND(VALUE(F318)&gt;=1,VALUE(F318)&lt;=20),IF(INDEX(設定!$P$8:$P$27,VALUE(F318))="","？",INDEX(設定!$P$8:$P$27,VALUE(F318))),"？")))</f>
        <v/>
      </c>
      <c r="K318" s="45">
        <f>IF(L318="","",IF(G318="","名簿にいない",IF(COUNTIF(L319:L$552,L318)&gt;0,"2回提出（下の行を使います）",IF(OR(H318="？",I318="？",J318="？"),"クラブ番号がちがう",IF(OR(AND(H318&lt;&gt;"",H318&lt;&gt;"？",COUNTIF(設定!$P$8:$P$27,H318)=0),AND(I318&lt;&gt;"",I318&lt;&gt;"？",COUNTIF(設定!$P$8:$P$27,I318)=0),AND(J318&lt;&gt;"",J318&lt;&gt;"？",COUNTIF(設定!$P$8:$P$27,J318)=0)),"クラブ名がちがう",IF(H318="","第1希望がない",IF(OR(AND(H318&lt;&gt;"",H318=I318),AND(H318&lt;&gt;"",H318=J318),AND(I318&lt;&gt;"",I318=J318)),"同じクラブを重複して希望","OK")))))))</f>
        <v/>
      </c>
      <c r="L318" s="8">
        <f>IF(A318="","",A318&amp;"-"&amp;B318&amp;"-"&amp;C318)</f>
        <v/>
      </c>
      <c r="M318" s="8">
        <f>IF(OR(L318="",G318=""),"",IF(COUNTIF(L319:L$552,L318)=0,L318,""))</f>
        <v/>
      </c>
    </row>
    <row r="319">
      <c r="A319" s="40" t="n">
        <v>5</v>
      </c>
      <c r="B319" s="40" t="inlineStr">
        <is>
          <t>松</t>
        </is>
      </c>
      <c r="C319" s="40" t="n">
        <v>22</v>
      </c>
      <c r="D319" s="40" t="n">
        <v>4</v>
      </c>
      <c r="E319" s="40" t="n">
        <v>11</v>
      </c>
      <c r="F319" s="40" t="n">
        <v>12</v>
      </c>
      <c r="G319" s="3">
        <f>IF(L319="","",IFERROR(INDEX(前年度名簿!$D$2:$D$451,MATCH(L319,前年度名簿!$F$2:$F$451,0)),""))</f>
        <v/>
      </c>
      <c r="H319" s="44">
        <f>IF(D319="","",IF(ISERROR(VALUE(D319)),D319&amp;"",IF(AND(VALUE(D319)&gt;=1,VALUE(D319)&lt;=20),IF(INDEX(設定!$P$8:$P$27,VALUE(D319))="","？",INDEX(設定!$P$8:$P$27,VALUE(D319))),"？")))</f>
        <v/>
      </c>
      <c r="I319" s="44">
        <f>IF(E319="","",IF(ISERROR(VALUE(E319)),E319&amp;"",IF(AND(VALUE(E319)&gt;=1,VALUE(E319)&lt;=20),IF(INDEX(設定!$P$8:$P$27,VALUE(E319))="","？",INDEX(設定!$P$8:$P$27,VALUE(E319))),"？")))</f>
        <v/>
      </c>
      <c r="J319" s="44">
        <f>IF(F319="","",IF(ISERROR(VALUE(F319)),F319&amp;"",IF(AND(VALUE(F319)&gt;=1,VALUE(F319)&lt;=20),IF(INDEX(設定!$P$8:$P$27,VALUE(F319))="","？",INDEX(設定!$P$8:$P$27,VALUE(F319))),"？")))</f>
        <v/>
      </c>
      <c r="K319" s="45">
        <f>IF(L319="","",IF(G319="","名簿にいない",IF(COUNTIF(L320:L$552,L319)&gt;0,"2回提出（下の行を使います）",IF(OR(H319="？",I319="？",J319="？"),"クラブ番号がちがう",IF(OR(AND(H319&lt;&gt;"",H319&lt;&gt;"？",COUNTIF(設定!$P$8:$P$27,H319)=0),AND(I319&lt;&gt;"",I319&lt;&gt;"？",COUNTIF(設定!$P$8:$P$27,I319)=0),AND(J319&lt;&gt;"",J319&lt;&gt;"？",COUNTIF(設定!$P$8:$P$27,J319)=0)),"クラブ名がちがう",IF(H319="","第1希望がない",IF(OR(AND(H319&lt;&gt;"",H319=I319),AND(H319&lt;&gt;"",H319=J319),AND(I319&lt;&gt;"",I319=J319)),"同じクラブを重複して希望","OK")))))))</f>
        <v/>
      </c>
      <c r="L319" s="8">
        <f>IF(A319="","",A319&amp;"-"&amp;B319&amp;"-"&amp;C319)</f>
        <v/>
      </c>
      <c r="M319" s="8">
        <f>IF(OR(L319="",G319=""),"",IF(COUNTIF(L320:L$552,L319)=0,L319,""))</f>
        <v/>
      </c>
    </row>
    <row r="320">
      <c r="A320" s="40" t="n">
        <v>3</v>
      </c>
      <c r="B320" s="40" t="inlineStr">
        <is>
          <t>竹</t>
        </is>
      </c>
      <c r="C320" s="40" t="n">
        <v>28</v>
      </c>
      <c r="D320" s="40" t="n">
        <v>12</v>
      </c>
      <c r="E320" s="40" t="n">
        <v>5</v>
      </c>
      <c r="F320" s="40" t="n">
        <v>2</v>
      </c>
      <c r="G320" s="3">
        <f>IF(L320="","",IFERROR(INDEX(前年度名簿!$D$2:$D$451,MATCH(L320,前年度名簿!$F$2:$F$451,0)),""))</f>
        <v/>
      </c>
      <c r="H320" s="44">
        <f>IF(D320="","",IF(ISERROR(VALUE(D320)),D320&amp;"",IF(AND(VALUE(D320)&gt;=1,VALUE(D320)&lt;=20),IF(INDEX(設定!$P$8:$P$27,VALUE(D320))="","？",INDEX(設定!$P$8:$P$27,VALUE(D320))),"？")))</f>
        <v/>
      </c>
      <c r="I320" s="44">
        <f>IF(E320="","",IF(ISERROR(VALUE(E320)),E320&amp;"",IF(AND(VALUE(E320)&gt;=1,VALUE(E320)&lt;=20),IF(INDEX(設定!$P$8:$P$27,VALUE(E320))="","？",INDEX(設定!$P$8:$P$27,VALUE(E320))),"？")))</f>
        <v/>
      </c>
      <c r="J320" s="44">
        <f>IF(F320="","",IF(ISERROR(VALUE(F320)),F320&amp;"",IF(AND(VALUE(F320)&gt;=1,VALUE(F320)&lt;=20),IF(INDEX(設定!$P$8:$P$27,VALUE(F320))="","？",INDEX(設定!$P$8:$P$27,VALUE(F320))),"？")))</f>
        <v/>
      </c>
      <c r="K320" s="45">
        <f>IF(L320="","",IF(G320="","名簿にいない",IF(COUNTIF(L321:L$552,L320)&gt;0,"2回提出（下の行を使います）",IF(OR(H320="？",I320="？",J320="？"),"クラブ番号がちがう",IF(OR(AND(H320&lt;&gt;"",H320&lt;&gt;"？",COUNTIF(設定!$P$8:$P$27,H320)=0),AND(I320&lt;&gt;"",I320&lt;&gt;"？",COUNTIF(設定!$P$8:$P$27,I320)=0),AND(J320&lt;&gt;"",J320&lt;&gt;"？",COUNTIF(設定!$P$8:$P$27,J320)=0)),"クラブ名がちがう",IF(H320="","第1希望がない",IF(OR(AND(H320&lt;&gt;"",H320=I320),AND(H320&lt;&gt;"",H320=J320),AND(I320&lt;&gt;"",I320=J320)),"同じクラブを重複して希望","OK")))))))</f>
        <v/>
      </c>
      <c r="L320" s="8">
        <f>IF(A320="","",A320&amp;"-"&amp;B320&amp;"-"&amp;C320)</f>
        <v/>
      </c>
      <c r="M320" s="8">
        <f>IF(OR(L320="",G320=""),"",IF(COUNTIF(L321:L$552,L320)=0,L320,""))</f>
        <v/>
      </c>
    </row>
    <row r="321">
      <c r="A321" s="40" t="n">
        <v>3</v>
      </c>
      <c r="B321" s="40" t="inlineStr">
        <is>
          <t>竹</t>
        </is>
      </c>
      <c r="C321" s="40" t="n">
        <v>11</v>
      </c>
      <c r="D321" s="40" t="n">
        <v>4</v>
      </c>
      <c r="E321" s="40" t="n">
        <v>3</v>
      </c>
      <c r="F321" s="40" t="n">
        <v>9</v>
      </c>
      <c r="G321" s="3">
        <f>IF(L321="","",IFERROR(INDEX(前年度名簿!$D$2:$D$451,MATCH(L321,前年度名簿!$F$2:$F$451,0)),""))</f>
        <v/>
      </c>
      <c r="H321" s="44">
        <f>IF(D321="","",IF(ISERROR(VALUE(D321)),D321&amp;"",IF(AND(VALUE(D321)&gt;=1,VALUE(D321)&lt;=20),IF(INDEX(設定!$P$8:$P$27,VALUE(D321))="","？",INDEX(設定!$P$8:$P$27,VALUE(D321))),"？")))</f>
        <v/>
      </c>
      <c r="I321" s="44">
        <f>IF(E321="","",IF(ISERROR(VALUE(E321)),E321&amp;"",IF(AND(VALUE(E321)&gt;=1,VALUE(E321)&lt;=20),IF(INDEX(設定!$P$8:$P$27,VALUE(E321))="","？",INDEX(設定!$P$8:$P$27,VALUE(E321))),"？")))</f>
        <v/>
      </c>
      <c r="J321" s="44">
        <f>IF(F321="","",IF(ISERROR(VALUE(F321)),F321&amp;"",IF(AND(VALUE(F321)&gt;=1,VALUE(F321)&lt;=20),IF(INDEX(設定!$P$8:$P$27,VALUE(F321))="","？",INDEX(設定!$P$8:$P$27,VALUE(F321))),"？")))</f>
        <v/>
      </c>
      <c r="K321" s="45">
        <f>IF(L321="","",IF(G321="","名簿にいない",IF(COUNTIF(L322:L$552,L321)&gt;0,"2回提出（下の行を使います）",IF(OR(H321="？",I321="？",J321="？"),"クラブ番号がちがう",IF(OR(AND(H321&lt;&gt;"",H321&lt;&gt;"？",COUNTIF(設定!$P$8:$P$27,H321)=0),AND(I321&lt;&gt;"",I321&lt;&gt;"？",COUNTIF(設定!$P$8:$P$27,I321)=0),AND(J321&lt;&gt;"",J321&lt;&gt;"？",COUNTIF(設定!$P$8:$P$27,J321)=0)),"クラブ名がちがう",IF(H321="","第1希望がない",IF(OR(AND(H321&lt;&gt;"",H321=I321),AND(H321&lt;&gt;"",H321=J321),AND(I321&lt;&gt;"",I321=J321)),"同じクラブを重複して希望","OK")))))))</f>
        <v/>
      </c>
      <c r="L321" s="8">
        <f>IF(A321="","",A321&amp;"-"&amp;B321&amp;"-"&amp;C321)</f>
        <v/>
      </c>
      <c r="M321" s="8">
        <f>IF(OR(L321="",G321=""),"",IF(COUNTIF(L322:L$552,L321)=0,L321,""))</f>
        <v/>
      </c>
    </row>
    <row r="322">
      <c r="A322" s="40" t="n">
        <v>3</v>
      </c>
      <c r="B322" s="40" t="inlineStr">
        <is>
          <t>梅</t>
        </is>
      </c>
      <c r="C322" s="40" t="n">
        <v>12</v>
      </c>
      <c r="D322" s="40" t="n">
        <v>4</v>
      </c>
      <c r="E322" s="40" t="n">
        <v>4</v>
      </c>
      <c r="F322" s="40" t="n">
        <v>3</v>
      </c>
      <c r="G322" s="3">
        <f>IF(L322="","",IFERROR(INDEX(前年度名簿!$D$2:$D$451,MATCH(L322,前年度名簿!$F$2:$F$451,0)),""))</f>
        <v/>
      </c>
      <c r="H322" s="44">
        <f>IF(D322="","",IF(ISERROR(VALUE(D322)),D322&amp;"",IF(AND(VALUE(D322)&gt;=1,VALUE(D322)&lt;=20),IF(INDEX(設定!$P$8:$P$27,VALUE(D322))="","？",INDEX(設定!$P$8:$P$27,VALUE(D322))),"？")))</f>
        <v/>
      </c>
      <c r="I322" s="44">
        <f>IF(E322="","",IF(ISERROR(VALUE(E322)),E322&amp;"",IF(AND(VALUE(E322)&gt;=1,VALUE(E322)&lt;=20),IF(INDEX(設定!$P$8:$P$27,VALUE(E322))="","？",INDEX(設定!$P$8:$P$27,VALUE(E322))),"？")))</f>
        <v/>
      </c>
      <c r="J322" s="44">
        <f>IF(F322="","",IF(ISERROR(VALUE(F322)),F322&amp;"",IF(AND(VALUE(F322)&gt;=1,VALUE(F322)&lt;=20),IF(INDEX(設定!$P$8:$P$27,VALUE(F322))="","？",INDEX(設定!$P$8:$P$27,VALUE(F322))),"？")))</f>
        <v/>
      </c>
      <c r="K322" s="45">
        <f>IF(L322="","",IF(G322="","名簿にいない",IF(COUNTIF(L323:L$552,L322)&gt;0,"2回提出（下の行を使います）",IF(OR(H322="？",I322="？",J322="？"),"クラブ番号がちがう",IF(OR(AND(H322&lt;&gt;"",H322&lt;&gt;"？",COUNTIF(設定!$P$8:$P$27,H322)=0),AND(I322&lt;&gt;"",I322&lt;&gt;"？",COUNTIF(設定!$P$8:$P$27,I322)=0),AND(J322&lt;&gt;"",J322&lt;&gt;"？",COUNTIF(設定!$P$8:$P$27,J322)=0)),"クラブ名がちがう",IF(H322="","第1希望がない",IF(OR(AND(H322&lt;&gt;"",H322=I322),AND(H322&lt;&gt;"",H322=J322),AND(I322&lt;&gt;"",I322=J322)),"同じクラブを重複して希望","OK")))))))</f>
        <v/>
      </c>
      <c r="L322" s="8">
        <f>IF(A322="","",A322&amp;"-"&amp;B322&amp;"-"&amp;C322)</f>
        <v/>
      </c>
      <c r="M322" s="8">
        <f>IF(OR(L322="",G322=""),"",IF(COUNTIF(L323:L$552,L322)=0,L322,""))</f>
        <v/>
      </c>
    </row>
    <row r="323">
      <c r="A323" s="40" t="n">
        <v>4</v>
      </c>
      <c r="B323" s="40" t="inlineStr">
        <is>
          <t>梅</t>
        </is>
      </c>
      <c r="C323" s="40" t="n">
        <v>14</v>
      </c>
      <c r="D323" s="40" t="n">
        <v>5</v>
      </c>
      <c r="E323" s="40" t="n">
        <v>8</v>
      </c>
      <c r="F323" s="40" t="n">
        <v>11</v>
      </c>
      <c r="G323" s="3">
        <f>IF(L323="","",IFERROR(INDEX(前年度名簿!$D$2:$D$451,MATCH(L323,前年度名簿!$F$2:$F$451,0)),""))</f>
        <v/>
      </c>
      <c r="H323" s="44">
        <f>IF(D323="","",IF(ISERROR(VALUE(D323)),D323&amp;"",IF(AND(VALUE(D323)&gt;=1,VALUE(D323)&lt;=20),IF(INDEX(設定!$P$8:$P$27,VALUE(D323))="","？",INDEX(設定!$P$8:$P$27,VALUE(D323))),"？")))</f>
        <v/>
      </c>
      <c r="I323" s="44">
        <f>IF(E323="","",IF(ISERROR(VALUE(E323)),E323&amp;"",IF(AND(VALUE(E323)&gt;=1,VALUE(E323)&lt;=20),IF(INDEX(設定!$P$8:$P$27,VALUE(E323))="","？",INDEX(設定!$P$8:$P$27,VALUE(E323))),"？")))</f>
        <v/>
      </c>
      <c r="J323" s="44">
        <f>IF(F323="","",IF(ISERROR(VALUE(F323)),F323&amp;"",IF(AND(VALUE(F323)&gt;=1,VALUE(F323)&lt;=20),IF(INDEX(設定!$P$8:$P$27,VALUE(F323))="","？",INDEX(設定!$P$8:$P$27,VALUE(F323))),"？")))</f>
        <v/>
      </c>
      <c r="K323" s="45">
        <f>IF(L323="","",IF(G323="","名簿にいない",IF(COUNTIF(L324:L$552,L323)&gt;0,"2回提出（下の行を使います）",IF(OR(H323="？",I323="？",J323="？"),"クラブ番号がちがう",IF(OR(AND(H323&lt;&gt;"",H323&lt;&gt;"？",COUNTIF(設定!$P$8:$P$27,H323)=0),AND(I323&lt;&gt;"",I323&lt;&gt;"？",COUNTIF(設定!$P$8:$P$27,I323)=0),AND(J323&lt;&gt;"",J323&lt;&gt;"？",COUNTIF(設定!$P$8:$P$27,J323)=0)),"クラブ名がちがう",IF(H323="","第1希望がない",IF(OR(AND(H323&lt;&gt;"",H323=I323),AND(H323&lt;&gt;"",H323=J323),AND(I323&lt;&gt;"",I323=J323)),"同じクラブを重複して希望","OK")))))))</f>
        <v/>
      </c>
      <c r="L323" s="8">
        <f>IF(A323="","",A323&amp;"-"&amp;B323&amp;"-"&amp;C323)</f>
        <v/>
      </c>
      <c r="M323" s="8">
        <f>IF(OR(L323="",G323=""),"",IF(COUNTIF(L324:L$552,L323)=0,L323,""))</f>
        <v/>
      </c>
    </row>
    <row r="324">
      <c r="A324" s="40" t="n">
        <v>5</v>
      </c>
      <c r="B324" s="40" t="inlineStr">
        <is>
          <t>月</t>
        </is>
      </c>
      <c r="C324" s="40" t="n">
        <v>29</v>
      </c>
      <c r="D324" s="40" t="n">
        <v>9</v>
      </c>
      <c r="E324" s="40" t="n">
        <v>6</v>
      </c>
      <c r="F324" s="40" t="n">
        <v>5</v>
      </c>
      <c r="G324" s="3">
        <f>IF(L324="","",IFERROR(INDEX(前年度名簿!$D$2:$D$451,MATCH(L324,前年度名簿!$F$2:$F$451,0)),""))</f>
        <v/>
      </c>
      <c r="H324" s="44">
        <f>IF(D324="","",IF(ISERROR(VALUE(D324)),D324&amp;"",IF(AND(VALUE(D324)&gt;=1,VALUE(D324)&lt;=20),IF(INDEX(設定!$P$8:$P$27,VALUE(D324))="","？",INDEX(設定!$P$8:$P$27,VALUE(D324))),"？")))</f>
        <v/>
      </c>
      <c r="I324" s="44">
        <f>IF(E324="","",IF(ISERROR(VALUE(E324)),E324&amp;"",IF(AND(VALUE(E324)&gt;=1,VALUE(E324)&lt;=20),IF(INDEX(設定!$P$8:$P$27,VALUE(E324))="","？",INDEX(設定!$P$8:$P$27,VALUE(E324))),"？")))</f>
        <v/>
      </c>
      <c r="J324" s="44">
        <f>IF(F324="","",IF(ISERROR(VALUE(F324)),F324&amp;"",IF(AND(VALUE(F324)&gt;=1,VALUE(F324)&lt;=20),IF(INDEX(設定!$P$8:$P$27,VALUE(F324))="","？",INDEX(設定!$P$8:$P$27,VALUE(F324))),"？")))</f>
        <v/>
      </c>
      <c r="K324" s="45">
        <f>IF(L324="","",IF(G324="","名簿にいない",IF(COUNTIF(L325:L$552,L324)&gt;0,"2回提出（下の行を使います）",IF(OR(H324="？",I324="？",J324="？"),"クラブ番号がちがう",IF(OR(AND(H324&lt;&gt;"",H324&lt;&gt;"？",COUNTIF(設定!$P$8:$P$27,H324)=0),AND(I324&lt;&gt;"",I324&lt;&gt;"？",COUNTIF(設定!$P$8:$P$27,I324)=0),AND(J324&lt;&gt;"",J324&lt;&gt;"？",COUNTIF(設定!$P$8:$P$27,J324)=0)),"クラブ名がちがう",IF(H324="","第1希望がない",IF(OR(AND(H324&lt;&gt;"",H324=I324),AND(H324&lt;&gt;"",H324=J324),AND(I324&lt;&gt;"",I324=J324)),"同じクラブを重複して希望","OK")))))))</f>
        <v/>
      </c>
      <c r="L324" s="8">
        <f>IF(A324="","",A324&amp;"-"&amp;B324&amp;"-"&amp;C324)</f>
        <v/>
      </c>
      <c r="M324" s="8">
        <f>IF(OR(L324="",G324=""),"",IF(COUNTIF(L325:L$552,L324)=0,L324,""))</f>
        <v/>
      </c>
    </row>
    <row r="325">
      <c r="A325" s="40" t="n">
        <v>3</v>
      </c>
      <c r="B325" s="40" t="inlineStr">
        <is>
          <t>松</t>
        </is>
      </c>
      <c r="C325" s="40" t="n">
        <v>20</v>
      </c>
      <c r="D325" s="40" t="n">
        <v>9</v>
      </c>
      <c r="E325" s="40" t="n">
        <v>1</v>
      </c>
      <c r="F325" s="40" t="n">
        <v>8</v>
      </c>
      <c r="G325" s="3">
        <f>IF(L325="","",IFERROR(INDEX(前年度名簿!$D$2:$D$451,MATCH(L325,前年度名簿!$F$2:$F$451,0)),""))</f>
        <v/>
      </c>
      <c r="H325" s="44">
        <f>IF(D325="","",IF(ISERROR(VALUE(D325)),D325&amp;"",IF(AND(VALUE(D325)&gt;=1,VALUE(D325)&lt;=20),IF(INDEX(設定!$P$8:$P$27,VALUE(D325))="","？",INDEX(設定!$P$8:$P$27,VALUE(D325))),"？")))</f>
        <v/>
      </c>
      <c r="I325" s="44">
        <f>IF(E325="","",IF(ISERROR(VALUE(E325)),E325&amp;"",IF(AND(VALUE(E325)&gt;=1,VALUE(E325)&lt;=20),IF(INDEX(設定!$P$8:$P$27,VALUE(E325))="","？",INDEX(設定!$P$8:$P$27,VALUE(E325))),"？")))</f>
        <v/>
      </c>
      <c r="J325" s="44">
        <f>IF(F325="","",IF(ISERROR(VALUE(F325)),F325&amp;"",IF(AND(VALUE(F325)&gt;=1,VALUE(F325)&lt;=20),IF(INDEX(設定!$P$8:$P$27,VALUE(F325))="","？",INDEX(設定!$P$8:$P$27,VALUE(F325))),"？")))</f>
        <v/>
      </c>
      <c r="K325" s="45">
        <f>IF(L325="","",IF(G325="","名簿にいない",IF(COUNTIF(L326:L$552,L325)&gt;0,"2回提出（下の行を使います）",IF(OR(H325="？",I325="？",J325="？"),"クラブ番号がちがう",IF(OR(AND(H325&lt;&gt;"",H325&lt;&gt;"？",COUNTIF(設定!$P$8:$P$27,H325)=0),AND(I325&lt;&gt;"",I325&lt;&gt;"？",COUNTIF(設定!$P$8:$P$27,I325)=0),AND(J325&lt;&gt;"",J325&lt;&gt;"？",COUNTIF(設定!$P$8:$P$27,J325)=0)),"クラブ名がちがう",IF(H325="","第1希望がない",IF(OR(AND(H325&lt;&gt;"",H325=I325),AND(H325&lt;&gt;"",H325=J325),AND(I325&lt;&gt;"",I325=J325)),"同じクラブを重複して希望","OK")))))))</f>
        <v/>
      </c>
      <c r="L325" s="8">
        <f>IF(A325="","",A325&amp;"-"&amp;B325&amp;"-"&amp;C325)</f>
        <v/>
      </c>
      <c r="M325" s="8">
        <f>IF(OR(L325="",G325=""),"",IF(COUNTIF(L326:L$552,L325)=0,L325,""))</f>
        <v/>
      </c>
    </row>
    <row r="326">
      <c r="A326" s="40" t="n">
        <v>4</v>
      </c>
      <c r="B326" s="40" t="inlineStr">
        <is>
          <t>梅</t>
        </is>
      </c>
      <c r="C326" s="40" t="n">
        <v>18</v>
      </c>
      <c r="D326" s="40" t="n">
        <v>12</v>
      </c>
      <c r="E326" s="40" t="n">
        <v>11</v>
      </c>
      <c r="F326" s="40" t="n">
        <v>1</v>
      </c>
      <c r="G326" s="3">
        <f>IF(L326="","",IFERROR(INDEX(前年度名簿!$D$2:$D$451,MATCH(L326,前年度名簿!$F$2:$F$451,0)),""))</f>
        <v/>
      </c>
      <c r="H326" s="44">
        <f>IF(D326="","",IF(ISERROR(VALUE(D326)),D326&amp;"",IF(AND(VALUE(D326)&gt;=1,VALUE(D326)&lt;=20),IF(INDEX(設定!$P$8:$P$27,VALUE(D326))="","？",INDEX(設定!$P$8:$P$27,VALUE(D326))),"？")))</f>
        <v/>
      </c>
      <c r="I326" s="44">
        <f>IF(E326="","",IF(ISERROR(VALUE(E326)),E326&amp;"",IF(AND(VALUE(E326)&gt;=1,VALUE(E326)&lt;=20),IF(INDEX(設定!$P$8:$P$27,VALUE(E326))="","？",INDEX(設定!$P$8:$P$27,VALUE(E326))),"？")))</f>
        <v/>
      </c>
      <c r="J326" s="44">
        <f>IF(F326="","",IF(ISERROR(VALUE(F326)),F326&amp;"",IF(AND(VALUE(F326)&gt;=1,VALUE(F326)&lt;=20),IF(INDEX(設定!$P$8:$P$27,VALUE(F326))="","？",INDEX(設定!$P$8:$P$27,VALUE(F326))),"？")))</f>
        <v/>
      </c>
      <c r="K326" s="45">
        <f>IF(L326="","",IF(G326="","名簿にいない",IF(COUNTIF(L327:L$552,L326)&gt;0,"2回提出（下の行を使います）",IF(OR(H326="？",I326="？",J326="？"),"クラブ番号がちがう",IF(OR(AND(H326&lt;&gt;"",H326&lt;&gt;"？",COUNTIF(設定!$P$8:$P$27,H326)=0),AND(I326&lt;&gt;"",I326&lt;&gt;"？",COUNTIF(設定!$P$8:$P$27,I326)=0),AND(J326&lt;&gt;"",J326&lt;&gt;"？",COUNTIF(設定!$P$8:$P$27,J326)=0)),"クラブ名がちがう",IF(H326="","第1希望がない",IF(OR(AND(H326&lt;&gt;"",H326=I326),AND(H326&lt;&gt;"",H326=J326),AND(I326&lt;&gt;"",I326=J326)),"同じクラブを重複して希望","OK")))))))</f>
        <v/>
      </c>
      <c r="L326" s="8">
        <f>IF(A326="","",A326&amp;"-"&amp;B326&amp;"-"&amp;C326)</f>
        <v/>
      </c>
      <c r="M326" s="8">
        <f>IF(OR(L326="",G326=""),"",IF(COUNTIF(L327:L$552,L326)=0,L326,""))</f>
        <v/>
      </c>
    </row>
    <row r="327">
      <c r="A327" s="40" t="n">
        <v>4</v>
      </c>
      <c r="B327" s="40" t="inlineStr">
        <is>
          <t>月</t>
        </is>
      </c>
      <c r="C327" s="40" t="n">
        <v>6</v>
      </c>
      <c r="D327" s="40" t="n">
        <v>10</v>
      </c>
      <c r="E327" s="40" t="n">
        <v>7</v>
      </c>
      <c r="F327" s="40" t="n">
        <v>1</v>
      </c>
      <c r="G327" s="3">
        <f>IF(L327="","",IFERROR(INDEX(前年度名簿!$D$2:$D$451,MATCH(L327,前年度名簿!$F$2:$F$451,0)),""))</f>
        <v/>
      </c>
      <c r="H327" s="44">
        <f>IF(D327="","",IF(ISERROR(VALUE(D327)),D327&amp;"",IF(AND(VALUE(D327)&gt;=1,VALUE(D327)&lt;=20),IF(INDEX(設定!$P$8:$P$27,VALUE(D327))="","？",INDEX(設定!$P$8:$P$27,VALUE(D327))),"？")))</f>
        <v/>
      </c>
      <c r="I327" s="44">
        <f>IF(E327="","",IF(ISERROR(VALUE(E327)),E327&amp;"",IF(AND(VALUE(E327)&gt;=1,VALUE(E327)&lt;=20),IF(INDEX(設定!$P$8:$P$27,VALUE(E327))="","？",INDEX(設定!$P$8:$P$27,VALUE(E327))),"？")))</f>
        <v/>
      </c>
      <c r="J327" s="44">
        <f>IF(F327="","",IF(ISERROR(VALUE(F327)),F327&amp;"",IF(AND(VALUE(F327)&gt;=1,VALUE(F327)&lt;=20),IF(INDEX(設定!$P$8:$P$27,VALUE(F327))="","？",INDEX(設定!$P$8:$P$27,VALUE(F327))),"？")))</f>
        <v/>
      </c>
      <c r="K327" s="45">
        <f>IF(L327="","",IF(G327="","名簿にいない",IF(COUNTIF(L328:L$552,L327)&gt;0,"2回提出（下の行を使います）",IF(OR(H327="？",I327="？",J327="？"),"クラブ番号がちがう",IF(OR(AND(H327&lt;&gt;"",H327&lt;&gt;"？",COUNTIF(設定!$P$8:$P$27,H327)=0),AND(I327&lt;&gt;"",I327&lt;&gt;"？",COUNTIF(設定!$P$8:$P$27,I327)=0),AND(J327&lt;&gt;"",J327&lt;&gt;"？",COUNTIF(設定!$P$8:$P$27,J327)=0)),"クラブ名がちがう",IF(H327="","第1希望がない",IF(OR(AND(H327&lt;&gt;"",H327=I327),AND(H327&lt;&gt;"",H327=J327),AND(I327&lt;&gt;"",I327=J327)),"同じクラブを重複して希望","OK")))))))</f>
        <v/>
      </c>
      <c r="L327" s="8">
        <f>IF(A327="","",A327&amp;"-"&amp;B327&amp;"-"&amp;C327)</f>
        <v/>
      </c>
      <c r="M327" s="8">
        <f>IF(OR(L327="",G327=""),"",IF(COUNTIF(L328:L$552,L327)=0,L327,""))</f>
        <v/>
      </c>
    </row>
    <row r="328">
      <c r="A328" s="40" t="n">
        <v>3</v>
      </c>
      <c r="B328" s="40" t="inlineStr">
        <is>
          <t>松</t>
        </is>
      </c>
      <c r="C328" s="40" t="n">
        <v>2</v>
      </c>
      <c r="D328" s="40" t="n">
        <v>1</v>
      </c>
      <c r="E328" s="40" t="n">
        <v>2</v>
      </c>
      <c r="F328" s="40" t="n">
        <v>4</v>
      </c>
      <c r="G328" s="3">
        <f>IF(L328="","",IFERROR(INDEX(前年度名簿!$D$2:$D$451,MATCH(L328,前年度名簿!$F$2:$F$451,0)),""))</f>
        <v/>
      </c>
      <c r="H328" s="44">
        <f>IF(D328="","",IF(ISERROR(VALUE(D328)),D328&amp;"",IF(AND(VALUE(D328)&gt;=1,VALUE(D328)&lt;=20),IF(INDEX(設定!$P$8:$P$27,VALUE(D328))="","？",INDEX(設定!$P$8:$P$27,VALUE(D328))),"？")))</f>
        <v/>
      </c>
      <c r="I328" s="44">
        <f>IF(E328="","",IF(ISERROR(VALUE(E328)),E328&amp;"",IF(AND(VALUE(E328)&gt;=1,VALUE(E328)&lt;=20),IF(INDEX(設定!$P$8:$P$27,VALUE(E328))="","？",INDEX(設定!$P$8:$P$27,VALUE(E328))),"？")))</f>
        <v/>
      </c>
      <c r="J328" s="44">
        <f>IF(F328="","",IF(ISERROR(VALUE(F328)),F328&amp;"",IF(AND(VALUE(F328)&gt;=1,VALUE(F328)&lt;=20),IF(INDEX(設定!$P$8:$P$27,VALUE(F328))="","？",INDEX(設定!$P$8:$P$27,VALUE(F328))),"？")))</f>
        <v/>
      </c>
      <c r="K328" s="45">
        <f>IF(L328="","",IF(G328="","名簿にいない",IF(COUNTIF(L329:L$552,L328)&gt;0,"2回提出（下の行を使います）",IF(OR(H328="？",I328="？",J328="？"),"クラブ番号がちがう",IF(OR(AND(H328&lt;&gt;"",H328&lt;&gt;"？",COUNTIF(設定!$P$8:$P$27,H328)=0),AND(I328&lt;&gt;"",I328&lt;&gt;"？",COUNTIF(設定!$P$8:$P$27,I328)=0),AND(J328&lt;&gt;"",J328&lt;&gt;"？",COUNTIF(設定!$P$8:$P$27,J328)=0)),"クラブ名がちがう",IF(H328="","第1希望がない",IF(OR(AND(H328&lt;&gt;"",H328=I328),AND(H328&lt;&gt;"",H328=J328),AND(I328&lt;&gt;"",I328=J328)),"同じクラブを重複して希望","OK")))))))</f>
        <v/>
      </c>
      <c r="L328" s="8">
        <f>IF(A328="","",A328&amp;"-"&amp;B328&amp;"-"&amp;C328)</f>
        <v/>
      </c>
      <c r="M328" s="8">
        <f>IF(OR(L328="",G328=""),"",IF(COUNTIF(L329:L$552,L328)=0,L328,""))</f>
        <v/>
      </c>
    </row>
    <row r="329">
      <c r="A329" s="40" t="n">
        <v>4</v>
      </c>
      <c r="B329" s="40" t="inlineStr">
        <is>
          <t>月</t>
        </is>
      </c>
      <c r="C329" s="40" t="n">
        <v>15</v>
      </c>
      <c r="D329" s="40" t="n">
        <v>12</v>
      </c>
      <c r="E329" s="40" t="n">
        <v>4</v>
      </c>
      <c r="F329" s="40" t="n">
        <v>3</v>
      </c>
      <c r="G329" s="3">
        <f>IF(L329="","",IFERROR(INDEX(前年度名簿!$D$2:$D$451,MATCH(L329,前年度名簿!$F$2:$F$451,0)),""))</f>
        <v/>
      </c>
      <c r="H329" s="44">
        <f>IF(D329="","",IF(ISERROR(VALUE(D329)),D329&amp;"",IF(AND(VALUE(D329)&gt;=1,VALUE(D329)&lt;=20),IF(INDEX(設定!$P$8:$P$27,VALUE(D329))="","？",INDEX(設定!$P$8:$P$27,VALUE(D329))),"？")))</f>
        <v/>
      </c>
      <c r="I329" s="44">
        <f>IF(E329="","",IF(ISERROR(VALUE(E329)),E329&amp;"",IF(AND(VALUE(E329)&gt;=1,VALUE(E329)&lt;=20),IF(INDEX(設定!$P$8:$P$27,VALUE(E329))="","？",INDEX(設定!$P$8:$P$27,VALUE(E329))),"？")))</f>
        <v/>
      </c>
      <c r="J329" s="44">
        <f>IF(F329="","",IF(ISERROR(VALUE(F329)),F329&amp;"",IF(AND(VALUE(F329)&gt;=1,VALUE(F329)&lt;=20),IF(INDEX(設定!$P$8:$P$27,VALUE(F329))="","？",INDEX(設定!$P$8:$P$27,VALUE(F329))),"？")))</f>
        <v/>
      </c>
      <c r="K329" s="45">
        <f>IF(L329="","",IF(G329="","名簿にいない",IF(COUNTIF(L330:L$552,L329)&gt;0,"2回提出（下の行を使います）",IF(OR(H329="？",I329="？",J329="？"),"クラブ番号がちがう",IF(OR(AND(H329&lt;&gt;"",H329&lt;&gt;"？",COUNTIF(設定!$P$8:$P$27,H329)=0),AND(I329&lt;&gt;"",I329&lt;&gt;"？",COUNTIF(設定!$P$8:$P$27,I329)=0),AND(J329&lt;&gt;"",J329&lt;&gt;"？",COUNTIF(設定!$P$8:$P$27,J329)=0)),"クラブ名がちがう",IF(H329="","第1希望がない",IF(OR(AND(H329&lt;&gt;"",H329=I329),AND(H329&lt;&gt;"",H329=J329),AND(I329&lt;&gt;"",I329=J329)),"同じクラブを重複して希望","OK")))))))</f>
        <v/>
      </c>
      <c r="L329" s="8">
        <f>IF(A329="","",A329&amp;"-"&amp;B329&amp;"-"&amp;C329)</f>
        <v/>
      </c>
      <c r="M329" s="8">
        <f>IF(OR(L329="",G329=""),"",IF(COUNTIF(L330:L$552,L329)=0,L329,""))</f>
        <v/>
      </c>
    </row>
    <row r="330">
      <c r="A330" s="40" t="n">
        <v>4</v>
      </c>
      <c r="B330" s="40" t="inlineStr">
        <is>
          <t>月</t>
        </is>
      </c>
      <c r="C330" s="40" t="n">
        <v>25</v>
      </c>
      <c r="D330" s="40" t="n">
        <v>5</v>
      </c>
      <c r="E330" s="40" t="n">
        <v>7</v>
      </c>
      <c r="F330" s="40" t="n">
        <v>12</v>
      </c>
      <c r="G330" s="3">
        <f>IF(L330="","",IFERROR(INDEX(前年度名簿!$D$2:$D$451,MATCH(L330,前年度名簿!$F$2:$F$451,0)),""))</f>
        <v/>
      </c>
      <c r="H330" s="44">
        <f>IF(D330="","",IF(ISERROR(VALUE(D330)),D330&amp;"",IF(AND(VALUE(D330)&gt;=1,VALUE(D330)&lt;=20),IF(INDEX(設定!$P$8:$P$27,VALUE(D330))="","？",INDEX(設定!$P$8:$P$27,VALUE(D330))),"？")))</f>
        <v/>
      </c>
      <c r="I330" s="44">
        <f>IF(E330="","",IF(ISERROR(VALUE(E330)),E330&amp;"",IF(AND(VALUE(E330)&gt;=1,VALUE(E330)&lt;=20),IF(INDEX(設定!$P$8:$P$27,VALUE(E330))="","？",INDEX(設定!$P$8:$P$27,VALUE(E330))),"？")))</f>
        <v/>
      </c>
      <c r="J330" s="44">
        <f>IF(F330="","",IF(ISERROR(VALUE(F330)),F330&amp;"",IF(AND(VALUE(F330)&gt;=1,VALUE(F330)&lt;=20),IF(INDEX(設定!$P$8:$P$27,VALUE(F330))="","？",INDEX(設定!$P$8:$P$27,VALUE(F330))),"？")))</f>
        <v/>
      </c>
      <c r="K330" s="45">
        <f>IF(L330="","",IF(G330="","名簿にいない",IF(COUNTIF(L331:L$552,L330)&gt;0,"2回提出（下の行を使います）",IF(OR(H330="？",I330="？",J330="？"),"クラブ番号がちがう",IF(OR(AND(H330&lt;&gt;"",H330&lt;&gt;"？",COUNTIF(設定!$P$8:$P$27,H330)=0),AND(I330&lt;&gt;"",I330&lt;&gt;"？",COUNTIF(設定!$P$8:$P$27,I330)=0),AND(J330&lt;&gt;"",J330&lt;&gt;"？",COUNTIF(設定!$P$8:$P$27,J330)=0)),"クラブ名がちがう",IF(H330="","第1希望がない",IF(OR(AND(H330&lt;&gt;"",H330=I330),AND(H330&lt;&gt;"",H330=J330),AND(I330&lt;&gt;"",I330=J330)),"同じクラブを重複して希望","OK")))))))</f>
        <v/>
      </c>
      <c r="L330" s="8">
        <f>IF(A330="","",A330&amp;"-"&amp;B330&amp;"-"&amp;C330)</f>
        <v/>
      </c>
      <c r="M330" s="8">
        <f>IF(OR(L330="",G330=""),"",IF(COUNTIF(L331:L$552,L330)=0,L330,""))</f>
        <v/>
      </c>
    </row>
    <row r="331">
      <c r="A331" s="40" t="n">
        <v>5</v>
      </c>
      <c r="B331" s="40" t="inlineStr">
        <is>
          <t>梅</t>
        </is>
      </c>
      <c r="C331" s="40" t="n">
        <v>3</v>
      </c>
      <c r="D331" s="40" t="n">
        <v>6</v>
      </c>
      <c r="E331" s="40" t="n">
        <v>11</v>
      </c>
      <c r="F331" s="40" t="n">
        <v>4</v>
      </c>
      <c r="G331" s="3">
        <f>IF(L331="","",IFERROR(INDEX(前年度名簿!$D$2:$D$451,MATCH(L331,前年度名簿!$F$2:$F$451,0)),""))</f>
        <v/>
      </c>
      <c r="H331" s="44">
        <f>IF(D331="","",IF(ISERROR(VALUE(D331)),D331&amp;"",IF(AND(VALUE(D331)&gt;=1,VALUE(D331)&lt;=20),IF(INDEX(設定!$P$8:$P$27,VALUE(D331))="","？",INDEX(設定!$P$8:$P$27,VALUE(D331))),"？")))</f>
        <v/>
      </c>
      <c r="I331" s="44">
        <f>IF(E331="","",IF(ISERROR(VALUE(E331)),E331&amp;"",IF(AND(VALUE(E331)&gt;=1,VALUE(E331)&lt;=20),IF(INDEX(設定!$P$8:$P$27,VALUE(E331))="","？",INDEX(設定!$P$8:$P$27,VALUE(E331))),"？")))</f>
        <v/>
      </c>
      <c r="J331" s="44">
        <f>IF(F331="","",IF(ISERROR(VALUE(F331)),F331&amp;"",IF(AND(VALUE(F331)&gt;=1,VALUE(F331)&lt;=20),IF(INDEX(設定!$P$8:$P$27,VALUE(F331))="","？",INDEX(設定!$P$8:$P$27,VALUE(F331))),"？")))</f>
        <v/>
      </c>
      <c r="K331" s="45">
        <f>IF(L331="","",IF(G331="","名簿にいない",IF(COUNTIF(L332:L$552,L331)&gt;0,"2回提出（下の行を使います）",IF(OR(H331="？",I331="？",J331="？"),"クラブ番号がちがう",IF(OR(AND(H331&lt;&gt;"",H331&lt;&gt;"？",COUNTIF(設定!$P$8:$P$27,H331)=0),AND(I331&lt;&gt;"",I331&lt;&gt;"？",COUNTIF(設定!$P$8:$P$27,I331)=0),AND(J331&lt;&gt;"",J331&lt;&gt;"？",COUNTIF(設定!$P$8:$P$27,J331)=0)),"クラブ名がちがう",IF(H331="","第1希望がない",IF(OR(AND(H331&lt;&gt;"",H331=I331),AND(H331&lt;&gt;"",H331=J331),AND(I331&lt;&gt;"",I331=J331)),"同じクラブを重複して希望","OK")))))))</f>
        <v/>
      </c>
      <c r="L331" s="8">
        <f>IF(A331="","",A331&amp;"-"&amp;B331&amp;"-"&amp;C331)</f>
        <v/>
      </c>
      <c r="M331" s="8">
        <f>IF(OR(L331="",G331=""),"",IF(COUNTIF(L332:L$552,L331)=0,L331,""))</f>
        <v/>
      </c>
    </row>
    <row r="332">
      <c r="A332" s="40" t="n">
        <v>5</v>
      </c>
      <c r="B332" s="40" t="inlineStr">
        <is>
          <t>竹</t>
        </is>
      </c>
      <c r="C332" s="40" t="n">
        <v>29</v>
      </c>
      <c r="D332" s="40" t="n">
        <v>1</v>
      </c>
      <c r="E332" s="40" t="n">
        <v>9</v>
      </c>
      <c r="F332" s="40" t="n">
        <v>6</v>
      </c>
      <c r="G332" s="3">
        <f>IF(L332="","",IFERROR(INDEX(前年度名簿!$D$2:$D$451,MATCH(L332,前年度名簿!$F$2:$F$451,0)),""))</f>
        <v/>
      </c>
      <c r="H332" s="44">
        <f>IF(D332="","",IF(ISERROR(VALUE(D332)),D332&amp;"",IF(AND(VALUE(D332)&gt;=1,VALUE(D332)&lt;=20),IF(INDEX(設定!$P$8:$P$27,VALUE(D332))="","？",INDEX(設定!$P$8:$P$27,VALUE(D332))),"？")))</f>
        <v/>
      </c>
      <c r="I332" s="44">
        <f>IF(E332="","",IF(ISERROR(VALUE(E332)),E332&amp;"",IF(AND(VALUE(E332)&gt;=1,VALUE(E332)&lt;=20),IF(INDEX(設定!$P$8:$P$27,VALUE(E332))="","？",INDEX(設定!$P$8:$P$27,VALUE(E332))),"？")))</f>
        <v/>
      </c>
      <c r="J332" s="44">
        <f>IF(F332="","",IF(ISERROR(VALUE(F332)),F332&amp;"",IF(AND(VALUE(F332)&gt;=1,VALUE(F332)&lt;=20),IF(INDEX(設定!$P$8:$P$27,VALUE(F332))="","？",INDEX(設定!$P$8:$P$27,VALUE(F332))),"？")))</f>
        <v/>
      </c>
      <c r="K332" s="45">
        <f>IF(L332="","",IF(G332="","名簿にいない",IF(COUNTIF(L333:L$552,L332)&gt;0,"2回提出（下の行を使います）",IF(OR(H332="？",I332="？",J332="？"),"クラブ番号がちがう",IF(OR(AND(H332&lt;&gt;"",H332&lt;&gt;"？",COUNTIF(設定!$P$8:$P$27,H332)=0),AND(I332&lt;&gt;"",I332&lt;&gt;"？",COUNTIF(設定!$P$8:$P$27,I332)=0),AND(J332&lt;&gt;"",J332&lt;&gt;"？",COUNTIF(設定!$P$8:$P$27,J332)=0)),"クラブ名がちがう",IF(H332="","第1希望がない",IF(OR(AND(H332&lt;&gt;"",H332=I332),AND(H332&lt;&gt;"",H332=J332),AND(I332&lt;&gt;"",I332=J332)),"同じクラブを重複して希望","OK")))))))</f>
        <v/>
      </c>
      <c r="L332" s="8">
        <f>IF(A332="","",A332&amp;"-"&amp;B332&amp;"-"&amp;C332)</f>
        <v/>
      </c>
      <c r="M332" s="8">
        <f>IF(OR(L332="",G332=""),"",IF(COUNTIF(L333:L$552,L332)=0,L332,""))</f>
        <v/>
      </c>
    </row>
    <row r="333">
      <c r="A333" s="40" t="n">
        <v>3</v>
      </c>
      <c r="B333" s="40" t="inlineStr">
        <is>
          <t>竹</t>
        </is>
      </c>
      <c r="C333" s="40" t="n">
        <v>25</v>
      </c>
      <c r="D333" s="40" t="n">
        <v>2</v>
      </c>
      <c r="E333" s="40" t="n">
        <v>6</v>
      </c>
      <c r="F333" s="40" t="n">
        <v>10</v>
      </c>
      <c r="G333" s="3">
        <f>IF(L333="","",IFERROR(INDEX(前年度名簿!$D$2:$D$451,MATCH(L333,前年度名簿!$F$2:$F$451,0)),""))</f>
        <v/>
      </c>
      <c r="H333" s="44">
        <f>IF(D333="","",IF(ISERROR(VALUE(D333)),D333&amp;"",IF(AND(VALUE(D333)&gt;=1,VALUE(D333)&lt;=20),IF(INDEX(設定!$P$8:$P$27,VALUE(D333))="","？",INDEX(設定!$P$8:$P$27,VALUE(D333))),"？")))</f>
        <v/>
      </c>
      <c r="I333" s="44">
        <f>IF(E333="","",IF(ISERROR(VALUE(E333)),E333&amp;"",IF(AND(VALUE(E333)&gt;=1,VALUE(E333)&lt;=20),IF(INDEX(設定!$P$8:$P$27,VALUE(E333))="","？",INDEX(設定!$P$8:$P$27,VALUE(E333))),"？")))</f>
        <v/>
      </c>
      <c r="J333" s="44">
        <f>IF(F333="","",IF(ISERROR(VALUE(F333)),F333&amp;"",IF(AND(VALUE(F333)&gt;=1,VALUE(F333)&lt;=20),IF(INDEX(設定!$P$8:$P$27,VALUE(F333))="","？",INDEX(設定!$P$8:$P$27,VALUE(F333))),"？")))</f>
        <v/>
      </c>
      <c r="K333" s="45">
        <f>IF(L333="","",IF(G333="","名簿にいない",IF(COUNTIF(L334:L$552,L333)&gt;0,"2回提出（下の行を使います）",IF(OR(H333="？",I333="？",J333="？"),"クラブ番号がちがう",IF(OR(AND(H333&lt;&gt;"",H333&lt;&gt;"？",COUNTIF(設定!$P$8:$P$27,H333)=0),AND(I333&lt;&gt;"",I333&lt;&gt;"？",COUNTIF(設定!$P$8:$P$27,I333)=0),AND(J333&lt;&gt;"",J333&lt;&gt;"？",COUNTIF(設定!$P$8:$P$27,J333)=0)),"クラブ名がちがう",IF(H333="","第1希望がない",IF(OR(AND(H333&lt;&gt;"",H333=I333),AND(H333&lt;&gt;"",H333=J333),AND(I333&lt;&gt;"",I333=J333)),"同じクラブを重複して希望","OK")))))))</f>
        <v/>
      </c>
      <c r="L333" s="8">
        <f>IF(A333="","",A333&amp;"-"&amp;B333&amp;"-"&amp;C333)</f>
        <v/>
      </c>
      <c r="M333" s="8">
        <f>IF(OR(L333="",G333=""),"",IF(COUNTIF(L334:L$552,L333)=0,L333,""))</f>
        <v/>
      </c>
    </row>
    <row r="334">
      <c r="A334" s="40" t="n">
        <v>3</v>
      </c>
      <c r="B334" s="40" t="inlineStr">
        <is>
          <t>松</t>
        </is>
      </c>
      <c r="C334" s="40" t="n">
        <v>22</v>
      </c>
      <c r="D334" s="40" t="n">
        <v>3</v>
      </c>
      <c r="E334" s="40" t="n">
        <v>6</v>
      </c>
      <c r="F334" s="40" t="n">
        <v>12</v>
      </c>
      <c r="G334" s="3">
        <f>IF(L334="","",IFERROR(INDEX(前年度名簿!$D$2:$D$451,MATCH(L334,前年度名簿!$F$2:$F$451,0)),""))</f>
        <v/>
      </c>
      <c r="H334" s="44">
        <f>IF(D334="","",IF(ISERROR(VALUE(D334)),D334&amp;"",IF(AND(VALUE(D334)&gt;=1,VALUE(D334)&lt;=20),IF(INDEX(設定!$P$8:$P$27,VALUE(D334))="","？",INDEX(設定!$P$8:$P$27,VALUE(D334))),"？")))</f>
        <v/>
      </c>
      <c r="I334" s="44">
        <f>IF(E334="","",IF(ISERROR(VALUE(E334)),E334&amp;"",IF(AND(VALUE(E334)&gt;=1,VALUE(E334)&lt;=20),IF(INDEX(設定!$P$8:$P$27,VALUE(E334))="","？",INDEX(設定!$P$8:$P$27,VALUE(E334))),"？")))</f>
        <v/>
      </c>
      <c r="J334" s="44">
        <f>IF(F334="","",IF(ISERROR(VALUE(F334)),F334&amp;"",IF(AND(VALUE(F334)&gt;=1,VALUE(F334)&lt;=20),IF(INDEX(設定!$P$8:$P$27,VALUE(F334))="","？",INDEX(設定!$P$8:$P$27,VALUE(F334))),"？")))</f>
        <v/>
      </c>
      <c r="K334" s="45">
        <f>IF(L334="","",IF(G334="","名簿にいない",IF(COUNTIF(L335:L$552,L334)&gt;0,"2回提出（下の行を使います）",IF(OR(H334="？",I334="？",J334="？"),"クラブ番号がちがう",IF(OR(AND(H334&lt;&gt;"",H334&lt;&gt;"？",COUNTIF(設定!$P$8:$P$27,H334)=0),AND(I334&lt;&gt;"",I334&lt;&gt;"？",COUNTIF(設定!$P$8:$P$27,I334)=0),AND(J334&lt;&gt;"",J334&lt;&gt;"？",COUNTIF(設定!$P$8:$P$27,J334)=0)),"クラブ名がちがう",IF(H334="","第1希望がない",IF(OR(AND(H334&lt;&gt;"",H334=I334),AND(H334&lt;&gt;"",H334=J334),AND(I334&lt;&gt;"",I334=J334)),"同じクラブを重複して希望","OK")))))))</f>
        <v/>
      </c>
      <c r="L334" s="8">
        <f>IF(A334="","",A334&amp;"-"&amp;B334&amp;"-"&amp;C334)</f>
        <v/>
      </c>
      <c r="M334" s="8">
        <f>IF(OR(L334="",G334=""),"",IF(COUNTIF(L335:L$552,L334)=0,L334,""))</f>
        <v/>
      </c>
    </row>
    <row r="335">
      <c r="A335" s="40" t="n">
        <v>4</v>
      </c>
      <c r="B335" s="40" t="inlineStr">
        <is>
          <t>月</t>
        </is>
      </c>
      <c r="C335" s="40" t="n">
        <v>9</v>
      </c>
      <c r="D335" s="40" t="n">
        <v>7</v>
      </c>
      <c r="E335" s="40" t="n">
        <v>2</v>
      </c>
      <c r="F335" s="40" t="n">
        <v>11</v>
      </c>
      <c r="G335" s="3">
        <f>IF(L335="","",IFERROR(INDEX(前年度名簿!$D$2:$D$451,MATCH(L335,前年度名簿!$F$2:$F$451,0)),""))</f>
        <v/>
      </c>
      <c r="H335" s="44">
        <f>IF(D335="","",IF(ISERROR(VALUE(D335)),D335&amp;"",IF(AND(VALUE(D335)&gt;=1,VALUE(D335)&lt;=20),IF(INDEX(設定!$P$8:$P$27,VALUE(D335))="","？",INDEX(設定!$P$8:$P$27,VALUE(D335))),"？")))</f>
        <v/>
      </c>
      <c r="I335" s="44">
        <f>IF(E335="","",IF(ISERROR(VALUE(E335)),E335&amp;"",IF(AND(VALUE(E335)&gt;=1,VALUE(E335)&lt;=20),IF(INDEX(設定!$P$8:$P$27,VALUE(E335))="","？",INDEX(設定!$P$8:$P$27,VALUE(E335))),"？")))</f>
        <v/>
      </c>
      <c r="J335" s="44">
        <f>IF(F335="","",IF(ISERROR(VALUE(F335)),F335&amp;"",IF(AND(VALUE(F335)&gt;=1,VALUE(F335)&lt;=20),IF(INDEX(設定!$P$8:$P$27,VALUE(F335))="","？",INDEX(設定!$P$8:$P$27,VALUE(F335))),"？")))</f>
        <v/>
      </c>
      <c r="K335" s="45">
        <f>IF(L335="","",IF(G335="","名簿にいない",IF(COUNTIF(L336:L$552,L335)&gt;0,"2回提出（下の行を使います）",IF(OR(H335="？",I335="？",J335="？"),"クラブ番号がちがう",IF(OR(AND(H335&lt;&gt;"",H335&lt;&gt;"？",COUNTIF(設定!$P$8:$P$27,H335)=0),AND(I335&lt;&gt;"",I335&lt;&gt;"？",COUNTIF(設定!$P$8:$P$27,I335)=0),AND(J335&lt;&gt;"",J335&lt;&gt;"？",COUNTIF(設定!$P$8:$P$27,J335)=0)),"クラブ名がちがう",IF(H335="","第1希望がない",IF(OR(AND(H335&lt;&gt;"",H335=I335),AND(H335&lt;&gt;"",H335=J335),AND(I335&lt;&gt;"",I335=J335)),"同じクラブを重複して希望","OK")))))))</f>
        <v/>
      </c>
      <c r="L335" s="8">
        <f>IF(A335="","",A335&amp;"-"&amp;B335&amp;"-"&amp;C335)</f>
        <v/>
      </c>
      <c r="M335" s="8">
        <f>IF(OR(L335="",G335=""),"",IF(COUNTIF(L336:L$552,L335)=0,L335,""))</f>
        <v/>
      </c>
    </row>
    <row r="336">
      <c r="A336" s="40" t="n">
        <v>3</v>
      </c>
      <c r="B336" s="40" t="inlineStr">
        <is>
          <t>梅</t>
        </is>
      </c>
      <c r="C336" s="40" t="n">
        <v>26</v>
      </c>
      <c r="D336" s="40" t="n">
        <v>7</v>
      </c>
      <c r="E336" s="40" t="n">
        <v>12</v>
      </c>
      <c r="F336" s="40" t="n">
        <v>2</v>
      </c>
      <c r="G336" s="3">
        <f>IF(L336="","",IFERROR(INDEX(前年度名簿!$D$2:$D$451,MATCH(L336,前年度名簿!$F$2:$F$451,0)),""))</f>
        <v/>
      </c>
      <c r="H336" s="44">
        <f>IF(D336="","",IF(ISERROR(VALUE(D336)),D336&amp;"",IF(AND(VALUE(D336)&gt;=1,VALUE(D336)&lt;=20),IF(INDEX(設定!$P$8:$P$27,VALUE(D336))="","？",INDEX(設定!$P$8:$P$27,VALUE(D336))),"？")))</f>
        <v/>
      </c>
      <c r="I336" s="44">
        <f>IF(E336="","",IF(ISERROR(VALUE(E336)),E336&amp;"",IF(AND(VALUE(E336)&gt;=1,VALUE(E336)&lt;=20),IF(INDEX(設定!$P$8:$P$27,VALUE(E336))="","？",INDEX(設定!$P$8:$P$27,VALUE(E336))),"？")))</f>
        <v/>
      </c>
      <c r="J336" s="44">
        <f>IF(F336="","",IF(ISERROR(VALUE(F336)),F336&amp;"",IF(AND(VALUE(F336)&gt;=1,VALUE(F336)&lt;=20),IF(INDEX(設定!$P$8:$P$27,VALUE(F336))="","？",INDEX(設定!$P$8:$P$27,VALUE(F336))),"？")))</f>
        <v/>
      </c>
      <c r="K336" s="45">
        <f>IF(L336="","",IF(G336="","名簿にいない",IF(COUNTIF(L337:L$552,L336)&gt;0,"2回提出（下の行を使います）",IF(OR(H336="？",I336="？",J336="？"),"クラブ番号がちがう",IF(OR(AND(H336&lt;&gt;"",H336&lt;&gt;"？",COUNTIF(設定!$P$8:$P$27,H336)=0),AND(I336&lt;&gt;"",I336&lt;&gt;"？",COUNTIF(設定!$P$8:$P$27,I336)=0),AND(J336&lt;&gt;"",J336&lt;&gt;"？",COUNTIF(設定!$P$8:$P$27,J336)=0)),"クラブ名がちがう",IF(H336="","第1希望がない",IF(OR(AND(H336&lt;&gt;"",H336=I336),AND(H336&lt;&gt;"",H336=J336),AND(I336&lt;&gt;"",I336=J336)),"同じクラブを重複して希望","OK")))))))</f>
        <v/>
      </c>
      <c r="L336" s="8">
        <f>IF(A336="","",A336&amp;"-"&amp;B336&amp;"-"&amp;C336)</f>
        <v/>
      </c>
      <c r="M336" s="8">
        <f>IF(OR(L336="",G336=""),"",IF(COUNTIF(L337:L$552,L336)=0,L336,""))</f>
        <v/>
      </c>
    </row>
    <row r="337">
      <c r="A337" s="40" t="n">
        <v>4</v>
      </c>
      <c r="B337" s="40" t="inlineStr">
        <is>
          <t>月</t>
        </is>
      </c>
      <c r="C337" s="40" t="n">
        <v>17</v>
      </c>
      <c r="D337" s="40" t="n">
        <v>12</v>
      </c>
      <c r="E337" s="40" t="n">
        <v>10</v>
      </c>
      <c r="F337" s="40" t="n">
        <v>8</v>
      </c>
      <c r="G337" s="3">
        <f>IF(L337="","",IFERROR(INDEX(前年度名簿!$D$2:$D$451,MATCH(L337,前年度名簿!$F$2:$F$451,0)),""))</f>
        <v/>
      </c>
      <c r="H337" s="44">
        <f>IF(D337="","",IF(ISERROR(VALUE(D337)),D337&amp;"",IF(AND(VALUE(D337)&gt;=1,VALUE(D337)&lt;=20),IF(INDEX(設定!$P$8:$P$27,VALUE(D337))="","？",INDEX(設定!$P$8:$P$27,VALUE(D337))),"？")))</f>
        <v/>
      </c>
      <c r="I337" s="44">
        <f>IF(E337="","",IF(ISERROR(VALUE(E337)),E337&amp;"",IF(AND(VALUE(E337)&gt;=1,VALUE(E337)&lt;=20),IF(INDEX(設定!$P$8:$P$27,VALUE(E337))="","？",INDEX(設定!$P$8:$P$27,VALUE(E337))),"？")))</f>
        <v/>
      </c>
      <c r="J337" s="44">
        <f>IF(F337="","",IF(ISERROR(VALUE(F337)),F337&amp;"",IF(AND(VALUE(F337)&gt;=1,VALUE(F337)&lt;=20),IF(INDEX(設定!$P$8:$P$27,VALUE(F337))="","？",INDEX(設定!$P$8:$P$27,VALUE(F337))),"？")))</f>
        <v/>
      </c>
      <c r="K337" s="45">
        <f>IF(L337="","",IF(G337="","名簿にいない",IF(COUNTIF(L338:L$552,L337)&gt;0,"2回提出（下の行を使います）",IF(OR(H337="？",I337="？",J337="？"),"クラブ番号がちがう",IF(OR(AND(H337&lt;&gt;"",H337&lt;&gt;"？",COUNTIF(設定!$P$8:$P$27,H337)=0),AND(I337&lt;&gt;"",I337&lt;&gt;"？",COUNTIF(設定!$P$8:$P$27,I337)=0),AND(J337&lt;&gt;"",J337&lt;&gt;"？",COUNTIF(設定!$P$8:$P$27,J337)=0)),"クラブ名がちがう",IF(H337="","第1希望がない",IF(OR(AND(H337&lt;&gt;"",H337=I337),AND(H337&lt;&gt;"",H337=J337),AND(I337&lt;&gt;"",I337=J337)),"同じクラブを重複して希望","OK")))))))</f>
        <v/>
      </c>
      <c r="L337" s="8">
        <f>IF(A337="","",A337&amp;"-"&amp;B337&amp;"-"&amp;C337)</f>
        <v/>
      </c>
      <c r="M337" s="8">
        <f>IF(OR(L337="",G337=""),"",IF(COUNTIF(L338:L$552,L337)=0,L337,""))</f>
        <v/>
      </c>
    </row>
    <row r="338">
      <c r="A338" s="40" t="n">
        <v>4</v>
      </c>
      <c r="B338" s="40" t="inlineStr">
        <is>
          <t>竹</t>
        </is>
      </c>
      <c r="C338" s="40" t="n">
        <v>28</v>
      </c>
      <c r="D338" s="40" t="n">
        <v>7</v>
      </c>
      <c r="E338" s="40" t="n">
        <v>11</v>
      </c>
      <c r="F338" s="40" t="n">
        <v>5</v>
      </c>
      <c r="G338" s="3">
        <f>IF(L338="","",IFERROR(INDEX(前年度名簿!$D$2:$D$451,MATCH(L338,前年度名簿!$F$2:$F$451,0)),""))</f>
        <v/>
      </c>
      <c r="H338" s="44">
        <f>IF(D338="","",IF(ISERROR(VALUE(D338)),D338&amp;"",IF(AND(VALUE(D338)&gt;=1,VALUE(D338)&lt;=20),IF(INDEX(設定!$P$8:$P$27,VALUE(D338))="","？",INDEX(設定!$P$8:$P$27,VALUE(D338))),"？")))</f>
        <v/>
      </c>
      <c r="I338" s="44">
        <f>IF(E338="","",IF(ISERROR(VALUE(E338)),E338&amp;"",IF(AND(VALUE(E338)&gt;=1,VALUE(E338)&lt;=20),IF(INDEX(設定!$P$8:$P$27,VALUE(E338))="","？",INDEX(設定!$P$8:$P$27,VALUE(E338))),"？")))</f>
        <v/>
      </c>
      <c r="J338" s="44">
        <f>IF(F338="","",IF(ISERROR(VALUE(F338)),F338&amp;"",IF(AND(VALUE(F338)&gt;=1,VALUE(F338)&lt;=20),IF(INDEX(設定!$P$8:$P$27,VALUE(F338))="","？",INDEX(設定!$P$8:$P$27,VALUE(F338))),"？")))</f>
        <v/>
      </c>
      <c r="K338" s="45">
        <f>IF(L338="","",IF(G338="","名簿にいない",IF(COUNTIF(L339:L$552,L338)&gt;0,"2回提出（下の行を使います）",IF(OR(H338="？",I338="？",J338="？"),"クラブ番号がちがう",IF(OR(AND(H338&lt;&gt;"",H338&lt;&gt;"？",COUNTIF(設定!$P$8:$P$27,H338)=0),AND(I338&lt;&gt;"",I338&lt;&gt;"？",COUNTIF(設定!$P$8:$P$27,I338)=0),AND(J338&lt;&gt;"",J338&lt;&gt;"？",COUNTIF(設定!$P$8:$P$27,J338)=0)),"クラブ名がちがう",IF(H338="","第1希望がない",IF(OR(AND(H338&lt;&gt;"",H338=I338),AND(H338&lt;&gt;"",H338=J338),AND(I338&lt;&gt;"",I338=J338)),"同じクラブを重複して希望","OK")))))))</f>
        <v/>
      </c>
      <c r="L338" s="8">
        <f>IF(A338="","",A338&amp;"-"&amp;B338&amp;"-"&amp;C338)</f>
        <v/>
      </c>
      <c r="M338" s="8">
        <f>IF(OR(L338="",G338=""),"",IF(COUNTIF(L339:L$552,L338)=0,L338,""))</f>
        <v/>
      </c>
    </row>
    <row r="339">
      <c r="A339" s="40" t="n">
        <v>3</v>
      </c>
      <c r="B339" s="40" t="inlineStr">
        <is>
          <t>月</t>
        </is>
      </c>
      <c r="C339" s="40" t="n">
        <v>13</v>
      </c>
      <c r="D339" s="40" t="n">
        <v>8</v>
      </c>
      <c r="E339" s="40" t="n">
        <v>3</v>
      </c>
      <c r="F339" s="40" t="n">
        <v>10</v>
      </c>
      <c r="G339" s="3">
        <f>IF(L339="","",IFERROR(INDEX(前年度名簿!$D$2:$D$451,MATCH(L339,前年度名簿!$F$2:$F$451,0)),""))</f>
        <v/>
      </c>
      <c r="H339" s="44">
        <f>IF(D339="","",IF(ISERROR(VALUE(D339)),D339&amp;"",IF(AND(VALUE(D339)&gt;=1,VALUE(D339)&lt;=20),IF(INDEX(設定!$P$8:$P$27,VALUE(D339))="","？",INDEX(設定!$P$8:$P$27,VALUE(D339))),"？")))</f>
        <v/>
      </c>
      <c r="I339" s="44">
        <f>IF(E339="","",IF(ISERROR(VALUE(E339)),E339&amp;"",IF(AND(VALUE(E339)&gt;=1,VALUE(E339)&lt;=20),IF(INDEX(設定!$P$8:$P$27,VALUE(E339))="","？",INDEX(設定!$P$8:$P$27,VALUE(E339))),"？")))</f>
        <v/>
      </c>
      <c r="J339" s="44">
        <f>IF(F339="","",IF(ISERROR(VALUE(F339)),F339&amp;"",IF(AND(VALUE(F339)&gt;=1,VALUE(F339)&lt;=20),IF(INDEX(設定!$P$8:$P$27,VALUE(F339))="","？",INDEX(設定!$P$8:$P$27,VALUE(F339))),"？")))</f>
        <v/>
      </c>
      <c r="K339" s="45">
        <f>IF(L339="","",IF(G339="","名簿にいない",IF(COUNTIF(L340:L$552,L339)&gt;0,"2回提出（下の行を使います）",IF(OR(H339="？",I339="？",J339="？"),"クラブ番号がちがう",IF(OR(AND(H339&lt;&gt;"",H339&lt;&gt;"？",COUNTIF(設定!$P$8:$P$27,H339)=0),AND(I339&lt;&gt;"",I339&lt;&gt;"？",COUNTIF(設定!$P$8:$P$27,I339)=0),AND(J339&lt;&gt;"",J339&lt;&gt;"？",COUNTIF(設定!$P$8:$P$27,J339)=0)),"クラブ名がちがう",IF(H339="","第1希望がない",IF(OR(AND(H339&lt;&gt;"",H339=I339),AND(H339&lt;&gt;"",H339=J339),AND(I339&lt;&gt;"",I339=J339)),"同じクラブを重複して希望","OK")))))))</f>
        <v/>
      </c>
      <c r="L339" s="8">
        <f>IF(A339="","",A339&amp;"-"&amp;B339&amp;"-"&amp;C339)</f>
        <v/>
      </c>
      <c r="M339" s="8">
        <f>IF(OR(L339="",G339=""),"",IF(COUNTIF(L340:L$552,L339)=0,L339,""))</f>
        <v/>
      </c>
    </row>
    <row r="340">
      <c r="A340" s="40" t="n">
        <v>3</v>
      </c>
      <c r="B340" s="40" t="inlineStr">
        <is>
          <t>梅</t>
        </is>
      </c>
      <c r="C340" s="40" t="n">
        <v>20</v>
      </c>
      <c r="D340" s="40" t="n">
        <v>2</v>
      </c>
      <c r="E340" s="40" t="n">
        <v>1</v>
      </c>
      <c r="F340" s="40" t="n">
        <v>5</v>
      </c>
      <c r="G340" s="3">
        <f>IF(L340="","",IFERROR(INDEX(前年度名簿!$D$2:$D$451,MATCH(L340,前年度名簿!$F$2:$F$451,0)),""))</f>
        <v/>
      </c>
      <c r="H340" s="44">
        <f>IF(D340="","",IF(ISERROR(VALUE(D340)),D340&amp;"",IF(AND(VALUE(D340)&gt;=1,VALUE(D340)&lt;=20),IF(INDEX(設定!$P$8:$P$27,VALUE(D340))="","？",INDEX(設定!$P$8:$P$27,VALUE(D340))),"？")))</f>
        <v/>
      </c>
      <c r="I340" s="44">
        <f>IF(E340="","",IF(ISERROR(VALUE(E340)),E340&amp;"",IF(AND(VALUE(E340)&gt;=1,VALUE(E340)&lt;=20),IF(INDEX(設定!$P$8:$P$27,VALUE(E340))="","？",INDEX(設定!$P$8:$P$27,VALUE(E340))),"？")))</f>
        <v/>
      </c>
      <c r="J340" s="44">
        <f>IF(F340="","",IF(ISERROR(VALUE(F340)),F340&amp;"",IF(AND(VALUE(F340)&gt;=1,VALUE(F340)&lt;=20),IF(INDEX(設定!$P$8:$P$27,VALUE(F340))="","？",INDEX(設定!$P$8:$P$27,VALUE(F340))),"？")))</f>
        <v/>
      </c>
      <c r="K340" s="45">
        <f>IF(L340="","",IF(G340="","名簿にいない",IF(COUNTIF(L341:L$552,L340)&gt;0,"2回提出（下の行を使います）",IF(OR(H340="？",I340="？",J340="？"),"クラブ番号がちがう",IF(OR(AND(H340&lt;&gt;"",H340&lt;&gt;"？",COUNTIF(設定!$P$8:$P$27,H340)=0),AND(I340&lt;&gt;"",I340&lt;&gt;"？",COUNTIF(設定!$P$8:$P$27,I340)=0),AND(J340&lt;&gt;"",J340&lt;&gt;"？",COUNTIF(設定!$P$8:$P$27,J340)=0)),"クラブ名がちがう",IF(H340="","第1希望がない",IF(OR(AND(H340&lt;&gt;"",H340=I340),AND(H340&lt;&gt;"",H340=J340),AND(I340&lt;&gt;"",I340=J340)),"同じクラブを重複して希望","OK")))))))</f>
        <v/>
      </c>
      <c r="L340" s="8">
        <f>IF(A340="","",A340&amp;"-"&amp;B340&amp;"-"&amp;C340)</f>
        <v/>
      </c>
      <c r="M340" s="8">
        <f>IF(OR(L340="",G340=""),"",IF(COUNTIF(L341:L$552,L340)=0,L340,""))</f>
        <v/>
      </c>
    </row>
    <row r="341">
      <c r="A341" s="40" t="n">
        <v>5</v>
      </c>
      <c r="B341" s="40" t="inlineStr">
        <is>
          <t>月</t>
        </is>
      </c>
      <c r="C341" s="40" t="n">
        <v>20</v>
      </c>
      <c r="D341" s="40" t="n">
        <v>4</v>
      </c>
      <c r="E341" s="40" t="n">
        <v>5</v>
      </c>
      <c r="F341" s="40" t="n">
        <v>8</v>
      </c>
      <c r="G341" s="3">
        <f>IF(L341="","",IFERROR(INDEX(前年度名簿!$D$2:$D$451,MATCH(L341,前年度名簿!$F$2:$F$451,0)),""))</f>
        <v/>
      </c>
      <c r="H341" s="44">
        <f>IF(D341="","",IF(ISERROR(VALUE(D341)),D341&amp;"",IF(AND(VALUE(D341)&gt;=1,VALUE(D341)&lt;=20),IF(INDEX(設定!$P$8:$P$27,VALUE(D341))="","？",INDEX(設定!$P$8:$P$27,VALUE(D341))),"？")))</f>
        <v/>
      </c>
      <c r="I341" s="44">
        <f>IF(E341="","",IF(ISERROR(VALUE(E341)),E341&amp;"",IF(AND(VALUE(E341)&gt;=1,VALUE(E341)&lt;=20),IF(INDEX(設定!$P$8:$P$27,VALUE(E341))="","？",INDEX(設定!$P$8:$P$27,VALUE(E341))),"？")))</f>
        <v/>
      </c>
      <c r="J341" s="44">
        <f>IF(F341="","",IF(ISERROR(VALUE(F341)),F341&amp;"",IF(AND(VALUE(F341)&gt;=1,VALUE(F341)&lt;=20),IF(INDEX(設定!$P$8:$P$27,VALUE(F341))="","？",INDEX(設定!$P$8:$P$27,VALUE(F341))),"？")))</f>
        <v/>
      </c>
      <c r="K341" s="45">
        <f>IF(L341="","",IF(G341="","名簿にいない",IF(COUNTIF(L342:L$552,L341)&gt;0,"2回提出（下の行を使います）",IF(OR(H341="？",I341="？",J341="？"),"クラブ番号がちがう",IF(OR(AND(H341&lt;&gt;"",H341&lt;&gt;"？",COUNTIF(設定!$P$8:$P$27,H341)=0),AND(I341&lt;&gt;"",I341&lt;&gt;"？",COUNTIF(設定!$P$8:$P$27,I341)=0),AND(J341&lt;&gt;"",J341&lt;&gt;"？",COUNTIF(設定!$P$8:$P$27,J341)=0)),"クラブ名がちがう",IF(H341="","第1希望がない",IF(OR(AND(H341&lt;&gt;"",H341=I341),AND(H341&lt;&gt;"",H341=J341),AND(I341&lt;&gt;"",I341=J341)),"同じクラブを重複して希望","OK")))))))</f>
        <v/>
      </c>
      <c r="L341" s="8">
        <f>IF(A341="","",A341&amp;"-"&amp;B341&amp;"-"&amp;C341)</f>
        <v/>
      </c>
      <c r="M341" s="8">
        <f>IF(OR(L341="",G341=""),"",IF(COUNTIF(L342:L$552,L341)=0,L341,""))</f>
        <v/>
      </c>
    </row>
    <row r="342">
      <c r="A342" s="40" t="n">
        <v>5</v>
      </c>
      <c r="B342" s="40" t="inlineStr">
        <is>
          <t>松</t>
        </is>
      </c>
      <c r="C342" s="40" t="n">
        <v>29</v>
      </c>
      <c r="D342" s="40" t="n">
        <v>11</v>
      </c>
      <c r="E342" s="40" t="n">
        <v>9</v>
      </c>
      <c r="F342" s="40" t="n">
        <v>1</v>
      </c>
      <c r="G342" s="3">
        <f>IF(L342="","",IFERROR(INDEX(前年度名簿!$D$2:$D$451,MATCH(L342,前年度名簿!$F$2:$F$451,0)),""))</f>
        <v/>
      </c>
      <c r="H342" s="44">
        <f>IF(D342="","",IF(ISERROR(VALUE(D342)),D342&amp;"",IF(AND(VALUE(D342)&gt;=1,VALUE(D342)&lt;=20),IF(INDEX(設定!$P$8:$P$27,VALUE(D342))="","？",INDEX(設定!$P$8:$P$27,VALUE(D342))),"？")))</f>
        <v/>
      </c>
      <c r="I342" s="44">
        <f>IF(E342="","",IF(ISERROR(VALUE(E342)),E342&amp;"",IF(AND(VALUE(E342)&gt;=1,VALUE(E342)&lt;=20),IF(INDEX(設定!$P$8:$P$27,VALUE(E342))="","？",INDEX(設定!$P$8:$P$27,VALUE(E342))),"？")))</f>
        <v/>
      </c>
      <c r="J342" s="44">
        <f>IF(F342="","",IF(ISERROR(VALUE(F342)),F342&amp;"",IF(AND(VALUE(F342)&gt;=1,VALUE(F342)&lt;=20),IF(INDEX(設定!$P$8:$P$27,VALUE(F342))="","？",INDEX(設定!$P$8:$P$27,VALUE(F342))),"？")))</f>
        <v/>
      </c>
      <c r="K342" s="45">
        <f>IF(L342="","",IF(G342="","名簿にいない",IF(COUNTIF(L343:L$552,L342)&gt;0,"2回提出（下の行を使います）",IF(OR(H342="？",I342="？",J342="？"),"クラブ番号がちがう",IF(OR(AND(H342&lt;&gt;"",H342&lt;&gt;"？",COUNTIF(設定!$P$8:$P$27,H342)=0),AND(I342&lt;&gt;"",I342&lt;&gt;"？",COUNTIF(設定!$P$8:$P$27,I342)=0),AND(J342&lt;&gt;"",J342&lt;&gt;"？",COUNTIF(設定!$P$8:$P$27,J342)=0)),"クラブ名がちがう",IF(H342="","第1希望がない",IF(OR(AND(H342&lt;&gt;"",H342=I342),AND(H342&lt;&gt;"",H342=J342),AND(I342&lt;&gt;"",I342=J342)),"同じクラブを重複して希望","OK")))))))</f>
        <v/>
      </c>
      <c r="L342" s="8">
        <f>IF(A342="","",A342&amp;"-"&amp;B342&amp;"-"&amp;C342)</f>
        <v/>
      </c>
      <c r="M342" s="8">
        <f>IF(OR(L342="",G342=""),"",IF(COUNTIF(L343:L$552,L342)=0,L342,""))</f>
        <v/>
      </c>
    </row>
    <row r="343">
      <c r="A343" s="40" t="n">
        <v>3</v>
      </c>
      <c r="B343" s="40" t="inlineStr">
        <is>
          <t>月</t>
        </is>
      </c>
      <c r="C343" s="40" t="n">
        <v>4</v>
      </c>
      <c r="D343" s="40" t="n">
        <v>7</v>
      </c>
      <c r="E343" s="40" t="n">
        <v>12</v>
      </c>
      <c r="F343" s="40" t="n">
        <v>5</v>
      </c>
      <c r="G343" s="3">
        <f>IF(L343="","",IFERROR(INDEX(前年度名簿!$D$2:$D$451,MATCH(L343,前年度名簿!$F$2:$F$451,0)),""))</f>
        <v/>
      </c>
      <c r="H343" s="44">
        <f>IF(D343="","",IF(ISERROR(VALUE(D343)),D343&amp;"",IF(AND(VALUE(D343)&gt;=1,VALUE(D343)&lt;=20),IF(INDEX(設定!$P$8:$P$27,VALUE(D343))="","？",INDEX(設定!$P$8:$P$27,VALUE(D343))),"？")))</f>
        <v/>
      </c>
      <c r="I343" s="44">
        <f>IF(E343="","",IF(ISERROR(VALUE(E343)),E343&amp;"",IF(AND(VALUE(E343)&gt;=1,VALUE(E343)&lt;=20),IF(INDEX(設定!$P$8:$P$27,VALUE(E343))="","？",INDEX(設定!$P$8:$P$27,VALUE(E343))),"？")))</f>
        <v/>
      </c>
      <c r="J343" s="44">
        <f>IF(F343="","",IF(ISERROR(VALUE(F343)),F343&amp;"",IF(AND(VALUE(F343)&gt;=1,VALUE(F343)&lt;=20),IF(INDEX(設定!$P$8:$P$27,VALUE(F343))="","？",INDEX(設定!$P$8:$P$27,VALUE(F343))),"？")))</f>
        <v/>
      </c>
      <c r="K343" s="45">
        <f>IF(L343="","",IF(G343="","名簿にいない",IF(COUNTIF(L344:L$552,L343)&gt;0,"2回提出（下の行を使います）",IF(OR(H343="？",I343="？",J343="？"),"クラブ番号がちがう",IF(OR(AND(H343&lt;&gt;"",H343&lt;&gt;"？",COUNTIF(設定!$P$8:$P$27,H343)=0),AND(I343&lt;&gt;"",I343&lt;&gt;"？",COUNTIF(設定!$P$8:$P$27,I343)=0),AND(J343&lt;&gt;"",J343&lt;&gt;"？",COUNTIF(設定!$P$8:$P$27,J343)=0)),"クラブ名がちがう",IF(H343="","第1希望がない",IF(OR(AND(H343&lt;&gt;"",H343=I343),AND(H343&lt;&gt;"",H343=J343),AND(I343&lt;&gt;"",I343=J343)),"同じクラブを重複して希望","OK")))))))</f>
        <v/>
      </c>
      <c r="L343" s="8">
        <f>IF(A343="","",A343&amp;"-"&amp;B343&amp;"-"&amp;C343)</f>
        <v/>
      </c>
      <c r="M343" s="8">
        <f>IF(OR(L343="",G343=""),"",IF(COUNTIF(L344:L$552,L343)=0,L343,""))</f>
        <v/>
      </c>
    </row>
    <row r="344">
      <c r="A344" s="40" t="n">
        <v>4</v>
      </c>
      <c r="B344" s="40" t="inlineStr">
        <is>
          <t>梅</t>
        </is>
      </c>
      <c r="C344" s="40" t="n">
        <v>15</v>
      </c>
      <c r="D344" s="40" t="n">
        <v>11</v>
      </c>
      <c r="E344" s="40" t="n">
        <v>6</v>
      </c>
      <c r="F344" s="40" t="n">
        <v>12</v>
      </c>
      <c r="G344" s="3">
        <f>IF(L344="","",IFERROR(INDEX(前年度名簿!$D$2:$D$451,MATCH(L344,前年度名簿!$F$2:$F$451,0)),""))</f>
        <v/>
      </c>
      <c r="H344" s="44">
        <f>IF(D344="","",IF(ISERROR(VALUE(D344)),D344&amp;"",IF(AND(VALUE(D344)&gt;=1,VALUE(D344)&lt;=20),IF(INDEX(設定!$P$8:$P$27,VALUE(D344))="","？",INDEX(設定!$P$8:$P$27,VALUE(D344))),"？")))</f>
        <v/>
      </c>
      <c r="I344" s="44">
        <f>IF(E344="","",IF(ISERROR(VALUE(E344)),E344&amp;"",IF(AND(VALUE(E344)&gt;=1,VALUE(E344)&lt;=20),IF(INDEX(設定!$P$8:$P$27,VALUE(E344))="","？",INDEX(設定!$P$8:$P$27,VALUE(E344))),"？")))</f>
        <v/>
      </c>
      <c r="J344" s="44">
        <f>IF(F344="","",IF(ISERROR(VALUE(F344)),F344&amp;"",IF(AND(VALUE(F344)&gt;=1,VALUE(F344)&lt;=20),IF(INDEX(設定!$P$8:$P$27,VALUE(F344))="","？",INDEX(設定!$P$8:$P$27,VALUE(F344))),"？")))</f>
        <v/>
      </c>
      <c r="K344" s="45">
        <f>IF(L344="","",IF(G344="","名簿にいない",IF(COUNTIF(L345:L$552,L344)&gt;0,"2回提出（下の行を使います）",IF(OR(H344="？",I344="？",J344="？"),"クラブ番号がちがう",IF(OR(AND(H344&lt;&gt;"",H344&lt;&gt;"？",COUNTIF(設定!$P$8:$P$27,H344)=0),AND(I344&lt;&gt;"",I344&lt;&gt;"？",COUNTIF(設定!$P$8:$P$27,I344)=0),AND(J344&lt;&gt;"",J344&lt;&gt;"？",COUNTIF(設定!$P$8:$P$27,J344)=0)),"クラブ名がちがう",IF(H344="","第1希望がない",IF(OR(AND(H344&lt;&gt;"",H344=I344),AND(H344&lt;&gt;"",H344=J344),AND(I344&lt;&gt;"",I344=J344)),"同じクラブを重複して希望","OK")))))))</f>
        <v/>
      </c>
      <c r="L344" s="8">
        <f>IF(A344="","",A344&amp;"-"&amp;B344&amp;"-"&amp;C344)</f>
        <v/>
      </c>
      <c r="M344" s="8">
        <f>IF(OR(L344="",G344=""),"",IF(COUNTIF(L345:L$552,L344)=0,L344,""))</f>
        <v/>
      </c>
    </row>
    <row r="345">
      <c r="A345" s="40" t="n">
        <v>3</v>
      </c>
      <c r="B345" s="40" t="inlineStr">
        <is>
          <t>月</t>
        </is>
      </c>
      <c r="C345" s="40" t="n">
        <v>14</v>
      </c>
      <c r="D345" s="40" t="n">
        <v>2</v>
      </c>
      <c r="E345" s="40" t="n">
        <v>6</v>
      </c>
      <c r="F345" s="40" t="n">
        <v>5</v>
      </c>
      <c r="G345" s="3">
        <f>IF(L345="","",IFERROR(INDEX(前年度名簿!$D$2:$D$451,MATCH(L345,前年度名簿!$F$2:$F$451,0)),""))</f>
        <v/>
      </c>
      <c r="H345" s="44">
        <f>IF(D345="","",IF(ISERROR(VALUE(D345)),D345&amp;"",IF(AND(VALUE(D345)&gt;=1,VALUE(D345)&lt;=20),IF(INDEX(設定!$P$8:$P$27,VALUE(D345))="","？",INDEX(設定!$P$8:$P$27,VALUE(D345))),"？")))</f>
        <v/>
      </c>
      <c r="I345" s="44">
        <f>IF(E345="","",IF(ISERROR(VALUE(E345)),E345&amp;"",IF(AND(VALUE(E345)&gt;=1,VALUE(E345)&lt;=20),IF(INDEX(設定!$P$8:$P$27,VALUE(E345))="","？",INDEX(設定!$P$8:$P$27,VALUE(E345))),"？")))</f>
        <v/>
      </c>
      <c r="J345" s="44">
        <f>IF(F345="","",IF(ISERROR(VALUE(F345)),F345&amp;"",IF(AND(VALUE(F345)&gt;=1,VALUE(F345)&lt;=20),IF(INDEX(設定!$P$8:$P$27,VALUE(F345))="","？",INDEX(設定!$P$8:$P$27,VALUE(F345))),"？")))</f>
        <v/>
      </c>
      <c r="K345" s="45">
        <f>IF(L345="","",IF(G345="","名簿にいない",IF(COUNTIF(L346:L$552,L345)&gt;0,"2回提出（下の行を使います）",IF(OR(H345="？",I345="？",J345="？"),"クラブ番号がちがう",IF(OR(AND(H345&lt;&gt;"",H345&lt;&gt;"？",COUNTIF(設定!$P$8:$P$27,H345)=0),AND(I345&lt;&gt;"",I345&lt;&gt;"？",COUNTIF(設定!$P$8:$P$27,I345)=0),AND(J345&lt;&gt;"",J345&lt;&gt;"？",COUNTIF(設定!$P$8:$P$27,J345)=0)),"クラブ名がちがう",IF(H345="","第1希望がない",IF(OR(AND(H345&lt;&gt;"",H345=I345),AND(H345&lt;&gt;"",H345=J345),AND(I345&lt;&gt;"",I345=J345)),"同じクラブを重複して希望","OK")))))))</f>
        <v/>
      </c>
      <c r="L345" s="8">
        <f>IF(A345="","",A345&amp;"-"&amp;B345&amp;"-"&amp;C345)</f>
        <v/>
      </c>
      <c r="M345" s="8">
        <f>IF(OR(L345="",G345=""),"",IF(COUNTIF(L346:L$552,L345)=0,L345,""))</f>
        <v/>
      </c>
    </row>
    <row r="346">
      <c r="A346" s="40" t="n">
        <v>3</v>
      </c>
      <c r="B346" s="40" t="inlineStr">
        <is>
          <t>梅</t>
        </is>
      </c>
      <c r="C346" s="40" t="n">
        <v>29</v>
      </c>
      <c r="D346" s="40" t="n">
        <v>6</v>
      </c>
      <c r="E346" s="40" t="n">
        <v>11</v>
      </c>
      <c r="F346" s="40" t="n">
        <v>1</v>
      </c>
      <c r="G346" s="3">
        <f>IF(L346="","",IFERROR(INDEX(前年度名簿!$D$2:$D$451,MATCH(L346,前年度名簿!$F$2:$F$451,0)),""))</f>
        <v/>
      </c>
      <c r="H346" s="44">
        <f>IF(D346="","",IF(ISERROR(VALUE(D346)),D346&amp;"",IF(AND(VALUE(D346)&gt;=1,VALUE(D346)&lt;=20),IF(INDEX(設定!$P$8:$P$27,VALUE(D346))="","？",INDEX(設定!$P$8:$P$27,VALUE(D346))),"？")))</f>
        <v/>
      </c>
      <c r="I346" s="44">
        <f>IF(E346="","",IF(ISERROR(VALUE(E346)),E346&amp;"",IF(AND(VALUE(E346)&gt;=1,VALUE(E346)&lt;=20),IF(INDEX(設定!$P$8:$P$27,VALUE(E346))="","？",INDEX(設定!$P$8:$P$27,VALUE(E346))),"？")))</f>
        <v/>
      </c>
      <c r="J346" s="44">
        <f>IF(F346="","",IF(ISERROR(VALUE(F346)),F346&amp;"",IF(AND(VALUE(F346)&gt;=1,VALUE(F346)&lt;=20),IF(INDEX(設定!$P$8:$P$27,VALUE(F346))="","？",INDEX(設定!$P$8:$P$27,VALUE(F346))),"？")))</f>
        <v/>
      </c>
      <c r="K346" s="45">
        <f>IF(L346="","",IF(G346="","名簿にいない",IF(COUNTIF(L347:L$552,L346)&gt;0,"2回提出（下の行を使います）",IF(OR(H346="？",I346="？",J346="？"),"クラブ番号がちがう",IF(OR(AND(H346&lt;&gt;"",H346&lt;&gt;"？",COUNTIF(設定!$P$8:$P$27,H346)=0),AND(I346&lt;&gt;"",I346&lt;&gt;"？",COUNTIF(設定!$P$8:$P$27,I346)=0),AND(J346&lt;&gt;"",J346&lt;&gt;"？",COUNTIF(設定!$P$8:$P$27,J346)=0)),"クラブ名がちがう",IF(H346="","第1希望がない",IF(OR(AND(H346&lt;&gt;"",H346=I346),AND(H346&lt;&gt;"",H346=J346),AND(I346&lt;&gt;"",I346=J346)),"同じクラブを重複して希望","OK")))))))</f>
        <v/>
      </c>
      <c r="L346" s="8">
        <f>IF(A346="","",A346&amp;"-"&amp;B346&amp;"-"&amp;C346)</f>
        <v/>
      </c>
      <c r="M346" s="8">
        <f>IF(OR(L346="",G346=""),"",IF(COUNTIF(L347:L$552,L346)=0,L346,""))</f>
        <v/>
      </c>
    </row>
    <row r="347">
      <c r="A347" s="40" t="n">
        <v>5</v>
      </c>
      <c r="B347" s="40" t="inlineStr">
        <is>
          <t>梅</t>
        </is>
      </c>
      <c r="C347" s="40" t="n">
        <v>17</v>
      </c>
      <c r="D347" s="40" t="n">
        <v>5</v>
      </c>
      <c r="E347" s="40" t="n">
        <v>7</v>
      </c>
      <c r="F347" s="40" t="n">
        <v>8</v>
      </c>
      <c r="G347" s="3">
        <f>IF(L347="","",IFERROR(INDEX(前年度名簿!$D$2:$D$451,MATCH(L347,前年度名簿!$F$2:$F$451,0)),""))</f>
        <v/>
      </c>
      <c r="H347" s="44">
        <f>IF(D347="","",IF(ISERROR(VALUE(D347)),D347&amp;"",IF(AND(VALUE(D347)&gt;=1,VALUE(D347)&lt;=20),IF(INDEX(設定!$P$8:$P$27,VALUE(D347))="","？",INDEX(設定!$P$8:$P$27,VALUE(D347))),"？")))</f>
        <v/>
      </c>
      <c r="I347" s="44">
        <f>IF(E347="","",IF(ISERROR(VALUE(E347)),E347&amp;"",IF(AND(VALUE(E347)&gt;=1,VALUE(E347)&lt;=20),IF(INDEX(設定!$P$8:$P$27,VALUE(E347))="","？",INDEX(設定!$P$8:$P$27,VALUE(E347))),"？")))</f>
        <v/>
      </c>
      <c r="J347" s="44">
        <f>IF(F347="","",IF(ISERROR(VALUE(F347)),F347&amp;"",IF(AND(VALUE(F347)&gt;=1,VALUE(F347)&lt;=20),IF(INDEX(設定!$P$8:$P$27,VALUE(F347))="","？",INDEX(設定!$P$8:$P$27,VALUE(F347))),"？")))</f>
        <v/>
      </c>
      <c r="K347" s="45">
        <f>IF(L347="","",IF(G347="","名簿にいない",IF(COUNTIF(L348:L$552,L347)&gt;0,"2回提出（下の行を使います）",IF(OR(H347="？",I347="？",J347="？"),"クラブ番号がちがう",IF(OR(AND(H347&lt;&gt;"",H347&lt;&gt;"？",COUNTIF(設定!$P$8:$P$27,H347)=0),AND(I347&lt;&gt;"",I347&lt;&gt;"？",COUNTIF(設定!$P$8:$P$27,I347)=0),AND(J347&lt;&gt;"",J347&lt;&gt;"？",COUNTIF(設定!$P$8:$P$27,J347)=0)),"クラブ名がちがう",IF(H347="","第1希望がない",IF(OR(AND(H347&lt;&gt;"",H347=I347),AND(H347&lt;&gt;"",H347=J347),AND(I347&lt;&gt;"",I347=J347)),"同じクラブを重複して希望","OK")))))))</f>
        <v/>
      </c>
      <c r="L347" s="8">
        <f>IF(A347="","",A347&amp;"-"&amp;B347&amp;"-"&amp;C347)</f>
        <v/>
      </c>
      <c r="M347" s="8">
        <f>IF(OR(L347="",G347=""),"",IF(COUNTIF(L348:L$552,L347)=0,L347,""))</f>
        <v/>
      </c>
    </row>
    <row r="348">
      <c r="A348" s="40" t="n">
        <v>5</v>
      </c>
      <c r="B348" s="40" t="inlineStr">
        <is>
          <t>松</t>
        </is>
      </c>
      <c r="C348" s="40" t="n">
        <v>6</v>
      </c>
      <c r="D348" s="40" t="n">
        <v>1</v>
      </c>
      <c r="E348" s="40" t="n">
        <v>3</v>
      </c>
      <c r="F348" s="40" t="n">
        <v>5</v>
      </c>
      <c r="G348" s="3">
        <f>IF(L348="","",IFERROR(INDEX(前年度名簿!$D$2:$D$451,MATCH(L348,前年度名簿!$F$2:$F$451,0)),""))</f>
        <v/>
      </c>
      <c r="H348" s="44">
        <f>IF(D348="","",IF(ISERROR(VALUE(D348)),D348&amp;"",IF(AND(VALUE(D348)&gt;=1,VALUE(D348)&lt;=20),IF(INDEX(設定!$P$8:$P$27,VALUE(D348))="","？",INDEX(設定!$P$8:$P$27,VALUE(D348))),"？")))</f>
        <v/>
      </c>
      <c r="I348" s="44">
        <f>IF(E348="","",IF(ISERROR(VALUE(E348)),E348&amp;"",IF(AND(VALUE(E348)&gt;=1,VALUE(E348)&lt;=20),IF(INDEX(設定!$P$8:$P$27,VALUE(E348))="","？",INDEX(設定!$P$8:$P$27,VALUE(E348))),"？")))</f>
        <v/>
      </c>
      <c r="J348" s="44">
        <f>IF(F348="","",IF(ISERROR(VALUE(F348)),F348&amp;"",IF(AND(VALUE(F348)&gt;=1,VALUE(F348)&lt;=20),IF(INDEX(設定!$P$8:$P$27,VALUE(F348))="","？",INDEX(設定!$P$8:$P$27,VALUE(F348))),"？")))</f>
        <v/>
      </c>
      <c r="K348" s="45">
        <f>IF(L348="","",IF(G348="","名簿にいない",IF(COUNTIF(L349:L$552,L348)&gt;0,"2回提出（下の行を使います）",IF(OR(H348="？",I348="？",J348="？"),"クラブ番号がちがう",IF(OR(AND(H348&lt;&gt;"",H348&lt;&gt;"？",COUNTIF(設定!$P$8:$P$27,H348)=0),AND(I348&lt;&gt;"",I348&lt;&gt;"？",COUNTIF(設定!$P$8:$P$27,I348)=0),AND(J348&lt;&gt;"",J348&lt;&gt;"？",COUNTIF(設定!$P$8:$P$27,J348)=0)),"クラブ名がちがう",IF(H348="","第1希望がない",IF(OR(AND(H348&lt;&gt;"",H348=I348),AND(H348&lt;&gt;"",H348=J348),AND(I348&lt;&gt;"",I348=J348)),"同じクラブを重複して希望","OK")))))))</f>
        <v/>
      </c>
      <c r="L348" s="8">
        <f>IF(A348="","",A348&amp;"-"&amp;B348&amp;"-"&amp;C348)</f>
        <v/>
      </c>
      <c r="M348" s="8">
        <f>IF(OR(L348="",G348=""),"",IF(COUNTIF(L349:L$552,L348)=0,L348,""))</f>
        <v/>
      </c>
    </row>
    <row r="349">
      <c r="A349" s="40" t="n">
        <v>3</v>
      </c>
      <c r="B349" s="40" t="inlineStr">
        <is>
          <t>竹</t>
        </is>
      </c>
      <c r="C349" s="40" t="n">
        <v>2</v>
      </c>
      <c r="D349" s="40" t="n">
        <v>1</v>
      </c>
      <c r="E349" s="40" t="n">
        <v>10</v>
      </c>
      <c r="F349" s="40" t="n">
        <v>9</v>
      </c>
      <c r="G349" s="3">
        <f>IF(L349="","",IFERROR(INDEX(前年度名簿!$D$2:$D$451,MATCH(L349,前年度名簿!$F$2:$F$451,0)),""))</f>
        <v/>
      </c>
      <c r="H349" s="44">
        <f>IF(D349="","",IF(ISERROR(VALUE(D349)),D349&amp;"",IF(AND(VALUE(D349)&gt;=1,VALUE(D349)&lt;=20),IF(INDEX(設定!$P$8:$P$27,VALUE(D349))="","？",INDEX(設定!$P$8:$P$27,VALUE(D349))),"？")))</f>
        <v/>
      </c>
      <c r="I349" s="44">
        <f>IF(E349="","",IF(ISERROR(VALUE(E349)),E349&amp;"",IF(AND(VALUE(E349)&gt;=1,VALUE(E349)&lt;=20),IF(INDEX(設定!$P$8:$P$27,VALUE(E349))="","？",INDEX(設定!$P$8:$P$27,VALUE(E349))),"？")))</f>
        <v/>
      </c>
      <c r="J349" s="44">
        <f>IF(F349="","",IF(ISERROR(VALUE(F349)),F349&amp;"",IF(AND(VALUE(F349)&gt;=1,VALUE(F349)&lt;=20),IF(INDEX(設定!$P$8:$P$27,VALUE(F349))="","？",INDEX(設定!$P$8:$P$27,VALUE(F349))),"？")))</f>
        <v/>
      </c>
      <c r="K349" s="45">
        <f>IF(L349="","",IF(G349="","名簿にいない",IF(COUNTIF(L350:L$552,L349)&gt;0,"2回提出（下の行を使います）",IF(OR(H349="？",I349="？",J349="？"),"クラブ番号がちがう",IF(OR(AND(H349&lt;&gt;"",H349&lt;&gt;"？",COUNTIF(設定!$P$8:$P$27,H349)=0),AND(I349&lt;&gt;"",I349&lt;&gt;"？",COUNTIF(設定!$P$8:$P$27,I349)=0),AND(J349&lt;&gt;"",J349&lt;&gt;"？",COUNTIF(設定!$P$8:$P$27,J349)=0)),"クラブ名がちがう",IF(H349="","第1希望がない",IF(OR(AND(H349&lt;&gt;"",H349=I349),AND(H349&lt;&gt;"",H349=J349),AND(I349&lt;&gt;"",I349=J349)),"同じクラブを重複して希望","OK")))))))</f>
        <v/>
      </c>
      <c r="L349" s="8">
        <f>IF(A349="","",A349&amp;"-"&amp;B349&amp;"-"&amp;C349)</f>
        <v/>
      </c>
      <c r="M349" s="8">
        <f>IF(OR(L349="",G349=""),"",IF(COUNTIF(L350:L$552,L349)=0,L349,""))</f>
        <v/>
      </c>
    </row>
    <row r="350">
      <c r="A350" s="40" t="n">
        <v>4</v>
      </c>
      <c r="B350" s="40" t="inlineStr">
        <is>
          <t>梅</t>
        </is>
      </c>
      <c r="C350" s="40" t="n">
        <v>4</v>
      </c>
      <c r="D350" s="40" t="n">
        <v>2</v>
      </c>
      <c r="E350" s="40" t="n">
        <v>8</v>
      </c>
      <c r="F350" s="40" t="n">
        <v>9</v>
      </c>
      <c r="G350" s="3">
        <f>IF(L350="","",IFERROR(INDEX(前年度名簿!$D$2:$D$451,MATCH(L350,前年度名簿!$F$2:$F$451,0)),""))</f>
        <v/>
      </c>
      <c r="H350" s="44">
        <f>IF(D350="","",IF(ISERROR(VALUE(D350)),D350&amp;"",IF(AND(VALUE(D350)&gt;=1,VALUE(D350)&lt;=20),IF(INDEX(設定!$P$8:$P$27,VALUE(D350))="","？",INDEX(設定!$P$8:$P$27,VALUE(D350))),"？")))</f>
        <v/>
      </c>
      <c r="I350" s="44">
        <f>IF(E350="","",IF(ISERROR(VALUE(E350)),E350&amp;"",IF(AND(VALUE(E350)&gt;=1,VALUE(E350)&lt;=20),IF(INDEX(設定!$P$8:$P$27,VALUE(E350))="","？",INDEX(設定!$P$8:$P$27,VALUE(E350))),"？")))</f>
        <v/>
      </c>
      <c r="J350" s="44">
        <f>IF(F350="","",IF(ISERROR(VALUE(F350)),F350&amp;"",IF(AND(VALUE(F350)&gt;=1,VALUE(F350)&lt;=20),IF(INDEX(設定!$P$8:$P$27,VALUE(F350))="","？",INDEX(設定!$P$8:$P$27,VALUE(F350))),"？")))</f>
        <v/>
      </c>
      <c r="K350" s="45">
        <f>IF(L350="","",IF(G350="","名簿にいない",IF(COUNTIF(L351:L$552,L350)&gt;0,"2回提出（下の行を使います）",IF(OR(H350="？",I350="？",J350="？"),"クラブ番号がちがう",IF(OR(AND(H350&lt;&gt;"",H350&lt;&gt;"？",COUNTIF(設定!$P$8:$P$27,H350)=0),AND(I350&lt;&gt;"",I350&lt;&gt;"？",COUNTIF(設定!$P$8:$P$27,I350)=0),AND(J350&lt;&gt;"",J350&lt;&gt;"？",COUNTIF(設定!$P$8:$P$27,J350)=0)),"クラブ名がちがう",IF(H350="","第1希望がない",IF(OR(AND(H350&lt;&gt;"",H350=I350),AND(H350&lt;&gt;"",H350=J350),AND(I350&lt;&gt;"",I350=J350)),"同じクラブを重複して希望","OK")))))))</f>
        <v/>
      </c>
      <c r="L350" s="8">
        <f>IF(A350="","",A350&amp;"-"&amp;B350&amp;"-"&amp;C350)</f>
        <v/>
      </c>
      <c r="M350" s="8">
        <f>IF(OR(L350="",G350=""),"",IF(COUNTIF(L351:L$552,L350)=0,L350,""))</f>
        <v/>
      </c>
    </row>
    <row r="351">
      <c r="A351" s="40" t="n">
        <v>5</v>
      </c>
      <c r="B351" s="40" t="inlineStr">
        <is>
          <t>月</t>
        </is>
      </c>
      <c r="C351" s="40" t="n">
        <v>5</v>
      </c>
      <c r="D351" s="40" t="n">
        <v>2</v>
      </c>
      <c r="E351" s="40" t="n">
        <v>3</v>
      </c>
      <c r="F351" s="40" t="n">
        <v>5</v>
      </c>
      <c r="G351" s="3">
        <f>IF(L351="","",IFERROR(INDEX(前年度名簿!$D$2:$D$451,MATCH(L351,前年度名簿!$F$2:$F$451,0)),""))</f>
        <v/>
      </c>
      <c r="H351" s="44">
        <f>IF(D351="","",IF(ISERROR(VALUE(D351)),D351&amp;"",IF(AND(VALUE(D351)&gt;=1,VALUE(D351)&lt;=20),IF(INDEX(設定!$P$8:$P$27,VALUE(D351))="","？",INDEX(設定!$P$8:$P$27,VALUE(D351))),"？")))</f>
        <v/>
      </c>
      <c r="I351" s="44">
        <f>IF(E351="","",IF(ISERROR(VALUE(E351)),E351&amp;"",IF(AND(VALUE(E351)&gt;=1,VALUE(E351)&lt;=20),IF(INDEX(設定!$P$8:$P$27,VALUE(E351))="","？",INDEX(設定!$P$8:$P$27,VALUE(E351))),"？")))</f>
        <v/>
      </c>
      <c r="J351" s="44">
        <f>IF(F351="","",IF(ISERROR(VALUE(F351)),F351&amp;"",IF(AND(VALUE(F351)&gt;=1,VALUE(F351)&lt;=20),IF(INDEX(設定!$P$8:$P$27,VALUE(F351))="","？",INDEX(設定!$P$8:$P$27,VALUE(F351))),"？")))</f>
        <v/>
      </c>
      <c r="K351" s="45">
        <f>IF(L351="","",IF(G351="","名簿にいない",IF(COUNTIF(L352:L$552,L351)&gt;0,"2回提出（下の行を使います）",IF(OR(H351="？",I351="？",J351="？"),"クラブ番号がちがう",IF(OR(AND(H351&lt;&gt;"",H351&lt;&gt;"？",COUNTIF(設定!$P$8:$P$27,H351)=0),AND(I351&lt;&gt;"",I351&lt;&gt;"？",COUNTIF(設定!$P$8:$P$27,I351)=0),AND(J351&lt;&gt;"",J351&lt;&gt;"？",COUNTIF(設定!$P$8:$P$27,J351)=0)),"クラブ名がちがう",IF(H351="","第1希望がない",IF(OR(AND(H351&lt;&gt;"",H351=I351),AND(H351&lt;&gt;"",H351=J351),AND(I351&lt;&gt;"",I351=J351)),"同じクラブを重複して希望","OK")))))))</f>
        <v/>
      </c>
      <c r="L351" s="8">
        <f>IF(A351="","",A351&amp;"-"&amp;B351&amp;"-"&amp;C351)</f>
        <v/>
      </c>
      <c r="M351" s="8">
        <f>IF(OR(L351="",G351=""),"",IF(COUNTIF(L352:L$552,L351)=0,L351,""))</f>
        <v/>
      </c>
    </row>
    <row r="352">
      <c r="A352" s="40" t="n">
        <v>4</v>
      </c>
      <c r="B352" s="40" t="inlineStr">
        <is>
          <t>竹</t>
        </is>
      </c>
      <c r="C352" s="40" t="n">
        <v>16</v>
      </c>
      <c r="D352" s="40" t="n">
        <v>4</v>
      </c>
      <c r="E352" s="40" t="n">
        <v>2</v>
      </c>
      <c r="F352" s="40" t="n">
        <v>8</v>
      </c>
      <c r="G352" s="3">
        <f>IF(L352="","",IFERROR(INDEX(前年度名簿!$D$2:$D$451,MATCH(L352,前年度名簿!$F$2:$F$451,0)),""))</f>
        <v/>
      </c>
      <c r="H352" s="44">
        <f>IF(D352="","",IF(ISERROR(VALUE(D352)),D352&amp;"",IF(AND(VALUE(D352)&gt;=1,VALUE(D352)&lt;=20),IF(INDEX(設定!$P$8:$P$27,VALUE(D352))="","？",INDEX(設定!$P$8:$P$27,VALUE(D352))),"？")))</f>
        <v/>
      </c>
      <c r="I352" s="44">
        <f>IF(E352="","",IF(ISERROR(VALUE(E352)),E352&amp;"",IF(AND(VALUE(E352)&gt;=1,VALUE(E352)&lt;=20),IF(INDEX(設定!$P$8:$P$27,VALUE(E352))="","？",INDEX(設定!$P$8:$P$27,VALUE(E352))),"？")))</f>
        <v/>
      </c>
      <c r="J352" s="44">
        <f>IF(F352="","",IF(ISERROR(VALUE(F352)),F352&amp;"",IF(AND(VALUE(F352)&gt;=1,VALUE(F352)&lt;=20),IF(INDEX(設定!$P$8:$P$27,VALUE(F352))="","？",INDEX(設定!$P$8:$P$27,VALUE(F352))),"？")))</f>
        <v/>
      </c>
      <c r="K352" s="45">
        <f>IF(L352="","",IF(G352="","名簿にいない",IF(COUNTIF(L353:L$552,L352)&gt;0,"2回提出（下の行を使います）",IF(OR(H352="？",I352="？",J352="？"),"クラブ番号がちがう",IF(OR(AND(H352&lt;&gt;"",H352&lt;&gt;"？",COUNTIF(設定!$P$8:$P$27,H352)=0),AND(I352&lt;&gt;"",I352&lt;&gt;"？",COUNTIF(設定!$P$8:$P$27,I352)=0),AND(J352&lt;&gt;"",J352&lt;&gt;"？",COUNTIF(設定!$P$8:$P$27,J352)=0)),"クラブ名がちがう",IF(H352="","第1希望がない",IF(OR(AND(H352&lt;&gt;"",H352=I352),AND(H352&lt;&gt;"",H352=J352),AND(I352&lt;&gt;"",I352=J352)),"同じクラブを重複して希望","OK")))))))</f>
        <v/>
      </c>
      <c r="L352" s="8">
        <f>IF(A352="","",A352&amp;"-"&amp;B352&amp;"-"&amp;C352)</f>
        <v/>
      </c>
      <c r="M352" s="8">
        <f>IF(OR(L352="",G352=""),"",IF(COUNTIF(L353:L$552,L352)=0,L352,""))</f>
        <v/>
      </c>
    </row>
    <row r="353">
      <c r="A353" s="40" t="n">
        <v>4</v>
      </c>
      <c r="B353" s="40" t="inlineStr">
        <is>
          <t>梅</t>
        </is>
      </c>
      <c r="C353" s="40" t="n">
        <v>21</v>
      </c>
      <c r="D353" s="40" t="n">
        <v>11</v>
      </c>
      <c r="E353" s="40" t="n">
        <v>7</v>
      </c>
      <c r="F353" s="40" t="n">
        <v>2</v>
      </c>
      <c r="G353" s="3">
        <f>IF(L353="","",IFERROR(INDEX(前年度名簿!$D$2:$D$451,MATCH(L353,前年度名簿!$F$2:$F$451,0)),""))</f>
        <v/>
      </c>
      <c r="H353" s="44">
        <f>IF(D353="","",IF(ISERROR(VALUE(D353)),D353&amp;"",IF(AND(VALUE(D353)&gt;=1,VALUE(D353)&lt;=20),IF(INDEX(設定!$P$8:$P$27,VALUE(D353))="","？",INDEX(設定!$P$8:$P$27,VALUE(D353))),"？")))</f>
        <v/>
      </c>
      <c r="I353" s="44">
        <f>IF(E353="","",IF(ISERROR(VALUE(E353)),E353&amp;"",IF(AND(VALUE(E353)&gt;=1,VALUE(E353)&lt;=20),IF(INDEX(設定!$P$8:$P$27,VALUE(E353))="","？",INDEX(設定!$P$8:$P$27,VALUE(E353))),"？")))</f>
        <v/>
      </c>
      <c r="J353" s="44">
        <f>IF(F353="","",IF(ISERROR(VALUE(F353)),F353&amp;"",IF(AND(VALUE(F353)&gt;=1,VALUE(F353)&lt;=20),IF(INDEX(設定!$P$8:$P$27,VALUE(F353))="","？",INDEX(設定!$P$8:$P$27,VALUE(F353))),"？")))</f>
        <v/>
      </c>
      <c r="K353" s="45">
        <f>IF(L353="","",IF(G353="","名簿にいない",IF(COUNTIF(L354:L$552,L353)&gt;0,"2回提出（下の行を使います）",IF(OR(H353="？",I353="？",J353="？"),"クラブ番号がちがう",IF(OR(AND(H353&lt;&gt;"",H353&lt;&gt;"？",COUNTIF(設定!$P$8:$P$27,H353)=0),AND(I353&lt;&gt;"",I353&lt;&gt;"？",COUNTIF(設定!$P$8:$P$27,I353)=0),AND(J353&lt;&gt;"",J353&lt;&gt;"？",COUNTIF(設定!$P$8:$P$27,J353)=0)),"クラブ名がちがう",IF(H353="","第1希望がない",IF(OR(AND(H353&lt;&gt;"",H353=I353),AND(H353&lt;&gt;"",H353=J353),AND(I353&lt;&gt;"",I353=J353)),"同じクラブを重複して希望","OK")))))))</f>
        <v/>
      </c>
      <c r="L353" s="8">
        <f>IF(A353="","",A353&amp;"-"&amp;B353&amp;"-"&amp;C353)</f>
        <v/>
      </c>
      <c r="M353" s="8">
        <f>IF(OR(L353="",G353=""),"",IF(COUNTIF(L354:L$552,L353)=0,L353,""))</f>
        <v/>
      </c>
    </row>
    <row r="354">
      <c r="A354" s="40" t="n">
        <v>3</v>
      </c>
      <c r="B354" s="40" t="inlineStr">
        <is>
          <t>月</t>
        </is>
      </c>
      <c r="C354" s="40" t="n">
        <v>21</v>
      </c>
      <c r="D354" s="40" t="n">
        <v>10</v>
      </c>
      <c r="E354" s="40" t="n">
        <v>9</v>
      </c>
      <c r="F354" s="40" t="n">
        <v>1</v>
      </c>
      <c r="G354" s="3">
        <f>IF(L354="","",IFERROR(INDEX(前年度名簿!$D$2:$D$451,MATCH(L354,前年度名簿!$F$2:$F$451,0)),""))</f>
        <v/>
      </c>
      <c r="H354" s="44">
        <f>IF(D354="","",IF(ISERROR(VALUE(D354)),D354&amp;"",IF(AND(VALUE(D354)&gt;=1,VALUE(D354)&lt;=20),IF(INDEX(設定!$P$8:$P$27,VALUE(D354))="","？",INDEX(設定!$P$8:$P$27,VALUE(D354))),"？")))</f>
        <v/>
      </c>
      <c r="I354" s="44">
        <f>IF(E354="","",IF(ISERROR(VALUE(E354)),E354&amp;"",IF(AND(VALUE(E354)&gt;=1,VALUE(E354)&lt;=20),IF(INDEX(設定!$P$8:$P$27,VALUE(E354))="","？",INDEX(設定!$P$8:$P$27,VALUE(E354))),"？")))</f>
        <v/>
      </c>
      <c r="J354" s="44">
        <f>IF(F354="","",IF(ISERROR(VALUE(F354)),F354&amp;"",IF(AND(VALUE(F354)&gt;=1,VALUE(F354)&lt;=20),IF(INDEX(設定!$P$8:$P$27,VALUE(F354))="","？",INDEX(設定!$P$8:$P$27,VALUE(F354))),"？")))</f>
        <v/>
      </c>
      <c r="K354" s="45">
        <f>IF(L354="","",IF(G354="","名簿にいない",IF(COUNTIF(L355:L$552,L354)&gt;0,"2回提出（下の行を使います）",IF(OR(H354="？",I354="？",J354="？"),"クラブ番号がちがう",IF(OR(AND(H354&lt;&gt;"",H354&lt;&gt;"？",COUNTIF(設定!$P$8:$P$27,H354)=0),AND(I354&lt;&gt;"",I354&lt;&gt;"？",COUNTIF(設定!$P$8:$P$27,I354)=0),AND(J354&lt;&gt;"",J354&lt;&gt;"？",COUNTIF(設定!$P$8:$P$27,J354)=0)),"クラブ名がちがう",IF(H354="","第1希望がない",IF(OR(AND(H354&lt;&gt;"",H354=I354),AND(H354&lt;&gt;"",H354=J354),AND(I354&lt;&gt;"",I354=J354)),"同じクラブを重複して希望","OK")))))))</f>
        <v/>
      </c>
      <c r="L354" s="8">
        <f>IF(A354="","",A354&amp;"-"&amp;B354&amp;"-"&amp;C354)</f>
        <v/>
      </c>
      <c r="M354" s="8">
        <f>IF(OR(L354="",G354=""),"",IF(COUNTIF(L355:L$552,L354)=0,L354,""))</f>
        <v/>
      </c>
    </row>
    <row r="355">
      <c r="A355" s="40" t="n">
        <v>5</v>
      </c>
      <c r="B355" s="40" t="inlineStr">
        <is>
          <t>竹</t>
        </is>
      </c>
      <c r="C355" s="40" t="n">
        <v>6</v>
      </c>
      <c r="D355" s="40" t="n">
        <v>5</v>
      </c>
      <c r="E355" s="40" t="n">
        <v>10</v>
      </c>
      <c r="F355" s="40" t="n">
        <v>7</v>
      </c>
      <c r="G355" s="3">
        <f>IF(L355="","",IFERROR(INDEX(前年度名簿!$D$2:$D$451,MATCH(L355,前年度名簿!$F$2:$F$451,0)),""))</f>
        <v/>
      </c>
      <c r="H355" s="44">
        <f>IF(D355="","",IF(ISERROR(VALUE(D355)),D355&amp;"",IF(AND(VALUE(D355)&gt;=1,VALUE(D355)&lt;=20),IF(INDEX(設定!$P$8:$P$27,VALUE(D355))="","？",INDEX(設定!$P$8:$P$27,VALUE(D355))),"？")))</f>
        <v/>
      </c>
      <c r="I355" s="44">
        <f>IF(E355="","",IF(ISERROR(VALUE(E355)),E355&amp;"",IF(AND(VALUE(E355)&gt;=1,VALUE(E355)&lt;=20),IF(INDEX(設定!$P$8:$P$27,VALUE(E355))="","？",INDEX(設定!$P$8:$P$27,VALUE(E355))),"？")))</f>
        <v/>
      </c>
      <c r="J355" s="44">
        <f>IF(F355="","",IF(ISERROR(VALUE(F355)),F355&amp;"",IF(AND(VALUE(F355)&gt;=1,VALUE(F355)&lt;=20),IF(INDEX(設定!$P$8:$P$27,VALUE(F355))="","？",INDEX(設定!$P$8:$P$27,VALUE(F355))),"？")))</f>
        <v/>
      </c>
      <c r="K355" s="45">
        <f>IF(L355="","",IF(G355="","名簿にいない",IF(COUNTIF(L356:L$552,L355)&gt;0,"2回提出（下の行を使います）",IF(OR(H355="？",I355="？",J355="？"),"クラブ番号がちがう",IF(OR(AND(H355&lt;&gt;"",H355&lt;&gt;"？",COUNTIF(設定!$P$8:$P$27,H355)=0),AND(I355&lt;&gt;"",I355&lt;&gt;"？",COUNTIF(設定!$P$8:$P$27,I355)=0),AND(J355&lt;&gt;"",J355&lt;&gt;"？",COUNTIF(設定!$P$8:$P$27,J355)=0)),"クラブ名がちがう",IF(H355="","第1希望がない",IF(OR(AND(H355&lt;&gt;"",H355=I355),AND(H355&lt;&gt;"",H355=J355),AND(I355&lt;&gt;"",I355=J355)),"同じクラブを重複して希望","OK")))))))</f>
        <v/>
      </c>
      <c r="L355" s="8">
        <f>IF(A355="","",A355&amp;"-"&amp;B355&amp;"-"&amp;C355)</f>
        <v/>
      </c>
      <c r="M355" s="8">
        <f>IF(OR(L355="",G355=""),"",IF(COUNTIF(L356:L$552,L355)=0,L355,""))</f>
        <v/>
      </c>
    </row>
    <row r="356">
      <c r="A356" s="40" t="n">
        <v>4</v>
      </c>
      <c r="B356" s="40" t="inlineStr">
        <is>
          <t>松</t>
        </is>
      </c>
      <c r="C356" s="40" t="n">
        <v>21</v>
      </c>
      <c r="D356" s="40" t="n">
        <v>2</v>
      </c>
      <c r="E356" s="40" t="n">
        <v>5</v>
      </c>
      <c r="F356" s="40" t="n">
        <v>6</v>
      </c>
      <c r="G356" s="3">
        <f>IF(L356="","",IFERROR(INDEX(前年度名簿!$D$2:$D$451,MATCH(L356,前年度名簿!$F$2:$F$451,0)),""))</f>
        <v/>
      </c>
      <c r="H356" s="44">
        <f>IF(D356="","",IF(ISERROR(VALUE(D356)),D356&amp;"",IF(AND(VALUE(D356)&gt;=1,VALUE(D356)&lt;=20),IF(INDEX(設定!$P$8:$P$27,VALUE(D356))="","？",INDEX(設定!$P$8:$P$27,VALUE(D356))),"？")))</f>
        <v/>
      </c>
      <c r="I356" s="44">
        <f>IF(E356="","",IF(ISERROR(VALUE(E356)),E356&amp;"",IF(AND(VALUE(E356)&gt;=1,VALUE(E356)&lt;=20),IF(INDEX(設定!$P$8:$P$27,VALUE(E356))="","？",INDEX(設定!$P$8:$P$27,VALUE(E356))),"？")))</f>
        <v/>
      </c>
      <c r="J356" s="44">
        <f>IF(F356="","",IF(ISERROR(VALUE(F356)),F356&amp;"",IF(AND(VALUE(F356)&gt;=1,VALUE(F356)&lt;=20),IF(INDEX(設定!$P$8:$P$27,VALUE(F356))="","？",INDEX(設定!$P$8:$P$27,VALUE(F356))),"？")))</f>
        <v/>
      </c>
      <c r="K356" s="45">
        <f>IF(L356="","",IF(G356="","名簿にいない",IF(COUNTIF(L357:L$552,L356)&gt;0,"2回提出（下の行を使います）",IF(OR(H356="？",I356="？",J356="？"),"クラブ番号がちがう",IF(OR(AND(H356&lt;&gt;"",H356&lt;&gt;"？",COUNTIF(設定!$P$8:$P$27,H356)=0),AND(I356&lt;&gt;"",I356&lt;&gt;"？",COUNTIF(設定!$P$8:$P$27,I356)=0),AND(J356&lt;&gt;"",J356&lt;&gt;"？",COUNTIF(設定!$P$8:$P$27,J356)=0)),"クラブ名がちがう",IF(H356="","第1希望がない",IF(OR(AND(H356&lt;&gt;"",H356=I356),AND(H356&lt;&gt;"",H356=J356),AND(I356&lt;&gt;"",I356=J356)),"同じクラブを重複して希望","OK")))))))</f>
        <v/>
      </c>
      <c r="L356" s="8">
        <f>IF(A356="","",A356&amp;"-"&amp;B356&amp;"-"&amp;C356)</f>
        <v/>
      </c>
      <c r="M356" s="8">
        <f>IF(OR(L356="",G356=""),"",IF(COUNTIF(L357:L$552,L356)=0,L356,""))</f>
        <v/>
      </c>
    </row>
    <row r="357">
      <c r="A357" s="40" t="n">
        <v>5</v>
      </c>
      <c r="B357" s="40" t="inlineStr">
        <is>
          <t>月</t>
        </is>
      </c>
      <c r="C357" s="40" t="n">
        <v>3</v>
      </c>
      <c r="D357" s="40" t="n">
        <v>8</v>
      </c>
      <c r="E357" s="40" t="n">
        <v>10</v>
      </c>
      <c r="F357" s="40" t="n">
        <v>4</v>
      </c>
      <c r="G357" s="3">
        <f>IF(L357="","",IFERROR(INDEX(前年度名簿!$D$2:$D$451,MATCH(L357,前年度名簿!$F$2:$F$451,0)),""))</f>
        <v/>
      </c>
      <c r="H357" s="44">
        <f>IF(D357="","",IF(ISERROR(VALUE(D357)),D357&amp;"",IF(AND(VALUE(D357)&gt;=1,VALUE(D357)&lt;=20),IF(INDEX(設定!$P$8:$P$27,VALUE(D357))="","？",INDEX(設定!$P$8:$P$27,VALUE(D357))),"？")))</f>
        <v/>
      </c>
      <c r="I357" s="44">
        <f>IF(E357="","",IF(ISERROR(VALUE(E357)),E357&amp;"",IF(AND(VALUE(E357)&gt;=1,VALUE(E357)&lt;=20),IF(INDEX(設定!$P$8:$P$27,VALUE(E357))="","？",INDEX(設定!$P$8:$P$27,VALUE(E357))),"？")))</f>
        <v/>
      </c>
      <c r="J357" s="44">
        <f>IF(F357="","",IF(ISERROR(VALUE(F357)),F357&amp;"",IF(AND(VALUE(F357)&gt;=1,VALUE(F357)&lt;=20),IF(INDEX(設定!$P$8:$P$27,VALUE(F357))="","？",INDEX(設定!$P$8:$P$27,VALUE(F357))),"？")))</f>
        <v/>
      </c>
      <c r="K357" s="45">
        <f>IF(L357="","",IF(G357="","名簿にいない",IF(COUNTIF(L358:L$552,L357)&gt;0,"2回提出（下の行を使います）",IF(OR(H357="？",I357="？",J357="？"),"クラブ番号がちがう",IF(OR(AND(H357&lt;&gt;"",H357&lt;&gt;"？",COUNTIF(設定!$P$8:$P$27,H357)=0),AND(I357&lt;&gt;"",I357&lt;&gt;"？",COUNTIF(設定!$P$8:$P$27,I357)=0),AND(J357&lt;&gt;"",J357&lt;&gt;"？",COUNTIF(設定!$P$8:$P$27,J357)=0)),"クラブ名がちがう",IF(H357="","第1希望がない",IF(OR(AND(H357&lt;&gt;"",H357=I357),AND(H357&lt;&gt;"",H357=J357),AND(I357&lt;&gt;"",I357=J357)),"同じクラブを重複して希望","OK")))))))</f>
        <v/>
      </c>
      <c r="L357" s="8">
        <f>IF(A357="","",A357&amp;"-"&amp;B357&amp;"-"&amp;C357)</f>
        <v/>
      </c>
      <c r="M357" s="8">
        <f>IF(OR(L357="",G357=""),"",IF(COUNTIF(L358:L$552,L357)=0,L357,""))</f>
        <v/>
      </c>
    </row>
    <row r="358">
      <c r="A358" s="40" t="n">
        <v>4</v>
      </c>
      <c r="B358" s="40" t="inlineStr">
        <is>
          <t>梅</t>
        </is>
      </c>
      <c r="C358" s="40" t="n">
        <v>33</v>
      </c>
      <c r="D358" s="40" t="n">
        <v>7</v>
      </c>
      <c r="E358" s="40" t="n">
        <v>5</v>
      </c>
      <c r="F358" s="40" t="n">
        <v>1</v>
      </c>
      <c r="G358" s="3">
        <f>IF(L358="","",IFERROR(INDEX(前年度名簿!$D$2:$D$451,MATCH(L358,前年度名簿!$F$2:$F$451,0)),""))</f>
        <v/>
      </c>
      <c r="H358" s="44">
        <f>IF(D358="","",IF(ISERROR(VALUE(D358)),D358&amp;"",IF(AND(VALUE(D358)&gt;=1,VALUE(D358)&lt;=20),IF(INDEX(設定!$P$8:$P$27,VALUE(D358))="","？",INDEX(設定!$P$8:$P$27,VALUE(D358))),"？")))</f>
        <v/>
      </c>
      <c r="I358" s="44">
        <f>IF(E358="","",IF(ISERROR(VALUE(E358)),E358&amp;"",IF(AND(VALUE(E358)&gt;=1,VALUE(E358)&lt;=20),IF(INDEX(設定!$P$8:$P$27,VALUE(E358))="","？",INDEX(設定!$P$8:$P$27,VALUE(E358))),"？")))</f>
        <v/>
      </c>
      <c r="J358" s="44">
        <f>IF(F358="","",IF(ISERROR(VALUE(F358)),F358&amp;"",IF(AND(VALUE(F358)&gt;=1,VALUE(F358)&lt;=20),IF(INDEX(設定!$P$8:$P$27,VALUE(F358))="","？",INDEX(設定!$P$8:$P$27,VALUE(F358))),"？")))</f>
        <v/>
      </c>
      <c r="K358" s="45">
        <f>IF(L358="","",IF(G358="","名簿にいない",IF(COUNTIF(L359:L$552,L358)&gt;0,"2回提出（下の行を使います）",IF(OR(H358="？",I358="？",J358="？"),"クラブ番号がちがう",IF(OR(AND(H358&lt;&gt;"",H358&lt;&gt;"？",COUNTIF(設定!$P$8:$P$27,H358)=0),AND(I358&lt;&gt;"",I358&lt;&gt;"？",COUNTIF(設定!$P$8:$P$27,I358)=0),AND(J358&lt;&gt;"",J358&lt;&gt;"？",COUNTIF(設定!$P$8:$P$27,J358)=0)),"クラブ名がちがう",IF(H358="","第1希望がない",IF(OR(AND(H358&lt;&gt;"",H358=I358),AND(H358&lt;&gt;"",H358=J358),AND(I358&lt;&gt;"",I358=J358)),"同じクラブを重複して希望","OK")))))))</f>
        <v/>
      </c>
      <c r="L358" s="8">
        <f>IF(A358="","",A358&amp;"-"&amp;B358&amp;"-"&amp;C358)</f>
        <v/>
      </c>
      <c r="M358" s="8">
        <f>IF(OR(L358="",G358=""),"",IF(COUNTIF(L359:L$552,L358)=0,L358,""))</f>
        <v/>
      </c>
    </row>
    <row r="359">
      <c r="A359" s="40" t="n">
        <v>5</v>
      </c>
      <c r="B359" s="40" t="inlineStr">
        <is>
          <t>松</t>
        </is>
      </c>
      <c r="C359" s="40" t="n">
        <v>9</v>
      </c>
      <c r="D359" s="40" t="n">
        <v>4</v>
      </c>
      <c r="E359" s="40" t="n">
        <v>12</v>
      </c>
      <c r="F359" s="40" t="n">
        <v>6</v>
      </c>
      <c r="G359" s="3">
        <f>IF(L359="","",IFERROR(INDEX(前年度名簿!$D$2:$D$451,MATCH(L359,前年度名簿!$F$2:$F$451,0)),""))</f>
        <v/>
      </c>
      <c r="H359" s="44">
        <f>IF(D359="","",IF(ISERROR(VALUE(D359)),D359&amp;"",IF(AND(VALUE(D359)&gt;=1,VALUE(D359)&lt;=20),IF(INDEX(設定!$P$8:$P$27,VALUE(D359))="","？",INDEX(設定!$P$8:$P$27,VALUE(D359))),"？")))</f>
        <v/>
      </c>
      <c r="I359" s="44">
        <f>IF(E359="","",IF(ISERROR(VALUE(E359)),E359&amp;"",IF(AND(VALUE(E359)&gt;=1,VALUE(E359)&lt;=20),IF(INDEX(設定!$P$8:$P$27,VALUE(E359))="","？",INDEX(設定!$P$8:$P$27,VALUE(E359))),"？")))</f>
        <v/>
      </c>
      <c r="J359" s="44">
        <f>IF(F359="","",IF(ISERROR(VALUE(F359)),F359&amp;"",IF(AND(VALUE(F359)&gt;=1,VALUE(F359)&lt;=20),IF(INDEX(設定!$P$8:$P$27,VALUE(F359))="","？",INDEX(設定!$P$8:$P$27,VALUE(F359))),"？")))</f>
        <v/>
      </c>
      <c r="K359" s="45">
        <f>IF(L359="","",IF(G359="","名簿にいない",IF(COUNTIF(L360:L$552,L359)&gt;0,"2回提出（下の行を使います）",IF(OR(H359="？",I359="？",J359="？"),"クラブ番号がちがう",IF(OR(AND(H359&lt;&gt;"",H359&lt;&gt;"？",COUNTIF(設定!$P$8:$P$27,H359)=0),AND(I359&lt;&gt;"",I359&lt;&gt;"？",COUNTIF(設定!$P$8:$P$27,I359)=0),AND(J359&lt;&gt;"",J359&lt;&gt;"？",COUNTIF(設定!$P$8:$P$27,J359)=0)),"クラブ名がちがう",IF(H359="","第1希望がない",IF(OR(AND(H359&lt;&gt;"",H359=I359),AND(H359&lt;&gt;"",H359=J359),AND(I359&lt;&gt;"",I359=J359)),"同じクラブを重複して希望","OK")))))))</f>
        <v/>
      </c>
      <c r="L359" s="8">
        <f>IF(A359="","",A359&amp;"-"&amp;B359&amp;"-"&amp;C359)</f>
        <v/>
      </c>
      <c r="M359" s="8">
        <f>IF(OR(L359="",G359=""),"",IF(COUNTIF(L360:L$552,L359)=0,L359,""))</f>
        <v/>
      </c>
    </row>
    <row r="360">
      <c r="A360" s="40" t="n"/>
      <c r="B360" s="40" t="n"/>
      <c r="C360" s="40" t="n"/>
      <c r="D360" s="40" t="n"/>
      <c r="E360" s="40" t="n"/>
      <c r="F360" s="40" t="n"/>
      <c r="G360" s="3">
        <f>IF(L360="","",IFERROR(INDEX(前年度名簿!$D$2:$D$451,MATCH(L360,前年度名簿!$F$2:$F$451,0)),""))</f>
        <v/>
      </c>
      <c r="H360" s="44">
        <f>IF(D360="","",IF(ISERROR(VALUE(D360)),D360&amp;"",IF(AND(VALUE(D360)&gt;=1,VALUE(D360)&lt;=20),IF(INDEX(設定!$P$8:$P$27,VALUE(D360))="","？",INDEX(設定!$P$8:$P$27,VALUE(D360))),"？")))</f>
        <v/>
      </c>
      <c r="I360" s="44">
        <f>IF(E360="","",IF(ISERROR(VALUE(E360)),E360&amp;"",IF(AND(VALUE(E360)&gt;=1,VALUE(E360)&lt;=20),IF(INDEX(設定!$P$8:$P$27,VALUE(E360))="","？",INDEX(設定!$P$8:$P$27,VALUE(E360))),"？")))</f>
        <v/>
      </c>
      <c r="J360" s="44">
        <f>IF(F360="","",IF(ISERROR(VALUE(F360)),F360&amp;"",IF(AND(VALUE(F360)&gt;=1,VALUE(F360)&lt;=20),IF(INDEX(設定!$P$8:$P$27,VALUE(F360))="","？",INDEX(設定!$P$8:$P$27,VALUE(F360))),"？")))</f>
        <v/>
      </c>
      <c r="K360" s="45">
        <f>IF(L360="","",IF(G360="","名簿にいない",IF(COUNTIF(L361:L$552,L360)&gt;0,"2回提出（下の行を使います）",IF(OR(H360="？",I360="？",J360="？"),"クラブ番号がちがう",IF(OR(AND(H360&lt;&gt;"",H360&lt;&gt;"？",COUNTIF(設定!$P$8:$P$27,H360)=0),AND(I360&lt;&gt;"",I360&lt;&gt;"？",COUNTIF(設定!$P$8:$P$27,I360)=0),AND(J360&lt;&gt;"",J360&lt;&gt;"？",COUNTIF(設定!$P$8:$P$27,J360)=0)),"クラブ名がちがう",IF(H360="","第1希望がない",IF(OR(AND(H360&lt;&gt;"",H360=I360),AND(H360&lt;&gt;"",H360=J360),AND(I360&lt;&gt;"",I360=J360)),"同じクラブを重複して希望","OK")))))))</f>
        <v/>
      </c>
      <c r="L360" s="8">
        <f>IF(A360="","",A360&amp;"-"&amp;B360&amp;"-"&amp;C360)</f>
        <v/>
      </c>
      <c r="M360" s="8">
        <f>IF(OR(L360="",G360=""),"",IF(COUNTIF(L361:L$552,L360)=0,L360,""))</f>
        <v/>
      </c>
    </row>
    <row r="361">
      <c r="A361" s="40" t="n"/>
      <c r="B361" s="40" t="n"/>
      <c r="C361" s="40" t="n"/>
      <c r="D361" s="40" t="n"/>
      <c r="E361" s="40" t="n"/>
      <c r="F361" s="40" t="n"/>
      <c r="G361" s="3">
        <f>IF(L361="","",IFERROR(INDEX(前年度名簿!$D$2:$D$451,MATCH(L361,前年度名簿!$F$2:$F$451,0)),""))</f>
        <v/>
      </c>
      <c r="H361" s="44">
        <f>IF(D361="","",IF(ISERROR(VALUE(D361)),D361&amp;"",IF(AND(VALUE(D361)&gt;=1,VALUE(D361)&lt;=20),IF(INDEX(設定!$P$8:$P$27,VALUE(D361))="","？",INDEX(設定!$P$8:$P$27,VALUE(D361))),"？")))</f>
        <v/>
      </c>
      <c r="I361" s="44">
        <f>IF(E361="","",IF(ISERROR(VALUE(E361)),E361&amp;"",IF(AND(VALUE(E361)&gt;=1,VALUE(E361)&lt;=20),IF(INDEX(設定!$P$8:$P$27,VALUE(E361))="","？",INDEX(設定!$P$8:$P$27,VALUE(E361))),"？")))</f>
        <v/>
      </c>
      <c r="J361" s="44">
        <f>IF(F361="","",IF(ISERROR(VALUE(F361)),F361&amp;"",IF(AND(VALUE(F361)&gt;=1,VALUE(F361)&lt;=20),IF(INDEX(設定!$P$8:$P$27,VALUE(F361))="","？",INDEX(設定!$P$8:$P$27,VALUE(F361))),"？")))</f>
        <v/>
      </c>
      <c r="K361" s="45">
        <f>IF(L361="","",IF(G361="","名簿にいない",IF(COUNTIF(L362:L$552,L361)&gt;0,"2回提出（下の行を使います）",IF(OR(H361="？",I361="？",J361="？"),"クラブ番号がちがう",IF(OR(AND(H361&lt;&gt;"",H361&lt;&gt;"？",COUNTIF(設定!$P$8:$P$27,H361)=0),AND(I361&lt;&gt;"",I361&lt;&gt;"？",COUNTIF(設定!$P$8:$P$27,I361)=0),AND(J361&lt;&gt;"",J361&lt;&gt;"？",COUNTIF(設定!$P$8:$P$27,J361)=0)),"クラブ名がちがう",IF(H361="","第1希望がない",IF(OR(AND(H361&lt;&gt;"",H361=I361),AND(H361&lt;&gt;"",H361=J361),AND(I361&lt;&gt;"",I361=J361)),"同じクラブを重複して希望","OK")))))))</f>
        <v/>
      </c>
      <c r="L361" s="8">
        <f>IF(A361="","",A361&amp;"-"&amp;B361&amp;"-"&amp;C361)</f>
        <v/>
      </c>
      <c r="M361" s="8">
        <f>IF(OR(L361="",G361=""),"",IF(COUNTIF(L362:L$552,L361)=0,L361,""))</f>
        <v/>
      </c>
    </row>
    <row r="362">
      <c r="A362" s="40" t="n"/>
      <c r="B362" s="40" t="n"/>
      <c r="C362" s="40" t="n"/>
      <c r="D362" s="40" t="n"/>
      <c r="E362" s="40" t="n"/>
      <c r="F362" s="40" t="n"/>
      <c r="G362" s="3">
        <f>IF(L362="","",IFERROR(INDEX(前年度名簿!$D$2:$D$451,MATCH(L362,前年度名簿!$F$2:$F$451,0)),""))</f>
        <v/>
      </c>
      <c r="H362" s="44">
        <f>IF(D362="","",IF(ISERROR(VALUE(D362)),D362&amp;"",IF(AND(VALUE(D362)&gt;=1,VALUE(D362)&lt;=20),IF(INDEX(設定!$P$8:$P$27,VALUE(D362))="","？",INDEX(設定!$P$8:$P$27,VALUE(D362))),"？")))</f>
        <v/>
      </c>
      <c r="I362" s="44">
        <f>IF(E362="","",IF(ISERROR(VALUE(E362)),E362&amp;"",IF(AND(VALUE(E362)&gt;=1,VALUE(E362)&lt;=20),IF(INDEX(設定!$P$8:$P$27,VALUE(E362))="","？",INDEX(設定!$P$8:$P$27,VALUE(E362))),"？")))</f>
        <v/>
      </c>
      <c r="J362" s="44">
        <f>IF(F362="","",IF(ISERROR(VALUE(F362)),F362&amp;"",IF(AND(VALUE(F362)&gt;=1,VALUE(F362)&lt;=20),IF(INDEX(設定!$P$8:$P$27,VALUE(F362))="","？",INDEX(設定!$P$8:$P$27,VALUE(F362))),"？")))</f>
        <v/>
      </c>
      <c r="K362" s="45">
        <f>IF(L362="","",IF(G362="","名簿にいない",IF(COUNTIF(L363:L$552,L362)&gt;0,"2回提出（下の行を使います）",IF(OR(H362="？",I362="？",J362="？"),"クラブ番号がちがう",IF(OR(AND(H362&lt;&gt;"",H362&lt;&gt;"？",COUNTIF(設定!$P$8:$P$27,H362)=0),AND(I362&lt;&gt;"",I362&lt;&gt;"？",COUNTIF(設定!$P$8:$P$27,I362)=0),AND(J362&lt;&gt;"",J362&lt;&gt;"？",COUNTIF(設定!$P$8:$P$27,J362)=0)),"クラブ名がちがう",IF(H362="","第1希望がない",IF(OR(AND(H362&lt;&gt;"",H362=I362),AND(H362&lt;&gt;"",H362=J362),AND(I362&lt;&gt;"",I362=J362)),"同じクラブを重複して希望","OK")))))))</f>
        <v/>
      </c>
      <c r="L362" s="8">
        <f>IF(A362="","",A362&amp;"-"&amp;B362&amp;"-"&amp;C362)</f>
        <v/>
      </c>
      <c r="M362" s="8">
        <f>IF(OR(L362="",G362=""),"",IF(COUNTIF(L363:L$552,L362)=0,L362,""))</f>
        <v/>
      </c>
    </row>
    <row r="363">
      <c r="A363" s="40" t="n"/>
      <c r="B363" s="40" t="n"/>
      <c r="C363" s="40" t="n"/>
      <c r="D363" s="40" t="n"/>
      <c r="E363" s="40" t="n"/>
      <c r="F363" s="40" t="n"/>
      <c r="G363" s="3">
        <f>IF(L363="","",IFERROR(INDEX(前年度名簿!$D$2:$D$451,MATCH(L363,前年度名簿!$F$2:$F$451,0)),""))</f>
        <v/>
      </c>
      <c r="H363" s="44">
        <f>IF(D363="","",IF(ISERROR(VALUE(D363)),D363&amp;"",IF(AND(VALUE(D363)&gt;=1,VALUE(D363)&lt;=20),IF(INDEX(設定!$P$8:$P$27,VALUE(D363))="","？",INDEX(設定!$P$8:$P$27,VALUE(D363))),"？")))</f>
        <v/>
      </c>
      <c r="I363" s="44">
        <f>IF(E363="","",IF(ISERROR(VALUE(E363)),E363&amp;"",IF(AND(VALUE(E363)&gt;=1,VALUE(E363)&lt;=20),IF(INDEX(設定!$P$8:$P$27,VALUE(E363))="","？",INDEX(設定!$P$8:$P$27,VALUE(E363))),"？")))</f>
        <v/>
      </c>
      <c r="J363" s="44">
        <f>IF(F363="","",IF(ISERROR(VALUE(F363)),F363&amp;"",IF(AND(VALUE(F363)&gt;=1,VALUE(F363)&lt;=20),IF(INDEX(設定!$P$8:$P$27,VALUE(F363))="","？",INDEX(設定!$P$8:$P$27,VALUE(F363))),"？")))</f>
        <v/>
      </c>
      <c r="K363" s="45">
        <f>IF(L363="","",IF(G363="","名簿にいない",IF(COUNTIF(L364:L$552,L363)&gt;0,"2回提出（下の行を使います）",IF(OR(H363="？",I363="？",J363="？"),"クラブ番号がちがう",IF(OR(AND(H363&lt;&gt;"",H363&lt;&gt;"？",COUNTIF(設定!$P$8:$P$27,H363)=0),AND(I363&lt;&gt;"",I363&lt;&gt;"？",COUNTIF(設定!$P$8:$P$27,I363)=0),AND(J363&lt;&gt;"",J363&lt;&gt;"？",COUNTIF(設定!$P$8:$P$27,J363)=0)),"クラブ名がちがう",IF(H363="","第1希望がない",IF(OR(AND(H363&lt;&gt;"",H363=I363),AND(H363&lt;&gt;"",H363=J363),AND(I363&lt;&gt;"",I363=J363)),"同じクラブを重複して希望","OK")))))))</f>
        <v/>
      </c>
      <c r="L363" s="8">
        <f>IF(A363="","",A363&amp;"-"&amp;B363&amp;"-"&amp;C363)</f>
        <v/>
      </c>
      <c r="M363" s="8">
        <f>IF(OR(L363="",G363=""),"",IF(COUNTIF(L364:L$552,L363)=0,L363,""))</f>
        <v/>
      </c>
    </row>
    <row r="364">
      <c r="A364" s="40" t="n"/>
      <c r="B364" s="40" t="n"/>
      <c r="C364" s="40" t="n"/>
      <c r="D364" s="40" t="n"/>
      <c r="E364" s="40" t="n"/>
      <c r="F364" s="40" t="n"/>
      <c r="G364" s="3">
        <f>IF(L364="","",IFERROR(INDEX(前年度名簿!$D$2:$D$451,MATCH(L364,前年度名簿!$F$2:$F$451,0)),""))</f>
        <v/>
      </c>
      <c r="H364" s="44">
        <f>IF(D364="","",IF(ISERROR(VALUE(D364)),D364&amp;"",IF(AND(VALUE(D364)&gt;=1,VALUE(D364)&lt;=20),IF(INDEX(設定!$P$8:$P$27,VALUE(D364))="","？",INDEX(設定!$P$8:$P$27,VALUE(D364))),"？")))</f>
        <v/>
      </c>
      <c r="I364" s="44">
        <f>IF(E364="","",IF(ISERROR(VALUE(E364)),E364&amp;"",IF(AND(VALUE(E364)&gt;=1,VALUE(E364)&lt;=20),IF(INDEX(設定!$P$8:$P$27,VALUE(E364))="","？",INDEX(設定!$P$8:$P$27,VALUE(E364))),"？")))</f>
        <v/>
      </c>
      <c r="J364" s="44">
        <f>IF(F364="","",IF(ISERROR(VALUE(F364)),F364&amp;"",IF(AND(VALUE(F364)&gt;=1,VALUE(F364)&lt;=20),IF(INDEX(設定!$P$8:$P$27,VALUE(F364))="","？",INDEX(設定!$P$8:$P$27,VALUE(F364))),"？")))</f>
        <v/>
      </c>
      <c r="K364" s="45">
        <f>IF(L364="","",IF(G364="","名簿にいない",IF(COUNTIF(L365:L$552,L364)&gt;0,"2回提出（下の行を使います）",IF(OR(H364="？",I364="？",J364="？"),"クラブ番号がちがう",IF(OR(AND(H364&lt;&gt;"",H364&lt;&gt;"？",COUNTIF(設定!$P$8:$P$27,H364)=0),AND(I364&lt;&gt;"",I364&lt;&gt;"？",COUNTIF(設定!$P$8:$P$27,I364)=0),AND(J364&lt;&gt;"",J364&lt;&gt;"？",COUNTIF(設定!$P$8:$P$27,J364)=0)),"クラブ名がちがう",IF(H364="","第1希望がない",IF(OR(AND(H364&lt;&gt;"",H364=I364),AND(H364&lt;&gt;"",H364=J364),AND(I364&lt;&gt;"",I364=J364)),"同じクラブを重複して希望","OK")))))))</f>
        <v/>
      </c>
      <c r="L364" s="8">
        <f>IF(A364="","",A364&amp;"-"&amp;B364&amp;"-"&amp;C364)</f>
        <v/>
      </c>
      <c r="M364" s="8">
        <f>IF(OR(L364="",G364=""),"",IF(COUNTIF(L365:L$552,L364)=0,L364,""))</f>
        <v/>
      </c>
    </row>
    <row r="365">
      <c r="A365" s="40" t="n"/>
      <c r="B365" s="40" t="n"/>
      <c r="C365" s="40" t="n"/>
      <c r="D365" s="40" t="n"/>
      <c r="E365" s="40" t="n"/>
      <c r="F365" s="40" t="n"/>
      <c r="G365" s="3">
        <f>IF(L365="","",IFERROR(INDEX(前年度名簿!$D$2:$D$451,MATCH(L365,前年度名簿!$F$2:$F$451,0)),""))</f>
        <v/>
      </c>
      <c r="H365" s="44">
        <f>IF(D365="","",IF(ISERROR(VALUE(D365)),D365&amp;"",IF(AND(VALUE(D365)&gt;=1,VALUE(D365)&lt;=20),IF(INDEX(設定!$P$8:$P$27,VALUE(D365))="","？",INDEX(設定!$P$8:$P$27,VALUE(D365))),"？")))</f>
        <v/>
      </c>
      <c r="I365" s="44">
        <f>IF(E365="","",IF(ISERROR(VALUE(E365)),E365&amp;"",IF(AND(VALUE(E365)&gt;=1,VALUE(E365)&lt;=20),IF(INDEX(設定!$P$8:$P$27,VALUE(E365))="","？",INDEX(設定!$P$8:$P$27,VALUE(E365))),"？")))</f>
        <v/>
      </c>
      <c r="J365" s="44">
        <f>IF(F365="","",IF(ISERROR(VALUE(F365)),F365&amp;"",IF(AND(VALUE(F365)&gt;=1,VALUE(F365)&lt;=20),IF(INDEX(設定!$P$8:$P$27,VALUE(F365))="","？",INDEX(設定!$P$8:$P$27,VALUE(F365))),"？")))</f>
        <v/>
      </c>
      <c r="K365" s="45">
        <f>IF(L365="","",IF(G365="","名簿にいない",IF(COUNTIF(L366:L$552,L365)&gt;0,"2回提出（下の行を使います）",IF(OR(H365="？",I365="？",J365="？"),"クラブ番号がちがう",IF(OR(AND(H365&lt;&gt;"",H365&lt;&gt;"？",COUNTIF(設定!$P$8:$P$27,H365)=0),AND(I365&lt;&gt;"",I365&lt;&gt;"？",COUNTIF(設定!$P$8:$P$27,I365)=0),AND(J365&lt;&gt;"",J365&lt;&gt;"？",COUNTIF(設定!$P$8:$P$27,J365)=0)),"クラブ名がちがう",IF(H365="","第1希望がない",IF(OR(AND(H365&lt;&gt;"",H365=I365),AND(H365&lt;&gt;"",H365=J365),AND(I365&lt;&gt;"",I365=J365)),"同じクラブを重複して希望","OK")))))))</f>
        <v/>
      </c>
      <c r="L365" s="8">
        <f>IF(A365="","",A365&amp;"-"&amp;B365&amp;"-"&amp;C365)</f>
        <v/>
      </c>
      <c r="M365" s="8">
        <f>IF(OR(L365="",G365=""),"",IF(COUNTIF(L366:L$552,L365)=0,L365,""))</f>
        <v/>
      </c>
    </row>
    <row r="366">
      <c r="A366" s="40" t="n"/>
      <c r="B366" s="40" t="n"/>
      <c r="C366" s="40" t="n"/>
      <c r="D366" s="40" t="n"/>
      <c r="E366" s="40" t="n"/>
      <c r="F366" s="40" t="n"/>
      <c r="G366" s="3">
        <f>IF(L366="","",IFERROR(INDEX(前年度名簿!$D$2:$D$451,MATCH(L366,前年度名簿!$F$2:$F$451,0)),""))</f>
        <v/>
      </c>
      <c r="H366" s="44">
        <f>IF(D366="","",IF(ISERROR(VALUE(D366)),D366&amp;"",IF(AND(VALUE(D366)&gt;=1,VALUE(D366)&lt;=20),IF(INDEX(設定!$P$8:$P$27,VALUE(D366))="","？",INDEX(設定!$P$8:$P$27,VALUE(D366))),"？")))</f>
        <v/>
      </c>
      <c r="I366" s="44">
        <f>IF(E366="","",IF(ISERROR(VALUE(E366)),E366&amp;"",IF(AND(VALUE(E366)&gt;=1,VALUE(E366)&lt;=20),IF(INDEX(設定!$P$8:$P$27,VALUE(E366))="","？",INDEX(設定!$P$8:$P$27,VALUE(E366))),"？")))</f>
        <v/>
      </c>
      <c r="J366" s="44">
        <f>IF(F366="","",IF(ISERROR(VALUE(F366)),F366&amp;"",IF(AND(VALUE(F366)&gt;=1,VALUE(F366)&lt;=20),IF(INDEX(設定!$P$8:$P$27,VALUE(F366))="","？",INDEX(設定!$P$8:$P$27,VALUE(F366))),"？")))</f>
        <v/>
      </c>
      <c r="K366" s="45">
        <f>IF(L366="","",IF(G366="","名簿にいない",IF(COUNTIF(L367:L$552,L366)&gt;0,"2回提出（下の行を使います）",IF(OR(H366="？",I366="？",J366="？"),"クラブ番号がちがう",IF(OR(AND(H366&lt;&gt;"",H366&lt;&gt;"？",COUNTIF(設定!$P$8:$P$27,H366)=0),AND(I366&lt;&gt;"",I366&lt;&gt;"？",COUNTIF(設定!$P$8:$P$27,I366)=0),AND(J366&lt;&gt;"",J366&lt;&gt;"？",COUNTIF(設定!$P$8:$P$27,J366)=0)),"クラブ名がちがう",IF(H366="","第1希望がない",IF(OR(AND(H366&lt;&gt;"",H366=I366),AND(H366&lt;&gt;"",H366=J366),AND(I366&lt;&gt;"",I366=J366)),"同じクラブを重複して希望","OK")))))))</f>
        <v/>
      </c>
      <c r="L366" s="8">
        <f>IF(A366="","",A366&amp;"-"&amp;B366&amp;"-"&amp;C366)</f>
        <v/>
      </c>
      <c r="M366" s="8">
        <f>IF(OR(L366="",G366=""),"",IF(COUNTIF(L367:L$552,L366)=0,L366,""))</f>
        <v/>
      </c>
    </row>
    <row r="367">
      <c r="A367" s="40" t="n"/>
      <c r="B367" s="40" t="n"/>
      <c r="C367" s="40" t="n"/>
      <c r="D367" s="40" t="n"/>
      <c r="E367" s="40" t="n"/>
      <c r="F367" s="40" t="n"/>
      <c r="G367" s="3">
        <f>IF(L367="","",IFERROR(INDEX(前年度名簿!$D$2:$D$451,MATCH(L367,前年度名簿!$F$2:$F$451,0)),""))</f>
        <v/>
      </c>
      <c r="H367" s="44">
        <f>IF(D367="","",IF(ISERROR(VALUE(D367)),D367&amp;"",IF(AND(VALUE(D367)&gt;=1,VALUE(D367)&lt;=20),IF(INDEX(設定!$P$8:$P$27,VALUE(D367))="","？",INDEX(設定!$P$8:$P$27,VALUE(D367))),"？")))</f>
        <v/>
      </c>
      <c r="I367" s="44">
        <f>IF(E367="","",IF(ISERROR(VALUE(E367)),E367&amp;"",IF(AND(VALUE(E367)&gt;=1,VALUE(E367)&lt;=20),IF(INDEX(設定!$P$8:$P$27,VALUE(E367))="","？",INDEX(設定!$P$8:$P$27,VALUE(E367))),"？")))</f>
        <v/>
      </c>
      <c r="J367" s="44">
        <f>IF(F367="","",IF(ISERROR(VALUE(F367)),F367&amp;"",IF(AND(VALUE(F367)&gt;=1,VALUE(F367)&lt;=20),IF(INDEX(設定!$P$8:$P$27,VALUE(F367))="","？",INDEX(設定!$P$8:$P$27,VALUE(F367))),"？")))</f>
        <v/>
      </c>
      <c r="K367" s="45">
        <f>IF(L367="","",IF(G367="","名簿にいない",IF(COUNTIF(L368:L$552,L367)&gt;0,"2回提出（下の行を使います）",IF(OR(H367="？",I367="？",J367="？"),"クラブ番号がちがう",IF(OR(AND(H367&lt;&gt;"",H367&lt;&gt;"？",COUNTIF(設定!$P$8:$P$27,H367)=0),AND(I367&lt;&gt;"",I367&lt;&gt;"？",COUNTIF(設定!$P$8:$P$27,I367)=0),AND(J367&lt;&gt;"",J367&lt;&gt;"？",COUNTIF(設定!$P$8:$P$27,J367)=0)),"クラブ名がちがう",IF(H367="","第1希望がない",IF(OR(AND(H367&lt;&gt;"",H367=I367),AND(H367&lt;&gt;"",H367=J367),AND(I367&lt;&gt;"",I367=J367)),"同じクラブを重複して希望","OK")))))))</f>
        <v/>
      </c>
      <c r="L367" s="8">
        <f>IF(A367="","",A367&amp;"-"&amp;B367&amp;"-"&amp;C367)</f>
        <v/>
      </c>
      <c r="M367" s="8">
        <f>IF(OR(L367="",G367=""),"",IF(COUNTIF(L368:L$552,L367)=0,L367,""))</f>
        <v/>
      </c>
    </row>
    <row r="368">
      <c r="A368" s="40" t="n"/>
      <c r="B368" s="40" t="n"/>
      <c r="C368" s="40" t="n"/>
      <c r="D368" s="40" t="n"/>
      <c r="E368" s="40" t="n"/>
      <c r="F368" s="40" t="n"/>
      <c r="G368" s="3">
        <f>IF(L368="","",IFERROR(INDEX(前年度名簿!$D$2:$D$451,MATCH(L368,前年度名簿!$F$2:$F$451,0)),""))</f>
        <v/>
      </c>
      <c r="H368" s="44">
        <f>IF(D368="","",IF(ISERROR(VALUE(D368)),D368&amp;"",IF(AND(VALUE(D368)&gt;=1,VALUE(D368)&lt;=20),IF(INDEX(設定!$P$8:$P$27,VALUE(D368))="","？",INDEX(設定!$P$8:$P$27,VALUE(D368))),"？")))</f>
        <v/>
      </c>
      <c r="I368" s="44">
        <f>IF(E368="","",IF(ISERROR(VALUE(E368)),E368&amp;"",IF(AND(VALUE(E368)&gt;=1,VALUE(E368)&lt;=20),IF(INDEX(設定!$P$8:$P$27,VALUE(E368))="","？",INDEX(設定!$P$8:$P$27,VALUE(E368))),"？")))</f>
        <v/>
      </c>
      <c r="J368" s="44">
        <f>IF(F368="","",IF(ISERROR(VALUE(F368)),F368&amp;"",IF(AND(VALUE(F368)&gt;=1,VALUE(F368)&lt;=20),IF(INDEX(設定!$P$8:$P$27,VALUE(F368))="","？",INDEX(設定!$P$8:$P$27,VALUE(F368))),"？")))</f>
        <v/>
      </c>
      <c r="K368" s="45">
        <f>IF(L368="","",IF(G368="","名簿にいない",IF(COUNTIF(L369:L$552,L368)&gt;0,"2回提出（下の行を使います）",IF(OR(H368="？",I368="？",J368="？"),"クラブ番号がちがう",IF(OR(AND(H368&lt;&gt;"",H368&lt;&gt;"？",COUNTIF(設定!$P$8:$P$27,H368)=0),AND(I368&lt;&gt;"",I368&lt;&gt;"？",COUNTIF(設定!$P$8:$P$27,I368)=0),AND(J368&lt;&gt;"",J368&lt;&gt;"？",COUNTIF(設定!$P$8:$P$27,J368)=0)),"クラブ名がちがう",IF(H368="","第1希望がない",IF(OR(AND(H368&lt;&gt;"",H368=I368),AND(H368&lt;&gt;"",H368=J368),AND(I368&lt;&gt;"",I368=J368)),"同じクラブを重複して希望","OK")))))))</f>
        <v/>
      </c>
      <c r="L368" s="8">
        <f>IF(A368="","",A368&amp;"-"&amp;B368&amp;"-"&amp;C368)</f>
        <v/>
      </c>
      <c r="M368" s="8">
        <f>IF(OR(L368="",G368=""),"",IF(COUNTIF(L369:L$552,L368)=0,L368,""))</f>
        <v/>
      </c>
    </row>
    <row r="369">
      <c r="A369" s="40" t="n"/>
      <c r="B369" s="40" t="n"/>
      <c r="C369" s="40" t="n"/>
      <c r="D369" s="40" t="n"/>
      <c r="E369" s="40" t="n"/>
      <c r="F369" s="40" t="n"/>
      <c r="G369" s="3">
        <f>IF(L369="","",IFERROR(INDEX(前年度名簿!$D$2:$D$451,MATCH(L369,前年度名簿!$F$2:$F$451,0)),""))</f>
        <v/>
      </c>
      <c r="H369" s="44">
        <f>IF(D369="","",IF(ISERROR(VALUE(D369)),D369&amp;"",IF(AND(VALUE(D369)&gt;=1,VALUE(D369)&lt;=20),IF(INDEX(設定!$P$8:$P$27,VALUE(D369))="","？",INDEX(設定!$P$8:$P$27,VALUE(D369))),"？")))</f>
        <v/>
      </c>
      <c r="I369" s="44">
        <f>IF(E369="","",IF(ISERROR(VALUE(E369)),E369&amp;"",IF(AND(VALUE(E369)&gt;=1,VALUE(E369)&lt;=20),IF(INDEX(設定!$P$8:$P$27,VALUE(E369))="","？",INDEX(設定!$P$8:$P$27,VALUE(E369))),"？")))</f>
        <v/>
      </c>
      <c r="J369" s="44">
        <f>IF(F369="","",IF(ISERROR(VALUE(F369)),F369&amp;"",IF(AND(VALUE(F369)&gt;=1,VALUE(F369)&lt;=20),IF(INDEX(設定!$P$8:$P$27,VALUE(F369))="","？",INDEX(設定!$P$8:$P$27,VALUE(F369))),"？")))</f>
        <v/>
      </c>
      <c r="K369" s="45">
        <f>IF(L369="","",IF(G369="","名簿にいない",IF(COUNTIF(L370:L$552,L369)&gt;0,"2回提出（下の行を使います）",IF(OR(H369="？",I369="？",J369="？"),"クラブ番号がちがう",IF(OR(AND(H369&lt;&gt;"",H369&lt;&gt;"？",COUNTIF(設定!$P$8:$P$27,H369)=0),AND(I369&lt;&gt;"",I369&lt;&gt;"？",COUNTIF(設定!$P$8:$P$27,I369)=0),AND(J369&lt;&gt;"",J369&lt;&gt;"？",COUNTIF(設定!$P$8:$P$27,J369)=0)),"クラブ名がちがう",IF(H369="","第1希望がない",IF(OR(AND(H369&lt;&gt;"",H369=I369),AND(H369&lt;&gt;"",H369=J369),AND(I369&lt;&gt;"",I369=J369)),"同じクラブを重複して希望","OK")))))))</f>
        <v/>
      </c>
      <c r="L369" s="8">
        <f>IF(A369="","",A369&amp;"-"&amp;B369&amp;"-"&amp;C369)</f>
        <v/>
      </c>
      <c r="M369" s="8">
        <f>IF(OR(L369="",G369=""),"",IF(COUNTIF(L370:L$552,L369)=0,L369,""))</f>
        <v/>
      </c>
    </row>
    <row r="370">
      <c r="A370" s="40" t="n"/>
      <c r="B370" s="40" t="n"/>
      <c r="C370" s="40" t="n"/>
      <c r="D370" s="40" t="n"/>
      <c r="E370" s="40" t="n"/>
      <c r="F370" s="40" t="n"/>
      <c r="G370" s="3">
        <f>IF(L370="","",IFERROR(INDEX(前年度名簿!$D$2:$D$451,MATCH(L370,前年度名簿!$F$2:$F$451,0)),""))</f>
        <v/>
      </c>
      <c r="H370" s="44">
        <f>IF(D370="","",IF(ISERROR(VALUE(D370)),D370&amp;"",IF(AND(VALUE(D370)&gt;=1,VALUE(D370)&lt;=20),IF(INDEX(設定!$P$8:$P$27,VALUE(D370))="","？",INDEX(設定!$P$8:$P$27,VALUE(D370))),"？")))</f>
        <v/>
      </c>
      <c r="I370" s="44">
        <f>IF(E370="","",IF(ISERROR(VALUE(E370)),E370&amp;"",IF(AND(VALUE(E370)&gt;=1,VALUE(E370)&lt;=20),IF(INDEX(設定!$P$8:$P$27,VALUE(E370))="","？",INDEX(設定!$P$8:$P$27,VALUE(E370))),"？")))</f>
        <v/>
      </c>
      <c r="J370" s="44">
        <f>IF(F370="","",IF(ISERROR(VALUE(F370)),F370&amp;"",IF(AND(VALUE(F370)&gt;=1,VALUE(F370)&lt;=20),IF(INDEX(設定!$P$8:$P$27,VALUE(F370))="","？",INDEX(設定!$P$8:$P$27,VALUE(F370))),"？")))</f>
        <v/>
      </c>
      <c r="K370" s="45">
        <f>IF(L370="","",IF(G370="","名簿にいない",IF(COUNTIF(L371:L$552,L370)&gt;0,"2回提出（下の行を使います）",IF(OR(H370="？",I370="？",J370="？"),"クラブ番号がちがう",IF(OR(AND(H370&lt;&gt;"",H370&lt;&gt;"？",COUNTIF(設定!$P$8:$P$27,H370)=0),AND(I370&lt;&gt;"",I370&lt;&gt;"？",COUNTIF(設定!$P$8:$P$27,I370)=0),AND(J370&lt;&gt;"",J370&lt;&gt;"？",COUNTIF(設定!$P$8:$P$27,J370)=0)),"クラブ名がちがう",IF(H370="","第1希望がない",IF(OR(AND(H370&lt;&gt;"",H370=I370),AND(H370&lt;&gt;"",H370=J370),AND(I370&lt;&gt;"",I370=J370)),"同じクラブを重複して希望","OK")))))))</f>
        <v/>
      </c>
      <c r="L370" s="8">
        <f>IF(A370="","",A370&amp;"-"&amp;B370&amp;"-"&amp;C370)</f>
        <v/>
      </c>
      <c r="M370" s="8">
        <f>IF(OR(L370="",G370=""),"",IF(COUNTIF(L371:L$552,L370)=0,L370,""))</f>
        <v/>
      </c>
    </row>
    <row r="371">
      <c r="A371" s="40" t="n"/>
      <c r="B371" s="40" t="n"/>
      <c r="C371" s="40" t="n"/>
      <c r="D371" s="40" t="n"/>
      <c r="E371" s="40" t="n"/>
      <c r="F371" s="40" t="n"/>
      <c r="G371" s="3">
        <f>IF(L371="","",IFERROR(INDEX(前年度名簿!$D$2:$D$451,MATCH(L371,前年度名簿!$F$2:$F$451,0)),""))</f>
        <v/>
      </c>
      <c r="H371" s="44">
        <f>IF(D371="","",IF(ISERROR(VALUE(D371)),D371&amp;"",IF(AND(VALUE(D371)&gt;=1,VALUE(D371)&lt;=20),IF(INDEX(設定!$P$8:$P$27,VALUE(D371))="","？",INDEX(設定!$P$8:$P$27,VALUE(D371))),"？")))</f>
        <v/>
      </c>
      <c r="I371" s="44">
        <f>IF(E371="","",IF(ISERROR(VALUE(E371)),E371&amp;"",IF(AND(VALUE(E371)&gt;=1,VALUE(E371)&lt;=20),IF(INDEX(設定!$P$8:$P$27,VALUE(E371))="","？",INDEX(設定!$P$8:$P$27,VALUE(E371))),"？")))</f>
        <v/>
      </c>
      <c r="J371" s="44">
        <f>IF(F371="","",IF(ISERROR(VALUE(F371)),F371&amp;"",IF(AND(VALUE(F371)&gt;=1,VALUE(F371)&lt;=20),IF(INDEX(設定!$P$8:$P$27,VALUE(F371))="","？",INDEX(設定!$P$8:$P$27,VALUE(F371))),"？")))</f>
        <v/>
      </c>
      <c r="K371" s="45">
        <f>IF(L371="","",IF(G371="","名簿にいない",IF(COUNTIF(L372:L$552,L371)&gt;0,"2回提出（下の行を使います）",IF(OR(H371="？",I371="？",J371="？"),"クラブ番号がちがう",IF(OR(AND(H371&lt;&gt;"",H371&lt;&gt;"？",COUNTIF(設定!$P$8:$P$27,H371)=0),AND(I371&lt;&gt;"",I371&lt;&gt;"？",COUNTIF(設定!$P$8:$P$27,I371)=0),AND(J371&lt;&gt;"",J371&lt;&gt;"？",COUNTIF(設定!$P$8:$P$27,J371)=0)),"クラブ名がちがう",IF(H371="","第1希望がない",IF(OR(AND(H371&lt;&gt;"",H371=I371),AND(H371&lt;&gt;"",H371=J371),AND(I371&lt;&gt;"",I371=J371)),"同じクラブを重複して希望","OK")))))))</f>
        <v/>
      </c>
      <c r="L371" s="8">
        <f>IF(A371="","",A371&amp;"-"&amp;B371&amp;"-"&amp;C371)</f>
        <v/>
      </c>
      <c r="M371" s="8">
        <f>IF(OR(L371="",G371=""),"",IF(COUNTIF(L372:L$552,L371)=0,L371,""))</f>
        <v/>
      </c>
    </row>
    <row r="372">
      <c r="A372" s="40" t="n"/>
      <c r="B372" s="40" t="n"/>
      <c r="C372" s="40" t="n"/>
      <c r="D372" s="40" t="n"/>
      <c r="E372" s="40" t="n"/>
      <c r="F372" s="40" t="n"/>
      <c r="G372" s="3">
        <f>IF(L372="","",IFERROR(INDEX(前年度名簿!$D$2:$D$451,MATCH(L372,前年度名簿!$F$2:$F$451,0)),""))</f>
        <v/>
      </c>
      <c r="H372" s="44">
        <f>IF(D372="","",IF(ISERROR(VALUE(D372)),D372&amp;"",IF(AND(VALUE(D372)&gt;=1,VALUE(D372)&lt;=20),IF(INDEX(設定!$P$8:$P$27,VALUE(D372))="","？",INDEX(設定!$P$8:$P$27,VALUE(D372))),"？")))</f>
        <v/>
      </c>
      <c r="I372" s="44">
        <f>IF(E372="","",IF(ISERROR(VALUE(E372)),E372&amp;"",IF(AND(VALUE(E372)&gt;=1,VALUE(E372)&lt;=20),IF(INDEX(設定!$P$8:$P$27,VALUE(E372))="","？",INDEX(設定!$P$8:$P$27,VALUE(E372))),"？")))</f>
        <v/>
      </c>
      <c r="J372" s="44">
        <f>IF(F372="","",IF(ISERROR(VALUE(F372)),F372&amp;"",IF(AND(VALUE(F372)&gt;=1,VALUE(F372)&lt;=20),IF(INDEX(設定!$P$8:$P$27,VALUE(F372))="","？",INDEX(設定!$P$8:$P$27,VALUE(F372))),"？")))</f>
        <v/>
      </c>
      <c r="K372" s="45">
        <f>IF(L372="","",IF(G372="","名簿にいない",IF(COUNTIF(L373:L$552,L372)&gt;0,"2回提出（下の行を使います）",IF(OR(H372="？",I372="？",J372="？"),"クラブ番号がちがう",IF(OR(AND(H372&lt;&gt;"",H372&lt;&gt;"？",COUNTIF(設定!$P$8:$P$27,H372)=0),AND(I372&lt;&gt;"",I372&lt;&gt;"？",COUNTIF(設定!$P$8:$P$27,I372)=0),AND(J372&lt;&gt;"",J372&lt;&gt;"？",COUNTIF(設定!$P$8:$P$27,J372)=0)),"クラブ名がちがう",IF(H372="","第1希望がない",IF(OR(AND(H372&lt;&gt;"",H372=I372),AND(H372&lt;&gt;"",H372=J372),AND(I372&lt;&gt;"",I372=J372)),"同じクラブを重複して希望","OK")))))))</f>
        <v/>
      </c>
      <c r="L372" s="8">
        <f>IF(A372="","",A372&amp;"-"&amp;B372&amp;"-"&amp;C372)</f>
        <v/>
      </c>
      <c r="M372" s="8">
        <f>IF(OR(L372="",G372=""),"",IF(COUNTIF(L373:L$552,L372)=0,L372,""))</f>
        <v/>
      </c>
    </row>
    <row r="373">
      <c r="A373" s="40" t="n"/>
      <c r="B373" s="40" t="n"/>
      <c r="C373" s="40" t="n"/>
      <c r="D373" s="40" t="n"/>
      <c r="E373" s="40" t="n"/>
      <c r="F373" s="40" t="n"/>
      <c r="G373" s="3">
        <f>IF(L373="","",IFERROR(INDEX(前年度名簿!$D$2:$D$451,MATCH(L373,前年度名簿!$F$2:$F$451,0)),""))</f>
        <v/>
      </c>
      <c r="H373" s="44">
        <f>IF(D373="","",IF(ISERROR(VALUE(D373)),D373&amp;"",IF(AND(VALUE(D373)&gt;=1,VALUE(D373)&lt;=20),IF(INDEX(設定!$P$8:$P$27,VALUE(D373))="","？",INDEX(設定!$P$8:$P$27,VALUE(D373))),"？")))</f>
        <v/>
      </c>
      <c r="I373" s="44">
        <f>IF(E373="","",IF(ISERROR(VALUE(E373)),E373&amp;"",IF(AND(VALUE(E373)&gt;=1,VALUE(E373)&lt;=20),IF(INDEX(設定!$P$8:$P$27,VALUE(E373))="","？",INDEX(設定!$P$8:$P$27,VALUE(E373))),"？")))</f>
        <v/>
      </c>
      <c r="J373" s="44">
        <f>IF(F373="","",IF(ISERROR(VALUE(F373)),F373&amp;"",IF(AND(VALUE(F373)&gt;=1,VALUE(F373)&lt;=20),IF(INDEX(設定!$P$8:$P$27,VALUE(F373))="","？",INDEX(設定!$P$8:$P$27,VALUE(F373))),"？")))</f>
        <v/>
      </c>
      <c r="K373" s="45">
        <f>IF(L373="","",IF(G373="","名簿にいない",IF(COUNTIF(L374:L$552,L373)&gt;0,"2回提出（下の行を使います）",IF(OR(H373="？",I373="？",J373="？"),"クラブ番号がちがう",IF(OR(AND(H373&lt;&gt;"",H373&lt;&gt;"？",COUNTIF(設定!$P$8:$P$27,H373)=0),AND(I373&lt;&gt;"",I373&lt;&gt;"？",COUNTIF(設定!$P$8:$P$27,I373)=0),AND(J373&lt;&gt;"",J373&lt;&gt;"？",COUNTIF(設定!$P$8:$P$27,J373)=0)),"クラブ名がちがう",IF(H373="","第1希望がない",IF(OR(AND(H373&lt;&gt;"",H373=I373),AND(H373&lt;&gt;"",H373=J373),AND(I373&lt;&gt;"",I373=J373)),"同じクラブを重複して希望","OK")))))))</f>
        <v/>
      </c>
      <c r="L373" s="8">
        <f>IF(A373="","",A373&amp;"-"&amp;B373&amp;"-"&amp;C373)</f>
        <v/>
      </c>
      <c r="M373" s="8">
        <f>IF(OR(L373="",G373=""),"",IF(COUNTIF(L374:L$552,L373)=0,L373,""))</f>
        <v/>
      </c>
    </row>
    <row r="374">
      <c r="A374" s="40" t="n"/>
      <c r="B374" s="40" t="n"/>
      <c r="C374" s="40" t="n"/>
      <c r="D374" s="40" t="n"/>
      <c r="E374" s="40" t="n"/>
      <c r="F374" s="40" t="n"/>
      <c r="G374" s="3">
        <f>IF(L374="","",IFERROR(INDEX(前年度名簿!$D$2:$D$451,MATCH(L374,前年度名簿!$F$2:$F$451,0)),""))</f>
        <v/>
      </c>
      <c r="H374" s="44">
        <f>IF(D374="","",IF(ISERROR(VALUE(D374)),D374&amp;"",IF(AND(VALUE(D374)&gt;=1,VALUE(D374)&lt;=20),IF(INDEX(設定!$P$8:$P$27,VALUE(D374))="","？",INDEX(設定!$P$8:$P$27,VALUE(D374))),"？")))</f>
        <v/>
      </c>
      <c r="I374" s="44">
        <f>IF(E374="","",IF(ISERROR(VALUE(E374)),E374&amp;"",IF(AND(VALUE(E374)&gt;=1,VALUE(E374)&lt;=20),IF(INDEX(設定!$P$8:$P$27,VALUE(E374))="","？",INDEX(設定!$P$8:$P$27,VALUE(E374))),"？")))</f>
        <v/>
      </c>
      <c r="J374" s="44">
        <f>IF(F374="","",IF(ISERROR(VALUE(F374)),F374&amp;"",IF(AND(VALUE(F374)&gt;=1,VALUE(F374)&lt;=20),IF(INDEX(設定!$P$8:$P$27,VALUE(F374))="","？",INDEX(設定!$P$8:$P$27,VALUE(F374))),"？")))</f>
        <v/>
      </c>
      <c r="K374" s="45">
        <f>IF(L374="","",IF(G374="","名簿にいない",IF(COUNTIF(L375:L$552,L374)&gt;0,"2回提出（下の行を使います）",IF(OR(H374="？",I374="？",J374="？"),"クラブ番号がちがう",IF(OR(AND(H374&lt;&gt;"",H374&lt;&gt;"？",COUNTIF(設定!$P$8:$P$27,H374)=0),AND(I374&lt;&gt;"",I374&lt;&gt;"？",COUNTIF(設定!$P$8:$P$27,I374)=0),AND(J374&lt;&gt;"",J374&lt;&gt;"？",COUNTIF(設定!$P$8:$P$27,J374)=0)),"クラブ名がちがう",IF(H374="","第1希望がない",IF(OR(AND(H374&lt;&gt;"",H374=I374),AND(H374&lt;&gt;"",H374=J374),AND(I374&lt;&gt;"",I374=J374)),"同じクラブを重複して希望","OK")))))))</f>
        <v/>
      </c>
      <c r="L374" s="8">
        <f>IF(A374="","",A374&amp;"-"&amp;B374&amp;"-"&amp;C374)</f>
        <v/>
      </c>
      <c r="M374" s="8">
        <f>IF(OR(L374="",G374=""),"",IF(COUNTIF(L375:L$552,L374)=0,L374,""))</f>
        <v/>
      </c>
    </row>
    <row r="375">
      <c r="A375" s="40" t="n"/>
      <c r="B375" s="40" t="n"/>
      <c r="C375" s="40" t="n"/>
      <c r="D375" s="40" t="n"/>
      <c r="E375" s="40" t="n"/>
      <c r="F375" s="40" t="n"/>
      <c r="G375" s="3">
        <f>IF(L375="","",IFERROR(INDEX(前年度名簿!$D$2:$D$451,MATCH(L375,前年度名簿!$F$2:$F$451,0)),""))</f>
        <v/>
      </c>
      <c r="H375" s="44">
        <f>IF(D375="","",IF(ISERROR(VALUE(D375)),D375&amp;"",IF(AND(VALUE(D375)&gt;=1,VALUE(D375)&lt;=20),IF(INDEX(設定!$P$8:$P$27,VALUE(D375))="","？",INDEX(設定!$P$8:$P$27,VALUE(D375))),"？")))</f>
        <v/>
      </c>
      <c r="I375" s="44">
        <f>IF(E375="","",IF(ISERROR(VALUE(E375)),E375&amp;"",IF(AND(VALUE(E375)&gt;=1,VALUE(E375)&lt;=20),IF(INDEX(設定!$P$8:$P$27,VALUE(E375))="","？",INDEX(設定!$P$8:$P$27,VALUE(E375))),"？")))</f>
        <v/>
      </c>
      <c r="J375" s="44">
        <f>IF(F375="","",IF(ISERROR(VALUE(F375)),F375&amp;"",IF(AND(VALUE(F375)&gt;=1,VALUE(F375)&lt;=20),IF(INDEX(設定!$P$8:$P$27,VALUE(F375))="","？",INDEX(設定!$P$8:$P$27,VALUE(F375))),"？")))</f>
        <v/>
      </c>
      <c r="K375" s="45">
        <f>IF(L375="","",IF(G375="","名簿にいない",IF(COUNTIF(L376:L$552,L375)&gt;0,"2回提出（下の行を使います）",IF(OR(H375="？",I375="？",J375="？"),"クラブ番号がちがう",IF(OR(AND(H375&lt;&gt;"",H375&lt;&gt;"？",COUNTIF(設定!$P$8:$P$27,H375)=0),AND(I375&lt;&gt;"",I375&lt;&gt;"？",COUNTIF(設定!$P$8:$P$27,I375)=0),AND(J375&lt;&gt;"",J375&lt;&gt;"？",COUNTIF(設定!$P$8:$P$27,J375)=0)),"クラブ名がちがう",IF(H375="","第1希望がない",IF(OR(AND(H375&lt;&gt;"",H375=I375),AND(H375&lt;&gt;"",H375=J375),AND(I375&lt;&gt;"",I375=J375)),"同じクラブを重複して希望","OK")))))))</f>
        <v/>
      </c>
      <c r="L375" s="8">
        <f>IF(A375="","",A375&amp;"-"&amp;B375&amp;"-"&amp;C375)</f>
        <v/>
      </c>
      <c r="M375" s="8">
        <f>IF(OR(L375="",G375=""),"",IF(COUNTIF(L376:L$552,L375)=0,L375,""))</f>
        <v/>
      </c>
    </row>
    <row r="376">
      <c r="A376" s="40" t="n"/>
      <c r="B376" s="40" t="n"/>
      <c r="C376" s="40" t="n"/>
      <c r="D376" s="40" t="n"/>
      <c r="E376" s="40" t="n"/>
      <c r="F376" s="40" t="n"/>
      <c r="G376" s="3">
        <f>IF(L376="","",IFERROR(INDEX(前年度名簿!$D$2:$D$451,MATCH(L376,前年度名簿!$F$2:$F$451,0)),""))</f>
        <v/>
      </c>
      <c r="H376" s="44">
        <f>IF(D376="","",IF(ISERROR(VALUE(D376)),D376&amp;"",IF(AND(VALUE(D376)&gt;=1,VALUE(D376)&lt;=20),IF(INDEX(設定!$P$8:$P$27,VALUE(D376))="","？",INDEX(設定!$P$8:$P$27,VALUE(D376))),"？")))</f>
        <v/>
      </c>
      <c r="I376" s="44">
        <f>IF(E376="","",IF(ISERROR(VALUE(E376)),E376&amp;"",IF(AND(VALUE(E376)&gt;=1,VALUE(E376)&lt;=20),IF(INDEX(設定!$P$8:$P$27,VALUE(E376))="","？",INDEX(設定!$P$8:$P$27,VALUE(E376))),"？")))</f>
        <v/>
      </c>
      <c r="J376" s="44">
        <f>IF(F376="","",IF(ISERROR(VALUE(F376)),F376&amp;"",IF(AND(VALUE(F376)&gt;=1,VALUE(F376)&lt;=20),IF(INDEX(設定!$P$8:$P$27,VALUE(F376))="","？",INDEX(設定!$P$8:$P$27,VALUE(F376))),"？")))</f>
        <v/>
      </c>
      <c r="K376" s="45">
        <f>IF(L376="","",IF(G376="","名簿にいない",IF(COUNTIF(L377:L$552,L376)&gt;0,"2回提出（下の行を使います）",IF(OR(H376="？",I376="？",J376="？"),"クラブ番号がちがう",IF(OR(AND(H376&lt;&gt;"",H376&lt;&gt;"？",COUNTIF(設定!$P$8:$P$27,H376)=0),AND(I376&lt;&gt;"",I376&lt;&gt;"？",COUNTIF(設定!$P$8:$P$27,I376)=0),AND(J376&lt;&gt;"",J376&lt;&gt;"？",COUNTIF(設定!$P$8:$P$27,J376)=0)),"クラブ名がちがう",IF(H376="","第1希望がない",IF(OR(AND(H376&lt;&gt;"",H376=I376),AND(H376&lt;&gt;"",H376=J376),AND(I376&lt;&gt;"",I376=J376)),"同じクラブを重複して希望","OK")))))))</f>
        <v/>
      </c>
      <c r="L376" s="8">
        <f>IF(A376="","",A376&amp;"-"&amp;B376&amp;"-"&amp;C376)</f>
        <v/>
      </c>
      <c r="M376" s="8">
        <f>IF(OR(L376="",G376=""),"",IF(COUNTIF(L377:L$552,L376)=0,L376,""))</f>
        <v/>
      </c>
    </row>
    <row r="377">
      <c r="A377" s="40" t="n"/>
      <c r="B377" s="40" t="n"/>
      <c r="C377" s="40" t="n"/>
      <c r="D377" s="40" t="n"/>
      <c r="E377" s="40" t="n"/>
      <c r="F377" s="40" t="n"/>
      <c r="G377" s="3">
        <f>IF(L377="","",IFERROR(INDEX(前年度名簿!$D$2:$D$451,MATCH(L377,前年度名簿!$F$2:$F$451,0)),""))</f>
        <v/>
      </c>
      <c r="H377" s="44">
        <f>IF(D377="","",IF(ISERROR(VALUE(D377)),D377&amp;"",IF(AND(VALUE(D377)&gt;=1,VALUE(D377)&lt;=20),IF(INDEX(設定!$P$8:$P$27,VALUE(D377))="","？",INDEX(設定!$P$8:$P$27,VALUE(D377))),"？")))</f>
        <v/>
      </c>
      <c r="I377" s="44">
        <f>IF(E377="","",IF(ISERROR(VALUE(E377)),E377&amp;"",IF(AND(VALUE(E377)&gt;=1,VALUE(E377)&lt;=20),IF(INDEX(設定!$P$8:$P$27,VALUE(E377))="","？",INDEX(設定!$P$8:$P$27,VALUE(E377))),"？")))</f>
        <v/>
      </c>
      <c r="J377" s="44">
        <f>IF(F377="","",IF(ISERROR(VALUE(F377)),F377&amp;"",IF(AND(VALUE(F377)&gt;=1,VALUE(F377)&lt;=20),IF(INDEX(設定!$P$8:$P$27,VALUE(F377))="","？",INDEX(設定!$P$8:$P$27,VALUE(F377))),"？")))</f>
        <v/>
      </c>
      <c r="K377" s="45">
        <f>IF(L377="","",IF(G377="","名簿にいない",IF(COUNTIF(L378:L$552,L377)&gt;0,"2回提出（下の行を使います）",IF(OR(H377="？",I377="？",J377="？"),"クラブ番号がちがう",IF(OR(AND(H377&lt;&gt;"",H377&lt;&gt;"？",COUNTIF(設定!$P$8:$P$27,H377)=0),AND(I377&lt;&gt;"",I377&lt;&gt;"？",COUNTIF(設定!$P$8:$P$27,I377)=0),AND(J377&lt;&gt;"",J377&lt;&gt;"？",COUNTIF(設定!$P$8:$P$27,J377)=0)),"クラブ名がちがう",IF(H377="","第1希望がない",IF(OR(AND(H377&lt;&gt;"",H377=I377),AND(H377&lt;&gt;"",H377=J377),AND(I377&lt;&gt;"",I377=J377)),"同じクラブを重複して希望","OK")))))))</f>
        <v/>
      </c>
      <c r="L377" s="8">
        <f>IF(A377="","",A377&amp;"-"&amp;B377&amp;"-"&amp;C377)</f>
        <v/>
      </c>
      <c r="M377" s="8">
        <f>IF(OR(L377="",G377=""),"",IF(COUNTIF(L378:L$552,L377)=0,L377,""))</f>
        <v/>
      </c>
    </row>
    <row r="378">
      <c r="A378" s="40" t="n"/>
      <c r="B378" s="40" t="n"/>
      <c r="C378" s="40" t="n"/>
      <c r="D378" s="40" t="n"/>
      <c r="E378" s="40" t="n"/>
      <c r="F378" s="40" t="n"/>
      <c r="G378" s="3">
        <f>IF(L378="","",IFERROR(INDEX(前年度名簿!$D$2:$D$451,MATCH(L378,前年度名簿!$F$2:$F$451,0)),""))</f>
        <v/>
      </c>
      <c r="H378" s="44">
        <f>IF(D378="","",IF(ISERROR(VALUE(D378)),D378&amp;"",IF(AND(VALUE(D378)&gt;=1,VALUE(D378)&lt;=20),IF(INDEX(設定!$P$8:$P$27,VALUE(D378))="","？",INDEX(設定!$P$8:$P$27,VALUE(D378))),"？")))</f>
        <v/>
      </c>
      <c r="I378" s="44">
        <f>IF(E378="","",IF(ISERROR(VALUE(E378)),E378&amp;"",IF(AND(VALUE(E378)&gt;=1,VALUE(E378)&lt;=20),IF(INDEX(設定!$P$8:$P$27,VALUE(E378))="","？",INDEX(設定!$P$8:$P$27,VALUE(E378))),"？")))</f>
        <v/>
      </c>
      <c r="J378" s="44">
        <f>IF(F378="","",IF(ISERROR(VALUE(F378)),F378&amp;"",IF(AND(VALUE(F378)&gt;=1,VALUE(F378)&lt;=20),IF(INDEX(設定!$P$8:$P$27,VALUE(F378))="","？",INDEX(設定!$P$8:$P$27,VALUE(F378))),"？")))</f>
        <v/>
      </c>
      <c r="K378" s="45">
        <f>IF(L378="","",IF(G378="","名簿にいない",IF(COUNTIF(L379:L$552,L378)&gt;0,"2回提出（下の行を使います）",IF(OR(H378="？",I378="？",J378="？"),"クラブ番号がちがう",IF(OR(AND(H378&lt;&gt;"",H378&lt;&gt;"？",COUNTIF(設定!$P$8:$P$27,H378)=0),AND(I378&lt;&gt;"",I378&lt;&gt;"？",COUNTIF(設定!$P$8:$P$27,I378)=0),AND(J378&lt;&gt;"",J378&lt;&gt;"？",COUNTIF(設定!$P$8:$P$27,J378)=0)),"クラブ名がちがう",IF(H378="","第1希望がない",IF(OR(AND(H378&lt;&gt;"",H378=I378),AND(H378&lt;&gt;"",H378=J378),AND(I378&lt;&gt;"",I378=J378)),"同じクラブを重複して希望","OK")))))))</f>
        <v/>
      </c>
      <c r="L378" s="8">
        <f>IF(A378="","",A378&amp;"-"&amp;B378&amp;"-"&amp;C378)</f>
        <v/>
      </c>
      <c r="M378" s="8">
        <f>IF(OR(L378="",G378=""),"",IF(COUNTIF(L379:L$552,L378)=0,L378,""))</f>
        <v/>
      </c>
    </row>
    <row r="379">
      <c r="A379" s="40" t="n"/>
      <c r="B379" s="40" t="n"/>
      <c r="C379" s="40" t="n"/>
      <c r="D379" s="40" t="n"/>
      <c r="E379" s="40" t="n"/>
      <c r="F379" s="40" t="n"/>
      <c r="G379" s="3">
        <f>IF(L379="","",IFERROR(INDEX(前年度名簿!$D$2:$D$451,MATCH(L379,前年度名簿!$F$2:$F$451,0)),""))</f>
        <v/>
      </c>
      <c r="H379" s="44">
        <f>IF(D379="","",IF(ISERROR(VALUE(D379)),D379&amp;"",IF(AND(VALUE(D379)&gt;=1,VALUE(D379)&lt;=20),IF(INDEX(設定!$P$8:$P$27,VALUE(D379))="","？",INDEX(設定!$P$8:$P$27,VALUE(D379))),"？")))</f>
        <v/>
      </c>
      <c r="I379" s="44">
        <f>IF(E379="","",IF(ISERROR(VALUE(E379)),E379&amp;"",IF(AND(VALUE(E379)&gt;=1,VALUE(E379)&lt;=20),IF(INDEX(設定!$P$8:$P$27,VALUE(E379))="","？",INDEX(設定!$P$8:$P$27,VALUE(E379))),"？")))</f>
        <v/>
      </c>
      <c r="J379" s="44">
        <f>IF(F379="","",IF(ISERROR(VALUE(F379)),F379&amp;"",IF(AND(VALUE(F379)&gt;=1,VALUE(F379)&lt;=20),IF(INDEX(設定!$P$8:$P$27,VALUE(F379))="","？",INDEX(設定!$P$8:$P$27,VALUE(F379))),"？")))</f>
        <v/>
      </c>
      <c r="K379" s="45">
        <f>IF(L379="","",IF(G379="","名簿にいない",IF(COUNTIF(L380:L$552,L379)&gt;0,"2回提出（下の行を使います）",IF(OR(H379="？",I379="？",J379="？"),"クラブ番号がちがう",IF(OR(AND(H379&lt;&gt;"",H379&lt;&gt;"？",COUNTIF(設定!$P$8:$P$27,H379)=0),AND(I379&lt;&gt;"",I379&lt;&gt;"？",COUNTIF(設定!$P$8:$P$27,I379)=0),AND(J379&lt;&gt;"",J379&lt;&gt;"？",COUNTIF(設定!$P$8:$P$27,J379)=0)),"クラブ名がちがう",IF(H379="","第1希望がない",IF(OR(AND(H379&lt;&gt;"",H379=I379),AND(H379&lt;&gt;"",H379=J379),AND(I379&lt;&gt;"",I379=J379)),"同じクラブを重複して希望","OK")))))))</f>
        <v/>
      </c>
      <c r="L379" s="8">
        <f>IF(A379="","",A379&amp;"-"&amp;B379&amp;"-"&amp;C379)</f>
        <v/>
      </c>
      <c r="M379" s="8">
        <f>IF(OR(L379="",G379=""),"",IF(COUNTIF(L380:L$552,L379)=0,L379,""))</f>
        <v/>
      </c>
    </row>
    <row r="380">
      <c r="A380" s="40" t="n"/>
      <c r="B380" s="40" t="n"/>
      <c r="C380" s="40" t="n"/>
      <c r="D380" s="40" t="n"/>
      <c r="E380" s="40" t="n"/>
      <c r="F380" s="40" t="n"/>
      <c r="G380" s="3">
        <f>IF(L380="","",IFERROR(INDEX(前年度名簿!$D$2:$D$451,MATCH(L380,前年度名簿!$F$2:$F$451,0)),""))</f>
        <v/>
      </c>
      <c r="H380" s="44">
        <f>IF(D380="","",IF(ISERROR(VALUE(D380)),D380&amp;"",IF(AND(VALUE(D380)&gt;=1,VALUE(D380)&lt;=20),IF(INDEX(設定!$P$8:$P$27,VALUE(D380))="","？",INDEX(設定!$P$8:$P$27,VALUE(D380))),"？")))</f>
        <v/>
      </c>
      <c r="I380" s="44">
        <f>IF(E380="","",IF(ISERROR(VALUE(E380)),E380&amp;"",IF(AND(VALUE(E380)&gt;=1,VALUE(E380)&lt;=20),IF(INDEX(設定!$P$8:$P$27,VALUE(E380))="","？",INDEX(設定!$P$8:$P$27,VALUE(E380))),"？")))</f>
        <v/>
      </c>
      <c r="J380" s="44">
        <f>IF(F380="","",IF(ISERROR(VALUE(F380)),F380&amp;"",IF(AND(VALUE(F380)&gt;=1,VALUE(F380)&lt;=20),IF(INDEX(設定!$P$8:$P$27,VALUE(F380))="","？",INDEX(設定!$P$8:$P$27,VALUE(F380))),"？")))</f>
        <v/>
      </c>
      <c r="K380" s="45">
        <f>IF(L380="","",IF(G380="","名簿にいない",IF(COUNTIF(L381:L$552,L380)&gt;0,"2回提出（下の行を使います）",IF(OR(H380="？",I380="？",J380="？"),"クラブ番号がちがう",IF(OR(AND(H380&lt;&gt;"",H380&lt;&gt;"？",COUNTIF(設定!$P$8:$P$27,H380)=0),AND(I380&lt;&gt;"",I380&lt;&gt;"？",COUNTIF(設定!$P$8:$P$27,I380)=0),AND(J380&lt;&gt;"",J380&lt;&gt;"？",COUNTIF(設定!$P$8:$P$27,J380)=0)),"クラブ名がちがう",IF(H380="","第1希望がない",IF(OR(AND(H380&lt;&gt;"",H380=I380),AND(H380&lt;&gt;"",H380=J380),AND(I380&lt;&gt;"",I380=J380)),"同じクラブを重複して希望","OK")))))))</f>
        <v/>
      </c>
      <c r="L380" s="8">
        <f>IF(A380="","",A380&amp;"-"&amp;B380&amp;"-"&amp;C380)</f>
        <v/>
      </c>
      <c r="M380" s="8">
        <f>IF(OR(L380="",G380=""),"",IF(COUNTIF(L381:L$552,L380)=0,L380,""))</f>
        <v/>
      </c>
    </row>
    <row r="381">
      <c r="A381" s="40" t="n"/>
      <c r="B381" s="40" t="n"/>
      <c r="C381" s="40" t="n"/>
      <c r="D381" s="40" t="n"/>
      <c r="E381" s="40" t="n"/>
      <c r="F381" s="40" t="n"/>
      <c r="G381" s="3">
        <f>IF(L381="","",IFERROR(INDEX(前年度名簿!$D$2:$D$451,MATCH(L381,前年度名簿!$F$2:$F$451,0)),""))</f>
        <v/>
      </c>
      <c r="H381" s="44">
        <f>IF(D381="","",IF(ISERROR(VALUE(D381)),D381&amp;"",IF(AND(VALUE(D381)&gt;=1,VALUE(D381)&lt;=20),IF(INDEX(設定!$P$8:$P$27,VALUE(D381))="","？",INDEX(設定!$P$8:$P$27,VALUE(D381))),"？")))</f>
        <v/>
      </c>
      <c r="I381" s="44">
        <f>IF(E381="","",IF(ISERROR(VALUE(E381)),E381&amp;"",IF(AND(VALUE(E381)&gt;=1,VALUE(E381)&lt;=20),IF(INDEX(設定!$P$8:$P$27,VALUE(E381))="","？",INDEX(設定!$P$8:$P$27,VALUE(E381))),"？")))</f>
        <v/>
      </c>
      <c r="J381" s="44">
        <f>IF(F381="","",IF(ISERROR(VALUE(F381)),F381&amp;"",IF(AND(VALUE(F381)&gt;=1,VALUE(F381)&lt;=20),IF(INDEX(設定!$P$8:$P$27,VALUE(F381))="","？",INDEX(設定!$P$8:$P$27,VALUE(F381))),"？")))</f>
        <v/>
      </c>
      <c r="K381" s="45">
        <f>IF(L381="","",IF(G381="","名簿にいない",IF(COUNTIF(L382:L$552,L381)&gt;0,"2回提出（下の行を使います）",IF(OR(H381="？",I381="？",J381="？"),"クラブ番号がちがう",IF(OR(AND(H381&lt;&gt;"",H381&lt;&gt;"？",COUNTIF(設定!$P$8:$P$27,H381)=0),AND(I381&lt;&gt;"",I381&lt;&gt;"？",COUNTIF(設定!$P$8:$P$27,I381)=0),AND(J381&lt;&gt;"",J381&lt;&gt;"？",COUNTIF(設定!$P$8:$P$27,J381)=0)),"クラブ名がちがう",IF(H381="","第1希望がない",IF(OR(AND(H381&lt;&gt;"",H381=I381),AND(H381&lt;&gt;"",H381=J381),AND(I381&lt;&gt;"",I381=J381)),"同じクラブを重複して希望","OK")))))))</f>
        <v/>
      </c>
      <c r="L381" s="8">
        <f>IF(A381="","",A381&amp;"-"&amp;B381&amp;"-"&amp;C381)</f>
        <v/>
      </c>
      <c r="M381" s="8">
        <f>IF(OR(L381="",G381=""),"",IF(COUNTIF(L382:L$552,L381)=0,L381,""))</f>
        <v/>
      </c>
    </row>
    <row r="382">
      <c r="A382" s="40" t="n"/>
      <c r="B382" s="40" t="n"/>
      <c r="C382" s="40" t="n"/>
      <c r="D382" s="40" t="n"/>
      <c r="E382" s="40" t="n"/>
      <c r="F382" s="40" t="n"/>
      <c r="G382" s="3">
        <f>IF(L382="","",IFERROR(INDEX(前年度名簿!$D$2:$D$451,MATCH(L382,前年度名簿!$F$2:$F$451,0)),""))</f>
        <v/>
      </c>
      <c r="H382" s="44">
        <f>IF(D382="","",IF(ISERROR(VALUE(D382)),D382&amp;"",IF(AND(VALUE(D382)&gt;=1,VALUE(D382)&lt;=20),IF(INDEX(設定!$P$8:$P$27,VALUE(D382))="","？",INDEX(設定!$P$8:$P$27,VALUE(D382))),"？")))</f>
        <v/>
      </c>
      <c r="I382" s="44">
        <f>IF(E382="","",IF(ISERROR(VALUE(E382)),E382&amp;"",IF(AND(VALUE(E382)&gt;=1,VALUE(E382)&lt;=20),IF(INDEX(設定!$P$8:$P$27,VALUE(E382))="","？",INDEX(設定!$P$8:$P$27,VALUE(E382))),"？")))</f>
        <v/>
      </c>
      <c r="J382" s="44">
        <f>IF(F382="","",IF(ISERROR(VALUE(F382)),F382&amp;"",IF(AND(VALUE(F382)&gt;=1,VALUE(F382)&lt;=20),IF(INDEX(設定!$P$8:$P$27,VALUE(F382))="","？",INDEX(設定!$P$8:$P$27,VALUE(F382))),"？")))</f>
        <v/>
      </c>
      <c r="K382" s="45">
        <f>IF(L382="","",IF(G382="","名簿にいない",IF(COUNTIF(L383:L$552,L382)&gt;0,"2回提出（下の行を使います）",IF(OR(H382="？",I382="？",J382="？"),"クラブ番号がちがう",IF(OR(AND(H382&lt;&gt;"",H382&lt;&gt;"？",COUNTIF(設定!$P$8:$P$27,H382)=0),AND(I382&lt;&gt;"",I382&lt;&gt;"？",COUNTIF(設定!$P$8:$P$27,I382)=0),AND(J382&lt;&gt;"",J382&lt;&gt;"？",COUNTIF(設定!$P$8:$P$27,J382)=0)),"クラブ名がちがう",IF(H382="","第1希望がない",IF(OR(AND(H382&lt;&gt;"",H382=I382),AND(H382&lt;&gt;"",H382=J382),AND(I382&lt;&gt;"",I382=J382)),"同じクラブを重複して希望","OK")))))))</f>
        <v/>
      </c>
      <c r="L382" s="8">
        <f>IF(A382="","",A382&amp;"-"&amp;B382&amp;"-"&amp;C382)</f>
        <v/>
      </c>
      <c r="M382" s="8">
        <f>IF(OR(L382="",G382=""),"",IF(COUNTIF(L383:L$552,L382)=0,L382,""))</f>
        <v/>
      </c>
    </row>
    <row r="383">
      <c r="A383" s="40" t="n"/>
      <c r="B383" s="40" t="n"/>
      <c r="C383" s="40" t="n"/>
      <c r="D383" s="40" t="n"/>
      <c r="E383" s="40" t="n"/>
      <c r="F383" s="40" t="n"/>
      <c r="G383" s="3">
        <f>IF(L383="","",IFERROR(INDEX(前年度名簿!$D$2:$D$451,MATCH(L383,前年度名簿!$F$2:$F$451,0)),""))</f>
        <v/>
      </c>
      <c r="H383" s="44">
        <f>IF(D383="","",IF(ISERROR(VALUE(D383)),D383&amp;"",IF(AND(VALUE(D383)&gt;=1,VALUE(D383)&lt;=20),IF(INDEX(設定!$P$8:$P$27,VALUE(D383))="","？",INDEX(設定!$P$8:$P$27,VALUE(D383))),"？")))</f>
        <v/>
      </c>
      <c r="I383" s="44">
        <f>IF(E383="","",IF(ISERROR(VALUE(E383)),E383&amp;"",IF(AND(VALUE(E383)&gt;=1,VALUE(E383)&lt;=20),IF(INDEX(設定!$P$8:$P$27,VALUE(E383))="","？",INDEX(設定!$P$8:$P$27,VALUE(E383))),"？")))</f>
        <v/>
      </c>
      <c r="J383" s="44">
        <f>IF(F383="","",IF(ISERROR(VALUE(F383)),F383&amp;"",IF(AND(VALUE(F383)&gt;=1,VALUE(F383)&lt;=20),IF(INDEX(設定!$P$8:$P$27,VALUE(F383))="","？",INDEX(設定!$P$8:$P$27,VALUE(F383))),"？")))</f>
        <v/>
      </c>
      <c r="K383" s="45">
        <f>IF(L383="","",IF(G383="","名簿にいない",IF(COUNTIF(L384:L$552,L383)&gt;0,"2回提出（下の行を使います）",IF(OR(H383="？",I383="？",J383="？"),"クラブ番号がちがう",IF(OR(AND(H383&lt;&gt;"",H383&lt;&gt;"？",COUNTIF(設定!$P$8:$P$27,H383)=0),AND(I383&lt;&gt;"",I383&lt;&gt;"？",COUNTIF(設定!$P$8:$P$27,I383)=0),AND(J383&lt;&gt;"",J383&lt;&gt;"？",COUNTIF(設定!$P$8:$P$27,J383)=0)),"クラブ名がちがう",IF(H383="","第1希望がない",IF(OR(AND(H383&lt;&gt;"",H383=I383),AND(H383&lt;&gt;"",H383=J383),AND(I383&lt;&gt;"",I383=J383)),"同じクラブを重複して希望","OK")))))))</f>
        <v/>
      </c>
      <c r="L383" s="8">
        <f>IF(A383="","",A383&amp;"-"&amp;B383&amp;"-"&amp;C383)</f>
        <v/>
      </c>
      <c r="M383" s="8">
        <f>IF(OR(L383="",G383=""),"",IF(COUNTIF(L384:L$552,L383)=0,L383,""))</f>
        <v/>
      </c>
    </row>
    <row r="384">
      <c r="A384" s="40" t="n"/>
      <c r="B384" s="40" t="n"/>
      <c r="C384" s="40" t="n"/>
      <c r="D384" s="40" t="n"/>
      <c r="E384" s="40" t="n"/>
      <c r="F384" s="40" t="n"/>
      <c r="G384" s="3">
        <f>IF(L384="","",IFERROR(INDEX(前年度名簿!$D$2:$D$451,MATCH(L384,前年度名簿!$F$2:$F$451,0)),""))</f>
        <v/>
      </c>
      <c r="H384" s="44">
        <f>IF(D384="","",IF(ISERROR(VALUE(D384)),D384&amp;"",IF(AND(VALUE(D384)&gt;=1,VALUE(D384)&lt;=20),IF(INDEX(設定!$P$8:$P$27,VALUE(D384))="","？",INDEX(設定!$P$8:$P$27,VALUE(D384))),"？")))</f>
        <v/>
      </c>
      <c r="I384" s="44">
        <f>IF(E384="","",IF(ISERROR(VALUE(E384)),E384&amp;"",IF(AND(VALUE(E384)&gt;=1,VALUE(E384)&lt;=20),IF(INDEX(設定!$P$8:$P$27,VALUE(E384))="","？",INDEX(設定!$P$8:$P$27,VALUE(E384))),"？")))</f>
        <v/>
      </c>
      <c r="J384" s="44">
        <f>IF(F384="","",IF(ISERROR(VALUE(F384)),F384&amp;"",IF(AND(VALUE(F384)&gt;=1,VALUE(F384)&lt;=20),IF(INDEX(設定!$P$8:$P$27,VALUE(F384))="","？",INDEX(設定!$P$8:$P$27,VALUE(F384))),"？")))</f>
        <v/>
      </c>
      <c r="K384" s="45">
        <f>IF(L384="","",IF(G384="","名簿にいない",IF(COUNTIF(L385:L$552,L384)&gt;0,"2回提出（下の行を使います）",IF(OR(H384="？",I384="？",J384="？"),"クラブ番号がちがう",IF(OR(AND(H384&lt;&gt;"",H384&lt;&gt;"？",COUNTIF(設定!$P$8:$P$27,H384)=0),AND(I384&lt;&gt;"",I384&lt;&gt;"？",COUNTIF(設定!$P$8:$P$27,I384)=0),AND(J384&lt;&gt;"",J384&lt;&gt;"？",COUNTIF(設定!$P$8:$P$27,J384)=0)),"クラブ名がちがう",IF(H384="","第1希望がない",IF(OR(AND(H384&lt;&gt;"",H384=I384),AND(H384&lt;&gt;"",H384=J384),AND(I384&lt;&gt;"",I384=J384)),"同じクラブを重複して希望","OK")))))))</f>
        <v/>
      </c>
      <c r="L384" s="8">
        <f>IF(A384="","",A384&amp;"-"&amp;B384&amp;"-"&amp;C384)</f>
        <v/>
      </c>
      <c r="M384" s="8">
        <f>IF(OR(L384="",G384=""),"",IF(COUNTIF(L385:L$552,L384)=0,L384,""))</f>
        <v/>
      </c>
    </row>
    <row r="385">
      <c r="A385" s="40" t="n"/>
      <c r="B385" s="40" t="n"/>
      <c r="C385" s="40" t="n"/>
      <c r="D385" s="40" t="n"/>
      <c r="E385" s="40" t="n"/>
      <c r="F385" s="40" t="n"/>
      <c r="G385" s="3">
        <f>IF(L385="","",IFERROR(INDEX(前年度名簿!$D$2:$D$451,MATCH(L385,前年度名簿!$F$2:$F$451,0)),""))</f>
        <v/>
      </c>
      <c r="H385" s="44">
        <f>IF(D385="","",IF(ISERROR(VALUE(D385)),D385&amp;"",IF(AND(VALUE(D385)&gt;=1,VALUE(D385)&lt;=20),IF(INDEX(設定!$P$8:$P$27,VALUE(D385))="","？",INDEX(設定!$P$8:$P$27,VALUE(D385))),"？")))</f>
        <v/>
      </c>
      <c r="I385" s="44">
        <f>IF(E385="","",IF(ISERROR(VALUE(E385)),E385&amp;"",IF(AND(VALUE(E385)&gt;=1,VALUE(E385)&lt;=20),IF(INDEX(設定!$P$8:$P$27,VALUE(E385))="","？",INDEX(設定!$P$8:$P$27,VALUE(E385))),"？")))</f>
        <v/>
      </c>
      <c r="J385" s="44">
        <f>IF(F385="","",IF(ISERROR(VALUE(F385)),F385&amp;"",IF(AND(VALUE(F385)&gt;=1,VALUE(F385)&lt;=20),IF(INDEX(設定!$P$8:$P$27,VALUE(F385))="","？",INDEX(設定!$P$8:$P$27,VALUE(F385))),"？")))</f>
        <v/>
      </c>
      <c r="K385" s="45">
        <f>IF(L385="","",IF(G385="","名簿にいない",IF(COUNTIF(L386:L$552,L385)&gt;0,"2回提出（下の行を使います）",IF(OR(H385="？",I385="？",J385="？"),"クラブ番号がちがう",IF(OR(AND(H385&lt;&gt;"",H385&lt;&gt;"？",COUNTIF(設定!$P$8:$P$27,H385)=0),AND(I385&lt;&gt;"",I385&lt;&gt;"？",COUNTIF(設定!$P$8:$P$27,I385)=0),AND(J385&lt;&gt;"",J385&lt;&gt;"？",COUNTIF(設定!$P$8:$P$27,J385)=0)),"クラブ名がちがう",IF(H385="","第1希望がない",IF(OR(AND(H385&lt;&gt;"",H385=I385),AND(H385&lt;&gt;"",H385=J385),AND(I385&lt;&gt;"",I385=J385)),"同じクラブを重複して希望","OK")))))))</f>
        <v/>
      </c>
      <c r="L385" s="8">
        <f>IF(A385="","",A385&amp;"-"&amp;B385&amp;"-"&amp;C385)</f>
        <v/>
      </c>
      <c r="M385" s="8">
        <f>IF(OR(L385="",G385=""),"",IF(COUNTIF(L386:L$552,L385)=0,L385,""))</f>
        <v/>
      </c>
    </row>
    <row r="386">
      <c r="A386" s="40" t="n"/>
      <c r="B386" s="40" t="n"/>
      <c r="C386" s="40" t="n"/>
      <c r="D386" s="40" t="n"/>
      <c r="E386" s="40" t="n"/>
      <c r="F386" s="40" t="n"/>
      <c r="G386" s="3">
        <f>IF(L386="","",IFERROR(INDEX(前年度名簿!$D$2:$D$451,MATCH(L386,前年度名簿!$F$2:$F$451,0)),""))</f>
        <v/>
      </c>
      <c r="H386" s="44">
        <f>IF(D386="","",IF(ISERROR(VALUE(D386)),D386&amp;"",IF(AND(VALUE(D386)&gt;=1,VALUE(D386)&lt;=20),IF(INDEX(設定!$P$8:$P$27,VALUE(D386))="","？",INDEX(設定!$P$8:$P$27,VALUE(D386))),"？")))</f>
        <v/>
      </c>
      <c r="I386" s="44">
        <f>IF(E386="","",IF(ISERROR(VALUE(E386)),E386&amp;"",IF(AND(VALUE(E386)&gt;=1,VALUE(E386)&lt;=20),IF(INDEX(設定!$P$8:$P$27,VALUE(E386))="","？",INDEX(設定!$P$8:$P$27,VALUE(E386))),"？")))</f>
        <v/>
      </c>
      <c r="J386" s="44">
        <f>IF(F386="","",IF(ISERROR(VALUE(F386)),F386&amp;"",IF(AND(VALUE(F386)&gt;=1,VALUE(F386)&lt;=20),IF(INDEX(設定!$P$8:$P$27,VALUE(F386))="","？",INDEX(設定!$P$8:$P$27,VALUE(F386))),"？")))</f>
        <v/>
      </c>
      <c r="K386" s="45">
        <f>IF(L386="","",IF(G386="","名簿にいない",IF(COUNTIF(L387:L$552,L386)&gt;0,"2回提出（下の行を使います）",IF(OR(H386="？",I386="？",J386="？"),"クラブ番号がちがう",IF(OR(AND(H386&lt;&gt;"",H386&lt;&gt;"？",COUNTIF(設定!$P$8:$P$27,H386)=0),AND(I386&lt;&gt;"",I386&lt;&gt;"？",COUNTIF(設定!$P$8:$P$27,I386)=0),AND(J386&lt;&gt;"",J386&lt;&gt;"？",COUNTIF(設定!$P$8:$P$27,J386)=0)),"クラブ名がちがう",IF(H386="","第1希望がない",IF(OR(AND(H386&lt;&gt;"",H386=I386),AND(H386&lt;&gt;"",H386=J386),AND(I386&lt;&gt;"",I386=J386)),"同じクラブを重複して希望","OK")))))))</f>
        <v/>
      </c>
      <c r="L386" s="8">
        <f>IF(A386="","",A386&amp;"-"&amp;B386&amp;"-"&amp;C386)</f>
        <v/>
      </c>
      <c r="M386" s="8">
        <f>IF(OR(L386="",G386=""),"",IF(COUNTIF(L387:L$552,L386)=0,L386,""))</f>
        <v/>
      </c>
    </row>
    <row r="387">
      <c r="A387" s="40" t="n"/>
      <c r="B387" s="40" t="n"/>
      <c r="C387" s="40" t="n"/>
      <c r="D387" s="40" t="n"/>
      <c r="E387" s="40" t="n"/>
      <c r="F387" s="40" t="n"/>
      <c r="G387" s="3">
        <f>IF(L387="","",IFERROR(INDEX(前年度名簿!$D$2:$D$451,MATCH(L387,前年度名簿!$F$2:$F$451,0)),""))</f>
        <v/>
      </c>
      <c r="H387" s="44">
        <f>IF(D387="","",IF(ISERROR(VALUE(D387)),D387&amp;"",IF(AND(VALUE(D387)&gt;=1,VALUE(D387)&lt;=20),IF(INDEX(設定!$P$8:$P$27,VALUE(D387))="","？",INDEX(設定!$P$8:$P$27,VALUE(D387))),"？")))</f>
        <v/>
      </c>
      <c r="I387" s="44">
        <f>IF(E387="","",IF(ISERROR(VALUE(E387)),E387&amp;"",IF(AND(VALUE(E387)&gt;=1,VALUE(E387)&lt;=20),IF(INDEX(設定!$P$8:$P$27,VALUE(E387))="","？",INDEX(設定!$P$8:$P$27,VALUE(E387))),"？")))</f>
        <v/>
      </c>
      <c r="J387" s="44">
        <f>IF(F387="","",IF(ISERROR(VALUE(F387)),F387&amp;"",IF(AND(VALUE(F387)&gt;=1,VALUE(F387)&lt;=20),IF(INDEX(設定!$P$8:$P$27,VALUE(F387))="","？",INDEX(設定!$P$8:$P$27,VALUE(F387))),"？")))</f>
        <v/>
      </c>
      <c r="K387" s="45">
        <f>IF(L387="","",IF(G387="","名簿にいない",IF(COUNTIF(L388:L$552,L387)&gt;0,"2回提出（下の行を使います）",IF(OR(H387="？",I387="？",J387="？"),"クラブ番号がちがう",IF(OR(AND(H387&lt;&gt;"",H387&lt;&gt;"？",COUNTIF(設定!$P$8:$P$27,H387)=0),AND(I387&lt;&gt;"",I387&lt;&gt;"？",COUNTIF(設定!$P$8:$P$27,I387)=0),AND(J387&lt;&gt;"",J387&lt;&gt;"？",COUNTIF(設定!$P$8:$P$27,J387)=0)),"クラブ名がちがう",IF(H387="","第1希望がない",IF(OR(AND(H387&lt;&gt;"",H387=I387),AND(H387&lt;&gt;"",H387=J387),AND(I387&lt;&gt;"",I387=J387)),"同じクラブを重複して希望","OK")))))))</f>
        <v/>
      </c>
      <c r="L387" s="8">
        <f>IF(A387="","",A387&amp;"-"&amp;B387&amp;"-"&amp;C387)</f>
        <v/>
      </c>
      <c r="M387" s="8">
        <f>IF(OR(L387="",G387=""),"",IF(COUNTIF(L388:L$552,L387)=0,L387,""))</f>
        <v/>
      </c>
    </row>
    <row r="388">
      <c r="A388" s="40" t="n"/>
      <c r="B388" s="40" t="n"/>
      <c r="C388" s="40" t="n"/>
      <c r="D388" s="40" t="n"/>
      <c r="E388" s="40" t="n"/>
      <c r="F388" s="40" t="n"/>
      <c r="G388" s="3">
        <f>IF(L388="","",IFERROR(INDEX(前年度名簿!$D$2:$D$451,MATCH(L388,前年度名簿!$F$2:$F$451,0)),""))</f>
        <v/>
      </c>
      <c r="H388" s="44">
        <f>IF(D388="","",IF(ISERROR(VALUE(D388)),D388&amp;"",IF(AND(VALUE(D388)&gt;=1,VALUE(D388)&lt;=20),IF(INDEX(設定!$P$8:$P$27,VALUE(D388))="","？",INDEX(設定!$P$8:$P$27,VALUE(D388))),"？")))</f>
        <v/>
      </c>
      <c r="I388" s="44">
        <f>IF(E388="","",IF(ISERROR(VALUE(E388)),E388&amp;"",IF(AND(VALUE(E388)&gt;=1,VALUE(E388)&lt;=20),IF(INDEX(設定!$P$8:$P$27,VALUE(E388))="","？",INDEX(設定!$P$8:$P$27,VALUE(E388))),"？")))</f>
        <v/>
      </c>
      <c r="J388" s="44">
        <f>IF(F388="","",IF(ISERROR(VALUE(F388)),F388&amp;"",IF(AND(VALUE(F388)&gt;=1,VALUE(F388)&lt;=20),IF(INDEX(設定!$P$8:$P$27,VALUE(F388))="","？",INDEX(設定!$P$8:$P$27,VALUE(F388))),"？")))</f>
        <v/>
      </c>
      <c r="K388" s="45">
        <f>IF(L388="","",IF(G388="","名簿にいない",IF(COUNTIF(L389:L$552,L388)&gt;0,"2回提出（下の行を使います）",IF(OR(H388="？",I388="？",J388="？"),"クラブ番号がちがう",IF(OR(AND(H388&lt;&gt;"",H388&lt;&gt;"？",COUNTIF(設定!$P$8:$P$27,H388)=0),AND(I388&lt;&gt;"",I388&lt;&gt;"？",COUNTIF(設定!$P$8:$P$27,I388)=0),AND(J388&lt;&gt;"",J388&lt;&gt;"？",COUNTIF(設定!$P$8:$P$27,J388)=0)),"クラブ名がちがう",IF(H388="","第1希望がない",IF(OR(AND(H388&lt;&gt;"",H388=I388),AND(H388&lt;&gt;"",H388=J388),AND(I388&lt;&gt;"",I388=J388)),"同じクラブを重複して希望","OK")))))))</f>
        <v/>
      </c>
      <c r="L388" s="8">
        <f>IF(A388="","",A388&amp;"-"&amp;B388&amp;"-"&amp;C388)</f>
        <v/>
      </c>
      <c r="M388" s="8">
        <f>IF(OR(L388="",G388=""),"",IF(COUNTIF(L389:L$552,L388)=0,L388,""))</f>
        <v/>
      </c>
    </row>
    <row r="389">
      <c r="A389" s="40" t="n"/>
      <c r="B389" s="40" t="n"/>
      <c r="C389" s="40" t="n"/>
      <c r="D389" s="40" t="n"/>
      <c r="E389" s="40" t="n"/>
      <c r="F389" s="40" t="n"/>
      <c r="G389" s="3">
        <f>IF(L389="","",IFERROR(INDEX(前年度名簿!$D$2:$D$451,MATCH(L389,前年度名簿!$F$2:$F$451,0)),""))</f>
        <v/>
      </c>
      <c r="H389" s="44">
        <f>IF(D389="","",IF(ISERROR(VALUE(D389)),D389&amp;"",IF(AND(VALUE(D389)&gt;=1,VALUE(D389)&lt;=20),IF(INDEX(設定!$P$8:$P$27,VALUE(D389))="","？",INDEX(設定!$P$8:$P$27,VALUE(D389))),"？")))</f>
        <v/>
      </c>
      <c r="I389" s="44">
        <f>IF(E389="","",IF(ISERROR(VALUE(E389)),E389&amp;"",IF(AND(VALUE(E389)&gt;=1,VALUE(E389)&lt;=20),IF(INDEX(設定!$P$8:$P$27,VALUE(E389))="","？",INDEX(設定!$P$8:$P$27,VALUE(E389))),"？")))</f>
        <v/>
      </c>
      <c r="J389" s="44">
        <f>IF(F389="","",IF(ISERROR(VALUE(F389)),F389&amp;"",IF(AND(VALUE(F389)&gt;=1,VALUE(F389)&lt;=20),IF(INDEX(設定!$P$8:$P$27,VALUE(F389))="","？",INDEX(設定!$P$8:$P$27,VALUE(F389))),"？")))</f>
        <v/>
      </c>
      <c r="K389" s="45">
        <f>IF(L389="","",IF(G389="","名簿にいない",IF(COUNTIF(L390:L$552,L389)&gt;0,"2回提出（下の行を使います）",IF(OR(H389="？",I389="？",J389="？"),"クラブ番号がちがう",IF(OR(AND(H389&lt;&gt;"",H389&lt;&gt;"？",COUNTIF(設定!$P$8:$P$27,H389)=0),AND(I389&lt;&gt;"",I389&lt;&gt;"？",COUNTIF(設定!$P$8:$P$27,I389)=0),AND(J389&lt;&gt;"",J389&lt;&gt;"？",COUNTIF(設定!$P$8:$P$27,J389)=0)),"クラブ名がちがう",IF(H389="","第1希望がない",IF(OR(AND(H389&lt;&gt;"",H389=I389),AND(H389&lt;&gt;"",H389=J389),AND(I389&lt;&gt;"",I389=J389)),"同じクラブを重複して希望","OK")))))))</f>
        <v/>
      </c>
      <c r="L389" s="8">
        <f>IF(A389="","",A389&amp;"-"&amp;B389&amp;"-"&amp;C389)</f>
        <v/>
      </c>
      <c r="M389" s="8">
        <f>IF(OR(L389="",G389=""),"",IF(COUNTIF(L390:L$552,L389)=0,L389,""))</f>
        <v/>
      </c>
    </row>
    <row r="390">
      <c r="A390" s="40" t="n"/>
      <c r="B390" s="40" t="n"/>
      <c r="C390" s="40" t="n"/>
      <c r="D390" s="40" t="n"/>
      <c r="E390" s="40" t="n"/>
      <c r="F390" s="40" t="n"/>
      <c r="G390" s="3">
        <f>IF(L390="","",IFERROR(INDEX(前年度名簿!$D$2:$D$451,MATCH(L390,前年度名簿!$F$2:$F$451,0)),""))</f>
        <v/>
      </c>
      <c r="H390" s="44">
        <f>IF(D390="","",IF(ISERROR(VALUE(D390)),D390&amp;"",IF(AND(VALUE(D390)&gt;=1,VALUE(D390)&lt;=20),IF(INDEX(設定!$P$8:$P$27,VALUE(D390))="","？",INDEX(設定!$P$8:$P$27,VALUE(D390))),"？")))</f>
        <v/>
      </c>
      <c r="I390" s="44">
        <f>IF(E390="","",IF(ISERROR(VALUE(E390)),E390&amp;"",IF(AND(VALUE(E390)&gt;=1,VALUE(E390)&lt;=20),IF(INDEX(設定!$P$8:$P$27,VALUE(E390))="","？",INDEX(設定!$P$8:$P$27,VALUE(E390))),"？")))</f>
        <v/>
      </c>
      <c r="J390" s="44">
        <f>IF(F390="","",IF(ISERROR(VALUE(F390)),F390&amp;"",IF(AND(VALUE(F390)&gt;=1,VALUE(F390)&lt;=20),IF(INDEX(設定!$P$8:$P$27,VALUE(F390))="","？",INDEX(設定!$P$8:$P$27,VALUE(F390))),"？")))</f>
        <v/>
      </c>
      <c r="K390" s="45">
        <f>IF(L390="","",IF(G390="","名簿にいない",IF(COUNTIF(L391:L$552,L390)&gt;0,"2回提出（下の行を使います）",IF(OR(H390="？",I390="？",J390="？"),"クラブ番号がちがう",IF(OR(AND(H390&lt;&gt;"",H390&lt;&gt;"？",COUNTIF(設定!$P$8:$P$27,H390)=0),AND(I390&lt;&gt;"",I390&lt;&gt;"？",COUNTIF(設定!$P$8:$P$27,I390)=0),AND(J390&lt;&gt;"",J390&lt;&gt;"？",COUNTIF(設定!$P$8:$P$27,J390)=0)),"クラブ名がちがう",IF(H390="","第1希望がない",IF(OR(AND(H390&lt;&gt;"",H390=I390),AND(H390&lt;&gt;"",H390=J390),AND(I390&lt;&gt;"",I390=J390)),"同じクラブを重複して希望","OK")))))))</f>
        <v/>
      </c>
      <c r="L390" s="8">
        <f>IF(A390="","",A390&amp;"-"&amp;B390&amp;"-"&amp;C390)</f>
        <v/>
      </c>
      <c r="M390" s="8">
        <f>IF(OR(L390="",G390=""),"",IF(COUNTIF(L391:L$552,L390)=0,L390,""))</f>
        <v/>
      </c>
    </row>
    <row r="391">
      <c r="A391" s="40" t="n"/>
      <c r="B391" s="40" t="n"/>
      <c r="C391" s="40" t="n"/>
      <c r="D391" s="40" t="n"/>
      <c r="E391" s="40" t="n"/>
      <c r="F391" s="40" t="n"/>
      <c r="G391" s="3">
        <f>IF(L391="","",IFERROR(INDEX(前年度名簿!$D$2:$D$451,MATCH(L391,前年度名簿!$F$2:$F$451,0)),""))</f>
        <v/>
      </c>
      <c r="H391" s="44">
        <f>IF(D391="","",IF(ISERROR(VALUE(D391)),D391&amp;"",IF(AND(VALUE(D391)&gt;=1,VALUE(D391)&lt;=20),IF(INDEX(設定!$P$8:$P$27,VALUE(D391))="","？",INDEX(設定!$P$8:$P$27,VALUE(D391))),"？")))</f>
        <v/>
      </c>
      <c r="I391" s="44">
        <f>IF(E391="","",IF(ISERROR(VALUE(E391)),E391&amp;"",IF(AND(VALUE(E391)&gt;=1,VALUE(E391)&lt;=20),IF(INDEX(設定!$P$8:$P$27,VALUE(E391))="","？",INDEX(設定!$P$8:$P$27,VALUE(E391))),"？")))</f>
        <v/>
      </c>
      <c r="J391" s="44">
        <f>IF(F391="","",IF(ISERROR(VALUE(F391)),F391&amp;"",IF(AND(VALUE(F391)&gt;=1,VALUE(F391)&lt;=20),IF(INDEX(設定!$P$8:$P$27,VALUE(F391))="","？",INDEX(設定!$P$8:$P$27,VALUE(F391))),"？")))</f>
        <v/>
      </c>
      <c r="K391" s="45">
        <f>IF(L391="","",IF(G391="","名簿にいない",IF(COUNTIF(L392:L$552,L391)&gt;0,"2回提出（下の行を使います）",IF(OR(H391="？",I391="？",J391="？"),"クラブ番号がちがう",IF(OR(AND(H391&lt;&gt;"",H391&lt;&gt;"？",COUNTIF(設定!$P$8:$P$27,H391)=0),AND(I391&lt;&gt;"",I391&lt;&gt;"？",COUNTIF(設定!$P$8:$P$27,I391)=0),AND(J391&lt;&gt;"",J391&lt;&gt;"？",COUNTIF(設定!$P$8:$P$27,J391)=0)),"クラブ名がちがう",IF(H391="","第1希望がない",IF(OR(AND(H391&lt;&gt;"",H391=I391),AND(H391&lt;&gt;"",H391=J391),AND(I391&lt;&gt;"",I391=J391)),"同じクラブを重複して希望","OK")))))))</f>
        <v/>
      </c>
      <c r="L391" s="8">
        <f>IF(A391="","",A391&amp;"-"&amp;B391&amp;"-"&amp;C391)</f>
        <v/>
      </c>
      <c r="M391" s="8">
        <f>IF(OR(L391="",G391=""),"",IF(COUNTIF(L392:L$552,L391)=0,L391,""))</f>
        <v/>
      </c>
    </row>
    <row r="392">
      <c r="A392" s="40" t="n"/>
      <c r="B392" s="40" t="n"/>
      <c r="C392" s="40" t="n"/>
      <c r="D392" s="40" t="n"/>
      <c r="E392" s="40" t="n"/>
      <c r="F392" s="40" t="n"/>
      <c r="G392" s="3">
        <f>IF(L392="","",IFERROR(INDEX(前年度名簿!$D$2:$D$451,MATCH(L392,前年度名簿!$F$2:$F$451,0)),""))</f>
        <v/>
      </c>
      <c r="H392" s="44">
        <f>IF(D392="","",IF(ISERROR(VALUE(D392)),D392&amp;"",IF(AND(VALUE(D392)&gt;=1,VALUE(D392)&lt;=20),IF(INDEX(設定!$P$8:$P$27,VALUE(D392))="","？",INDEX(設定!$P$8:$P$27,VALUE(D392))),"？")))</f>
        <v/>
      </c>
      <c r="I392" s="44">
        <f>IF(E392="","",IF(ISERROR(VALUE(E392)),E392&amp;"",IF(AND(VALUE(E392)&gt;=1,VALUE(E392)&lt;=20),IF(INDEX(設定!$P$8:$P$27,VALUE(E392))="","？",INDEX(設定!$P$8:$P$27,VALUE(E392))),"？")))</f>
        <v/>
      </c>
      <c r="J392" s="44">
        <f>IF(F392="","",IF(ISERROR(VALUE(F392)),F392&amp;"",IF(AND(VALUE(F392)&gt;=1,VALUE(F392)&lt;=20),IF(INDEX(設定!$P$8:$P$27,VALUE(F392))="","？",INDEX(設定!$P$8:$P$27,VALUE(F392))),"？")))</f>
        <v/>
      </c>
      <c r="K392" s="45">
        <f>IF(L392="","",IF(G392="","名簿にいない",IF(COUNTIF(L393:L$552,L392)&gt;0,"2回提出（下の行を使います）",IF(OR(H392="？",I392="？",J392="？"),"クラブ番号がちがう",IF(OR(AND(H392&lt;&gt;"",H392&lt;&gt;"？",COUNTIF(設定!$P$8:$P$27,H392)=0),AND(I392&lt;&gt;"",I392&lt;&gt;"？",COUNTIF(設定!$P$8:$P$27,I392)=0),AND(J392&lt;&gt;"",J392&lt;&gt;"？",COUNTIF(設定!$P$8:$P$27,J392)=0)),"クラブ名がちがう",IF(H392="","第1希望がない",IF(OR(AND(H392&lt;&gt;"",H392=I392),AND(H392&lt;&gt;"",H392=J392),AND(I392&lt;&gt;"",I392=J392)),"同じクラブを重複して希望","OK")))))))</f>
        <v/>
      </c>
      <c r="L392" s="8">
        <f>IF(A392="","",A392&amp;"-"&amp;B392&amp;"-"&amp;C392)</f>
        <v/>
      </c>
      <c r="M392" s="8">
        <f>IF(OR(L392="",G392=""),"",IF(COUNTIF(L393:L$552,L392)=0,L392,""))</f>
        <v/>
      </c>
    </row>
    <row r="393">
      <c r="A393" s="40" t="n"/>
      <c r="B393" s="40" t="n"/>
      <c r="C393" s="40" t="n"/>
      <c r="D393" s="40" t="n"/>
      <c r="E393" s="40" t="n"/>
      <c r="F393" s="40" t="n"/>
      <c r="G393" s="3">
        <f>IF(L393="","",IFERROR(INDEX(前年度名簿!$D$2:$D$451,MATCH(L393,前年度名簿!$F$2:$F$451,0)),""))</f>
        <v/>
      </c>
      <c r="H393" s="44">
        <f>IF(D393="","",IF(ISERROR(VALUE(D393)),D393&amp;"",IF(AND(VALUE(D393)&gt;=1,VALUE(D393)&lt;=20),IF(INDEX(設定!$P$8:$P$27,VALUE(D393))="","？",INDEX(設定!$P$8:$P$27,VALUE(D393))),"？")))</f>
        <v/>
      </c>
      <c r="I393" s="44">
        <f>IF(E393="","",IF(ISERROR(VALUE(E393)),E393&amp;"",IF(AND(VALUE(E393)&gt;=1,VALUE(E393)&lt;=20),IF(INDEX(設定!$P$8:$P$27,VALUE(E393))="","？",INDEX(設定!$P$8:$P$27,VALUE(E393))),"？")))</f>
        <v/>
      </c>
      <c r="J393" s="44">
        <f>IF(F393="","",IF(ISERROR(VALUE(F393)),F393&amp;"",IF(AND(VALUE(F393)&gt;=1,VALUE(F393)&lt;=20),IF(INDEX(設定!$P$8:$P$27,VALUE(F393))="","？",INDEX(設定!$P$8:$P$27,VALUE(F393))),"？")))</f>
        <v/>
      </c>
      <c r="K393" s="45">
        <f>IF(L393="","",IF(G393="","名簿にいない",IF(COUNTIF(L394:L$552,L393)&gt;0,"2回提出（下の行を使います）",IF(OR(H393="？",I393="？",J393="？"),"クラブ番号がちがう",IF(OR(AND(H393&lt;&gt;"",H393&lt;&gt;"？",COUNTIF(設定!$P$8:$P$27,H393)=0),AND(I393&lt;&gt;"",I393&lt;&gt;"？",COUNTIF(設定!$P$8:$P$27,I393)=0),AND(J393&lt;&gt;"",J393&lt;&gt;"？",COUNTIF(設定!$P$8:$P$27,J393)=0)),"クラブ名がちがう",IF(H393="","第1希望がない",IF(OR(AND(H393&lt;&gt;"",H393=I393),AND(H393&lt;&gt;"",H393=J393),AND(I393&lt;&gt;"",I393=J393)),"同じクラブを重複して希望","OK")))))))</f>
        <v/>
      </c>
      <c r="L393" s="8">
        <f>IF(A393="","",A393&amp;"-"&amp;B393&amp;"-"&amp;C393)</f>
        <v/>
      </c>
      <c r="M393" s="8">
        <f>IF(OR(L393="",G393=""),"",IF(COUNTIF(L394:L$552,L393)=0,L393,""))</f>
        <v/>
      </c>
    </row>
    <row r="394">
      <c r="A394" s="40" t="n"/>
      <c r="B394" s="40" t="n"/>
      <c r="C394" s="40" t="n"/>
      <c r="D394" s="40" t="n"/>
      <c r="E394" s="40" t="n"/>
      <c r="F394" s="40" t="n"/>
      <c r="G394" s="3">
        <f>IF(L394="","",IFERROR(INDEX(前年度名簿!$D$2:$D$451,MATCH(L394,前年度名簿!$F$2:$F$451,0)),""))</f>
        <v/>
      </c>
      <c r="H394" s="44">
        <f>IF(D394="","",IF(ISERROR(VALUE(D394)),D394&amp;"",IF(AND(VALUE(D394)&gt;=1,VALUE(D394)&lt;=20),IF(INDEX(設定!$P$8:$P$27,VALUE(D394))="","？",INDEX(設定!$P$8:$P$27,VALUE(D394))),"？")))</f>
        <v/>
      </c>
      <c r="I394" s="44">
        <f>IF(E394="","",IF(ISERROR(VALUE(E394)),E394&amp;"",IF(AND(VALUE(E394)&gt;=1,VALUE(E394)&lt;=20),IF(INDEX(設定!$P$8:$P$27,VALUE(E394))="","？",INDEX(設定!$P$8:$P$27,VALUE(E394))),"？")))</f>
        <v/>
      </c>
      <c r="J394" s="44">
        <f>IF(F394="","",IF(ISERROR(VALUE(F394)),F394&amp;"",IF(AND(VALUE(F394)&gt;=1,VALUE(F394)&lt;=20),IF(INDEX(設定!$P$8:$P$27,VALUE(F394))="","？",INDEX(設定!$P$8:$P$27,VALUE(F394))),"？")))</f>
        <v/>
      </c>
      <c r="K394" s="45">
        <f>IF(L394="","",IF(G394="","名簿にいない",IF(COUNTIF(L395:L$552,L394)&gt;0,"2回提出（下の行を使います）",IF(OR(H394="？",I394="？",J394="？"),"クラブ番号がちがう",IF(OR(AND(H394&lt;&gt;"",H394&lt;&gt;"？",COUNTIF(設定!$P$8:$P$27,H394)=0),AND(I394&lt;&gt;"",I394&lt;&gt;"？",COUNTIF(設定!$P$8:$P$27,I394)=0),AND(J394&lt;&gt;"",J394&lt;&gt;"？",COUNTIF(設定!$P$8:$P$27,J394)=0)),"クラブ名がちがう",IF(H394="","第1希望がない",IF(OR(AND(H394&lt;&gt;"",H394=I394),AND(H394&lt;&gt;"",H394=J394),AND(I394&lt;&gt;"",I394=J394)),"同じクラブを重複して希望","OK")))))))</f>
        <v/>
      </c>
      <c r="L394" s="8">
        <f>IF(A394="","",A394&amp;"-"&amp;B394&amp;"-"&amp;C394)</f>
        <v/>
      </c>
      <c r="M394" s="8">
        <f>IF(OR(L394="",G394=""),"",IF(COUNTIF(L395:L$552,L394)=0,L394,""))</f>
        <v/>
      </c>
    </row>
    <row r="395">
      <c r="A395" s="40" t="n"/>
      <c r="B395" s="40" t="n"/>
      <c r="C395" s="40" t="n"/>
      <c r="D395" s="40" t="n"/>
      <c r="E395" s="40" t="n"/>
      <c r="F395" s="40" t="n"/>
      <c r="G395" s="3">
        <f>IF(L395="","",IFERROR(INDEX(前年度名簿!$D$2:$D$451,MATCH(L395,前年度名簿!$F$2:$F$451,0)),""))</f>
        <v/>
      </c>
      <c r="H395" s="44">
        <f>IF(D395="","",IF(ISERROR(VALUE(D395)),D395&amp;"",IF(AND(VALUE(D395)&gt;=1,VALUE(D395)&lt;=20),IF(INDEX(設定!$P$8:$P$27,VALUE(D395))="","？",INDEX(設定!$P$8:$P$27,VALUE(D395))),"？")))</f>
        <v/>
      </c>
      <c r="I395" s="44">
        <f>IF(E395="","",IF(ISERROR(VALUE(E395)),E395&amp;"",IF(AND(VALUE(E395)&gt;=1,VALUE(E395)&lt;=20),IF(INDEX(設定!$P$8:$P$27,VALUE(E395))="","？",INDEX(設定!$P$8:$P$27,VALUE(E395))),"？")))</f>
        <v/>
      </c>
      <c r="J395" s="44">
        <f>IF(F395="","",IF(ISERROR(VALUE(F395)),F395&amp;"",IF(AND(VALUE(F395)&gt;=1,VALUE(F395)&lt;=20),IF(INDEX(設定!$P$8:$P$27,VALUE(F395))="","？",INDEX(設定!$P$8:$P$27,VALUE(F395))),"？")))</f>
        <v/>
      </c>
      <c r="K395" s="45">
        <f>IF(L395="","",IF(G395="","名簿にいない",IF(COUNTIF(L396:L$552,L395)&gt;0,"2回提出（下の行を使います）",IF(OR(H395="？",I395="？",J395="？"),"クラブ番号がちがう",IF(OR(AND(H395&lt;&gt;"",H395&lt;&gt;"？",COUNTIF(設定!$P$8:$P$27,H395)=0),AND(I395&lt;&gt;"",I395&lt;&gt;"？",COUNTIF(設定!$P$8:$P$27,I395)=0),AND(J395&lt;&gt;"",J395&lt;&gt;"？",COUNTIF(設定!$P$8:$P$27,J395)=0)),"クラブ名がちがう",IF(H395="","第1希望がない",IF(OR(AND(H395&lt;&gt;"",H395=I395),AND(H395&lt;&gt;"",H395=J395),AND(I395&lt;&gt;"",I395=J395)),"同じクラブを重複して希望","OK")))))))</f>
        <v/>
      </c>
      <c r="L395" s="8">
        <f>IF(A395="","",A395&amp;"-"&amp;B395&amp;"-"&amp;C395)</f>
        <v/>
      </c>
      <c r="M395" s="8">
        <f>IF(OR(L395="",G395=""),"",IF(COUNTIF(L396:L$552,L395)=0,L395,""))</f>
        <v/>
      </c>
    </row>
    <row r="396">
      <c r="A396" s="40" t="n"/>
      <c r="B396" s="40" t="n"/>
      <c r="C396" s="40" t="n"/>
      <c r="D396" s="40" t="n"/>
      <c r="E396" s="40" t="n"/>
      <c r="F396" s="40" t="n"/>
      <c r="G396" s="3">
        <f>IF(L396="","",IFERROR(INDEX(前年度名簿!$D$2:$D$451,MATCH(L396,前年度名簿!$F$2:$F$451,0)),""))</f>
        <v/>
      </c>
      <c r="H396" s="44">
        <f>IF(D396="","",IF(ISERROR(VALUE(D396)),D396&amp;"",IF(AND(VALUE(D396)&gt;=1,VALUE(D396)&lt;=20),IF(INDEX(設定!$P$8:$P$27,VALUE(D396))="","？",INDEX(設定!$P$8:$P$27,VALUE(D396))),"？")))</f>
        <v/>
      </c>
      <c r="I396" s="44">
        <f>IF(E396="","",IF(ISERROR(VALUE(E396)),E396&amp;"",IF(AND(VALUE(E396)&gt;=1,VALUE(E396)&lt;=20),IF(INDEX(設定!$P$8:$P$27,VALUE(E396))="","？",INDEX(設定!$P$8:$P$27,VALUE(E396))),"？")))</f>
        <v/>
      </c>
      <c r="J396" s="44">
        <f>IF(F396="","",IF(ISERROR(VALUE(F396)),F396&amp;"",IF(AND(VALUE(F396)&gt;=1,VALUE(F396)&lt;=20),IF(INDEX(設定!$P$8:$P$27,VALUE(F396))="","？",INDEX(設定!$P$8:$P$27,VALUE(F396))),"？")))</f>
        <v/>
      </c>
      <c r="K396" s="45">
        <f>IF(L396="","",IF(G396="","名簿にいない",IF(COUNTIF(L397:L$552,L396)&gt;0,"2回提出（下の行を使います）",IF(OR(H396="？",I396="？",J396="？"),"クラブ番号がちがう",IF(OR(AND(H396&lt;&gt;"",H396&lt;&gt;"？",COUNTIF(設定!$P$8:$P$27,H396)=0),AND(I396&lt;&gt;"",I396&lt;&gt;"？",COUNTIF(設定!$P$8:$P$27,I396)=0),AND(J396&lt;&gt;"",J396&lt;&gt;"？",COUNTIF(設定!$P$8:$P$27,J396)=0)),"クラブ名がちがう",IF(H396="","第1希望がない",IF(OR(AND(H396&lt;&gt;"",H396=I396),AND(H396&lt;&gt;"",H396=J396),AND(I396&lt;&gt;"",I396=J396)),"同じクラブを重複して希望","OK")))))))</f>
        <v/>
      </c>
      <c r="L396" s="8">
        <f>IF(A396="","",A396&amp;"-"&amp;B396&amp;"-"&amp;C396)</f>
        <v/>
      </c>
      <c r="M396" s="8">
        <f>IF(OR(L396="",G396=""),"",IF(COUNTIF(L397:L$552,L396)=0,L396,""))</f>
        <v/>
      </c>
    </row>
    <row r="397">
      <c r="A397" s="40" t="n"/>
      <c r="B397" s="40" t="n"/>
      <c r="C397" s="40" t="n"/>
      <c r="D397" s="40" t="n"/>
      <c r="E397" s="40" t="n"/>
      <c r="F397" s="40" t="n"/>
      <c r="G397" s="3">
        <f>IF(L397="","",IFERROR(INDEX(前年度名簿!$D$2:$D$451,MATCH(L397,前年度名簿!$F$2:$F$451,0)),""))</f>
        <v/>
      </c>
      <c r="H397" s="44">
        <f>IF(D397="","",IF(ISERROR(VALUE(D397)),D397&amp;"",IF(AND(VALUE(D397)&gt;=1,VALUE(D397)&lt;=20),IF(INDEX(設定!$P$8:$P$27,VALUE(D397))="","？",INDEX(設定!$P$8:$P$27,VALUE(D397))),"？")))</f>
        <v/>
      </c>
      <c r="I397" s="44">
        <f>IF(E397="","",IF(ISERROR(VALUE(E397)),E397&amp;"",IF(AND(VALUE(E397)&gt;=1,VALUE(E397)&lt;=20),IF(INDEX(設定!$P$8:$P$27,VALUE(E397))="","？",INDEX(設定!$P$8:$P$27,VALUE(E397))),"？")))</f>
        <v/>
      </c>
      <c r="J397" s="44">
        <f>IF(F397="","",IF(ISERROR(VALUE(F397)),F397&amp;"",IF(AND(VALUE(F397)&gt;=1,VALUE(F397)&lt;=20),IF(INDEX(設定!$P$8:$P$27,VALUE(F397))="","？",INDEX(設定!$P$8:$P$27,VALUE(F397))),"？")))</f>
        <v/>
      </c>
      <c r="K397" s="45">
        <f>IF(L397="","",IF(G397="","名簿にいない",IF(COUNTIF(L398:L$552,L397)&gt;0,"2回提出（下の行を使います）",IF(OR(H397="？",I397="？",J397="？"),"クラブ番号がちがう",IF(OR(AND(H397&lt;&gt;"",H397&lt;&gt;"？",COUNTIF(設定!$P$8:$P$27,H397)=0),AND(I397&lt;&gt;"",I397&lt;&gt;"？",COUNTIF(設定!$P$8:$P$27,I397)=0),AND(J397&lt;&gt;"",J397&lt;&gt;"？",COUNTIF(設定!$P$8:$P$27,J397)=0)),"クラブ名がちがう",IF(H397="","第1希望がない",IF(OR(AND(H397&lt;&gt;"",H397=I397),AND(H397&lt;&gt;"",H397=J397),AND(I397&lt;&gt;"",I397=J397)),"同じクラブを重複して希望","OK")))))))</f>
        <v/>
      </c>
      <c r="L397" s="8">
        <f>IF(A397="","",A397&amp;"-"&amp;B397&amp;"-"&amp;C397)</f>
        <v/>
      </c>
      <c r="M397" s="8">
        <f>IF(OR(L397="",G397=""),"",IF(COUNTIF(L398:L$552,L397)=0,L397,""))</f>
        <v/>
      </c>
    </row>
    <row r="398">
      <c r="A398" s="40" t="n"/>
      <c r="B398" s="40" t="n"/>
      <c r="C398" s="40" t="n"/>
      <c r="D398" s="40" t="n"/>
      <c r="E398" s="40" t="n"/>
      <c r="F398" s="40" t="n"/>
      <c r="G398" s="3">
        <f>IF(L398="","",IFERROR(INDEX(前年度名簿!$D$2:$D$451,MATCH(L398,前年度名簿!$F$2:$F$451,0)),""))</f>
        <v/>
      </c>
      <c r="H398" s="44">
        <f>IF(D398="","",IF(ISERROR(VALUE(D398)),D398&amp;"",IF(AND(VALUE(D398)&gt;=1,VALUE(D398)&lt;=20),IF(INDEX(設定!$P$8:$P$27,VALUE(D398))="","？",INDEX(設定!$P$8:$P$27,VALUE(D398))),"？")))</f>
        <v/>
      </c>
      <c r="I398" s="44">
        <f>IF(E398="","",IF(ISERROR(VALUE(E398)),E398&amp;"",IF(AND(VALUE(E398)&gt;=1,VALUE(E398)&lt;=20),IF(INDEX(設定!$P$8:$P$27,VALUE(E398))="","？",INDEX(設定!$P$8:$P$27,VALUE(E398))),"？")))</f>
        <v/>
      </c>
      <c r="J398" s="44">
        <f>IF(F398="","",IF(ISERROR(VALUE(F398)),F398&amp;"",IF(AND(VALUE(F398)&gt;=1,VALUE(F398)&lt;=20),IF(INDEX(設定!$P$8:$P$27,VALUE(F398))="","？",INDEX(設定!$P$8:$P$27,VALUE(F398))),"？")))</f>
        <v/>
      </c>
      <c r="K398" s="45">
        <f>IF(L398="","",IF(G398="","名簿にいない",IF(COUNTIF(L399:L$552,L398)&gt;0,"2回提出（下の行を使います）",IF(OR(H398="？",I398="？",J398="？"),"クラブ番号がちがう",IF(OR(AND(H398&lt;&gt;"",H398&lt;&gt;"？",COUNTIF(設定!$P$8:$P$27,H398)=0),AND(I398&lt;&gt;"",I398&lt;&gt;"？",COUNTIF(設定!$P$8:$P$27,I398)=0),AND(J398&lt;&gt;"",J398&lt;&gt;"？",COUNTIF(設定!$P$8:$P$27,J398)=0)),"クラブ名がちがう",IF(H398="","第1希望がない",IF(OR(AND(H398&lt;&gt;"",H398=I398),AND(H398&lt;&gt;"",H398=J398),AND(I398&lt;&gt;"",I398=J398)),"同じクラブを重複して希望","OK")))))))</f>
        <v/>
      </c>
      <c r="L398" s="8">
        <f>IF(A398="","",A398&amp;"-"&amp;B398&amp;"-"&amp;C398)</f>
        <v/>
      </c>
      <c r="M398" s="8">
        <f>IF(OR(L398="",G398=""),"",IF(COUNTIF(L399:L$552,L398)=0,L398,""))</f>
        <v/>
      </c>
    </row>
    <row r="399">
      <c r="A399" s="40" t="n"/>
      <c r="B399" s="40" t="n"/>
      <c r="C399" s="40" t="n"/>
      <c r="D399" s="40" t="n"/>
      <c r="E399" s="40" t="n"/>
      <c r="F399" s="40" t="n"/>
      <c r="G399" s="3">
        <f>IF(L399="","",IFERROR(INDEX(前年度名簿!$D$2:$D$451,MATCH(L399,前年度名簿!$F$2:$F$451,0)),""))</f>
        <v/>
      </c>
      <c r="H399" s="44">
        <f>IF(D399="","",IF(ISERROR(VALUE(D399)),D399&amp;"",IF(AND(VALUE(D399)&gt;=1,VALUE(D399)&lt;=20),IF(INDEX(設定!$P$8:$P$27,VALUE(D399))="","？",INDEX(設定!$P$8:$P$27,VALUE(D399))),"？")))</f>
        <v/>
      </c>
      <c r="I399" s="44">
        <f>IF(E399="","",IF(ISERROR(VALUE(E399)),E399&amp;"",IF(AND(VALUE(E399)&gt;=1,VALUE(E399)&lt;=20),IF(INDEX(設定!$P$8:$P$27,VALUE(E399))="","？",INDEX(設定!$P$8:$P$27,VALUE(E399))),"？")))</f>
        <v/>
      </c>
      <c r="J399" s="44">
        <f>IF(F399="","",IF(ISERROR(VALUE(F399)),F399&amp;"",IF(AND(VALUE(F399)&gt;=1,VALUE(F399)&lt;=20),IF(INDEX(設定!$P$8:$P$27,VALUE(F399))="","？",INDEX(設定!$P$8:$P$27,VALUE(F399))),"？")))</f>
        <v/>
      </c>
      <c r="K399" s="45">
        <f>IF(L399="","",IF(G399="","名簿にいない",IF(COUNTIF(L400:L$552,L399)&gt;0,"2回提出（下の行を使います）",IF(OR(H399="？",I399="？",J399="？"),"クラブ番号がちがう",IF(OR(AND(H399&lt;&gt;"",H399&lt;&gt;"？",COUNTIF(設定!$P$8:$P$27,H399)=0),AND(I399&lt;&gt;"",I399&lt;&gt;"？",COUNTIF(設定!$P$8:$P$27,I399)=0),AND(J399&lt;&gt;"",J399&lt;&gt;"？",COUNTIF(設定!$P$8:$P$27,J399)=0)),"クラブ名がちがう",IF(H399="","第1希望がない",IF(OR(AND(H399&lt;&gt;"",H399=I399),AND(H399&lt;&gt;"",H399=J399),AND(I399&lt;&gt;"",I399=J399)),"同じクラブを重複して希望","OK")))))))</f>
        <v/>
      </c>
      <c r="L399" s="8">
        <f>IF(A399="","",A399&amp;"-"&amp;B399&amp;"-"&amp;C399)</f>
        <v/>
      </c>
      <c r="M399" s="8">
        <f>IF(OR(L399="",G399=""),"",IF(COUNTIF(L400:L$552,L399)=0,L399,""))</f>
        <v/>
      </c>
    </row>
    <row r="400">
      <c r="A400" s="40" t="n"/>
      <c r="B400" s="40" t="n"/>
      <c r="C400" s="40" t="n"/>
      <c r="D400" s="40" t="n"/>
      <c r="E400" s="40" t="n"/>
      <c r="F400" s="40" t="n"/>
      <c r="G400" s="3">
        <f>IF(L400="","",IFERROR(INDEX(前年度名簿!$D$2:$D$451,MATCH(L400,前年度名簿!$F$2:$F$451,0)),""))</f>
        <v/>
      </c>
      <c r="H400" s="44">
        <f>IF(D400="","",IF(ISERROR(VALUE(D400)),D400&amp;"",IF(AND(VALUE(D400)&gt;=1,VALUE(D400)&lt;=20),IF(INDEX(設定!$P$8:$P$27,VALUE(D400))="","？",INDEX(設定!$P$8:$P$27,VALUE(D400))),"？")))</f>
        <v/>
      </c>
      <c r="I400" s="44">
        <f>IF(E400="","",IF(ISERROR(VALUE(E400)),E400&amp;"",IF(AND(VALUE(E400)&gt;=1,VALUE(E400)&lt;=20),IF(INDEX(設定!$P$8:$P$27,VALUE(E400))="","？",INDEX(設定!$P$8:$P$27,VALUE(E400))),"？")))</f>
        <v/>
      </c>
      <c r="J400" s="44">
        <f>IF(F400="","",IF(ISERROR(VALUE(F400)),F400&amp;"",IF(AND(VALUE(F400)&gt;=1,VALUE(F400)&lt;=20),IF(INDEX(設定!$P$8:$P$27,VALUE(F400))="","？",INDEX(設定!$P$8:$P$27,VALUE(F400))),"？")))</f>
        <v/>
      </c>
      <c r="K400" s="45">
        <f>IF(L400="","",IF(G400="","名簿にいない",IF(COUNTIF(L401:L$552,L400)&gt;0,"2回提出（下の行を使います）",IF(OR(H400="？",I400="？",J400="？"),"クラブ番号がちがう",IF(OR(AND(H400&lt;&gt;"",H400&lt;&gt;"？",COUNTIF(設定!$P$8:$P$27,H400)=0),AND(I400&lt;&gt;"",I400&lt;&gt;"？",COUNTIF(設定!$P$8:$P$27,I400)=0),AND(J400&lt;&gt;"",J400&lt;&gt;"？",COUNTIF(設定!$P$8:$P$27,J400)=0)),"クラブ名がちがう",IF(H400="","第1希望がない",IF(OR(AND(H400&lt;&gt;"",H400=I400),AND(H400&lt;&gt;"",H400=J400),AND(I400&lt;&gt;"",I400=J400)),"同じクラブを重複して希望","OK")))))))</f>
        <v/>
      </c>
      <c r="L400" s="8">
        <f>IF(A400="","",A400&amp;"-"&amp;B400&amp;"-"&amp;C400)</f>
        <v/>
      </c>
      <c r="M400" s="8">
        <f>IF(OR(L400="",G400=""),"",IF(COUNTIF(L401:L$552,L400)=0,L400,""))</f>
        <v/>
      </c>
    </row>
    <row r="401">
      <c r="A401" s="40" t="n"/>
      <c r="B401" s="40" t="n"/>
      <c r="C401" s="40" t="n"/>
      <c r="D401" s="40" t="n"/>
      <c r="E401" s="40" t="n"/>
      <c r="F401" s="40" t="n"/>
      <c r="G401" s="3">
        <f>IF(L401="","",IFERROR(INDEX(前年度名簿!$D$2:$D$451,MATCH(L401,前年度名簿!$F$2:$F$451,0)),""))</f>
        <v/>
      </c>
      <c r="H401" s="44">
        <f>IF(D401="","",IF(ISERROR(VALUE(D401)),D401&amp;"",IF(AND(VALUE(D401)&gt;=1,VALUE(D401)&lt;=20),IF(INDEX(設定!$P$8:$P$27,VALUE(D401))="","？",INDEX(設定!$P$8:$P$27,VALUE(D401))),"？")))</f>
        <v/>
      </c>
      <c r="I401" s="44">
        <f>IF(E401="","",IF(ISERROR(VALUE(E401)),E401&amp;"",IF(AND(VALUE(E401)&gt;=1,VALUE(E401)&lt;=20),IF(INDEX(設定!$P$8:$P$27,VALUE(E401))="","？",INDEX(設定!$P$8:$P$27,VALUE(E401))),"？")))</f>
        <v/>
      </c>
      <c r="J401" s="44">
        <f>IF(F401="","",IF(ISERROR(VALUE(F401)),F401&amp;"",IF(AND(VALUE(F401)&gt;=1,VALUE(F401)&lt;=20),IF(INDEX(設定!$P$8:$P$27,VALUE(F401))="","？",INDEX(設定!$P$8:$P$27,VALUE(F401))),"？")))</f>
        <v/>
      </c>
      <c r="K401" s="45">
        <f>IF(L401="","",IF(G401="","名簿にいない",IF(COUNTIF(L402:L$552,L401)&gt;0,"2回提出（下の行を使います）",IF(OR(H401="？",I401="？",J401="？"),"クラブ番号がちがう",IF(OR(AND(H401&lt;&gt;"",H401&lt;&gt;"？",COUNTIF(設定!$P$8:$P$27,H401)=0),AND(I401&lt;&gt;"",I401&lt;&gt;"？",COUNTIF(設定!$P$8:$P$27,I401)=0),AND(J401&lt;&gt;"",J401&lt;&gt;"？",COUNTIF(設定!$P$8:$P$27,J401)=0)),"クラブ名がちがう",IF(H401="","第1希望がない",IF(OR(AND(H401&lt;&gt;"",H401=I401),AND(H401&lt;&gt;"",H401=J401),AND(I401&lt;&gt;"",I401=J401)),"同じクラブを重複して希望","OK")))))))</f>
        <v/>
      </c>
      <c r="L401" s="8">
        <f>IF(A401="","",A401&amp;"-"&amp;B401&amp;"-"&amp;C401)</f>
        <v/>
      </c>
      <c r="M401" s="8">
        <f>IF(OR(L401="",G401=""),"",IF(COUNTIF(L402:L$552,L401)=0,L401,""))</f>
        <v/>
      </c>
    </row>
    <row r="402">
      <c r="A402" s="40" t="n"/>
      <c r="B402" s="40" t="n"/>
      <c r="C402" s="40" t="n"/>
      <c r="D402" s="40" t="n"/>
      <c r="E402" s="40" t="n"/>
      <c r="F402" s="40" t="n"/>
      <c r="G402" s="3">
        <f>IF(L402="","",IFERROR(INDEX(前年度名簿!$D$2:$D$451,MATCH(L402,前年度名簿!$F$2:$F$451,0)),""))</f>
        <v/>
      </c>
      <c r="H402" s="44">
        <f>IF(D402="","",IF(ISERROR(VALUE(D402)),D402&amp;"",IF(AND(VALUE(D402)&gt;=1,VALUE(D402)&lt;=20),IF(INDEX(設定!$P$8:$P$27,VALUE(D402))="","？",INDEX(設定!$P$8:$P$27,VALUE(D402))),"？")))</f>
        <v/>
      </c>
      <c r="I402" s="44">
        <f>IF(E402="","",IF(ISERROR(VALUE(E402)),E402&amp;"",IF(AND(VALUE(E402)&gt;=1,VALUE(E402)&lt;=20),IF(INDEX(設定!$P$8:$P$27,VALUE(E402))="","？",INDEX(設定!$P$8:$P$27,VALUE(E402))),"？")))</f>
        <v/>
      </c>
      <c r="J402" s="44">
        <f>IF(F402="","",IF(ISERROR(VALUE(F402)),F402&amp;"",IF(AND(VALUE(F402)&gt;=1,VALUE(F402)&lt;=20),IF(INDEX(設定!$P$8:$P$27,VALUE(F402))="","？",INDEX(設定!$P$8:$P$27,VALUE(F402))),"？")))</f>
        <v/>
      </c>
      <c r="K402" s="45">
        <f>IF(L402="","",IF(G402="","名簿にいない",IF(COUNTIF(L403:L$552,L402)&gt;0,"2回提出（下の行を使います）",IF(OR(H402="？",I402="？",J402="？"),"クラブ番号がちがう",IF(OR(AND(H402&lt;&gt;"",H402&lt;&gt;"？",COUNTIF(設定!$P$8:$P$27,H402)=0),AND(I402&lt;&gt;"",I402&lt;&gt;"？",COUNTIF(設定!$P$8:$P$27,I402)=0),AND(J402&lt;&gt;"",J402&lt;&gt;"？",COUNTIF(設定!$P$8:$P$27,J402)=0)),"クラブ名がちがう",IF(H402="","第1希望がない",IF(OR(AND(H402&lt;&gt;"",H402=I402),AND(H402&lt;&gt;"",H402=J402),AND(I402&lt;&gt;"",I402=J402)),"同じクラブを重複して希望","OK")))))))</f>
        <v/>
      </c>
      <c r="L402" s="8">
        <f>IF(A402="","",A402&amp;"-"&amp;B402&amp;"-"&amp;C402)</f>
        <v/>
      </c>
      <c r="M402" s="8">
        <f>IF(OR(L402="",G402=""),"",IF(COUNTIF(L403:L$552,L402)=0,L402,""))</f>
        <v/>
      </c>
    </row>
    <row r="403">
      <c r="A403" s="40" t="n"/>
      <c r="B403" s="40" t="n"/>
      <c r="C403" s="40" t="n"/>
      <c r="D403" s="40" t="n"/>
      <c r="E403" s="40" t="n"/>
      <c r="F403" s="40" t="n"/>
      <c r="G403" s="3">
        <f>IF(L403="","",IFERROR(INDEX(前年度名簿!$D$2:$D$451,MATCH(L403,前年度名簿!$F$2:$F$451,0)),""))</f>
        <v/>
      </c>
      <c r="H403" s="44">
        <f>IF(D403="","",IF(ISERROR(VALUE(D403)),D403&amp;"",IF(AND(VALUE(D403)&gt;=1,VALUE(D403)&lt;=20),IF(INDEX(設定!$P$8:$P$27,VALUE(D403))="","？",INDEX(設定!$P$8:$P$27,VALUE(D403))),"？")))</f>
        <v/>
      </c>
      <c r="I403" s="44">
        <f>IF(E403="","",IF(ISERROR(VALUE(E403)),E403&amp;"",IF(AND(VALUE(E403)&gt;=1,VALUE(E403)&lt;=20),IF(INDEX(設定!$P$8:$P$27,VALUE(E403))="","？",INDEX(設定!$P$8:$P$27,VALUE(E403))),"？")))</f>
        <v/>
      </c>
      <c r="J403" s="44">
        <f>IF(F403="","",IF(ISERROR(VALUE(F403)),F403&amp;"",IF(AND(VALUE(F403)&gt;=1,VALUE(F403)&lt;=20),IF(INDEX(設定!$P$8:$P$27,VALUE(F403))="","？",INDEX(設定!$P$8:$P$27,VALUE(F403))),"？")))</f>
        <v/>
      </c>
      <c r="K403" s="45">
        <f>IF(L403="","",IF(G403="","名簿にいない",IF(COUNTIF(L404:L$552,L403)&gt;0,"2回提出（下の行を使います）",IF(OR(H403="？",I403="？",J403="？"),"クラブ番号がちがう",IF(OR(AND(H403&lt;&gt;"",H403&lt;&gt;"？",COUNTIF(設定!$P$8:$P$27,H403)=0),AND(I403&lt;&gt;"",I403&lt;&gt;"？",COUNTIF(設定!$P$8:$P$27,I403)=0),AND(J403&lt;&gt;"",J403&lt;&gt;"？",COUNTIF(設定!$P$8:$P$27,J403)=0)),"クラブ名がちがう",IF(H403="","第1希望がない",IF(OR(AND(H403&lt;&gt;"",H403=I403),AND(H403&lt;&gt;"",H403=J403),AND(I403&lt;&gt;"",I403=J403)),"同じクラブを重複して希望","OK")))))))</f>
        <v/>
      </c>
      <c r="L403" s="8">
        <f>IF(A403="","",A403&amp;"-"&amp;B403&amp;"-"&amp;C403)</f>
        <v/>
      </c>
      <c r="M403" s="8">
        <f>IF(OR(L403="",G403=""),"",IF(COUNTIF(L404:L$552,L403)=0,L403,""))</f>
        <v/>
      </c>
    </row>
    <row r="404">
      <c r="A404" s="40" t="n"/>
      <c r="B404" s="40" t="n"/>
      <c r="C404" s="40" t="n"/>
      <c r="D404" s="40" t="n"/>
      <c r="E404" s="40" t="n"/>
      <c r="F404" s="40" t="n"/>
      <c r="G404" s="3">
        <f>IF(L404="","",IFERROR(INDEX(前年度名簿!$D$2:$D$451,MATCH(L404,前年度名簿!$F$2:$F$451,0)),""))</f>
        <v/>
      </c>
      <c r="H404" s="44">
        <f>IF(D404="","",IF(ISERROR(VALUE(D404)),D404&amp;"",IF(AND(VALUE(D404)&gt;=1,VALUE(D404)&lt;=20),IF(INDEX(設定!$P$8:$P$27,VALUE(D404))="","？",INDEX(設定!$P$8:$P$27,VALUE(D404))),"？")))</f>
        <v/>
      </c>
      <c r="I404" s="44">
        <f>IF(E404="","",IF(ISERROR(VALUE(E404)),E404&amp;"",IF(AND(VALUE(E404)&gt;=1,VALUE(E404)&lt;=20),IF(INDEX(設定!$P$8:$P$27,VALUE(E404))="","？",INDEX(設定!$P$8:$P$27,VALUE(E404))),"？")))</f>
        <v/>
      </c>
      <c r="J404" s="44">
        <f>IF(F404="","",IF(ISERROR(VALUE(F404)),F404&amp;"",IF(AND(VALUE(F404)&gt;=1,VALUE(F404)&lt;=20),IF(INDEX(設定!$P$8:$P$27,VALUE(F404))="","？",INDEX(設定!$P$8:$P$27,VALUE(F404))),"？")))</f>
        <v/>
      </c>
      <c r="K404" s="45">
        <f>IF(L404="","",IF(G404="","名簿にいない",IF(COUNTIF(L405:L$552,L404)&gt;0,"2回提出（下の行を使います）",IF(OR(H404="？",I404="？",J404="？"),"クラブ番号がちがう",IF(OR(AND(H404&lt;&gt;"",H404&lt;&gt;"？",COUNTIF(設定!$P$8:$P$27,H404)=0),AND(I404&lt;&gt;"",I404&lt;&gt;"？",COUNTIF(設定!$P$8:$P$27,I404)=0),AND(J404&lt;&gt;"",J404&lt;&gt;"？",COUNTIF(設定!$P$8:$P$27,J404)=0)),"クラブ名がちがう",IF(H404="","第1希望がない",IF(OR(AND(H404&lt;&gt;"",H404=I404),AND(H404&lt;&gt;"",H404=J404),AND(I404&lt;&gt;"",I404=J404)),"同じクラブを重複して希望","OK")))))))</f>
        <v/>
      </c>
      <c r="L404" s="8">
        <f>IF(A404="","",A404&amp;"-"&amp;B404&amp;"-"&amp;C404)</f>
        <v/>
      </c>
      <c r="M404" s="8">
        <f>IF(OR(L404="",G404=""),"",IF(COUNTIF(L405:L$552,L404)=0,L404,""))</f>
        <v/>
      </c>
    </row>
    <row r="405">
      <c r="A405" s="40" t="n"/>
      <c r="B405" s="40" t="n"/>
      <c r="C405" s="40" t="n"/>
      <c r="D405" s="40" t="n"/>
      <c r="E405" s="40" t="n"/>
      <c r="F405" s="40" t="n"/>
      <c r="G405" s="3">
        <f>IF(L405="","",IFERROR(INDEX(前年度名簿!$D$2:$D$451,MATCH(L405,前年度名簿!$F$2:$F$451,0)),""))</f>
        <v/>
      </c>
      <c r="H405" s="44">
        <f>IF(D405="","",IF(ISERROR(VALUE(D405)),D405&amp;"",IF(AND(VALUE(D405)&gt;=1,VALUE(D405)&lt;=20),IF(INDEX(設定!$P$8:$P$27,VALUE(D405))="","？",INDEX(設定!$P$8:$P$27,VALUE(D405))),"？")))</f>
        <v/>
      </c>
      <c r="I405" s="44">
        <f>IF(E405="","",IF(ISERROR(VALUE(E405)),E405&amp;"",IF(AND(VALUE(E405)&gt;=1,VALUE(E405)&lt;=20),IF(INDEX(設定!$P$8:$P$27,VALUE(E405))="","？",INDEX(設定!$P$8:$P$27,VALUE(E405))),"？")))</f>
        <v/>
      </c>
      <c r="J405" s="44">
        <f>IF(F405="","",IF(ISERROR(VALUE(F405)),F405&amp;"",IF(AND(VALUE(F405)&gt;=1,VALUE(F405)&lt;=20),IF(INDEX(設定!$P$8:$P$27,VALUE(F405))="","？",INDEX(設定!$P$8:$P$27,VALUE(F405))),"？")))</f>
        <v/>
      </c>
      <c r="K405" s="45">
        <f>IF(L405="","",IF(G405="","名簿にいない",IF(COUNTIF(L406:L$552,L405)&gt;0,"2回提出（下の行を使います）",IF(OR(H405="？",I405="？",J405="？"),"クラブ番号がちがう",IF(OR(AND(H405&lt;&gt;"",H405&lt;&gt;"？",COUNTIF(設定!$P$8:$P$27,H405)=0),AND(I405&lt;&gt;"",I405&lt;&gt;"？",COUNTIF(設定!$P$8:$P$27,I405)=0),AND(J405&lt;&gt;"",J405&lt;&gt;"？",COUNTIF(設定!$P$8:$P$27,J405)=0)),"クラブ名がちがう",IF(H405="","第1希望がない",IF(OR(AND(H405&lt;&gt;"",H405=I405),AND(H405&lt;&gt;"",H405=J405),AND(I405&lt;&gt;"",I405=J405)),"同じクラブを重複して希望","OK")))))))</f>
        <v/>
      </c>
      <c r="L405" s="8">
        <f>IF(A405="","",A405&amp;"-"&amp;B405&amp;"-"&amp;C405)</f>
        <v/>
      </c>
      <c r="M405" s="8">
        <f>IF(OR(L405="",G405=""),"",IF(COUNTIF(L406:L$552,L405)=0,L405,""))</f>
        <v/>
      </c>
    </row>
    <row r="406">
      <c r="A406" s="40" t="n"/>
      <c r="B406" s="40" t="n"/>
      <c r="C406" s="40" t="n"/>
      <c r="D406" s="40" t="n"/>
      <c r="E406" s="40" t="n"/>
      <c r="F406" s="40" t="n"/>
      <c r="G406" s="3">
        <f>IF(L406="","",IFERROR(INDEX(前年度名簿!$D$2:$D$451,MATCH(L406,前年度名簿!$F$2:$F$451,0)),""))</f>
        <v/>
      </c>
      <c r="H406" s="44">
        <f>IF(D406="","",IF(ISERROR(VALUE(D406)),D406&amp;"",IF(AND(VALUE(D406)&gt;=1,VALUE(D406)&lt;=20),IF(INDEX(設定!$P$8:$P$27,VALUE(D406))="","？",INDEX(設定!$P$8:$P$27,VALUE(D406))),"？")))</f>
        <v/>
      </c>
      <c r="I406" s="44">
        <f>IF(E406="","",IF(ISERROR(VALUE(E406)),E406&amp;"",IF(AND(VALUE(E406)&gt;=1,VALUE(E406)&lt;=20),IF(INDEX(設定!$P$8:$P$27,VALUE(E406))="","？",INDEX(設定!$P$8:$P$27,VALUE(E406))),"？")))</f>
        <v/>
      </c>
      <c r="J406" s="44">
        <f>IF(F406="","",IF(ISERROR(VALUE(F406)),F406&amp;"",IF(AND(VALUE(F406)&gt;=1,VALUE(F406)&lt;=20),IF(INDEX(設定!$P$8:$P$27,VALUE(F406))="","？",INDEX(設定!$P$8:$P$27,VALUE(F406))),"？")))</f>
        <v/>
      </c>
      <c r="K406" s="45">
        <f>IF(L406="","",IF(G406="","名簿にいない",IF(COUNTIF(L407:L$552,L406)&gt;0,"2回提出（下の行を使います）",IF(OR(H406="？",I406="？",J406="？"),"クラブ番号がちがう",IF(OR(AND(H406&lt;&gt;"",H406&lt;&gt;"？",COUNTIF(設定!$P$8:$P$27,H406)=0),AND(I406&lt;&gt;"",I406&lt;&gt;"？",COUNTIF(設定!$P$8:$P$27,I406)=0),AND(J406&lt;&gt;"",J406&lt;&gt;"？",COUNTIF(設定!$P$8:$P$27,J406)=0)),"クラブ名がちがう",IF(H406="","第1希望がない",IF(OR(AND(H406&lt;&gt;"",H406=I406),AND(H406&lt;&gt;"",H406=J406),AND(I406&lt;&gt;"",I406=J406)),"同じクラブを重複して希望","OK")))))))</f>
        <v/>
      </c>
      <c r="L406" s="8">
        <f>IF(A406="","",A406&amp;"-"&amp;B406&amp;"-"&amp;C406)</f>
        <v/>
      </c>
      <c r="M406" s="8">
        <f>IF(OR(L406="",G406=""),"",IF(COUNTIF(L407:L$552,L406)=0,L406,""))</f>
        <v/>
      </c>
    </row>
    <row r="407">
      <c r="A407" s="40" t="n"/>
      <c r="B407" s="40" t="n"/>
      <c r="C407" s="40" t="n"/>
      <c r="D407" s="40" t="n"/>
      <c r="E407" s="40" t="n"/>
      <c r="F407" s="40" t="n"/>
      <c r="G407" s="3">
        <f>IF(L407="","",IFERROR(INDEX(前年度名簿!$D$2:$D$451,MATCH(L407,前年度名簿!$F$2:$F$451,0)),""))</f>
        <v/>
      </c>
      <c r="H407" s="44">
        <f>IF(D407="","",IF(ISERROR(VALUE(D407)),D407&amp;"",IF(AND(VALUE(D407)&gt;=1,VALUE(D407)&lt;=20),IF(INDEX(設定!$P$8:$P$27,VALUE(D407))="","？",INDEX(設定!$P$8:$P$27,VALUE(D407))),"？")))</f>
        <v/>
      </c>
      <c r="I407" s="44">
        <f>IF(E407="","",IF(ISERROR(VALUE(E407)),E407&amp;"",IF(AND(VALUE(E407)&gt;=1,VALUE(E407)&lt;=20),IF(INDEX(設定!$P$8:$P$27,VALUE(E407))="","？",INDEX(設定!$P$8:$P$27,VALUE(E407))),"？")))</f>
        <v/>
      </c>
      <c r="J407" s="44">
        <f>IF(F407="","",IF(ISERROR(VALUE(F407)),F407&amp;"",IF(AND(VALUE(F407)&gt;=1,VALUE(F407)&lt;=20),IF(INDEX(設定!$P$8:$P$27,VALUE(F407))="","？",INDEX(設定!$P$8:$P$27,VALUE(F407))),"？")))</f>
        <v/>
      </c>
      <c r="K407" s="45">
        <f>IF(L407="","",IF(G407="","名簿にいない",IF(COUNTIF(L408:L$552,L407)&gt;0,"2回提出（下の行を使います）",IF(OR(H407="？",I407="？",J407="？"),"クラブ番号がちがう",IF(OR(AND(H407&lt;&gt;"",H407&lt;&gt;"？",COUNTIF(設定!$P$8:$P$27,H407)=0),AND(I407&lt;&gt;"",I407&lt;&gt;"？",COUNTIF(設定!$P$8:$P$27,I407)=0),AND(J407&lt;&gt;"",J407&lt;&gt;"？",COUNTIF(設定!$P$8:$P$27,J407)=0)),"クラブ名がちがう",IF(H407="","第1希望がない",IF(OR(AND(H407&lt;&gt;"",H407=I407),AND(H407&lt;&gt;"",H407=J407),AND(I407&lt;&gt;"",I407=J407)),"同じクラブを重複して希望","OK")))))))</f>
        <v/>
      </c>
      <c r="L407" s="8">
        <f>IF(A407="","",A407&amp;"-"&amp;B407&amp;"-"&amp;C407)</f>
        <v/>
      </c>
      <c r="M407" s="8">
        <f>IF(OR(L407="",G407=""),"",IF(COUNTIF(L408:L$552,L407)=0,L407,""))</f>
        <v/>
      </c>
    </row>
    <row r="408">
      <c r="A408" s="40" t="n"/>
      <c r="B408" s="40" t="n"/>
      <c r="C408" s="40" t="n"/>
      <c r="D408" s="40" t="n"/>
      <c r="E408" s="40" t="n"/>
      <c r="F408" s="40" t="n"/>
      <c r="G408" s="3">
        <f>IF(L408="","",IFERROR(INDEX(前年度名簿!$D$2:$D$451,MATCH(L408,前年度名簿!$F$2:$F$451,0)),""))</f>
        <v/>
      </c>
      <c r="H408" s="44">
        <f>IF(D408="","",IF(ISERROR(VALUE(D408)),D408&amp;"",IF(AND(VALUE(D408)&gt;=1,VALUE(D408)&lt;=20),IF(INDEX(設定!$P$8:$P$27,VALUE(D408))="","？",INDEX(設定!$P$8:$P$27,VALUE(D408))),"？")))</f>
        <v/>
      </c>
      <c r="I408" s="44">
        <f>IF(E408="","",IF(ISERROR(VALUE(E408)),E408&amp;"",IF(AND(VALUE(E408)&gt;=1,VALUE(E408)&lt;=20),IF(INDEX(設定!$P$8:$P$27,VALUE(E408))="","？",INDEX(設定!$P$8:$P$27,VALUE(E408))),"？")))</f>
        <v/>
      </c>
      <c r="J408" s="44">
        <f>IF(F408="","",IF(ISERROR(VALUE(F408)),F408&amp;"",IF(AND(VALUE(F408)&gt;=1,VALUE(F408)&lt;=20),IF(INDEX(設定!$P$8:$P$27,VALUE(F408))="","？",INDEX(設定!$P$8:$P$27,VALUE(F408))),"？")))</f>
        <v/>
      </c>
      <c r="K408" s="45">
        <f>IF(L408="","",IF(G408="","名簿にいない",IF(COUNTIF(L409:L$552,L408)&gt;0,"2回提出（下の行を使います）",IF(OR(H408="？",I408="？",J408="？"),"クラブ番号がちがう",IF(OR(AND(H408&lt;&gt;"",H408&lt;&gt;"？",COUNTIF(設定!$P$8:$P$27,H408)=0),AND(I408&lt;&gt;"",I408&lt;&gt;"？",COUNTIF(設定!$P$8:$P$27,I408)=0),AND(J408&lt;&gt;"",J408&lt;&gt;"？",COUNTIF(設定!$P$8:$P$27,J408)=0)),"クラブ名がちがう",IF(H408="","第1希望がない",IF(OR(AND(H408&lt;&gt;"",H408=I408),AND(H408&lt;&gt;"",H408=J408),AND(I408&lt;&gt;"",I408=J408)),"同じクラブを重複して希望","OK")))))))</f>
        <v/>
      </c>
      <c r="L408" s="8">
        <f>IF(A408="","",A408&amp;"-"&amp;B408&amp;"-"&amp;C408)</f>
        <v/>
      </c>
      <c r="M408" s="8">
        <f>IF(OR(L408="",G408=""),"",IF(COUNTIF(L409:L$552,L408)=0,L408,""))</f>
        <v/>
      </c>
    </row>
    <row r="409">
      <c r="A409" s="40" t="n"/>
      <c r="B409" s="40" t="n"/>
      <c r="C409" s="40" t="n"/>
      <c r="D409" s="40" t="n"/>
      <c r="E409" s="40" t="n"/>
      <c r="F409" s="40" t="n"/>
      <c r="G409" s="3">
        <f>IF(L409="","",IFERROR(INDEX(前年度名簿!$D$2:$D$451,MATCH(L409,前年度名簿!$F$2:$F$451,0)),""))</f>
        <v/>
      </c>
      <c r="H409" s="44">
        <f>IF(D409="","",IF(ISERROR(VALUE(D409)),D409&amp;"",IF(AND(VALUE(D409)&gt;=1,VALUE(D409)&lt;=20),IF(INDEX(設定!$P$8:$P$27,VALUE(D409))="","？",INDEX(設定!$P$8:$P$27,VALUE(D409))),"？")))</f>
        <v/>
      </c>
      <c r="I409" s="44">
        <f>IF(E409="","",IF(ISERROR(VALUE(E409)),E409&amp;"",IF(AND(VALUE(E409)&gt;=1,VALUE(E409)&lt;=20),IF(INDEX(設定!$P$8:$P$27,VALUE(E409))="","？",INDEX(設定!$P$8:$P$27,VALUE(E409))),"？")))</f>
        <v/>
      </c>
      <c r="J409" s="44">
        <f>IF(F409="","",IF(ISERROR(VALUE(F409)),F409&amp;"",IF(AND(VALUE(F409)&gt;=1,VALUE(F409)&lt;=20),IF(INDEX(設定!$P$8:$P$27,VALUE(F409))="","？",INDEX(設定!$P$8:$P$27,VALUE(F409))),"？")))</f>
        <v/>
      </c>
      <c r="K409" s="45">
        <f>IF(L409="","",IF(G409="","名簿にいない",IF(COUNTIF(L410:L$552,L409)&gt;0,"2回提出（下の行を使います）",IF(OR(H409="？",I409="？",J409="？"),"クラブ番号がちがう",IF(OR(AND(H409&lt;&gt;"",H409&lt;&gt;"？",COUNTIF(設定!$P$8:$P$27,H409)=0),AND(I409&lt;&gt;"",I409&lt;&gt;"？",COUNTIF(設定!$P$8:$P$27,I409)=0),AND(J409&lt;&gt;"",J409&lt;&gt;"？",COUNTIF(設定!$P$8:$P$27,J409)=0)),"クラブ名がちがう",IF(H409="","第1希望がない",IF(OR(AND(H409&lt;&gt;"",H409=I409),AND(H409&lt;&gt;"",H409=J409),AND(I409&lt;&gt;"",I409=J409)),"同じクラブを重複して希望","OK")))))))</f>
        <v/>
      </c>
      <c r="L409" s="8">
        <f>IF(A409="","",A409&amp;"-"&amp;B409&amp;"-"&amp;C409)</f>
        <v/>
      </c>
      <c r="M409" s="8">
        <f>IF(OR(L409="",G409=""),"",IF(COUNTIF(L410:L$552,L409)=0,L409,""))</f>
        <v/>
      </c>
    </row>
    <row r="410">
      <c r="A410" s="40" t="n"/>
      <c r="B410" s="40" t="n"/>
      <c r="C410" s="40" t="n"/>
      <c r="D410" s="40" t="n"/>
      <c r="E410" s="40" t="n"/>
      <c r="F410" s="40" t="n"/>
      <c r="G410" s="3">
        <f>IF(L410="","",IFERROR(INDEX(前年度名簿!$D$2:$D$451,MATCH(L410,前年度名簿!$F$2:$F$451,0)),""))</f>
        <v/>
      </c>
      <c r="H410" s="44">
        <f>IF(D410="","",IF(ISERROR(VALUE(D410)),D410&amp;"",IF(AND(VALUE(D410)&gt;=1,VALUE(D410)&lt;=20),IF(INDEX(設定!$P$8:$P$27,VALUE(D410))="","？",INDEX(設定!$P$8:$P$27,VALUE(D410))),"？")))</f>
        <v/>
      </c>
      <c r="I410" s="44">
        <f>IF(E410="","",IF(ISERROR(VALUE(E410)),E410&amp;"",IF(AND(VALUE(E410)&gt;=1,VALUE(E410)&lt;=20),IF(INDEX(設定!$P$8:$P$27,VALUE(E410))="","？",INDEX(設定!$P$8:$P$27,VALUE(E410))),"？")))</f>
        <v/>
      </c>
      <c r="J410" s="44">
        <f>IF(F410="","",IF(ISERROR(VALUE(F410)),F410&amp;"",IF(AND(VALUE(F410)&gt;=1,VALUE(F410)&lt;=20),IF(INDEX(設定!$P$8:$P$27,VALUE(F410))="","？",INDEX(設定!$P$8:$P$27,VALUE(F410))),"？")))</f>
        <v/>
      </c>
      <c r="K410" s="45">
        <f>IF(L410="","",IF(G410="","名簿にいない",IF(COUNTIF(L411:L$552,L410)&gt;0,"2回提出（下の行を使います）",IF(OR(H410="？",I410="？",J410="？"),"クラブ番号がちがう",IF(OR(AND(H410&lt;&gt;"",H410&lt;&gt;"？",COUNTIF(設定!$P$8:$P$27,H410)=0),AND(I410&lt;&gt;"",I410&lt;&gt;"？",COUNTIF(設定!$P$8:$P$27,I410)=0),AND(J410&lt;&gt;"",J410&lt;&gt;"？",COUNTIF(設定!$P$8:$P$27,J410)=0)),"クラブ名がちがう",IF(H410="","第1希望がない",IF(OR(AND(H410&lt;&gt;"",H410=I410),AND(H410&lt;&gt;"",H410=J410),AND(I410&lt;&gt;"",I410=J410)),"同じクラブを重複して希望","OK")))))))</f>
        <v/>
      </c>
      <c r="L410" s="8">
        <f>IF(A410="","",A410&amp;"-"&amp;B410&amp;"-"&amp;C410)</f>
        <v/>
      </c>
      <c r="M410" s="8">
        <f>IF(OR(L410="",G410=""),"",IF(COUNTIF(L411:L$552,L410)=0,L410,""))</f>
        <v/>
      </c>
    </row>
    <row r="411">
      <c r="A411" s="40" t="n"/>
      <c r="B411" s="40" t="n"/>
      <c r="C411" s="40" t="n"/>
      <c r="D411" s="40" t="n"/>
      <c r="E411" s="40" t="n"/>
      <c r="F411" s="40" t="n"/>
      <c r="G411" s="3">
        <f>IF(L411="","",IFERROR(INDEX(前年度名簿!$D$2:$D$451,MATCH(L411,前年度名簿!$F$2:$F$451,0)),""))</f>
        <v/>
      </c>
      <c r="H411" s="44">
        <f>IF(D411="","",IF(ISERROR(VALUE(D411)),D411&amp;"",IF(AND(VALUE(D411)&gt;=1,VALUE(D411)&lt;=20),IF(INDEX(設定!$P$8:$P$27,VALUE(D411))="","？",INDEX(設定!$P$8:$P$27,VALUE(D411))),"？")))</f>
        <v/>
      </c>
      <c r="I411" s="44">
        <f>IF(E411="","",IF(ISERROR(VALUE(E411)),E411&amp;"",IF(AND(VALUE(E411)&gt;=1,VALUE(E411)&lt;=20),IF(INDEX(設定!$P$8:$P$27,VALUE(E411))="","？",INDEX(設定!$P$8:$P$27,VALUE(E411))),"？")))</f>
        <v/>
      </c>
      <c r="J411" s="44">
        <f>IF(F411="","",IF(ISERROR(VALUE(F411)),F411&amp;"",IF(AND(VALUE(F411)&gt;=1,VALUE(F411)&lt;=20),IF(INDEX(設定!$P$8:$P$27,VALUE(F411))="","？",INDEX(設定!$P$8:$P$27,VALUE(F411))),"？")))</f>
        <v/>
      </c>
      <c r="K411" s="45">
        <f>IF(L411="","",IF(G411="","名簿にいない",IF(COUNTIF(L412:L$552,L411)&gt;0,"2回提出（下の行を使います）",IF(OR(H411="？",I411="？",J411="？"),"クラブ番号がちがう",IF(OR(AND(H411&lt;&gt;"",H411&lt;&gt;"？",COUNTIF(設定!$P$8:$P$27,H411)=0),AND(I411&lt;&gt;"",I411&lt;&gt;"？",COUNTIF(設定!$P$8:$P$27,I411)=0),AND(J411&lt;&gt;"",J411&lt;&gt;"？",COUNTIF(設定!$P$8:$P$27,J411)=0)),"クラブ名がちがう",IF(H411="","第1希望がない",IF(OR(AND(H411&lt;&gt;"",H411=I411),AND(H411&lt;&gt;"",H411=J411),AND(I411&lt;&gt;"",I411=J411)),"同じクラブを重複して希望","OK")))))))</f>
        <v/>
      </c>
      <c r="L411" s="8">
        <f>IF(A411="","",A411&amp;"-"&amp;B411&amp;"-"&amp;C411)</f>
        <v/>
      </c>
      <c r="M411" s="8">
        <f>IF(OR(L411="",G411=""),"",IF(COUNTIF(L412:L$552,L411)=0,L411,""))</f>
        <v/>
      </c>
    </row>
    <row r="412">
      <c r="A412" s="40" t="n"/>
      <c r="B412" s="40" t="n"/>
      <c r="C412" s="40" t="n"/>
      <c r="D412" s="40" t="n"/>
      <c r="E412" s="40" t="n"/>
      <c r="F412" s="40" t="n"/>
      <c r="G412" s="3">
        <f>IF(L412="","",IFERROR(INDEX(前年度名簿!$D$2:$D$451,MATCH(L412,前年度名簿!$F$2:$F$451,0)),""))</f>
        <v/>
      </c>
      <c r="H412" s="44">
        <f>IF(D412="","",IF(ISERROR(VALUE(D412)),D412&amp;"",IF(AND(VALUE(D412)&gt;=1,VALUE(D412)&lt;=20),IF(INDEX(設定!$P$8:$P$27,VALUE(D412))="","？",INDEX(設定!$P$8:$P$27,VALUE(D412))),"？")))</f>
        <v/>
      </c>
      <c r="I412" s="44">
        <f>IF(E412="","",IF(ISERROR(VALUE(E412)),E412&amp;"",IF(AND(VALUE(E412)&gt;=1,VALUE(E412)&lt;=20),IF(INDEX(設定!$P$8:$P$27,VALUE(E412))="","？",INDEX(設定!$P$8:$P$27,VALUE(E412))),"？")))</f>
        <v/>
      </c>
      <c r="J412" s="44">
        <f>IF(F412="","",IF(ISERROR(VALUE(F412)),F412&amp;"",IF(AND(VALUE(F412)&gt;=1,VALUE(F412)&lt;=20),IF(INDEX(設定!$P$8:$P$27,VALUE(F412))="","？",INDEX(設定!$P$8:$P$27,VALUE(F412))),"？")))</f>
        <v/>
      </c>
      <c r="K412" s="45">
        <f>IF(L412="","",IF(G412="","名簿にいない",IF(COUNTIF(L413:L$552,L412)&gt;0,"2回提出（下の行を使います）",IF(OR(H412="？",I412="？",J412="？"),"クラブ番号がちがう",IF(OR(AND(H412&lt;&gt;"",H412&lt;&gt;"？",COUNTIF(設定!$P$8:$P$27,H412)=0),AND(I412&lt;&gt;"",I412&lt;&gt;"？",COUNTIF(設定!$P$8:$P$27,I412)=0),AND(J412&lt;&gt;"",J412&lt;&gt;"？",COUNTIF(設定!$P$8:$P$27,J412)=0)),"クラブ名がちがう",IF(H412="","第1希望がない",IF(OR(AND(H412&lt;&gt;"",H412=I412),AND(H412&lt;&gt;"",H412=J412),AND(I412&lt;&gt;"",I412=J412)),"同じクラブを重複して希望","OK")))))))</f>
        <v/>
      </c>
      <c r="L412" s="8">
        <f>IF(A412="","",A412&amp;"-"&amp;B412&amp;"-"&amp;C412)</f>
        <v/>
      </c>
      <c r="M412" s="8">
        <f>IF(OR(L412="",G412=""),"",IF(COUNTIF(L413:L$552,L412)=0,L412,""))</f>
        <v/>
      </c>
    </row>
    <row r="413">
      <c r="A413" s="40" t="n"/>
      <c r="B413" s="40" t="n"/>
      <c r="C413" s="40" t="n"/>
      <c r="D413" s="40" t="n"/>
      <c r="E413" s="40" t="n"/>
      <c r="F413" s="40" t="n"/>
      <c r="G413" s="3">
        <f>IF(L413="","",IFERROR(INDEX(前年度名簿!$D$2:$D$451,MATCH(L413,前年度名簿!$F$2:$F$451,0)),""))</f>
        <v/>
      </c>
      <c r="H413" s="44">
        <f>IF(D413="","",IF(ISERROR(VALUE(D413)),D413&amp;"",IF(AND(VALUE(D413)&gt;=1,VALUE(D413)&lt;=20),IF(INDEX(設定!$P$8:$P$27,VALUE(D413))="","？",INDEX(設定!$P$8:$P$27,VALUE(D413))),"？")))</f>
        <v/>
      </c>
      <c r="I413" s="44">
        <f>IF(E413="","",IF(ISERROR(VALUE(E413)),E413&amp;"",IF(AND(VALUE(E413)&gt;=1,VALUE(E413)&lt;=20),IF(INDEX(設定!$P$8:$P$27,VALUE(E413))="","？",INDEX(設定!$P$8:$P$27,VALUE(E413))),"？")))</f>
        <v/>
      </c>
      <c r="J413" s="44">
        <f>IF(F413="","",IF(ISERROR(VALUE(F413)),F413&amp;"",IF(AND(VALUE(F413)&gt;=1,VALUE(F413)&lt;=20),IF(INDEX(設定!$P$8:$P$27,VALUE(F413))="","？",INDEX(設定!$P$8:$P$27,VALUE(F413))),"？")))</f>
        <v/>
      </c>
      <c r="K413" s="45">
        <f>IF(L413="","",IF(G413="","名簿にいない",IF(COUNTIF(L414:L$552,L413)&gt;0,"2回提出（下の行を使います）",IF(OR(H413="？",I413="？",J413="？"),"クラブ番号がちがう",IF(OR(AND(H413&lt;&gt;"",H413&lt;&gt;"？",COUNTIF(設定!$P$8:$P$27,H413)=0),AND(I413&lt;&gt;"",I413&lt;&gt;"？",COUNTIF(設定!$P$8:$P$27,I413)=0),AND(J413&lt;&gt;"",J413&lt;&gt;"？",COUNTIF(設定!$P$8:$P$27,J413)=0)),"クラブ名がちがう",IF(H413="","第1希望がない",IF(OR(AND(H413&lt;&gt;"",H413=I413),AND(H413&lt;&gt;"",H413=J413),AND(I413&lt;&gt;"",I413=J413)),"同じクラブを重複して希望","OK")))))))</f>
        <v/>
      </c>
      <c r="L413" s="8">
        <f>IF(A413="","",A413&amp;"-"&amp;B413&amp;"-"&amp;C413)</f>
        <v/>
      </c>
      <c r="M413" s="8">
        <f>IF(OR(L413="",G413=""),"",IF(COUNTIF(L414:L$552,L413)=0,L413,""))</f>
        <v/>
      </c>
    </row>
    <row r="414">
      <c r="A414" s="40" t="n"/>
      <c r="B414" s="40" t="n"/>
      <c r="C414" s="40" t="n"/>
      <c r="D414" s="40" t="n"/>
      <c r="E414" s="40" t="n"/>
      <c r="F414" s="40" t="n"/>
      <c r="G414" s="3">
        <f>IF(L414="","",IFERROR(INDEX(前年度名簿!$D$2:$D$451,MATCH(L414,前年度名簿!$F$2:$F$451,0)),""))</f>
        <v/>
      </c>
      <c r="H414" s="44">
        <f>IF(D414="","",IF(ISERROR(VALUE(D414)),D414&amp;"",IF(AND(VALUE(D414)&gt;=1,VALUE(D414)&lt;=20),IF(INDEX(設定!$P$8:$P$27,VALUE(D414))="","？",INDEX(設定!$P$8:$P$27,VALUE(D414))),"？")))</f>
        <v/>
      </c>
      <c r="I414" s="44">
        <f>IF(E414="","",IF(ISERROR(VALUE(E414)),E414&amp;"",IF(AND(VALUE(E414)&gt;=1,VALUE(E414)&lt;=20),IF(INDEX(設定!$P$8:$P$27,VALUE(E414))="","？",INDEX(設定!$P$8:$P$27,VALUE(E414))),"？")))</f>
        <v/>
      </c>
      <c r="J414" s="44">
        <f>IF(F414="","",IF(ISERROR(VALUE(F414)),F414&amp;"",IF(AND(VALUE(F414)&gt;=1,VALUE(F414)&lt;=20),IF(INDEX(設定!$P$8:$P$27,VALUE(F414))="","？",INDEX(設定!$P$8:$P$27,VALUE(F414))),"？")))</f>
        <v/>
      </c>
      <c r="K414" s="45">
        <f>IF(L414="","",IF(G414="","名簿にいない",IF(COUNTIF(L415:L$552,L414)&gt;0,"2回提出（下の行を使います）",IF(OR(H414="？",I414="？",J414="？"),"クラブ番号がちがう",IF(OR(AND(H414&lt;&gt;"",H414&lt;&gt;"？",COUNTIF(設定!$P$8:$P$27,H414)=0),AND(I414&lt;&gt;"",I414&lt;&gt;"？",COUNTIF(設定!$P$8:$P$27,I414)=0),AND(J414&lt;&gt;"",J414&lt;&gt;"？",COUNTIF(設定!$P$8:$P$27,J414)=0)),"クラブ名がちがう",IF(H414="","第1希望がない",IF(OR(AND(H414&lt;&gt;"",H414=I414),AND(H414&lt;&gt;"",H414=J414),AND(I414&lt;&gt;"",I414=J414)),"同じクラブを重複して希望","OK")))))))</f>
        <v/>
      </c>
      <c r="L414" s="8">
        <f>IF(A414="","",A414&amp;"-"&amp;B414&amp;"-"&amp;C414)</f>
        <v/>
      </c>
      <c r="M414" s="8">
        <f>IF(OR(L414="",G414=""),"",IF(COUNTIF(L415:L$552,L414)=0,L414,""))</f>
        <v/>
      </c>
    </row>
    <row r="415">
      <c r="A415" s="40" t="n"/>
      <c r="B415" s="40" t="n"/>
      <c r="C415" s="40" t="n"/>
      <c r="D415" s="40" t="n"/>
      <c r="E415" s="40" t="n"/>
      <c r="F415" s="40" t="n"/>
      <c r="G415" s="3">
        <f>IF(L415="","",IFERROR(INDEX(前年度名簿!$D$2:$D$451,MATCH(L415,前年度名簿!$F$2:$F$451,0)),""))</f>
        <v/>
      </c>
      <c r="H415" s="44">
        <f>IF(D415="","",IF(ISERROR(VALUE(D415)),D415&amp;"",IF(AND(VALUE(D415)&gt;=1,VALUE(D415)&lt;=20),IF(INDEX(設定!$P$8:$P$27,VALUE(D415))="","？",INDEX(設定!$P$8:$P$27,VALUE(D415))),"？")))</f>
        <v/>
      </c>
      <c r="I415" s="44">
        <f>IF(E415="","",IF(ISERROR(VALUE(E415)),E415&amp;"",IF(AND(VALUE(E415)&gt;=1,VALUE(E415)&lt;=20),IF(INDEX(設定!$P$8:$P$27,VALUE(E415))="","？",INDEX(設定!$P$8:$P$27,VALUE(E415))),"？")))</f>
        <v/>
      </c>
      <c r="J415" s="44">
        <f>IF(F415="","",IF(ISERROR(VALUE(F415)),F415&amp;"",IF(AND(VALUE(F415)&gt;=1,VALUE(F415)&lt;=20),IF(INDEX(設定!$P$8:$P$27,VALUE(F415))="","？",INDEX(設定!$P$8:$P$27,VALUE(F415))),"？")))</f>
        <v/>
      </c>
      <c r="K415" s="45">
        <f>IF(L415="","",IF(G415="","名簿にいない",IF(COUNTIF(L416:L$552,L415)&gt;0,"2回提出（下の行を使います）",IF(OR(H415="？",I415="？",J415="？"),"クラブ番号がちがう",IF(OR(AND(H415&lt;&gt;"",H415&lt;&gt;"？",COUNTIF(設定!$P$8:$P$27,H415)=0),AND(I415&lt;&gt;"",I415&lt;&gt;"？",COUNTIF(設定!$P$8:$P$27,I415)=0),AND(J415&lt;&gt;"",J415&lt;&gt;"？",COUNTIF(設定!$P$8:$P$27,J415)=0)),"クラブ名がちがう",IF(H415="","第1希望がない",IF(OR(AND(H415&lt;&gt;"",H415=I415),AND(H415&lt;&gt;"",H415=J415),AND(I415&lt;&gt;"",I415=J415)),"同じクラブを重複して希望","OK")))))))</f>
        <v/>
      </c>
      <c r="L415" s="8">
        <f>IF(A415="","",A415&amp;"-"&amp;B415&amp;"-"&amp;C415)</f>
        <v/>
      </c>
      <c r="M415" s="8">
        <f>IF(OR(L415="",G415=""),"",IF(COUNTIF(L416:L$552,L415)=0,L415,""))</f>
        <v/>
      </c>
    </row>
    <row r="416">
      <c r="A416" s="40" t="n"/>
      <c r="B416" s="40" t="n"/>
      <c r="C416" s="40" t="n"/>
      <c r="D416" s="40" t="n"/>
      <c r="E416" s="40" t="n"/>
      <c r="F416" s="40" t="n"/>
      <c r="G416" s="3">
        <f>IF(L416="","",IFERROR(INDEX(前年度名簿!$D$2:$D$451,MATCH(L416,前年度名簿!$F$2:$F$451,0)),""))</f>
        <v/>
      </c>
      <c r="H416" s="44">
        <f>IF(D416="","",IF(ISERROR(VALUE(D416)),D416&amp;"",IF(AND(VALUE(D416)&gt;=1,VALUE(D416)&lt;=20),IF(INDEX(設定!$P$8:$P$27,VALUE(D416))="","？",INDEX(設定!$P$8:$P$27,VALUE(D416))),"？")))</f>
        <v/>
      </c>
      <c r="I416" s="44">
        <f>IF(E416="","",IF(ISERROR(VALUE(E416)),E416&amp;"",IF(AND(VALUE(E416)&gt;=1,VALUE(E416)&lt;=20),IF(INDEX(設定!$P$8:$P$27,VALUE(E416))="","？",INDEX(設定!$P$8:$P$27,VALUE(E416))),"？")))</f>
        <v/>
      </c>
      <c r="J416" s="44">
        <f>IF(F416="","",IF(ISERROR(VALUE(F416)),F416&amp;"",IF(AND(VALUE(F416)&gt;=1,VALUE(F416)&lt;=20),IF(INDEX(設定!$P$8:$P$27,VALUE(F416))="","？",INDEX(設定!$P$8:$P$27,VALUE(F416))),"？")))</f>
        <v/>
      </c>
      <c r="K416" s="45">
        <f>IF(L416="","",IF(G416="","名簿にいない",IF(COUNTIF(L417:L$552,L416)&gt;0,"2回提出（下の行を使います）",IF(OR(H416="？",I416="？",J416="？"),"クラブ番号がちがう",IF(OR(AND(H416&lt;&gt;"",H416&lt;&gt;"？",COUNTIF(設定!$P$8:$P$27,H416)=0),AND(I416&lt;&gt;"",I416&lt;&gt;"？",COUNTIF(設定!$P$8:$P$27,I416)=0),AND(J416&lt;&gt;"",J416&lt;&gt;"？",COUNTIF(設定!$P$8:$P$27,J416)=0)),"クラブ名がちがう",IF(H416="","第1希望がない",IF(OR(AND(H416&lt;&gt;"",H416=I416),AND(H416&lt;&gt;"",H416=J416),AND(I416&lt;&gt;"",I416=J416)),"同じクラブを重複して希望","OK")))))))</f>
        <v/>
      </c>
      <c r="L416" s="8">
        <f>IF(A416="","",A416&amp;"-"&amp;B416&amp;"-"&amp;C416)</f>
        <v/>
      </c>
      <c r="M416" s="8">
        <f>IF(OR(L416="",G416=""),"",IF(COUNTIF(L417:L$552,L416)=0,L416,""))</f>
        <v/>
      </c>
    </row>
    <row r="417">
      <c r="A417" s="40" t="n"/>
      <c r="B417" s="40" t="n"/>
      <c r="C417" s="40" t="n"/>
      <c r="D417" s="40" t="n"/>
      <c r="E417" s="40" t="n"/>
      <c r="F417" s="40" t="n"/>
      <c r="G417" s="3">
        <f>IF(L417="","",IFERROR(INDEX(前年度名簿!$D$2:$D$451,MATCH(L417,前年度名簿!$F$2:$F$451,0)),""))</f>
        <v/>
      </c>
      <c r="H417" s="44">
        <f>IF(D417="","",IF(ISERROR(VALUE(D417)),D417&amp;"",IF(AND(VALUE(D417)&gt;=1,VALUE(D417)&lt;=20),IF(INDEX(設定!$P$8:$P$27,VALUE(D417))="","？",INDEX(設定!$P$8:$P$27,VALUE(D417))),"？")))</f>
        <v/>
      </c>
      <c r="I417" s="44">
        <f>IF(E417="","",IF(ISERROR(VALUE(E417)),E417&amp;"",IF(AND(VALUE(E417)&gt;=1,VALUE(E417)&lt;=20),IF(INDEX(設定!$P$8:$P$27,VALUE(E417))="","？",INDEX(設定!$P$8:$P$27,VALUE(E417))),"？")))</f>
        <v/>
      </c>
      <c r="J417" s="44">
        <f>IF(F417="","",IF(ISERROR(VALUE(F417)),F417&amp;"",IF(AND(VALUE(F417)&gt;=1,VALUE(F417)&lt;=20),IF(INDEX(設定!$P$8:$P$27,VALUE(F417))="","？",INDEX(設定!$P$8:$P$27,VALUE(F417))),"？")))</f>
        <v/>
      </c>
      <c r="K417" s="45">
        <f>IF(L417="","",IF(G417="","名簿にいない",IF(COUNTIF(L418:L$552,L417)&gt;0,"2回提出（下の行を使います）",IF(OR(H417="？",I417="？",J417="？"),"クラブ番号がちがう",IF(OR(AND(H417&lt;&gt;"",H417&lt;&gt;"？",COUNTIF(設定!$P$8:$P$27,H417)=0),AND(I417&lt;&gt;"",I417&lt;&gt;"？",COUNTIF(設定!$P$8:$P$27,I417)=0),AND(J417&lt;&gt;"",J417&lt;&gt;"？",COUNTIF(設定!$P$8:$P$27,J417)=0)),"クラブ名がちがう",IF(H417="","第1希望がない",IF(OR(AND(H417&lt;&gt;"",H417=I417),AND(H417&lt;&gt;"",H417=J417),AND(I417&lt;&gt;"",I417=J417)),"同じクラブを重複して希望","OK")))))))</f>
        <v/>
      </c>
      <c r="L417" s="8">
        <f>IF(A417="","",A417&amp;"-"&amp;B417&amp;"-"&amp;C417)</f>
        <v/>
      </c>
      <c r="M417" s="8">
        <f>IF(OR(L417="",G417=""),"",IF(COUNTIF(L418:L$552,L417)=0,L417,""))</f>
        <v/>
      </c>
    </row>
    <row r="418">
      <c r="A418" s="40" t="n"/>
      <c r="B418" s="40" t="n"/>
      <c r="C418" s="40" t="n"/>
      <c r="D418" s="40" t="n"/>
      <c r="E418" s="40" t="n"/>
      <c r="F418" s="40" t="n"/>
      <c r="G418" s="3">
        <f>IF(L418="","",IFERROR(INDEX(前年度名簿!$D$2:$D$451,MATCH(L418,前年度名簿!$F$2:$F$451,0)),""))</f>
        <v/>
      </c>
      <c r="H418" s="44">
        <f>IF(D418="","",IF(ISERROR(VALUE(D418)),D418&amp;"",IF(AND(VALUE(D418)&gt;=1,VALUE(D418)&lt;=20),IF(INDEX(設定!$P$8:$P$27,VALUE(D418))="","？",INDEX(設定!$P$8:$P$27,VALUE(D418))),"？")))</f>
        <v/>
      </c>
      <c r="I418" s="44">
        <f>IF(E418="","",IF(ISERROR(VALUE(E418)),E418&amp;"",IF(AND(VALUE(E418)&gt;=1,VALUE(E418)&lt;=20),IF(INDEX(設定!$P$8:$P$27,VALUE(E418))="","？",INDEX(設定!$P$8:$P$27,VALUE(E418))),"？")))</f>
        <v/>
      </c>
      <c r="J418" s="44">
        <f>IF(F418="","",IF(ISERROR(VALUE(F418)),F418&amp;"",IF(AND(VALUE(F418)&gt;=1,VALUE(F418)&lt;=20),IF(INDEX(設定!$P$8:$P$27,VALUE(F418))="","？",INDEX(設定!$P$8:$P$27,VALUE(F418))),"？")))</f>
        <v/>
      </c>
      <c r="K418" s="45">
        <f>IF(L418="","",IF(G418="","名簿にいない",IF(COUNTIF(L419:L$552,L418)&gt;0,"2回提出（下の行を使います）",IF(OR(H418="？",I418="？",J418="？"),"クラブ番号がちがう",IF(OR(AND(H418&lt;&gt;"",H418&lt;&gt;"？",COUNTIF(設定!$P$8:$P$27,H418)=0),AND(I418&lt;&gt;"",I418&lt;&gt;"？",COUNTIF(設定!$P$8:$P$27,I418)=0),AND(J418&lt;&gt;"",J418&lt;&gt;"？",COUNTIF(設定!$P$8:$P$27,J418)=0)),"クラブ名がちがう",IF(H418="","第1希望がない",IF(OR(AND(H418&lt;&gt;"",H418=I418),AND(H418&lt;&gt;"",H418=J418),AND(I418&lt;&gt;"",I418=J418)),"同じクラブを重複して希望","OK")))))))</f>
        <v/>
      </c>
      <c r="L418" s="8">
        <f>IF(A418="","",A418&amp;"-"&amp;B418&amp;"-"&amp;C418)</f>
        <v/>
      </c>
      <c r="M418" s="8">
        <f>IF(OR(L418="",G418=""),"",IF(COUNTIF(L419:L$552,L418)=0,L418,""))</f>
        <v/>
      </c>
    </row>
    <row r="419">
      <c r="A419" s="40" t="n"/>
      <c r="B419" s="40" t="n"/>
      <c r="C419" s="40" t="n"/>
      <c r="D419" s="40" t="n"/>
      <c r="E419" s="40" t="n"/>
      <c r="F419" s="40" t="n"/>
      <c r="G419" s="3">
        <f>IF(L419="","",IFERROR(INDEX(前年度名簿!$D$2:$D$451,MATCH(L419,前年度名簿!$F$2:$F$451,0)),""))</f>
        <v/>
      </c>
      <c r="H419" s="44">
        <f>IF(D419="","",IF(ISERROR(VALUE(D419)),D419&amp;"",IF(AND(VALUE(D419)&gt;=1,VALUE(D419)&lt;=20),IF(INDEX(設定!$P$8:$P$27,VALUE(D419))="","？",INDEX(設定!$P$8:$P$27,VALUE(D419))),"？")))</f>
        <v/>
      </c>
      <c r="I419" s="44">
        <f>IF(E419="","",IF(ISERROR(VALUE(E419)),E419&amp;"",IF(AND(VALUE(E419)&gt;=1,VALUE(E419)&lt;=20),IF(INDEX(設定!$P$8:$P$27,VALUE(E419))="","？",INDEX(設定!$P$8:$P$27,VALUE(E419))),"？")))</f>
        <v/>
      </c>
      <c r="J419" s="44">
        <f>IF(F419="","",IF(ISERROR(VALUE(F419)),F419&amp;"",IF(AND(VALUE(F419)&gt;=1,VALUE(F419)&lt;=20),IF(INDEX(設定!$P$8:$P$27,VALUE(F419))="","？",INDEX(設定!$P$8:$P$27,VALUE(F419))),"？")))</f>
        <v/>
      </c>
      <c r="K419" s="45">
        <f>IF(L419="","",IF(G419="","名簿にいない",IF(COUNTIF(L420:L$552,L419)&gt;0,"2回提出（下の行を使います）",IF(OR(H419="？",I419="？",J419="？"),"クラブ番号がちがう",IF(OR(AND(H419&lt;&gt;"",H419&lt;&gt;"？",COUNTIF(設定!$P$8:$P$27,H419)=0),AND(I419&lt;&gt;"",I419&lt;&gt;"？",COUNTIF(設定!$P$8:$P$27,I419)=0),AND(J419&lt;&gt;"",J419&lt;&gt;"？",COUNTIF(設定!$P$8:$P$27,J419)=0)),"クラブ名がちがう",IF(H419="","第1希望がない",IF(OR(AND(H419&lt;&gt;"",H419=I419),AND(H419&lt;&gt;"",H419=J419),AND(I419&lt;&gt;"",I419=J419)),"同じクラブを重複して希望","OK")))))))</f>
        <v/>
      </c>
      <c r="L419" s="8">
        <f>IF(A419="","",A419&amp;"-"&amp;B419&amp;"-"&amp;C419)</f>
        <v/>
      </c>
      <c r="M419" s="8">
        <f>IF(OR(L419="",G419=""),"",IF(COUNTIF(L420:L$552,L419)=0,L419,""))</f>
        <v/>
      </c>
    </row>
    <row r="420">
      <c r="A420" s="40" t="n"/>
      <c r="B420" s="40" t="n"/>
      <c r="C420" s="40" t="n"/>
      <c r="D420" s="40" t="n"/>
      <c r="E420" s="40" t="n"/>
      <c r="F420" s="40" t="n"/>
      <c r="G420" s="3">
        <f>IF(L420="","",IFERROR(INDEX(前年度名簿!$D$2:$D$451,MATCH(L420,前年度名簿!$F$2:$F$451,0)),""))</f>
        <v/>
      </c>
      <c r="H420" s="44">
        <f>IF(D420="","",IF(ISERROR(VALUE(D420)),D420&amp;"",IF(AND(VALUE(D420)&gt;=1,VALUE(D420)&lt;=20),IF(INDEX(設定!$P$8:$P$27,VALUE(D420))="","？",INDEX(設定!$P$8:$P$27,VALUE(D420))),"？")))</f>
        <v/>
      </c>
      <c r="I420" s="44">
        <f>IF(E420="","",IF(ISERROR(VALUE(E420)),E420&amp;"",IF(AND(VALUE(E420)&gt;=1,VALUE(E420)&lt;=20),IF(INDEX(設定!$P$8:$P$27,VALUE(E420))="","？",INDEX(設定!$P$8:$P$27,VALUE(E420))),"？")))</f>
        <v/>
      </c>
      <c r="J420" s="44">
        <f>IF(F420="","",IF(ISERROR(VALUE(F420)),F420&amp;"",IF(AND(VALUE(F420)&gt;=1,VALUE(F420)&lt;=20),IF(INDEX(設定!$P$8:$P$27,VALUE(F420))="","？",INDEX(設定!$P$8:$P$27,VALUE(F420))),"？")))</f>
        <v/>
      </c>
      <c r="K420" s="45">
        <f>IF(L420="","",IF(G420="","名簿にいない",IF(COUNTIF(L421:L$552,L420)&gt;0,"2回提出（下の行を使います）",IF(OR(H420="？",I420="？",J420="？"),"クラブ番号がちがう",IF(OR(AND(H420&lt;&gt;"",H420&lt;&gt;"？",COUNTIF(設定!$P$8:$P$27,H420)=0),AND(I420&lt;&gt;"",I420&lt;&gt;"？",COUNTIF(設定!$P$8:$P$27,I420)=0),AND(J420&lt;&gt;"",J420&lt;&gt;"？",COUNTIF(設定!$P$8:$P$27,J420)=0)),"クラブ名がちがう",IF(H420="","第1希望がない",IF(OR(AND(H420&lt;&gt;"",H420=I420),AND(H420&lt;&gt;"",H420=J420),AND(I420&lt;&gt;"",I420=J420)),"同じクラブを重複して希望","OK")))))))</f>
        <v/>
      </c>
      <c r="L420" s="8">
        <f>IF(A420="","",A420&amp;"-"&amp;B420&amp;"-"&amp;C420)</f>
        <v/>
      </c>
      <c r="M420" s="8">
        <f>IF(OR(L420="",G420=""),"",IF(COUNTIF(L421:L$552,L420)=0,L420,""))</f>
        <v/>
      </c>
    </row>
    <row r="421">
      <c r="A421" s="40" t="n"/>
      <c r="B421" s="40" t="n"/>
      <c r="C421" s="40" t="n"/>
      <c r="D421" s="40" t="n"/>
      <c r="E421" s="40" t="n"/>
      <c r="F421" s="40" t="n"/>
      <c r="G421" s="3">
        <f>IF(L421="","",IFERROR(INDEX(前年度名簿!$D$2:$D$451,MATCH(L421,前年度名簿!$F$2:$F$451,0)),""))</f>
        <v/>
      </c>
      <c r="H421" s="44">
        <f>IF(D421="","",IF(ISERROR(VALUE(D421)),D421&amp;"",IF(AND(VALUE(D421)&gt;=1,VALUE(D421)&lt;=20),IF(INDEX(設定!$P$8:$P$27,VALUE(D421))="","？",INDEX(設定!$P$8:$P$27,VALUE(D421))),"？")))</f>
        <v/>
      </c>
      <c r="I421" s="44">
        <f>IF(E421="","",IF(ISERROR(VALUE(E421)),E421&amp;"",IF(AND(VALUE(E421)&gt;=1,VALUE(E421)&lt;=20),IF(INDEX(設定!$P$8:$P$27,VALUE(E421))="","？",INDEX(設定!$P$8:$P$27,VALUE(E421))),"？")))</f>
        <v/>
      </c>
      <c r="J421" s="44">
        <f>IF(F421="","",IF(ISERROR(VALUE(F421)),F421&amp;"",IF(AND(VALUE(F421)&gt;=1,VALUE(F421)&lt;=20),IF(INDEX(設定!$P$8:$P$27,VALUE(F421))="","？",INDEX(設定!$P$8:$P$27,VALUE(F421))),"？")))</f>
        <v/>
      </c>
      <c r="K421" s="45">
        <f>IF(L421="","",IF(G421="","名簿にいない",IF(COUNTIF(L422:L$552,L421)&gt;0,"2回提出（下の行を使います）",IF(OR(H421="？",I421="？",J421="？"),"クラブ番号がちがう",IF(OR(AND(H421&lt;&gt;"",H421&lt;&gt;"？",COUNTIF(設定!$P$8:$P$27,H421)=0),AND(I421&lt;&gt;"",I421&lt;&gt;"？",COUNTIF(設定!$P$8:$P$27,I421)=0),AND(J421&lt;&gt;"",J421&lt;&gt;"？",COUNTIF(設定!$P$8:$P$27,J421)=0)),"クラブ名がちがう",IF(H421="","第1希望がない",IF(OR(AND(H421&lt;&gt;"",H421=I421),AND(H421&lt;&gt;"",H421=J421),AND(I421&lt;&gt;"",I421=J421)),"同じクラブを重複して希望","OK")))))))</f>
        <v/>
      </c>
      <c r="L421" s="8">
        <f>IF(A421="","",A421&amp;"-"&amp;B421&amp;"-"&amp;C421)</f>
        <v/>
      </c>
      <c r="M421" s="8">
        <f>IF(OR(L421="",G421=""),"",IF(COUNTIF(L422:L$552,L421)=0,L421,""))</f>
        <v/>
      </c>
    </row>
    <row r="422">
      <c r="A422" s="40" t="n"/>
      <c r="B422" s="40" t="n"/>
      <c r="C422" s="40" t="n"/>
      <c r="D422" s="40" t="n"/>
      <c r="E422" s="40" t="n"/>
      <c r="F422" s="40" t="n"/>
      <c r="G422" s="3">
        <f>IF(L422="","",IFERROR(INDEX(前年度名簿!$D$2:$D$451,MATCH(L422,前年度名簿!$F$2:$F$451,0)),""))</f>
        <v/>
      </c>
      <c r="H422" s="44">
        <f>IF(D422="","",IF(ISERROR(VALUE(D422)),D422&amp;"",IF(AND(VALUE(D422)&gt;=1,VALUE(D422)&lt;=20),IF(INDEX(設定!$P$8:$P$27,VALUE(D422))="","？",INDEX(設定!$P$8:$P$27,VALUE(D422))),"？")))</f>
        <v/>
      </c>
      <c r="I422" s="44">
        <f>IF(E422="","",IF(ISERROR(VALUE(E422)),E422&amp;"",IF(AND(VALUE(E422)&gt;=1,VALUE(E422)&lt;=20),IF(INDEX(設定!$P$8:$P$27,VALUE(E422))="","？",INDEX(設定!$P$8:$P$27,VALUE(E422))),"？")))</f>
        <v/>
      </c>
      <c r="J422" s="44">
        <f>IF(F422="","",IF(ISERROR(VALUE(F422)),F422&amp;"",IF(AND(VALUE(F422)&gt;=1,VALUE(F422)&lt;=20),IF(INDEX(設定!$P$8:$P$27,VALUE(F422))="","？",INDEX(設定!$P$8:$P$27,VALUE(F422))),"？")))</f>
        <v/>
      </c>
      <c r="K422" s="45">
        <f>IF(L422="","",IF(G422="","名簿にいない",IF(COUNTIF(L423:L$552,L422)&gt;0,"2回提出（下の行を使います）",IF(OR(H422="？",I422="？",J422="？"),"クラブ番号がちがう",IF(OR(AND(H422&lt;&gt;"",H422&lt;&gt;"？",COUNTIF(設定!$P$8:$P$27,H422)=0),AND(I422&lt;&gt;"",I422&lt;&gt;"？",COUNTIF(設定!$P$8:$P$27,I422)=0),AND(J422&lt;&gt;"",J422&lt;&gt;"？",COUNTIF(設定!$P$8:$P$27,J422)=0)),"クラブ名がちがう",IF(H422="","第1希望がない",IF(OR(AND(H422&lt;&gt;"",H422=I422),AND(H422&lt;&gt;"",H422=J422),AND(I422&lt;&gt;"",I422=J422)),"同じクラブを重複して希望","OK")))))))</f>
        <v/>
      </c>
      <c r="L422" s="8">
        <f>IF(A422="","",A422&amp;"-"&amp;B422&amp;"-"&amp;C422)</f>
        <v/>
      </c>
      <c r="M422" s="8">
        <f>IF(OR(L422="",G422=""),"",IF(COUNTIF(L423:L$552,L422)=0,L422,""))</f>
        <v/>
      </c>
    </row>
    <row r="423">
      <c r="A423" s="40" t="n"/>
      <c r="B423" s="40" t="n"/>
      <c r="C423" s="40" t="n"/>
      <c r="D423" s="40" t="n"/>
      <c r="E423" s="40" t="n"/>
      <c r="F423" s="40" t="n"/>
      <c r="G423" s="3">
        <f>IF(L423="","",IFERROR(INDEX(前年度名簿!$D$2:$D$451,MATCH(L423,前年度名簿!$F$2:$F$451,0)),""))</f>
        <v/>
      </c>
      <c r="H423" s="44">
        <f>IF(D423="","",IF(ISERROR(VALUE(D423)),D423&amp;"",IF(AND(VALUE(D423)&gt;=1,VALUE(D423)&lt;=20),IF(INDEX(設定!$P$8:$P$27,VALUE(D423))="","？",INDEX(設定!$P$8:$P$27,VALUE(D423))),"？")))</f>
        <v/>
      </c>
      <c r="I423" s="44">
        <f>IF(E423="","",IF(ISERROR(VALUE(E423)),E423&amp;"",IF(AND(VALUE(E423)&gt;=1,VALUE(E423)&lt;=20),IF(INDEX(設定!$P$8:$P$27,VALUE(E423))="","？",INDEX(設定!$P$8:$P$27,VALUE(E423))),"？")))</f>
        <v/>
      </c>
      <c r="J423" s="44">
        <f>IF(F423="","",IF(ISERROR(VALUE(F423)),F423&amp;"",IF(AND(VALUE(F423)&gt;=1,VALUE(F423)&lt;=20),IF(INDEX(設定!$P$8:$P$27,VALUE(F423))="","？",INDEX(設定!$P$8:$P$27,VALUE(F423))),"？")))</f>
        <v/>
      </c>
      <c r="K423" s="45">
        <f>IF(L423="","",IF(G423="","名簿にいない",IF(COUNTIF(L424:L$552,L423)&gt;0,"2回提出（下の行を使います）",IF(OR(H423="？",I423="？",J423="？"),"クラブ番号がちがう",IF(OR(AND(H423&lt;&gt;"",H423&lt;&gt;"？",COUNTIF(設定!$P$8:$P$27,H423)=0),AND(I423&lt;&gt;"",I423&lt;&gt;"？",COUNTIF(設定!$P$8:$P$27,I423)=0),AND(J423&lt;&gt;"",J423&lt;&gt;"？",COUNTIF(設定!$P$8:$P$27,J423)=0)),"クラブ名がちがう",IF(H423="","第1希望がない",IF(OR(AND(H423&lt;&gt;"",H423=I423),AND(H423&lt;&gt;"",H423=J423),AND(I423&lt;&gt;"",I423=J423)),"同じクラブを重複して希望","OK")))))))</f>
        <v/>
      </c>
      <c r="L423" s="8">
        <f>IF(A423="","",A423&amp;"-"&amp;B423&amp;"-"&amp;C423)</f>
        <v/>
      </c>
      <c r="M423" s="8">
        <f>IF(OR(L423="",G423=""),"",IF(COUNTIF(L424:L$552,L423)=0,L423,""))</f>
        <v/>
      </c>
    </row>
    <row r="424">
      <c r="A424" s="40" t="n"/>
      <c r="B424" s="40" t="n"/>
      <c r="C424" s="40" t="n"/>
      <c r="D424" s="40" t="n"/>
      <c r="E424" s="40" t="n"/>
      <c r="F424" s="40" t="n"/>
      <c r="G424" s="3">
        <f>IF(L424="","",IFERROR(INDEX(前年度名簿!$D$2:$D$451,MATCH(L424,前年度名簿!$F$2:$F$451,0)),""))</f>
        <v/>
      </c>
      <c r="H424" s="44">
        <f>IF(D424="","",IF(ISERROR(VALUE(D424)),D424&amp;"",IF(AND(VALUE(D424)&gt;=1,VALUE(D424)&lt;=20),IF(INDEX(設定!$P$8:$P$27,VALUE(D424))="","？",INDEX(設定!$P$8:$P$27,VALUE(D424))),"？")))</f>
        <v/>
      </c>
      <c r="I424" s="44">
        <f>IF(E424="","",IF(ISERROR(VALUE(E424)),E424&amp;"",IF(AND(VALUE(E424)&gt;=1,VALUE(E424)&lt;=20),IF(INDEX(設定!$P$8:$P$27,VALUE(E424))="","？",INDEX(設定!$P$8:$P$27,VALUE(E424))),"？")))</f>
        <v/>
      </c>
      <c r="J424" s="44">
        <f>IF(F424="","",IF(ISERROR(VALUE(F424)),F424&amp;"",IF(AND(VALUE(F424)&gt;=1,VALUE(F424)&lt;=20),IF(INDEX(設定!$P$8:$P$27,VALUE(F424))="","？",INDEX(設定!$P$8:$P$27,VALUE(F424))),"？")))</f>
        <v/>
      </c>
      <c r="K424" s="45">
        <f>IF(L424="","",IF(G424="","名簿にいない",IF(COUNTIF(L425:L$552,L424)&gt;0,"2回提出（下の行を使います）",IF(OR(H424="？",I424="？",J424="？"),"クラブ番号がちがう",IF(OR(AND(H424&lt;&gt;"",H424&lt;&gt;"？",COUNTIF(設定!$P$8:$P$27,H424)=0),AND(I424&lt;&gt;"",I424&lt;&gt;"？",COUNTIF(設定!$P$8:$P$27,I424)=0),AND(J424&lt;&gt;"",J424&lt;&gt;"？",COUNTIF(設定!$P$8:$P$27,J424)=0)),"クラブ名がちがう",IF(H424="","第1希望がない",IF(OR(AND(H424&lt;&gt;"",H424=I424),AND(H424&lt;&gt;"",H424=J424),AND(I424&lt;&gt;"",I424=J424)),"同じクラブを重複して希望","OK")))))))</f>
        <v/>
      </c>
      <c r="L424" s="8">
        <f>IF(A424="","",A424&amp;"-"&amp;B424&amp;"-"&amp;C424)</f>
        <v/>
      </c>
      <c r="M424" s="8">
        <f>IF(OR(L424="",G424=""),"",IF(COUNTIF(L425:L$552,L424)=0,L424,""))</f>
        <v/>
      </c>
    </row>
    <row r="425">
      <c r="A425" s="40" t="n"/>
      <c r="B425" s="40" t="n"/>
      <c r="C425" s="40" t="n"/>
      <c r="D425" s="40" t="n"/>
      <c r="E425" s="40" t="n"/>
      <c r="F425" s="40" t="n"/>
      <c r="G425" s="3">
        <f>IF(L425="","",IFERROR(INDEX(前年度名簿!$D$2:$D$451,MATCH(L425,前年度名簿!$F$2:$F$451,0)),""))</f>
        <v/>
      </c>
      <c r="H425" s="44">
        <f>IF(D425="","",IF(ISERROR(VALUE(D425)),D425&amp;"",IF(AND(VALUE(D425)&gt;=1,VALUE(D425)&lt;=20),IF(INDEX(設定!$P$8:$P$27,VALUE(D425))="","？",INDEX(設定!$P$8:$P$27,VALUE(D425))),"？")))</f>
        <v/>
      </c>
      <c r="I425" s="44">
        <f>IF(E425="","",IF(ISERROR(VALUE(E425)),E425&amp;"",IF(AND(VALUE(E425)&gt;=1,VALUE(E425)&lt;=20),IF(INDEX(設定!$P$8:$P$27,VALUE(E425))="","？",INDEX(設定!$P$8:$P$27,VALUE(E425))),"？")))</f>
        <v/>
      </c>
      <c r="J425" s="44">
        <f>IF(F425="","",IF(ISERROR(VALUE(F425)),F425&amp;"",IF(AND(VALUE(F425)&gt;=1,VALUE(F425)&lt;=20),IF(INDEX(設定!$P$8:$P$27,VALUE(F425))="","？",INDEX(設定!$P$8:$P$27,VALUE(F425))),"？")))</f>
        <v/>
      </c>
      <c r="K425" s="45">
        <f>IF(L425="","",IF(G425="","名簿にいない",IF(COUNTIF(L426:L$552,L425)&gt;0,"2回提出（下の行を使います）",IF(OR(H425="？",I425="？",J425="？"),"クラブ番号がちがう",IF(OR(AND(H425&lt;&gt;"",H425&lt;&gt;"？",COUNTIF(設定!$P$8:$P$27,H425)=0),AND(I425&lt;&gt;"",I425&lt;&gt;"？",COUNTIF(設定!$P$8:$P$27,I425)=0),AND(J425&lt;&gt;"",J425&lt;&gt;"？",COUNTIF(設定!$P$8:$P$27,J425)=0)),"クラブ名がちがう",IF(H425="","第1希望がない",IF(OR(AND(H425&lt;&gt;"",H425=I425),AND(H425&lt;&gt;"",H425=J425),AND(I425&lt;&gt;"",I425=J425)),"同じクラブを重複して希望","OK")))))))</f>
        <v/>
      </c>
      <c r="L425" s="8">
        <f>IF(A425="","",A425&amp;"-"&amp;B425&amp;"-"&amp;C425)</f>
        <v/>
      </c>
      <c r="M425" s="8">
        <f>IF(OR(L425="",G425=""),"",IF(COUNTIF(L426:L$552,L425)=0,L425,""))</f>
        <v/>
      </c>
    </row>
    <row r="426">
      <c r="A426" s="40" t="n"/>
      <c r="B426" s="40" t="n"/>
      <c r="C426" s="40" t="n"/>
      <c r="D426" s="40" t="n"/>
      <c r="E426" s="40" t="n"/>
      <c r="F426" s="40" t="n"/>
      <c r="G426" s="3">
        <f>IF(L426="","",IFERROR(INDEX(前年度名簿!$D$2:$D$451,MATCH(L426,前年度名簿!$F$2:$F$451,0)),""))</f>
        <v/>
      </c>
      <c r="H426" s="44">
        <f>IF(D426="","",IF(ISERROR(VALUE(D426)),D426&amp;"",IF(AND(VALUE(D426)&gt;=1,VALUE(D426)&lt;=20),IF(INDEX(設定!$P$8:$P$27,VALUE(D426))="","？",INDEX(設定!$P$8:$P$27,VALUE(D426))),"？")))</f>
        <v/>
      </c>
      <c r="I426" s="44">
        <f>IF(E426="","",IF(ISERROR(VALUE(E426)),E426&amp;"",IF(AND(VALUE(E426)&gt;=1,VALUE(E426)&lt;=20),IF(INDEX(設定!$P$8:$P$27,VALUE(E426))="","？",INDEX(設定!$P$8:$P$27,VALUE(E426))),"？")))</f>
        <v/>
      </c>
      <c r="J426" s="44">
        <f>IF(F426="","",IF(ISERROR(VALUE(F426)),F426&amp;"",IF(AND(VALUE(F426)&gt;=1,VALUE(F426)&lt;=20),IF(INDEX(設定!$P$8:$P$27,VALUE(F426))="","？",INDEX(設定!$P$8:$P$27,VALUE(F426))),"？")))</f>
        <v/>
      </c>
      <c r="K426" s="45">
        <f>IF(L426="","",IF(G426="","名簿にいない",IF(COUNTIF(L427:L$552,L426)&gt;0,"2回提出（下の行を使います）",IF(OR(H426="？",I426="？",J426="？"),"クラブ番号がちがう",IF(OR(AND(H426&lt;&gt;"",H426&lt;&gt;"？",COUNTIF(設定!$P$8:$P$27,H426)=0),AND(I426&lt;&gt;"",I426&lt;&gt;"？",COUNTIF(設定!$P$8:$P$27,I426)=0),AND(J426&lt;&gt;"",J426&lt;&gt;"？",COUNTIF(設定!$P$8:$P$27,J426)=0)),"クラブ名がちがう",IF(H426="","第1希望がない",IF(OR(AND(H426&lt;&gt;"",H426=I426),AND(H426&lt;&gt;"",H426=J426),AND(I426&lt;&gt;"",I426=J426)),"同じクラブを重複して希望","OK")))))))</f>
        <v/>
      </c>
      <c r="L426" s="8">
        <f>IF(A426="","",A426&amp;"-"&amp;B426&amp;"-"&amp;C426)</f>
        <v/>
      </c>
      <c r="M426" s="8">
        <f>IF(OR(L426="",G426=""),"",IF(COUNTIF(L427:L$552,L426)=0,L426,""))</f>
        <v/>
      </c>
    </row>
    <row r="427">
      <c r="A427" s="40" t="n"/>
      <c r="B427" s="40" t="n"/>
      <c r="C427" s="40" t="n"/>
      <c r="D427" s="40" t="n"/>
      <c r="E427" s="40" t="n"/>
      <c r="F427" s="40" t="n"/>
      <c r="G427" s="3">
        <f>IF(L427="","",IFERROR(INDEX(前年度名簿!$D$2:$D$451,MATCH(L427,前年度名簿!$F$2:$F$451,0)),""))</f>
        <v/>
      </c>
      <c r="H427" s="44">
        <f>IF(D427="","",IF(ISERROR(VALUE(D427)),D427&amp;"",IF(AND(VALUE(D427)&gt;=1,VALUE(D427)&lt;=20),IF(INDEX(設定!$P$8:$P$27,VALUE(D427))="","？",INDEX(設定!$P$8:$P$27,VALUE(D427))),"？")))</f>
        <v/>
      </c>
      <c r="I427" s="44">
        <f>IF(E427="","",IF(ISERROR(VALUE(E427)),E427&amp;"",IF(AND(VALUE(E427)&gt;=1,VALUE(E427)&lt;=20),IF(INDEX(設定!$P$8:$P$27,VALUE(E427))="","？",INDEX(設定!$P$8:$P$27,VALUE(E427))),"？")))</f>
        <v/>
      </c>
      <c r="J427" s="44">
        <f>IF(F427="","",IF(ISERROR(VALUE(F427)),F427&amp;"",IF(AND(VALUE(F427)&gt;=1,VALUE(F427)&lt;=20),IF(INDEX(設定!$P$8:$P$27,VALUE(F427))="","？",INDEX(設定!$P$8:$P$27,VALUE(F427))),"？")))</f>
        <v/>
      </c>
      <c r="K427" s="45">
        <f>IF(L427="","",IF(G427="","名簿にいない",IF(COUNTIF(L428:L$552,L427)&gt;0,"2回提出（下の行を使います）",IF(OR(H427="？",I427="？",J427="？"),"クラブ番号がちがう",IF(OR(AND(H427&lt;&gt;"",H427&lt;&gt;"？",COUNTIF(設定!$P$8:$P$27,H427)=0),AND(I427&lt;&gt;"",I427&lt;&gt;"？",COUNTIF(設定!$P$8:$P$27,I427)=0),AND(J427&lt;&gt;"",J427&lt;&gt;"？",COUNTIF(設定!$P$8:$P$27,J427)=0)),"クラブ名がちがう",IF(H427="","第1希望がない",IF(OR(AND(H427&lt;&gt;"",H427=I427),AND(H427&lt;&gt;"",H427=J427),AND(I427&lt;&gt;"",I427=J427)),"同じクラブを重複して希望","OK")))))))</f>
        <v/>
      </c>
      <c r="L427" s="8">
        <f>IF(A427="","",A427&amp;"-"&amp;B427&amp;"-"&amp;C427)</f>
        <v/>
      </c>
      <c r="M427" s="8">
        <f>IF(OR(L427="",G427=""),"",IF(COUNTIF(L428:L$552,L427)=0,L427,""))</f>
        <v/>
      </c>
    </row>
    <row r="428">
      <c r="A428" s="40" t="n"/>
      <c r="B428" s="40" t="n"/>
      <c r="C428" s="40" t="n"/>
      <c r="D428" s="40" t="n"/>
      <c r="E428" s="40" t="n"/>
      <c r="F428" s="40" t="n"/>
      <c r="G428" s="3">
        <f>IF(L428="","",IFERROR(INDEX(前年度名簿!$D$2:$D$451,MATCH(L428,前年度名簿!$F$2:$F$451,0)),""))</f>
        <v/>
      </c>
      <c r="H428" s="44">
        <f>IF(D428="","",IF(ISERROR(VALUE(D428)),D428&amp;"",IF(AND(VALUE(D428)&gt;=1,VALUE(D428)&lt;=20),IF(INDEX(設定!$P$8:$P$27,VALUE(D428))="","？",INDEX(設定!$P$8:$P$27,VALUE(D428))),"？")))</f>
        <v/>
      </c>
      <c r="I428" s="44">
        <f>IF(E428="","",IF(ISERROR(VALUE(E428)),E428&amp;"",IF(AND(VALUE(E428)&gt;=1,VALUE(E428)&lt;=20),IF(INDEX(設定!$P$8:$P$27,VALUE(E428))="","？",INDEX(設定!$P$8:$P$27,VALUE(E428))),"？")))</f>
        <v/>
      </c>
      <c r="J428" s="44">
        <f>IF(F428="","",IF(ISERROR(VALUE(F428)),F428&amp;"",IF(AND(VALUE(F428)&gt;=1,VALUE(F428)&lt;=20),IF(INDEX(設定!$P$8:$P$27,VALUE(F428))="","？",INDEX(設定!$P$8:$P$27,VALUE(F428))),"？")))</f>
        <v/>
      </c>
      <c r="K428" s="45">
        <f>IF(L428="","",IF(G428="","名簿にいない",IF(COUNTIF(L429:L$552,L428)&gt;0,"2回提出（下の行を使います）",IF(OR(H428="？",I428="？",J428="？"),"クラブ番号がちがう",IF(OR(AND(H428&lt;&gt;"",H428&lt;&gt;"？",COUNTIF(設定!$P$8:$P$27,H428)=0),AND(I428&lt;&gt;"",I428&lt;&gt;"？",COUNTIF(設定!$P$8:$P$27,I428)=0),AND(J428&lt;&gt;"",J428&lt;&gt;"？",COUNTIF(設定!$P$8:$P$27,J428)=0)),"クラブ名がちがう",IF(H428="","第1希望がない",IF(OR(AND(H428&lt;&gt;"",H428=I428),AND(H428&lt;&gt;"",H428=J428),AND(I428&lt;&gt;"",I428=J428)),"同じクラブを重複して希望","OK")))))))</f>
        <v/>
      </c>
      <c r="L428" s="8">
        <f>IF(A428="","",A428&amp;"-"&amp;B428&amp;"-"&amp;C428)</f>
        <v/>
      </c>
      <c r="M428" s="8">
        <f>IF(OR(L428="",G428=""),"",IF(COUNTIF(L429:L$552,L428)=0,L428,""))</f>
        <v/>
      </c>
    </row>
    <row r="429">
      <c r="A429" s="40" t="n"/>
      <c r="B429" s="40" t="n"/>
      <c r="C429" s="40" t="n"/>
      <c r="D429" s="40" t="n"/>
      <c r="E429" s="40" t="n"/>
      <c r="F429" s="40" t="n"/>
      <c r="G429" s="3">
        <f>IF(L429="","",IFERROR(INDEX(前年度名簿!$D$2:$D$451,MATCH(L429,前年度名簿!$F$2:$F$451,0)),""))</f>
        <v/>
      </c>
      <c r="H429" s="44">
        <f>IF(D429="","",IF(ISERROR(VALUE(D429)),D429&amp;"",IF(AND(VALUE(D429)&gt;=1,VALUE(D429)&lt;=20),IF(INDEX(設定!$P$8:$P$27,VALUE(D429))="","？",INDEX(設定!$P$8:$P$27,VALUE(D429))),"？")))</f>
        <v/>
      </c>
      <c r="I429" s="44">
        <f>IF(E429="","",IF(ISERROR(VALUE(E429)),E429&amp;"",IF(AND(VALUE(E429)&gt;=1,VALUE(E429)&lt;=20),IF(INDEX(設定!$P$8:$P$27,VALUE(E429))="","？",INDEX(設定!$P$8:$P$27,VALUE(E429))),"？")))</f>
        <v/>
      </c>
      <c r="J429" s="44">
        <f>IF(F429="","",IF(ISERROR(VALUE(F429)),F429&amp;"",IF(AND(VALUE(F429)&gt;=1,VALUE(F429)&lt;=20),IF(INDEX(設定!$P$8:$P$27,VALUE(F429))="","？",INDEX(設定!$P$8:$P$27,VALUE(F429))),"？")))</f>
        <v/>
      </c>
      <c r="K429" s="45">
        <f>IF(L429="","",IF(G429="","名簿にいない",IF(COUNTIF(L430:L$552,L429)&gt;0,"2回提出（下の行を使います）",IF(OR(H429="？",I429="？",J429="？"),"クラブ番号がちがう",IF(OR(AND(H429&lt;&gt;"",H429&lt;&gt;"？",COUNTIF(設定!$P$8:$P$27,H429)=0),AND(I429&lt;&gt;"",I429&lt;&gt;"？",COUNTIF(設定!$P$8:$P$27,I429)=0),AND(J429&lt;&gt;"",J429&lt;&gt;"？",COUNTIF(設定!$P$8:$P$27,J429)=0)),"クラブ名がちがう",IF(H429="","第1希望がない",IF(OR(AND(H429&lt;&gt;"",H429=I429),AND(H429&lt;&gt;"",H429=J429),AND(I429&lt;&gt;"",I429=J429)),"同じクラブを重複して希望","OK")))))))</f>
        <v/>
      </c>
      <c r="L429" s="8">
        <f>IF(A429="","",A429&amp;"-"&amp;B429&amp;"-"&amp;C429)</f>
        <v/>
      </c>
      <c r="M429" s="8">
        <f>IF(OR(L429="",G429=""),"",IF(COUNTIF(L430:L$552,L429)=0,L429,""))</f>
        <v/>
      </c>
    </row>
    <row r="430">
      <c r="A430" s="40" t="n"/>
      <c r="B430" s="40" t="n"/>
      <c r="C430" s="40" t="n"/>
      <c r="D430" s="40" t="n"/>
      <c r="E430" s="40" t="n"/>
      <c r="F430" s="40" t="n"/>
      <c r="G430" s="3">
        <f>IF(L430="","",IFERROR(INDEX(前年度名簿!$D$2:$D$451,MATCH(L430,前年度名簿!$F$2:$F$451,0)),""))</f>
        <v/>
      </c>
      <c r="H430" s="44">
        <f>IF(D430="","",IF(ISERROR(VALUE(D430)),D430&amp;"",IF(AND(VALUE(D430)&gt;=1,VALUE(D430)&lt;=20),IF(INDEX(設定!$P$8:$P$27,VALUE(D430))="","？",INDEX(設定!$P$8:$P$27,VALUE(D430))),"？")))</f>
        <v/>
      </c>
      <c r="I430" s="44">
        <f>IF(E430="","",IF(ISERROR(VALUE(E430)),E430&amp;"",IF(AND(VALUE(E430)&gt;=1,VALUE(E430)&lt;=20),IF(INDEX(設定!$P$8:$P$27,VALUE(E430))="","？",INDEX(設定!$P$8:$P$27,VALUE(E430))),"？")))</f>
        <v/>
      </c>
      <c r="J430" s="44">
        <f>IF(F430="","",IF(ISERROR(VALUE(F430)),F430&amp;"",IF(AND(VALUE(F430)&gt;=1,VALUE(F430)&lt;=20),IF(INDEX(設定!$P$8:$P$27,VALUE(F430))="","？",INDEX(設定!$P$8:$P$27,VALUE(F430))),"？")))</f>
        <v/>
      </c>
      <c r="K430" s="45">
        <f>IF(L430="","",IF(G430="","名簿にいない",IF(COUNTIF(L431:L$552,L430)&gt;0,"2回提出（下の行を使います）",IF(OR(H430="？",I430="？",J430="？"),"クラブ番号がちがう",IF(OR(AND(H430&lt;&gt;"",H430&lt;&gt;"？",COUNTIF(設定!$P$8:$P$27,H430)=0),AND(I430&lt;&gt;"",I430&lt;&gt;"？",COUNTIF(設定!$P$8:$P$27,I430)=0),AND(J430&lt;&gt;"",J430&lt;&gt;"？",COUNTIF(設定!$P$8:$P$27,J430)=0)),"クラブ名がちがう",IF(H430="","第1希望がない",IF(OR(AND(H430&lt;&gt;"",H430=I430),AND(H430&lt;&gt;"",H430=J430),AND(I430&lt;&gt;"",I430=J430)),"同じクラブを重複して希望","OK")))))))</f>
        <v/>
      </c>
      <c r="L430" s="8">
        <f>IF(A430="","",A430&amp;"-"&amp;B430&amp;"-"&amp;C430)</f>
        <v/>
      </c>
      <c r="M430" s="8">
        <f>IF(OR(L430="",G430=""),"",IF(COUNTIF(L431:L$552,L430)=0,L430,""))</f>
        <v/>
      </c>
    </row>
    <row r="431">
      <c r="A431" s="40" t="n"/>
      <c r="B431" s="40" t="n"/>
      <c r="C431" s="40" t="n"/>
      <c r="D431" s="40" t="n"/>
      <c r="E431" s="40" t="n"/>
      <c r="F431" s="40" t="n"/>
      <c r="G431" s="3">
        <f>IF(L431="","",IFERROR(INDEX(前年度名簿!$D$2:$D$451,MATCH(L431,前年度名簿!$F$2:$F$451,0)),""))</f>
        <v/>
      </c>
      <c r="H431" s="44">
        <f>IF(D431="","",IF(ISERROR(VALUE(D431)),D431&amp;"",IF(AND(VALUE(D431)&gt;=1,VALUE(D431)&lt;=20),IF(INDEX(設定!$P$8:$P$27,VALUE(D431))="","？",INDEX(設定!$P$8:$P$27,VALUE(D431))),"？")))</f>
        <v/>
      </c>
      <c r="I431" s="44">
        <f>IF(E431="","",IF(ISERROR(VALUE(E431)),E431&amp;"",IF(AND(VALUE(E431)&gt;=1,VALUE(E431)&lt;=20),IF(INDEX(設定!$P$8:$P$27,VALUE(E431))="","？",INDEX(設定!$P$8:$P$27,VALUE(E431))),"？")))</f>
        <v/>
      </c>
      <c r="J431" s="44">
        <f>IF(F431="","",IF(ISERROR(VALUE(F431)),F431&amp;"",IF(AND(VALUE(F431)&gt;=1,VALUE(F431)&lt;=20),IF(INDEX(設定!$P$8:$P$27,VALUE(F431))="","？",INDEX(設定!$P$8:$P$27,VALUE(F431))),"？")))</f>
        <v/>
      </c>
      <c r="K431" s="45">
        <f>IF(L431="","",IF(G431="","名簿にいない",IF(COUNTIF(L432:L$552,L431)&gt;0,"2回提出（下の行を使います）",IF(OR(H431="？",I431="？",J431="？"),"クラブ番号がちがう",IF(OR(AND(H431&lt;&gt;"",H431&lt;&gt;"？",COUNTIF(設定!$P$8:$P$27,H431)=0),AND(I431&lt;&gt;"",I431&lt;&gt;"？",COUNTIF(設定!$P$8:$P$27,I431)=0),AND(J431&lt;&gt;"",J431&lt;&gt;"？",COUNTIF(設定!$P$8:$P$27,J431)=0)),"クラブ名がちがう",IF(H431="","第1希望がない",IF(OR(AND(H431&lt;&gt;"",H431=I431),AND(H431&lt;&gt;"",H431=J431),AND(I431&lt;&gt;"",I431=J431)),"同じクラブを重複して希望","OK")))))))</f>
        <v/>
      </c>
      <c r="L431" s="8">
        <f>IF(A431="","",A431&amp;"-"&amp;B431&amp;"-"&amp;C431)</f>
        <v/>
      </c>
      <c r="M431" s="8">
        <f>IF(OR(L431="",G431=""),"",IF(COUNTIF(L432:L$552,L431)=0,L431,""))</f>
        <v/>
      </c>
    </row>
    <row r="432">
      <c r="A432" s="40" t="n"/>
      <c r="B432" s="40" t="n"/>
      <c r="C432" s="40" t="n"/>
      <c r="D432" s="40" t="n"/>
      <c r="E432" s="40" t="n"/>
      <c r="F432" s="40" t="n"/>
      <c r="G432" s="3">
        <f>IF(L432="","",IFERROR(INDEX(前年度名簿!$D$2:$D$451,MATCH(L432,前年度名簿!$F$2:$F$451,0)),""))</f>
        <v/>
      </c>
      <c r="H432" s="44">
        <f>IF(D432="","",IF(ISERROR(VALUE(D432)),D432&amp;"",IF(AND(VALUE(D432)&gt;=1,VALUE(D432)&lt;=20),IF(INDEX(設定!$P$8:$P$27,VALUE(D432))="","？",INDEX(設定!$P$8:$P$27,VALUE(D432))),"？")))</f>
        <v/>
      </c>
      <c r="I432" s="44">
        <f>IF(E432="","",IF(ISERROR(VALUE(E432)),E432&amp;"",IF(AND(VALUE(E432)&gt;=1,VALUE(E432)&lt;=20),IF(INDEX(設定!$P$8:$P$27,VALUE(E432))="","？",INDEX(設定!$P$8:$P$27,VALUE(E432))),"？")))</f>
        <v/>
      </c>
      <c r="J432" s="44">
        <f>IF(F432="","",IF(ISERROR(VALUE(F432)),F432&amp;"",IF(AND(VALUE(F432)&gt;=1,VALUE(F432)&lt;=20),IF(INDEX(設定!$P$8:$P$27,VALUE(F432))="","？",INDEX(設定!$P$8:$P$27,VALUE(F432))),"？")))</f>
        <v/>
      </c>
      <c r="K432" s="45">
        <f>IF(L432="","",IF(G432="","名簿にいない",IF(COUNTIF(L433:L$552,L432)&gt;0,"2回提出（下の行を使います）",IF(OR(H432="？",I432="？",J432="？"),"クラブ番号がちがう",IF(OR(AND(H432&lt;&gt;"",H432&lt;&gt;"？",COUNTIF(設定!$P$8:$P$27,H432)=0),AND(I432&lt;&gt;"",I432&lt;&gt;"？",COUNTIF(設定!$P$8:$P$27,I432)=0),AND(J432&lt;&gt;"",J432&lt;&gt;"？",COUNTIF(設定!$P$8:$P$27,J432)=0)),"クラブ名がちがう",IF(H432="","第1希望がない",IF(OR(AND(H432&lt;&gt;"",H432=I432),AND(H432&lt;&gt;"",H432=J432),AND(I432&lt;&gt;"",I432=J432)),"同じクラブを重複して希望","OK")))))))</f>
        <v/>
      </c>
      <c r="L432" s="8">
        <f>IF(A432="","",A432&amp;"-"&amp;B432&amp;"-"&amp;C432)</f>
        <v/>
      </c>
      <c r="M432" s="8">
        <f>IF(OR(L432="",G432=""),"",IF(COUNTIF(L433:L$552,L432)=0,L432,""))</f>
        <v/>
      </c>
    </row>
    <row r="433">
      <c r="A433" s="40" t="n"/>
      <c r="B433" s="40" t="n"/>
      <c r="C433" s="40" t="n"/>
      <c r="D433" s="40" t="n"/>
      <c r="E433" s="40" t="n"/>
      <c r="F433" s="40" t="n"/>
      <c r="G433" s="3">
        <f>IF(L433="","",IFERROR(INDEX(前年度名簿!$D$2:$D$451,MATCH(L433,前年度名簿!$F$2:$F$451,0)),""))</f>
        <v/>
      </c>
      <c r="H433" s="44">
        <f>IF(D433="","",IF(ISERROR(VALUE(D433)),D433&amp;"",IF(AND(VALUE(D433)&gt;=1,VALUE(D433)&lt;=20),IF(INDEX(設定!$P$8:$P$27,VALUE(D433))="","？",INDEX(設定!$P$8:$P$27,VALUE(D433))),"？")))</f>
        <v/>
      </c>
      <c r="I433" s="44">
        <f>IF(E433="","",IF(ISERROR(VALUE(E433)),E433&amp;"",IF(AND(VALUE(E433)&gt;=1,VALUE(E433)&lt;=20),IF(INDEX(設定!$P$8:$P$27,VALUE(E433))="","？",INDEX(設定!$P$8:$P$27,VALUE(E433))),"？")))</f>
        <v/>
      </c>
      <c r="J433" s="44">
        <f>IF(F433="","",IF(ISERROR(VALUE(F433)),F433&amp;"",IF(AND(VALUE(F433)&gt;=1,VALUE(F433)&lt;=20),IF(INDEX(設定!$P$8:$P$27,VALUE(F433))="","？",INDEX(設定!$P$8:$P$27,VALUE(F433))),"？")))</f>
        <v/>
      </c>
      <c r="K433" s="45">
        <f>IF(L433="","",IF(G433="","名簿にいない",IF(COUNTIF(L434:L$552,L433)&gt;0,"2回提出（下の行を使います）",IF(OR(H433="？",I433="？",J433="？"),"クラブ番号がちがう",IF(OR(AND(H433&lt;&gt;"",H433&lt;&gt;"？",COUNTIF(設定!$P$8:$P$27,H433)=0),AND(I433&lt;&gt;"",I433&lt;&gt;"？",COUNTIF(設定!$P$8:$P$27,I433)=0),AND(J433&lt;&gt;"",J433&lt;&gt;"？",COUNTIF(設定!$P$8:$P$27,J433)=0)),"クラブ名がちがう",IF(H433="","第1希望がない",IF(OR(AND(H433&lt;&gt;"",H433=I433),AND(H433&lt;&gt;"",H433=J433),AND(I433&lt;&gt;"",I433=J433)),"同じクラブを重複して希望","OK")))))))</f>
        <v/>
      </c>
      <c r="L433" s="8">
        <f>IF(A433="","",A433&amp;"-"&amp;B433&amp;"-"&amp;C433)</f>
        <v/>
      </c>
      <c r="M433" s="8">
        <f>IF(OR(L433="",G433=""),"",IF(COUNTIF(L434:L$552,L433)=0,L433,""))</f>
        <v/>
      </c>
    </row>
    <row r="434">
      <c r="A434" s="40" t="n"/>
      <c r="B434" s="40" t="n"/>
      <c r="C434" s="40" t="n"/>
      <c r="D434" s="40" t="n"/>
      <c r="E434" s="40" t="n"/>
      <c r="F434" s="40" t="n"/>
      <c r="G434" s="3">
        <f>IF(L434="","",IFERROR(INDEX(前年度名簿!$D$2:$D$451,MATCH(L434,前年度名簿!$F$2:$F$451,0)),""))</f>
        <v/>
      </c>
      <c r="H434" s="44">
        <f>IF(D434="","",IF(ISERROR(VALUE(D434)),D434&amp;"",IF(AND(VALUE(D434)&gt;=1,VALUE(D434)&lt;=20),IF(INDEX(設定!$P$8:$P$27,VALUE(D434))="","？",INDEX(設定!$P$8:$P$27,VALUE(D434))),"？")))</f>
        <v/>
      </c>
      <c r="I434" s="44">
        <f>IF(E434="","",IF(ISERROR(VALUE(E434)),E434&amp;"",IF(AND(VALUE(E434)&gt;=1,VALUE(E434)&lt;=20),IF(INDEX(設定!$P$8:$P$27,VALUE(E434))="","？",INDEX(設定!$P$8:$P$27,VALUE(E434))),"？")))</f>
        <v/>
      </c>
      <c r="J434" s="44">
        <f>IF(F434="","",IF(ISERROR(VALUE(F434)),F434&amp;"",IF(AND(VALUE(F434)&gt;=1,VALUE(F434)&lt;=20),IF(INDEX(設定!$P$8:$P$27,VALUE(F434))="","？",INDEX(設定!$P$8:$P$27,VALUE(F434))),"？")))</f>
        <v/>
      </c>
      <c r="K434" s="45">
        <f>IF(L434="","",IF(G434="","名簿にいない",IF(COUNTIF(L435:L$552,L434)&gt;0,"2回提出（下の行を使います）",IF(OR(H434="？",I434="？",J434="？"),"クラブ番号がちがう",IF(OR(AND(H434&lt;&gt;"",H434&lt;&gt;"？",COUNTIF(設定!$P$8:$P$27,H434)=0),AND(I434&lt;&gt;"",I434&lt;&gt;"？",COUNTIF(設定!$P$8:$P$27,I434)=0),AND(J434&lt;&gt;"",J434&lt;&gt;"？",COUNTIF(設定!$P$8:$P$27,J434)=0)),"クラブ名がちがう",IF(H434="","第1希望がない",IF(OR(AND(H434&lt;&gt;"",H434=I434),AND(H434&lt;&gt;"",H434=J434),AND(I434&lt;&gt;"",I434=J434)),"同じクラブを重複して希望","OK")))))))</f>
        <v/>
      </c>
      <c r="L434" s="8">
        <f>IF(A434="","",A434&amp;"-"&amp;B434&amp;"-"&amp;C434)</f>
        <v/>
      </c>
      <c r="M434" s="8">
        <f>IF(OR(L434="",G434=""),"",IF(COUNTIF(L435:L$552,L434)=0,L434,""))</f>
        <v/>
      </c>
    </row>
    <row r="435">
      <c r="A435" s="40" t="n"/>
      <c r="B435" s="40" t="n"/>
      <c r="C435" s="40" t="n"/>
      <c r="D435" s="40" t="n"/>
      <c r="E435" s="40" t="n"/>
      <c r="F435" s="40" t="n"/>
      <c r="G435" s="3">
        <f>IF(L435="","",IFERROR(INDEX(前年度名簿!$D$2:$D$451,MATCH(L435,前年度名簿!$F$2:$F$451,0)),""))</f>
        <v/>
      </c>
      <c r="H435" s="44">
        <f>IF(D435="","",IF(ISERROR(VALUE(D435)),D435&amp;"",IF(AND(VALUE(D435)&gt;=1,VALUE(D435)&lt;=20),IF(INDEX(設定!$P$8:$P$27,VALUE(D435))="","？",INDEX(設定!$P$8:$P$27,VALUE(D435))),"？")))</f>
        <v/>
      </c>
      <c r="I435" s="44">
        <f>IF(E435="","",IF(ISERROR(VALUE(E435)),E435&amp;"",IF(AND(VALUE(E435)&gt;=1,VALUE(E435)&lt;=20),IF(INDEX(設定!$P$8:$P$27,VALUE(E435))="","？",INDEX(設定!$P$8:$P$27,VALUE(E435))),"？")))</f>
        <v/>
      </c>
      <c r="J435" s="44">
        <f>IF(F435="","",IF(ISERROR(VALUE(F435)),F435&amp;"",IF(AND(VALUE(F435)&gt;=1,VALUE(F435)&lt;=20),IF(INDEX(設定!$P$8:$P$27,VALUE(F435))="","？",INDEX(設定!$P$8:$P$27,VALUE(F435))),"？")))</f>
        <v/>
      </c>
      <c r="K435" s="45">
        <f>IF(L435="","",IF(G435="","名簿にいない",IF(COUNTIF(L436:L$552,L435)&gt;0,"2回提出（下の行を使います）",IF(OR(H435="？",I435="？",J435="？"),"クラブ番号がちがう",IF(OR(AND(H435&lt;&gt;"",H435&lt;&gt;"？",COUNTIF(設定!$P$8:$P$27,H435)=0),AND(I435&lt;&gt;"",I435&lt;&gt;"？",COUNTIF(設定!$P$8:$P$27,I435)=0),AND(J435&lt;&gt;"",J435&lt;&gt;"？",COUNTIF(設定!$P$8:$P$27,J435)=0)),"クラブ名がちがう",IF(H435="","第1希望がない",IF(OR(AND(H435&lt;&gt;"",H435=I435),AND(H435&lt;&gt;"",H435=J435),AND(I435&lt;&gt;"",I435=J435)),"同じクラブを重複して希望","OK")))))))</f>
        <v/>
      </c>
      <c r="L435" s="8">
        <f>IF(A435="","",A435&amp;"-"&amp;B435&amp;"-"&amp;C435)</f>
        <v/>
      </c>
      <c r="M435" s="8">
        <f>IF(OR(L435="",G435=""),"",IF(COUNTIF(L436:L$552,L435)=0,L435,""))</f>
        <v/>
      </c>
    </row>
    <row r="436">
      <c r="A436" s="40" t="n"/>
      <c r="B436" s="40" t="n"/>
      <c r="C436" s="40" t="n"/>
      <c r="D436" s="40" t="n"/>
      <c r="E436" s="40" t="n"/>
      <c r="F436" s="40" t="n"/>
      <c r="G436" s="3">
        <f>IF(L436="","",IFERROR(INDEX(前年度名簿!$D$2:$D$451,MATCH(L436,前年度名簿!$F$2:$F$451,0)),""))</f>
        <v/>
      </c>
      <c r="H436" s="44">
        <f>IF(D436="","",IF(ISERROR(VALUE(D436)),D436&amp;"",IF(AND(VALUE(D436)&gt;=1,VALUE(D436)&lt;=20),IF(INDEX(設定!$P$8:$P$27,VALUE(D436))="","？",INDEX(設定!$P$8:$P$27,VALUE(D436))),"？")))</f>
        <v/>
      </c>
      <c r="I436" s="44">
        <f>IF(E436="","",IF(ISERROR(VALUE(E436)),E436&amp;"",IF(AND(VALUE(E436)&gt;=1,VALUE(E436)&lt;=20),IF(INDEX(設定!$P$8:$P$27,VALUE(E436))="","？",INDEX(設定!$P$8:$P$27,VALUE(E436))),"？")))</f>
        <v/>
      </c>
      <c r="J436" s="44">
        <f>IF(F436="","",IF(ISERROR(VALUE(F436)),F436&amp;"",IF(AND(VALUE(F436)&gt;=1,VALUE(F436)&lt;=20),IF(INDEX(設定!$P$8:$P$27,VALUE(F436))="","？",INDEX(設定!$P$8:$P$27,VALUE(F436))),"？")))</f>
        <v/>
      </c>
      <c r="K436" s="45">
        <f>IF(L436="","",IF(G436="","名簿にいない",IF(COUNTIF(L437:L$552,L436)&gt;0,"2回提出（下の行を使います）",IF(OR(H436="？",I436="？",J436="？"),"クラブ番号がちがう",IF(OR(AND(H436&lt;&gt;"",H436&lt;&gt;"？",COUNTIF(設定!$P$8:$P$27,H436)=0),AND(I436&lt;&gt;"",I436&lt;&gt;"？",COUNTIF(設定!$P$8:$P$27,I436)=0),AND(J436&lt;&gt;"",J436&lt;&gt;"？",COUNTIF(設定!$P$8:$P$27,J436)=0)),"クラブ名がちがう",IF(H436="","第1希望がない",IF(OR(AND(H436&lt;&gt;"",H436=I436),AND(H436&lt;&gt;"",H436=J436),AND(I436&lt;&gt;"",I436=J436)),"同じクラブを重複して希望","OK")))))))</f>
        <v/>
      </c>
      <c r="L436" s="8">
        <f>IF(A436="","",A436&amp;"-"&amp;B436&amp;"-"&amp;C436)</f>
        <v/>
      </c>
      <c r="M436" s="8">
        <f>IF(OR(L436="",G436=""),"",IF(COUNTIF(L437:L$552,L436)=0,L436,""))</f>
        <v/>
      </c>
    </row>
    <row r="437">
      <c r="A437" s="40" t="n"/>
      <c r="B437" s="40" t="n"/>
      <c r="C437" s="40" t="n"/>
      <c r="D437" s="40" t="n"/>
      <c r="E437" s="40" t="n"/>
      <c r="F437" s="40" t="n"/>
      <c r="G437" s="3">
        <f>IF(L437="","",IFERROR(INDEX(前年度名簿!$D$2:$D$451,MATCH(L437,前年度名簿!$F$2:$F$451,0)),""))</f>
        <v/>
      </c>
      <c r="H437" s="44">
        <f>IF(D437="","",IF(ISERROR(VALUE(D437)),D437&amp;"",IF(AND(VALUE(D437)&gt;=1,VALUE(D437)&lt;=20),IF(INDEX(設定!$P$8:$P$27,VALUE(D437))="","？",INDEX(設定!$P$8:$P$27,VALUE(D437))),"？")))</f>
        <v/>
      </c>
      <c r="I437" s="44">
        <f>IF(E437="","",IF(ISERROR(VALUE(E437)),E437&amp;"",IF(AND(VALUE(E437)&gt;=1,VALUE(E437)&lt;=20),IF(INDEX(設定!$P$8:$P$27,VALUE(E437))="","？",INDEX(設定!$P$8:$P$27,VALUE(E437))),"？")))</f>
        <v/>
      </c>
      <c r="J437" s="44">
        <f>IF(F437="","",IF(ISERROR(VALUE(F437)),F437&amp;"",IF(AND(VALUE(F437)&gt;=1,VALUE(F437)&lt;=20),IF(INDEX(設定!$P$8:$P$27,VALUE(F437))="","？",INDEX(設定!$P$8:$P$27,VALUE(F437))),"？")))</f>
        <v/>
      </c>
      <c r="K437" s="45">
        <f>IF(L437="","",IF(G437="","名簿にいない",IF(COUNTIF(L438:L$552,L437)&gt;0,"2回提出（下の行を使います）",IF(OR(H437="？",I437="？",J437="？"),"クラブ番号がちがう",IF(OR(AND(H437&lt;&gt;"",H437&lt;&gt;"？",COUNTIF(設定!$P$8:$P$27,H437)=0),AND(I437&lt;&gt;"",I437&lt;&gt;"？",COUNTIF(設定!$P$8:$P$27,I437)=0),AND(J437&lt;&gt;"",J437&lt;&gt;"？",COUNTIF(設定!$P$8:$P$27,J437)=0)),"クラブ名がちがう",IF(H437="","第1希望がない",IF(OR(AND(H437&lt;&gt;"",H437=I437),AND(H437&lt;&gt;"",H437=J437),AND(I437&lt;&gt;"",I437=J437)),"同じクラブを重複して希望","OK")))))))</f>
        <v/>
      </c>
      <c r="L437" s="8">
        <f>IF(A437="","",A437&amp;"-"&amp;B437&amp;"-"&amp;C437)</f>
        <v/>
      </c>
      <c r="M437" s="8">
        <f>IF(OR(L437="",G437=""),"",IF(COUNTIF(L438:L$552,L437)=0,L437,""))</f>
        <v/>
      </c>
    </row>
    <row r="438">
      <c r="A438" s="40" t="n"/>
      <c r="B438" s="40" t="n"/>
      <c r="C438" s="40" t="n"/>
      <c r="D438" s="40" t="n"/>
      <c r="E438" s="40" t="n"/>
      <c r="F438" s="40" t="n"/>
      <c r="G438" s="3">
        <f>IF(L438="","",IFERROR(INDEX(前年度名簿!$D$2:$D$451,MATCH(L438,前年度名簿!$F$2:$F$451,0)),""))</f>
        <v/>
      </c>
      <c r="H438" s="44">
        <f>IF(D438="","",IF(ISERROR(VALUE(D438)),D438&amp;"",IF(AND(VALUE(D438)&gt;=1,VALUE(D438)&lt;=20),IF(INDEX(設定!$P$8:$P$27,VALUE(D438))="","？",INDEX(設定!$P$8:$P$27,VALUE(D438))),"？")))</f>
        <v/>
      </c>
      <c r="I438" s="44">
        <f>IF(E438="","",IF(ISERROR(VALUE(E438)),E438&amp;"",IF(AND(VALUE(E438)&gt;=1,VALUE(E438)&lt;=20),IF(INDEX(設定!$P$8:$P$27,VALUE(E438))="","？",INDEX(設定!$P$8:$P$27,VALUE(E438))),"？")))</f>
        <v/>
      </c>
      <c r="J438" s="44">
        <f>IF(F438="","",IF(ISERROR(VALUE(F438)),F438&amp;"",IF(AND(VALUE(F438)&gt;=1,VALUE(F438)&lt;=20),IF(INDEX(設定!$P$8:$P$27,VALUE(F438))="","？",INDEX(設定!$P$8:$P$27,VALUE(F438))),"？")))</f>
        <v/>
      </c>
      <c r="K438" s="45">
        <f>IF(L438="","",IF(G438="","名簿にいない",IF(COUNTIF(L439:L$552,L438)&gt;0,"2回提出（下の行を使います）",IF(OR(H438="？",I438="？",J438="？"),"クラブ番号がちがう",IF(OR(AND(H438&lt;&gt;"",H438&lt;&gt;"？",COUNTIF(設定!$P$8:$P$27,H438)=0),AND(I438&lt;&gt;"",I438&lt;&gt;"？",COUNTIF(設定!$P$8:$P$27,I438)=0),AND(J438&lt;&gt;"",J438&lt;&gt;"？",COUNTIF(設定!$P$8:$P$27,J438)=0)),"クラブ名がちがう",IF(H438="","第1希望がない",IF(OR(AND(H438&lt;&gt;"",H438=I438),AND(H438&lt;&gt;"",H438=J438),AND(I438&lt;&gt;"",I438=J438)),"同じクラブを重複して希望","OK")))))))</f>
        <v/>
      </c>
      <c r="L438" s="8">
        <f>IF(A438="","",A438&amp;"-"&amp;B438&amp;"-"&amp;C438)</f>
        <v/>
      </c>
      <c r="M438" s="8">
        <f>IF(OR(L438="",G438=""),"",IF(COUNTIF(L439:L$552,L438)=0,L438,""))</f>
        <v/>
      </c>
    </row>
    <row r="439">
      <c r="A439" s="40" t="n"/>
      <c r="B439" s="40" t="n"/>
      <c r="C439" s="40" t="n"/>
      <c r="D439" s="40" t="n"/>
      <c r="E439" s="40" t="n"/>
      <c r="F439" s="40" t="n"/>
      <c r="G439" s="3">
        <f>IF(L439="","",IFERROR(INDEX(前年度名簿!$D$2:$D$451,MATCH(L439,前年度名簿!$F$2:$F$451,0)),""))</f>
        <v/>
      </c>
      <c r="H439" s="44">
        <f>IF(D439="","",IF(ISERROR(VALUE(D439)),D439&amp;"",IF(AND(VALUE(D439)&gt;=1,VALUE(D439)&lt;=20),IF(INDEX(設定!$P$8:$P$27,VALUE(D439))="","？",INDEX(設定!$P$8:$P$27,VALUE(D439))),"？")))</f>
        <v/>
      </c>
      <c r="I439" s="44">
        <f>IF(E439="","",IF(ISERROR(VALUE(E439)),E439&amp;"",IF(AND(VALUE(E439)&gt;=1,VALUE(E439)&lt;=20),IF(INDEX(設定!$P$8:$P$27,VALUE(E439))="","？",INDEX(設定!$P$8:$P$27,VALUE(E439))),"？")))</f>
        <v/>
      </c>
      <c r="J439" s="44">
        <f>IF(F439="","",IF(ISERROR(VALUE(F439)),F439&amp;"",IF(AND(VALUE(F439)&gt;=1,VALUE(F439)&lt;=20),IF(INDEX(設定!$P$8:$P$27,VALUE(F439))="","？",INDEX(設定!$P$8:$P$27,VALUE(F439))),"？")))</f>
        <v/>
      </c>
      <c r="K439" s="45">
        <f>IF(L439="","",IF(G439="","名簿にいない",IF(COUNTIF(L440:L$552,L439)&gt;0,"2回提出（下の行を使います）",IF(OR(H439="？",I439="？",J439="？"),"クラブ番号がちがう",IF(OR(AND(H439&lt;&gt;"",H439&lt;&gt;"？",COUNTIF(設定!$P$8:$P$27,H439)=0),AND(I439&lt;&gt;"",I439&lt;&gt;"？",COUNTIF(設定!$P$8:$P$27,I439)=0),AND(J439&lt;&gt;"",J439&lt;&gt;"？",COUNTIF(設定!$P$8:$P$27,J439)=0)),"クラブ名がちがう",IF(H439="","第1希望がない",IF(OR(AND(H439&lt;&gt;"",H439=I439),AND(H439&lt;&gt;"",H439=J439),AND(I439&lt;&gt;"",I439=J439)),"同じクラブを重複して希望","OK")))))))</f>
        <v/>
      </c>
      <c r="L439" s="8">
        <f>IF(A439="","",A439&amp;"-"&amp;B439&amp;"-"&amp;C439)</f>
        <v/>
      </c>
      <c r="M439" s="8">
        <f>IF(OR(L439="",G439=""),"",IF(COUNTIF(L440:L$552,L439)=0,L439,""))</f>
        <v/>
      </c>
    </row>
    <row r="440">
      <c r="A440" s="40" t="n"/>
      <c r="B440" s="40" t="n"/>
      <c r="C440" s="40" t="n"/>
      <c r="D440" s="40" t="n"/>
      <c r="E440" s="40" t="n"/>
      <c r="F440" s="40" t="n"/>
      <c r="G440" s="3">
        <f>IF(L440="","",IFERROR(INDEX(前年度名簿!$D$2:$D$451,MATCH(L440,前年度名簿!$F$2:$F$451,0)),""))</f>
        <v/>
      </c>
      <c r="H440" s="44">
        <f>IF(D440="","",IF(ISERROR(VALUE(D440)),D440&amp;"",IF(AND(VALUE(D440)&gt;=1,VALUE(D440)&lt;=20),IF(INDEX(設定!$P$8:$P$27,VALUE(D440))="","？",INDEX(設定!$P$8:$P$27,VALUE(D440))),"？")))</f>
        <v/>
      </c>
      <c r="I440" s="44">
        <f>IF(E440="","",IF(ISERROR(VALUE(E440)),E440&amp;"",IF(AND(VALUE(E440)&gt;=1,VALUE(E440)&lt;=20),IF(INDEX(設定!$P$8:$P$27,VALUE(E440))="","？",INDEX(設定!$P$8:$P$27,VALUE(E440))),"？")))</f>
        <v/>
      </c>
      <c r="J440" s="44">
        <f>IF(F440="","",IF(ISERROR(VALUE(F440)),F440&amp;"",IF(AND(VALUE(F440)&gt;=1,VALUE(F440)&lt;=20),IF(INDEX(設定!$P$8:$P$27,VALUE(F440))="","？",INDEX(設定!$P$8:$P$27,VALUE(F440))),"？")))</f>
        <v/>
      </c>
      <c r="K440" s="45">
        <f>IF(L440="","",IF(G440="","名簿にいない",IF(COUNTIF(L441:L$552,L440)&gt;0,"2回提出（下の行を使います）",IF(OR(H440="？",I440="？",J440="？"),"クラブ番号がちがう",IF(OR(AND(H440&lt;&gt;"",H440&lt;&gt;"？",COUNTIF(設定!$P$8:$P$27,H440)=0),AND(I440&lt;&gt;"",I440&lt;&gt;"？",COUNTIF(設定!$P$8:$P$27,I440)=0),AND(J440&lt;&gt;"",J440&lt;&gt;"？",COUNTIF(設定!$P$8:$P$27,J440)=0)),"クラブ名がちがう",IF(H440="","第1希望がない",IF(OR(AND(H440&lt;&gt;"",H440=I440),AND(H440&lt;&gt;"",H440=J440),AND(I440&lt;&gt;"",I440=J440)),"同じクラブを重複して希望","OK")))))))</f>
        <v/>
      </c>
      <c r="L440" s="8">
        <f>IF(A440="","",A440&amp;"-"&amp;B440&amp;"-"&amp;C440)</f>
        <v/>
      </c>
      <c r="M440" s="8">
        <f>IF(OR(L440="",G440=""),"",IF(COUNTIF(L441:L$552,L440)=0,L440,""))</f>
        <v/>
      </c>
    </row>
    <row r="441">
      <c r="A441" s="40" t="n"/>
      <c r="B441" s="40" t="n"/>
      <c r="C441" s="40" t="n"/>
      <c r="D441" s="40" t="n"/>
      <c r="E441" s="40" t="n"/>
      <c r="F441" s="40" t="n"/>
      <c r="G441" s="3">
        <f>IF(L441="","",IFERROR(INDEX(前年度名簿!$D$2:$D$451,MATCH(L441,前年度名簿!$F$2:$F$451,0)),""))</f>
        <v/>
      </c>
      <c r="H441" s="44">
        <f>IF(D441="","",IF(ISERROR(VALUE(D441)),D441&amp;"",IF(AND(VALUE(D441)&gt;=1,VALUE(D441)&lt;=20),IF(INDEX(設定!$P$8:$P$27,VALUE(D441))="","？",INDEX(設定!$P$8:$P$27,VALUE(D441))),"？")))</f>
        <v/>
      </c>
      <c r="I441" s="44">
        <f>IF(E441="","",IF(ISERROR(VALUE(E441)),E441&amp;"",IF(AND(VALUE(E441)&gt;=1,VALUE(E441)&lt;=20),IF(INDEX(設定!$P$8:$P$27,VALUE(E441))="","？",INDEX(設定!$P$8:$P$27,VALUE(E441))),"？")))</f>
        <v/>
      </c>
      <c r="J441" s="44">
        <f>IF(F441="","",IF(ISERROR(VALUE(F441)),F441&amp;"",IF(AND(VALUE(F441)&gt;=1,VALUE(F441)&lt;=20),IF(INDEX(設定!$P$8:$P$27,VALUE(F441))="","？",INDEX(設定!$P$8:$P$27,VALUE(F441))),"？")))</f>
        <v/>
      </c>
      <c r="K441" s="45">
        <f>IF(L441="","",IF(G441="","名簿にいない",IF(COUNTIF(L442:L$552,L441)&gt;0,"2回提出（下の行を使います）",IF(OR(H441="？",I441="？",J441="？"),"クラブ番号がちがう",IF(OR(AND(H441&lt;&gt;"",H441&lt;&gt;"？",COUNTIF(設定!$P$8:$P$27,H441)=0),AND(I441&lt;&gt;"",I441&lt;&gt;"？",COUNTIF(設定!$P$8:$P$27,I441)=0),AND(J441&lt;&gt;"",J441&lt;&gt;"？",COUNTIF(設定!$P$8:$P$27,J441)=0)),"クラブ名がちがう",IF(H441="","第1希望がない",IF(OR(AND(H441&lt;&gt;"",H441=I441),AND(H441&lt;&gt;"",H441=J441),AND(I441&lt;&gt;"",I441=J441)),"同じクラブを重複して希望","OK")))))))</f>
        <v/>
      </c>
      <c r="L441" s="8">
        <f>IF(A441="","",A441&amp;"-"&amp;B441&amp;"-"&amp;C441)</f>
        <v/>
      </c>
      <c r="M441" s="8">
        <f>IF(OR(L441="",G441=""),"",IF(COUNTIF(L442:L$552,L441)=0,L441,""))</f>
        <v/>
      </c>
    </row>
    <row r="442">
      <c r="A442" s="40" t="n"/>
      <c r="B442" s="40" t="n"/>
      <c r="C442" s="40" t="n"/>
      <c r="D442" s="40" t="n"/>
      <c r="E442" s="40" t="n"/>
      <c r="F442" s="40" t="n"/>
      <c r="G442" s="3">
        <f>IF(L442="","",IFERROR(INDEX(前年度名簿!$D$2:$D$451,MATCH(L442,前年度名簿!$F$2:$F$451,0)),""))</f>
        <v/>
      </c>
      <c r="H442" s="44">
        <f>IF(D442="","",IF(ISERROR(VALUE(D442)),D442&amp;"",IF(AND(VALUE(D442)&gt;=1,VALUE(D442)&lt;=20),IF(INDEX(設定!$P$8:$P$27,VALUE(D442))="","？",INDEX(設定!$P$8:$P$27,VALUE(D442))),"？")))</f>
        <v/>
      </c>
      <c r="I442" s="44">
        <f>IF(E442="","",IF(ISERROR(VALUE(E442)),E442&amp;"",IF(AND(VALUE(E442)&gt;=1,VALUE(E442)&lt;=20),IF(INDEX(設定!$P$8:$P$27,VALUE(E442))="","？",INDEX(設定!$P$8:$P$27,VALUE(E442))),"？")))</f>
        <v/>
      </c>
      <c r="J442" s="44">
        <f>IF(F442="","",IF(ISERROR(VALUE(F442)),F442&amp;"",IF(AND(VALUE(F442)&gt;=1,VALUE(F442)&lt;=20),IF(INDEX(設定!$P$8:$P$27,VALUE(F442))="","？",INDEX(設定!$P$8:$P$27,VALUE(F442))),"？")))</f>
        <v/>
      </c>
      <c r="K442" s="45">
        <f>IF(L442="","",IF(G442="","名簿にいない",IF(COUNTIF(L443:L$552,L442)&gt;0,"2回提出（下の行を使います）",IF(OR(H442="？",I442="？",J442="？"),"クラブ番号がちがう",IF(OR(AND(H442&lt;&gt;"",H442&lt;&gt;"？",COUNTIF(設定!$P$8:$P$27,H442)=0),AND(I442&lt;&gt;"",I442&lt;&gt;"？",COUNTIF(設定!$P$8:$P$27,I442)=0),AND(J442&lt;&gt;"",J442&lt;&gt;"？",COUNTIF(設定!$P$8:$P$27,J442)=0)),"クラブ名がちがう",IF(H442="","第1希望がない",IF(OR(AND(H442&lt;&gt;"",H442=I442),AND(H442&lt;&gt;"",H442=J442),AND(I442&lt;&gt;"",I442=J442)),"同じクラブを重複して希望","OK")))))))</f>
        <v/>
      </c>
      <c r="L442" s="8">
        <f>IF(A442="","",A442&amp;"-"&amp;B442&amp;"-"&amp;C442)</f>
        <v/>
      </c>
      <c r="M442" s="8">
        <f>IF(OR(L442="",G442=""),"",IF(COUNTIF(L443:L$552,L442)=0,L442,""))</f>
        <v/>
      </c>
    </row>
    <row r="443">
      <c r="A443" s="40" t="n"/>
      <c r="B443" s="40" t="n"/>
      <c r="C443" s="40" t="n"/>
      <c r="D443" s="40" t="n"/>
      <c r="E443" s="40" t="n"/>
      <c r="F443" s="40" t="n"/>
      <c r="G443" s="3">
        <f>IF(L443="","",IFERROR(INDEX(前年度名簿!$D$2:$D$451,MATCH(L443,前年度名簿!$F$2:$F$451,0)),""))</f>
        <v/>
      </c>
      <c r="H443" s="44">
        <f>IF(D443="","",IF(ISERROR(VALUE(D443)),D443&amp;"",IF(AND(VALUE(D443)&gt;=1,VALUE(D443)&lt;=20),IF(INDEX(設定!$P$8:$P$27,VALUE(D443))="","？",INDEX(設定!$P$8:$P$27,VALUE(D443))),"？")))</f>
        <v/>
      </c>
      <c r="I443" s="44">
        <f>IF(E443="","",IF(ISERROR(VALUE(E443)),E443&amp;"",IF(AND(VALUE(E443)&gt;=1,VALUE(E443)&lt;=20),IF(INDEX(設定!$P$8:$P$27,VALUE(E443))="","？",INDEX(設定!$P$8:$P$27,VALUE(E443))),"？")))</f>
        <v/>
      </c>
      <c r="J443" s="44">
        <f>IF(F443="","",IF(ISERROR(VALUE(F443)),F443&amp;"",IF(AND(VALUE(F443)&gt;=1,VALUE(F443)&lt;=20),IF(INDEX(設定!$P$8:$P$27,VALUE(F443))="","？",INDEX(設定!$P$8:$P$27,VALUE(F443))),"？")))</f>
        <v/>
      </c>
      <c r="K443" s="45">
        <f>IF(L443="","",IF(G443="","名簿にいない",IF(COUNTIF(L444:L$552,L443)&gt;0,"2回提出（下の行を使います）",IF(OR(H443="？",I443="？",J443="？"),"クラブ番号がちがう",IF(OR(AND(H443&lt;&gt;"",H443&lt;&gt;"？",COUNTIF(設定!$P$8:$P$27,H443)=0),AND(I443&lt;&gt;"",I443&lt;&gt;"？",COUNTIF(設定!$P$8:$P$27,I443)=0),AND(J443&lt;&gt;"",J443&lt;&gt;"？",COUNTIF(設定!$P$8:$P$27,J443)=0)),"クラブ名がちがう",IF(H443="","第1希望がない",IF(OR(AND(H443&lt;&gt;"",H443=I443),AND(H443&lt;&gt;"",H443=J443),AND(I443&lt;&gt;"",I443=J443)),"同じクラブを重複して希望","OK")))))))</f>
        <v/>
      </c>
      <c r="L443" s="8">
        <f>IF(A443="","",A443&amp;"-"&amp;B443&amp;"-"&amp;C443)</f>
        <v/>
      </c>
      <c r="M443" s="8">
        <f>IF(OR(L443="",G443=""),"",IF(COUNTIF(L444:L$552,L443)=0,L443,""))</f>
        <v/>
      </c>
    </row>
    <row r="444">
      <c r="A444" s="40" t="n"/>
      <c r="B444" s="40" t="n"/>
      <c r="C444" s="40" t="n"/>
      <c r="D444" s="40" t="n"/>
      <c r="E444" s="40" t="n"/>
      <c r="F444" s="40" t="n"/>
      <c r="G444" s="3">
        <f>IF(L444="","",IFERROR(INDEX(前年度名簿!$D$2:$D$451,MATCH(L444,前年度名簿!$F$2:$F$451,0)),""))</f>
        <v/>
      </c>
      <c r="H444" s="44">
        <f>IF(D444="","",IF(ISERROR(VALUE(D444)),D444&amp;"",IF(AND(VALUE(D444)&gt;=1,VALUE(D444)&lt;=20),IF(INDEX(設定!$P$8:$P$27,VALUE(D444))="","？",INDEX(設定!$P$8:$P$27,VALUE(D444))),"？")))</f>
        <v/>
      </c>
      <c r="I444" s="44">
        <f>IF(E444="","",IF(ISERROR(VALUE(E444)),E444&amp;"",IF(AND(VALUE(E444)&gt;=1,VALUE(E444)&lt;=20),IF(INDEX(設定!$P$8:$P$27,VALUE(E444))="","？",INDEX(設定!$P$8:$P$27,VALUE(E444))),"？")))</f>
        <v/>
      </c>
      <c r="J444" s="44">
        <f>IF(F444="","",IF(ISERROR(VALUE(F444)),F444&amp;"",IF(AND(VALUE(F444)&gt;=1,VALUE(F444)&lt;=20),IF(INDEX(設定!$P$8:$P$27,VALUE(F444))="","？",INDEX(設定!$P$8:$P$27,VALUE(F444))),"？")))</f>
        <v/>
      </c>
      <c r="K444" s="45">
        <f>IF(L444="","",IF(G444="","名簿にいない",IF(COUNTIF(L445:L$552,L444)&gt;0,"2回提出（下の行を使います）",IF(OR(H444="？",I444="？",J444="？"),"クラブ番号がちがう",IF(OR(AND(H444&lt;&gt;"",H444&lt;&gt;"？",COUNTIF(設定!$P$8:$P$27,H444)=0),AND(I444&lt;&gt;"",I444&lt;&gt;"？",COUNTIF(設定!$P$8:$P$27,I444)=0),AND(J444&lt;&gt;"",J444&lt;&gt;"？",COUNTIF(設定!$P$8:$P$27,J444)=0)),"クラブ名がちがう",IF(H444="","第1希望がない",IF(OR(AND(H444&lt;&gt;"",H444=I444),AND(H444&lt;&gt;"",H444=J444),AND(I444&lt;&gt;"",I444=J444)),"同じクラブを重複して希望","OK")))))))</f>
        <v/>
      </c>
      <c r="L444" s="8">
        <f>IF(A444="","",A444&amp;"-"&amp;B444&amp;"-"&amp;C444)</f>
        <v/>
      </c>
      <c r="M444" s="8">
        <f>IF(OR(L444="",G444=""),"",IF(COUNTIF(L445:L$552,L444)=0,L444,""))</f>
        <v/>
      </c>
    </row>
    <row r="445">
      <c r="A445" s="40" t="n"/>
      <c r="B445" s="40" t="n"/>
      <c r="C445" s="40" t="n"/>
      <c r="D445" s="40" t="n"/>
      <c r="E445" s="40" t="n"/>
      <c r="F445" s="40" t="n"/>
      <c r="G445" s="3">
        <f>IF(L445="","",IFERROR(INDEX(前年度名簿!$D$2:$D$451,MATCH(L445,前年度名簿!$F$2:$F$451,0)),""))</f>
        <v/>
      </c>
      <c r="H445" s="44">
        <f>IF(D445="","",IF(ISERROR(VALUE(D445)),D445&amp;"",IF(AND(VALUE(D445)&gt;=1,VALUE(D445)&lt;=20),IF(INDEX(設定!$P$8:$P$27,VALUE(D445))="","？",INDEX(設定!$P$8:$P$27,VALUE(D445))),"？")))</f>
        <v/>
      </c>
      <c r="I445" s="44">
        <f>IF(E445="","",IF(ISERROR(VALUE(E445)),E445&amp;"",IF(AND(VALUE(E445)&gt;=1,VALUE(E445)&lt;=20),IF(INDEX(設定!$P$8:$P$27,VALUE(E445))="","？",INDEX(設定!$P$8:$P$27,VALUE(E445))),"？")))</f>
        <v/>
      </c>
      <c r="J445" s="44">
        <f>IF(F445="","",IF(ISERROR(VALUE(F445)),F445&amp;"",IF(AND(VALUE(F445)&gt;=1,VALUE(F445)&lt;=20),IF(INDEX(設定!$P$8:$P$27,VALUE(F445))="","？",INDEX(設定!$P$8:$P$27,VALUE(F445))),"？")))</f>
        <v/>
      </c>
      <c r="K445" s="45">
        <f>IF(L445="","",IF(G445="","名簿にいない",IF(COUNTIF(L446:L$552,L445)&gt;0,"2回提出（下の行を使います）",IF(OR(H445="？",I445="？",J445="？"),"クラブ番号がちがう",IF(OR(AND(H445&lt;&gt;"",H445&lt;&gt;"？",COUNTIF(設定!$P$8:$P$27,H445)=0),AND(I445&lt;&gt;"",I445&lt;&gt;"？",COUNTIF(設定!$P$8:$P$27,I445)=0),AND(J445&lt;&gt;"",J445&lt;&gt;"？",COUNTIF(設定!$P$8:$P$27,J445)=0)),"クラブ名がちがう",IF(H445="","第1希望がない",IF(OR(AND(H445&lt;&gt;"",H445=I445),AND(H445&lt;&gt;"",H445=J445),AND(I445&lt;&gt;"",I445=J445)),"同じクラブを重複して希望","OK")))))))</f>
        <v/>
      </c>
      <c r="L445" s="8">
        <f>IF(A445="","",A445&amp;"-"&amp;B445&amp;"-"&amp;C445)</f>
        <v/>
      </c>
      <c r="M445" s="8">
        <f>IF(OR(L445="",G445=""),"",IF(COUNTIF(L446:L$552,L445)=0,L445,""))</f>
        <v/>
      </c>
    </row>
    <row r="446">
      <c r="A446" s="40" t="n"/>
      <c r="B446" s="40" t="n"/>
      <c r="C446" s="40" t="n"/>
      <c r="D446" s="40" t="n"/>
      <c r="E446" s="40" t="n"/>
      <c r="F446" s="40" t="n"/>
      <c r="G446" s="3">
        <f>IF(L446="","",IFERROR(INDEX(前年度名簿!$D$2:$D$451,MATCH(L446,前年度名簿!$F$2:$F$451,0)),""))</f>
        <v/>
      </c>
      <c r="H446" s="44">
        <f>IF(D446="","",IF(ISERROR(VALUE(D446)),D446&amp;"",IF(AND(VALUE(D446)&gt;=1,VALUE(D446)&lt;=20),IF(INDEX(設定!$P$8:$P$27,VALUE(D446))="","？",INDEX(設定!$P$8:$P$27,VALUE(D446))),"？")))</f>
        <v/>
      </c>
      <c r="I446" s="44">
        <f>IF(E446="","",IF(ISERROR(VALUE(E446)),E446&amp;"",IF(AND(VALUE(E446)&gt;=1,VALUE(E446)&lt;=20),IF(INDEX(設定!$P$8:$P$27,VALUE(E446))="","？",INDEX(設定!$P$8:$P$27,VALUE(E446))),"？")))</f>
        <v/>
      </c>
      <c r="J446" s="44">
        <f>IF(F446="","",IF(ISERROR(VALUE(F446)),F446&amp;"",IF(AND(VALUE(F446)&gt;=1,VALUE(F446)&lt;=20),IF(INDEX(設定!$P$8:$P$27,VALUE(F446))="","？",INDEX(設定!$P$8:$P$27,VALUE(F446))),"？")))</f>
        <v/>
      </c>
      <c r="K446" s="45">
        <f>IF(L446="","",IF(G446="","名簿にいない",IF(COUNTIF(L447:L$552,L446)&gt;0,"2回提出（下の行を使います）",IF(OR(H446="？",I446="？",J446="？"),"クラブ番号がちがう",IF(OR(AND(H446&lt;&gt;"",H446&lt;&gt;"？",COUNTIF(設定!$P$8:$P$27,H446)=0),AND(I446&lt;&gt;"",I446&lt;&gt;"？",COUNTIF(設定!$P$8:$P$27,I446)=0),AND(J446&lt;&gt;"",J446&lt;&gt;"？",COUNTIF(設定!$P$8:$P$27,J446)=0)),"クラブ名がちがう",IF(H446="","第1希望がない",IF(OR(AND(H446&lt;&gt;"",H446=I446),AND(H446&lt;&gt;"",H446=J446),AND(I446&lt;&gt;"",I446=J446)),"同じクラブを重複して希望","OK")))))))</f>
        <v/>
      </c>
      <c r="L446" s="8">
        <f>IF(A446="","",A446&amp;"-"&amp;B446&amp;"-"&amp;C446)</f>
        <v/>
      </c>
      <c r="M446" s="8">
        <f>IF(OR(L446="",G446=""),"",IF(COUNTIF(L447:L$552,L446)=0,L446,""))</f>
        <v/>
      </c>
    </row>
    <row r="447">
      <c r="A447" s="40" t="n"/>
      <c r="B447" s="40" t="n"/>
      <c r="C447" s="40" t="n"/>
      <c r="D447" s="40" t="n"/>
      <c r="E447" s="40" t="n"/>
      <c r="F447" s="40" t="n"/>
      <c r="G447" s="3">
        <f>IF(L447="","",IFERROR(INDEX(前年度名簿!$D$2:$D$451,MATCH(L447,前年度名簿!$F$2:$F$451,0)),""))</f>
        <v/>
      </c>
      <c r="H447" s="44">
        <f>IF(D447="","",IF(ISERROR(VALUE(D447)),D447&amp;"",IF(AND(VALUE(D447)&gt;=1,VALUE(D447)&lt;=20),IF(INDEX(設定!$P$8:$P$27,VALUE(D447))="","？",INDEX(設定!$P$8:$P$27,VALUE(D447))),"？")))</f>
        <v/>
      </c>
      <c r="I447" s="44">
        <f>IF(E447="","",IF(ISERROR(VALUE(E447)),E447&amp;"",IF(AND(VALUE(E447)&gt;=1,VALUE(E447)&lt;=20),IF(INDEX(設定!$P$8:$P$27,VALUE(E447))="","？",INDEX(設定!$P$8:$P$27,VALUE(E447))),"？")))</f>
        <v/>
      </c>
      <c r="J447" s="44">
        <f>IF(F447="","",IF(ISERROR(VALUE(F447)),F447&amp;"",IF(AND(VALUE(F447)&gt;=1,VALUE(F447)&lt;=20),IF(INDEX(設定!$P$8:$P$27,VALUE(F447))="","？",INDEX(設定!$P$8:$P$27,VALUE(F447))),"？")))</f>
        <v/>
      </c>
      <c r="K447" s="45">
        <f>IF(L447="","",IF(G447="","名簿にいない",IF(COUNTIF(L448:L$552,L447)&gt;0,"2回提出（下の行を使います）",IF(OR(H447="？",I447="？",J447="？"),"クラブ番号がちがう",IF(OR(AND(H447&lt;&gt;"",H447&lt;&gt;"？",COUNTIF(設定!$P$8:$P$27,H447)=0),AND(I447&lt;&gt;"",I447&lt;&gt;"？",COUNTIF(設定!$P$8:$P$27,I447)=0),AND(J447&lt;&gt;"",J447&lt;&gt;"？",COUNTIF(設定!$P$8:$P$27,J447)=0)),"クラブ名がちがう",IF(H447="","第1希望がない",IF(OR(AND(H447&lt;&gt;"",H447=I447),AND(H447&lt;&gt;"",H447=J447),AND(I447&lt;&gt;"",I447=J447)),"同じクラブを重複して希望","OK")))))))</f>
        <v/>
      </c>
      <c r="L447" s="8">
        <f>IF(A447="","",A447&amp;"-"&amp;B447&amp;"-"&amp;C447)</f>
        <v/>
      </c>
      <c r="M447" s="8">
        <f>IF(OR(L447="",G447=""),"",IF(COUNTIF(L448:L$552,L447)=0,L447,""))</f>
        <v/>
      </c>
    </row>
    <row r="448">
      <c r="A448" s="40" t="n"/>
      <c r="B448" s="40" t="n"/>
      <c r="C448" s="40" t="n"/>
      <c r="D448" s="40" t="n"/>
      <c r="E448" s="40" t="n"/>
      <c r="F448" s="40" t="n"/>
      <c r="G448" s="3">
        <f>IF(L448="","",IFERROR(INDEX(前年度名簿!$D$2:$D$451,MATCH(L448,前年度名簿!$F$2:$F$451,0)),""))</f>
        <v/>
      </c>
      <c r="H448" s="44">
        <f>IF(D448="","",IF(ISERROR(VALUE(D448)),D448&amp;"",IF(AND(VALUE(D448)&gt;=1,VALUE(D448)&lt;=20),IF(INDEX(設定!$P$8:$P$27,VALUE(D448))="","？",INDEX(設定!$P$8:$P$27,VALUE(D448))),"？")))</f>
        <v/>
      </c>
      <c r="I448" s="44">
        <f>IF(E448="","",IF(ISERROR(VALUE(E448)),E448&amp;"",IF(AND(VALUE(E448)&gt;=1,VALUE(E448)&lt;=20),IF(INDEX(設定!$P$8:$P$27,VALUE(E448))="","？",INDEX(設定!$P$8:$P$27,VALUE(E448))),"？")))</f>
        <v/>
      </c>
      <c r="J448" s="44">
        <f>IF(F448="","",IF(ISERROR(VALUE(F448)),F448&amp;"",IF(AND(VALUE(F448)&gt;=1,VALUE(F448)&lt;=20),IF(INDEX(設定!$P$8:$P$27,VALUE(F448))="","？",INDEX(設定!$P$8:$P$27,VALUE(F448))),"？")))</f>
        <v/>
      </c>
      <c r="K448" s="45">
        <f>IF(L448="","",IF(G448="","名簿にいない",IF(COUNTIF(L449:L$552,L448)&gt;0,"2回提出（下の行を使います）",IF(OR(H448="？",I448="？",J448="？"),"クラブ番号がちがう",IF(OR(AND(H448&lt;&gt;"",H448&lt;&gt;"？",COUNTIF(設定!$P$8:$P$27,H448)=0),AND(I448&lt;&gt;"",I448&lt;&gt;"？",COUNTIF(設定!$P$8:$P$27,I448)=0),AND(J448&lt;&gt;"",J448&lt;&gt;"？",COUNTIF(設定!$P$8:$P$27,J448)=0)),"クラブ名がちがう",IF(H448="","第1希望がない",IF(OR(AND(H448&lt;&gt;"",H448=I448),AND(H448&lt;&gt;"",H448=J448),AND(I448&lt;&gt;"",I448=J448)),"同じクラブを重複して希望","OK")))))))</f>
        <v/>
      </c>
      <c r="L448" s="8">
        <f>IF(A448="","",A448&amp;"-"&amp;B448&amp;"-"&amp;C448)</f>
        <v/>
      </c>
      <c r="M448" s="8">
        <f>IF(OR(L448="",G448=""),"",IF(COUNTIF(L449:L$552,L448)=0,L448,""))</f>
        <v/>
      </c>
    </row>
    <row r="449">
      <c r="A449" s="40" t="n"/>
      <c r="B449" s="40" t="n"/>
      <c r="C449" s="40" t="n"/>
      <c r="D449" s="40" t="n"/>
      <c r="E449" s="40" t="n"/>
      <c r="F449" s="40" t="n"/>
      <c r="G449" s="3">
        <f>IF(L449="","",IFERROR(INDEX(前年度名簿!$D$2:$D$451,MATCH(L449,前年度名簿!$F$2:$F$451,0)),""))</f>
        <v/>
      </c>
      <c r="H449" s="44">
        <f>IF(D449="","",IF(ISERROR(VALUE(D449)),D449&amp;"",IF(AND(VALUE(D449)&gt;=1,VALUE(D449)&lt;=20),IF(INDEX(設定!$P$8:$P$27,VALUE(D449))="","？",INDEX(設定!$P$8:$P$27,VALUE(D449))),"？")))</f>
        <v/>
      </c>
      <c r="I449" s="44">
        <f>IF(E449="","",IF(ISERROR(VALUE(E449)),E449&amp;"",IF(AND(VALUE(E449)&gt;=1,VALUE(E449)&lt;=20),IF(INDEX(設定!$P$8:$P$27,VALUE(E449))="","？",INDEX(設定!$P$8:$P$27,VALUE(E449))),"？")))</f>
        <v/>
      </c>
      <c r="J449" s="44">
        <f>IF(F449="","",IF(ISERROR(VALUE(F449)),F449&amp;"",IF(AND(VALUE(F449)&gt;=1,VALUE(F449)&lt;=20),IF(INDEX(設定!$P$8:$P$27,VALUE(F449))="","？",INDEX(設定!$P$8:$P$27,VALUE(F449))),"？")))</f>
        <v/>
      </c>
      <c r="K449" s="45">
        <f>IF(L449="","",IF(G449="","名簿にいない",IF(COUNTIF(L450:L$552,L449)&gt;0,"2回提出（下の行を使います）",IF(OR(H449="？",I449="？",J449="？"),"クラブ番号がちがう",IF(OR(AND(H449&lt;&gt;"",H449&lt;&gt;"？",COUNTIF(設定!$P$8:$P$27,H449)=0),AND(I449&lt;&gt;"",I449&lt;&gt;"？",COUNTIF(設定!$P$8:$P$27,I449)=0),AND(J449&lt;&gt;"",J449&lt;&gt;"？",COUNTIF(設定!$P$8:$P$27,J449)=0)),"クラブ名がちがう",IF(H449="","第1希望がない",IF(OR(AND(H449&lt;&gt;"",H449=I449),AND(H449&lt;&gt;"",H449=J449),AND(I449&lt;&gt;"",I449=J449)),"同じクラブを重複して希望","OK")))))))</f>
        <v/>
      </c>
      <c r="L449" s="8">
        <f>IF(A449="","",A449&amp;"-"&amp;B449&amp;"-"&amp;C449)</f>
        <v/>
      </c>
      <c r="M449" s="8">
        <f>IF(OR(L449="",G449=""),"",IF(COUNTIF(L450:L$552,L449)=0,L449,""))</f>
        <v/>
      </c>
    </row>
    <row r="450">
      <c r="A450" s="40" t="n"/>
      <c r="B450" s="40" t="n"/>
      <c r="C450" s="40" t="n"/>
      <c r="D450" s="40" t="n"/>
      <c r="E450" s="40" t="n"/>
      <c r="F450" s="40" t="n"/>
      <c r="G450" s="3">
        <f>IF(L450="","",IFERROR(INDEX(前年度名簿!$D$2:$D$451,MATCH(L450,前年度名簿!$F$2:$F$451,0)),""))</f>
        <v/>
      </c>
      <c r="H450" s="44">
        <f>IF(D450="","",IF(ISERROR(VALUE(D450)),D450&amp;"",IF(AND(VALUE(D450)&gt;=1,VALUE(D450)&lt;=20),IF(INDEX(設定!$P$8:$P$27,VALUE(D450))="","？",INDEX(設定!$P$8:$P$27,VALUE(D450))),"？")))</f>
        <v/>
      </c>
      <c r="I450" s="44">
        <f>IF(E450="","",IF(ISERROR(VALUE(E450)),E450&amp;"",IF(AND(VALUE(E450)&gt;=1,VALUE(E450)&lt;=20),IF(INDEX(設定!$P$8:$P$27,VALUE(E450))="","？",INDEX(設定!$P$8:$P$27,VALUE(E450))),"？")))</f>
        <v/>
      </c>
      <c r="J450" s="44">
        <f>IF(F450="","",IF(ISERROR(VALUE(F450)),F450&amp;"",IF(AND(VALUE(F450)&gt;=1,VALUE(F450)&lt;=20),IF(INDEX(設定!$P$8:$P$27,VALUE(F450))="","？",INDEX(設定!$P$8:$P$27,VALUE(F450))),"？")))</f>
        <v/>
      </c>
      <c r="K450" s="45">
        <f>IF(L450="","",IF(G450="","名簿にいない",IF(COUNTIF(L451:L$552,L450)&gt;0,"2回提出（下の行を使います）",IF(OR(H450="？",I450="？",J450="？"),"クラブ番号がちがう",IF(OR(AND(H450&lt;&gt;"",H450&lt;&gt;"？",COUNTIF(設定!$P$8:$P$27,H450)=0),AND(I450&lt;&gt;"",I450&lt;&gt;"？",COUNTIF(設定!$P$8:$P$27,I450)=0),AND(J450&lt;&gt;"",J450&lt;&gt;"？",COUNTIF(設定!$P$8:$P$27,J450)=0)),"クラブ名がちがう",IF(H450="","第1希望がない",IF(OR(AND(H450&lt;&gt;"",H450=I450),AND(H450&lt;&gt;"",H450=J450),AND(I450&lt;&gt;"",I450=J450)),"同じクラブを重複して希望","OK")))))))</f>
        <v/>
      </c>
      <c r="L450" s="8">
        <f>IF(A450="","",A450&amp;"-"&amp;B450&amp;"-"&amp;C450)</f>
        <v/>
      </c>
      <c r="M450" s="8">
        <f>IF(OR(L450="",G450=""),"",IF(COUNTIF(L451:L$552,L450)=0,L450,""))</f>
        <v/>
      </c>
    </row>
    <row r="451">
      <c r="A451" s="40" t="n"/>
      <c r="B451" s="40" t="n"/>
      <c r="C451" s="40" t="n"/>
      <c r="D451" s="40" t="n"/>
      <c r="E451" s="40" t="n"/>
      <c r="F451" s="40" t="n"/>
      <c r="G451" s="3">
        <f>IF(L451="","",IFERROR(INDEX(前年度名簿!$D$2:$D$451,MATCH(L451,前年度名簿!$F$2:$F$451,0)),""))</f>
        <v/>
      </c>
      <c r="H451" s="44">
        <f>IF(D451="","",IF(ISERROR(VALUE(D451)),D451&amp;"",IF(AND(VALUE(D451)&gt;=1,VALUE(D451)&lt;=20),IF(INDEX(設定!$P$8:$P$27,VALUE(D451))="","？",INDEX(設定!$P$8:$P$27,VALUE(D451))),"？")))</f>
        <v/>
      </c>
      <c r="I451" s="44">
        <f>IF(E451="","",IF(ISERROR(VALUE(E451)),E451&amp;"",IF(AND(VALUE(E451)&gt;=1,VALUE(E451)&lt;=20),IF(INDEX(設定!$P$8:$P$27,VALUE(E451))="","？",INDEX(設定!$P$8:$P$27,VALUE(E451))),"？")))</f>
        <v/>
      </c>
      <c r="J451" s="44">
        <f>IF(F451="","",IF(ISERROR(VALUE(F451)),F451&amp;"",IF(AND(VALUE(F451)&gt;=1,VALUE(F451)&lt;=20),IF(INDEX(設定!$P$8:$P$27,VALUE(F451))="","？",INDEX(設定!$P$8:$P$27,VALUE(F451))),"？")))</f>
        <v/>
      </c>
      <c r="K451" s="45">
        <f>IF(L451="","",IF(G451="","名簿にいない",IF(COUNTIF(L452:L$552,L451)&gt;0,"2回提出（下の行を使います）",IF(OR(H451="？",I451="？",J451="？"),"クラブ番号がちがう",IF(OR(AND(H451&lt;&gt;"",H451&lt;&gt;"？",COUNTIF(設定!$P$8:$P$27,H451)=0),AND(I451&lt;&gt;"",I451&lt;&gt;"？",COUNTIF(設定!$P$8:$P$27,I451)=0),AND(J451&lt;&gt;"",J451&lt;&gt;"？",COUNTIF(設定!$P$8:$P$27,J451)=0)),"クラブ名がちがう",IF(H451="","第1希望がない",IF(OR(AND(H451&lt;&gt;"",H451=I451),AND(H451&lt;&gt;"",H451=J451),AND(I451&lt;&gt;"",I451=J451)),"同じクラブを重複して希望","OK")))))))</f>
        <v/>
      </c>
      <c r="L451" s="8">
        <f>IF(A451="","",A451&amp;"-"&amp;B451&amp;"-"&amp;C451)</f>
        <v/>
      </c>
      <c r="M451" s="8">
        <f>IF(OR(L451="",G451=""),"",IF(COUNTIF(L452:L$552,L451)=0,L451,""))</f>
        <v/>
      </c>
    </row>
    <row r="452">
      <c r="A452" s="40" t="n"/>
      <c r="B452" s="40" t="n"/>
      <c r="C452" s="40" t="n"/>
      <c r="D452" s="40" t="n"/>
      <c r="E452" s="40" t="n"/>
      <c r="F452" s="40" t="n"/>
      <c r="G452" s="3">
        <f>IF(L452="","",IFERROR(INDEX(前年度名簿!$D$2:$D$451,MATCH(L452,前年度名簿!$F$2:$F$451,0)),""))</f>
        <v/>
      </c>
      <c r="H452" s="44">
        <f>IF(D452="","",IF(ISERROR(VALUE(D452)),D452&amp;"",IF(AND(VALUE(D452)&gt;=1,VALUE(D452)&lt;=20),IF(INDEX(設定!$P$8:$P$27,VALUE(D452))="","？",INDEX(設定!$P$8:$P$27,VALUE(D452))),"？")))</f>
        <v/>
      </c>
      <c r="I452" s="44">
        <f>IF(E452="","",IF(ISERROR(VALUE(E452)),E452&amp;"",IF(AND(VALUE(E452)&gt;=1,VALUE(E452)&lt;=20),IF(INDEX(設定!$P$8:$P$27,VALUE(E452))="","？",INDEX(設定!$P$8:$P$27,VALUE(E452))),"？")))</f>
        <v/>
      </c>
      <c r="J452" s="44">
        <f>IF(F452="","",IF(ISERROR(VALUE(F452)),F452&amp;"",IF(AND(VALUE(F452)&gt;=1,VALUE(F452)&lt;=20),IF(INDEX(設定!$P$8:$P$27,VALUE(F452))="","？",INDEX(設定!$P$8:$P$27,VALUE(F452))),"？")))</f>
        <v/>
      </c>
      <c r="K452" s="45">
        <f>IF(L452="","",IF(G452="","名簿にいない",IF(COUNTIF(L453:L$552,L452)&gt;0,"2回提出（下の行を使います）",IF(OR(H452="？",I452="？",J452="？"),"クラブ番号がちがう",IF(OR(AND(H452&lt;&gt;"",H452&lt;&gt;"？",COUNTIF(設定!$P$8:$P$27,H452)=0),AND(I452&lt;&gt;"",I452&lt;&gt;"？",COUNTIF(設定!$P$8:$P$27,I452)=0),AND(J452&lt;&gt;"",J452&lt;&gt;"？",COUNTIF(設定!$P$8:$P$27,J452)=0)),"クラブ名がちがう",IF(H452="","第1希望がない",IF(OR(AND(H452&lt;&gt;"",H452=I452),AND(H452&lt;&gt;"",H452=J452),AND(I452&lt;&gt;"",I452=J452)),"同じクラブを重複して希望","OK")))))))</f>
        <v/>
      </c>
      <c r="L452" s="8">
        <f>IF(A452="","",A452&amp;"-"&amp;B452&amp;"-"&amp;C452)</f>
        <v/>
      </c>
      <c r="M452" s="8">
        <f>IF(OR(L452="",G452=""),"",IF(COUNTIF(L453:L$552,L452)=0,L452,""))</f>
        <v/>
      </c>
    </row>
    <row r="453">
      <c r="A453" s="40" t="n"/>
      <c r="B453" s="40" t="n"/>
      <c r="C453" s="40" t="n"/>
      <c r="D453" s="40" t="n"/>
      <c r="E453" s="40" t="n"/>
      <c r="F453" s="40" t="n"/>
      <c r="G453" s="3">
        <f>IF(L453="","",IFERROR(INDEX(前年度名簿!$D$2:$D$451,MATCH(L453,前年度名簿!$F$2:$F$451,0)),""))</f>
        <v/>
      </c>
      <c r="H453" s="44">
        <f>IF(D453="","",IF(ISERROR(VALUE(D453)),D453&amp;"",IF(AND(VALUE(D453)&gt;=1,VALUE(D453)&lt;=20),IF(INDEX(設定!$P$8:$P$27,VALUE(D453))="","？",INDEX(設定!$P$8:$P$27,VALUE(D453))),"？")))</f>
        <v/>
      </c>
      <c r="I453" s="44">
        <f>IF(E453="","",IF(ISERROR(VALUE(E453)),E453&amp;"",IF(AND(VALUE(E453)&gt;=1,VALUE(E453)&lt;=20),IF(INDEX(設定!$P$8:$P$27,VALUE(E453))="","？",INDEX(設定!$P$8:$P$27,VALUE(E453))),"？")))</f>
        <v/>
      </c>
      <c r="J453" s="44">
        <f>IF(F453="","",IF(ISERROR(VALUE(F453)),F453&amp;"",IF(AND(VALUE(F453)&gt;=1,VALUE(F453)&lt;=20),IF(INDEX(設定!$P$8:$P$27,VALUE(F453))="","？",INDEX(設定!$P$8:$P$27,VALUE(F453))),"？")))</f>
        <v/>
      </c>
      <c r="K453" s="45">
        <f>IF(L453="","",IF(G453="","名簿にいない",IF(COUNTIF(L454:L$552,L453)&gt;0,"2回提出（下の行を使います）",IF(OR(H453="？",I453="？",J453="？"),"クラブ番号がちがう",IF(OR(AND(H453&lt;&gt;"",H453&lt;&gt;"？",COUNTIF(設定!$P$8:$P$27,H453)=0),AND(I453&lt;&gt;"",I453&lt;&gt;"？",COUNTIF(設定!$P$8:$P$27,I453)=0),AND(J453&lt;&gt;"",J453&lt;&gt;"？",COUNTIF(設定!$P$8:$P$27,J453)=0)),"クラブ名がちがう",IF(H453="","第1希望がない",IF(OR(AND(H453&lt;&gt;"",H453=I453),AND(H453&lt;&gt;"",H453=J453),AND(I453&lt;&gt;"",I453=J453)),"同じクラブを重複して希望","OK")))))))</f>
        <v/>
      </c>
      <c r="L453" s="8">
        <f>IF(A453="","",A453&amp;"-"&amp;B453&amp;"-"&amp;C453)</f>
        <v/>
      </c>
      <c r="M453" s="8">
        <f>IF(OR(L453="",G453=""),"",IF(COUNTIF(L454:L$552,L453)=0,L453,""))</f>
        <v/>
      </c>
    </row>
    <row r="454">
      <c r="A454" s="40" t="n"/>
      <c r="B454" s="40" t="n"/>
      <c r="C454" s="40" t="n"/>
      <c r="D454" s="40" t="n"/>
      <c r="E454" s="40" t="n"/>
      <c r="F454" s="40" t="n"/>
      <c r="G454" s="3">
        <f>IF(L454="","",IFERROR(INDEX(前年度名簿!$D$2:$D$451,MATCH(L454,前年度名簿!$F$2:$F$451,0)),""))</f>
        <v/>
      </c>
      <c r="H454" s="44">
        <f>IF(D454="","",IF(ISERROR(VALUE(D454)),D454&amp;"",IF(AND(VALUE(D454)&gt;=1,VALUE(D454)&lt;=20),IF(INDEX(設定!$P$8:$P$27,VALUE(D454))="","？",INDEX(設定!$P$8:$P$27,VALUE(D454))),"？")))</f>
        <v/>
      </c>
      <c r="I454" s="44">
        <f>IF(E454="","",IF(ISERROR(VALUE(E454)),E454&amp;"",IF(AND(VALUE(E454)&gt;=1,VALUE(E454)&lt;=20),IF(INDEX(設定!$P$8:$P$27,VALUE(E454))="","？",INDEX(設定!$P$8:$P$27,VALUE(E454))),"？")))</f>
        <v/>
      </c>
      <c r="J454" s="44">
        <f>IF(F454="","",IF(ISERROR(VALUE(F454)),F454&amp;"",IF(AND(VALUE(F454)&gt;=1,VALUE(F454)&lt;=20),IF(INDEX(設定!$P$8:$P$27,VALUE(F454))="","？",INDEX(設定!$P$8:$P$27,VALUE(F454))),"？")))</f>
        <v/>
      </c>
      <c r="K454" s="45">
        <f>IF(L454="","",IF(G454="","名簿にいない",IF(COUNTIF(L455:L$552,L454)&gt;0,"2回提出（下の行を使います）",IF(OR(H454="？",I454="？",J454="？"),"クラブ番号がちがう",IF(OR(AND(H454&lt;&gt;"",H454&lt;&gt;"？",COUNTIF(設定!$P$8:$P$27,H454)=0),AND(I454&lt;&gt;"",I454&lt;&gt;"？",COUNTIF(設定!$P$8:$P$27,I454)=0),AND(J454&lt;&gt;"",J454&lt;&gt;"？",COUNTIF(設定!$P$8:$P$27,J454)=0)),"クラブ名がちがう",IF(H454="","第1希望がない",IF(OR(AND(H454&lt;&gt;"",H454=I454),AND(H454&lt;&gt;"",H454=J454),AND(I454&lt;&gt;"",I454=J454)),"同じクラブを重複して希望","OK")))))))</f>
        <v/>
      </c>
      <c r="L454" s="8">
        <f>IF(A454="","",A454&amp;"-"&amp;B454&amp;"-"&amp;C454)</f>
        <v/>
      </c>
      <c r="M454" s="8">
        <f>IF(OR(L454="",G454=""),"",IF(COUNTIF(L455:L$552,L454)=0,L454,""))</f>
        <v/>
      </c>
    </row>
    <row r="455">
      <c r="A455" s="40" t="n"/>
      <c r="B455" s="40" t="n"/>
      <c r="C455" s="40" t="n"/>
      <c r="D455" s="40" t="n"/>
      <c r="E455" s="40" t="n"/>
      <c r="F455" s="40" t="n"/>
      <c r="G455" s="3">
        <f>IF(L455="","",IFERROR(INDEX(前年度名簿!$D$2:$D$451,MATCH(L455,前年度名簿!$F$2:$F$451,0)),""))</f>
        <v/>
      </c>
      <c r="H455" s="44">
        <f>IF(D455="","",IF(ISERROR(VALUE(D455)),D455&amp;"",IF(AND(VALUE(D455)&gt;=1,VALUE(D455)&lt;=20),IF(INDEX(設定!$P$8:$P$27,VALUE(D455))="","？",INDEX(設定!$P$8:$P$27,VALUE(D455))),"？")))</f>
        <v/>
      </c>
      <c r="I455" s="44">
        <f>IF(E455="","",IF(ISERROR(VALUE(E455)),E455&amp;"",IF(AND(VALUE(E455)&gt;=1,VALUE(E455)&lt;=20),IF(INDEX(設定!$P$8:$P$27,VALUE(E455))="","？",INDEX(設定!$P$8:$P$27,VALUE(E455))),"？")))</f>
        <v/>
      </c>
      <c r="J455" s="44">
        <f>IF(F455="","",IF(ISERROR(VALUE(F455)),F455&amp;"",IF(AND(VALUE(F455)&gt;=1,VALUE(F455)&lt;=20),IF(INDEX(設定!$P$8:$P$27,VALUE(F455))="","？",INDEX(設定!$P$8:$P$27,VALUE(F455))),"？")))</f>
        <v/>
      </c>
      <c r="K455" s="45">
        <f>IF(L455="","",IF(G455="","名簿にいない",IF(COUNTIF(L456:L$552,L455)&gt;0,"2回提出（下の行を使います）",IF(OR(H455="？",I455="？",J455="？"),"クラブ番号がちがう",IF(OR(AND(H455&lt;&gt;"",H455&lt;&gt;"？",COUNTIF(設定!$P$8:$P$27,H455)=0),AND(I455&lt;&gt;"",I455&lt;&gt;"？",COUNTIF(設定!$P$8:$P$27,I455)=0),AND(J455&lt;&gt;"",J455&lt;&gt;"？",COUNTIF(設定!$P$8:$P$27,J455)=0)),"クラブ名がちがう",IF(H455="","第1希望がない",IF(OR(AND(H455&lt;&gt;"",H455=I455),AND(H455&lt;&gt;"",H455=J455),AND(I455&lt;&gt;"",I455=J455)),"同じクラブを重複して希望","OK")))))))</f>
        <v/>
      </c>
      <c r="L455" s="8">
        <f>IF(A455="","",A455&amp;"-"&amp;B455&amp;"-"&amp;C455)</f>
        <v/>
      </c>
      <c r="M455" s="8">
        <f>IF(OR(L455="",G455=""),"",IF(COUNTIF(L456:L$552,L455)=0,L455,""))</f>
        <v/>
      </c>
    </row>
    <row r="456">
      <c r="A456" s="40" t="n"/>
      <c r="B456" s="40" t="n"/>
      <c r="C456" s="40" t="n"/>
      <c r="D456" s="40" t="n"/>
      <c r="E456" s="40" t="n"/>
      <c r="F456" s="40" t="n"/>
      <c r="G456" s="3">
        <f>IF(L456="","",IFERROR(INDEX(前年度名簿!$D$2:$D$451,MATCH(L456,前年度名簿!$F$2:$F$451,0)),""))</f>
        <v/>
      </c>
      <c r="H456" s="44">
        <f>IF(D456="","",IF(ISERROR(VALUE(D456)),D456&amp;"",IF(AND(VALUE(D456)&gt;=1,VALUE(D456)&lt;=20),IF(INDEX(設定!$P$8:$P$27,VALUE(D456))="","？",INDEX(設定!$P$8:$P$27,VALUE(D456))),"？")))</f>
        <v/>
      </c>
      <c r="I456" s="44">
        <f>IF(E456="","",IF(ISERROR(VALUE(E456)),E456&amp;"",IF(AND(VALUE(E456)&gt;=1,VALUE(E456)&lt;=20),IF(INDEX(設定!$P$8:$P$27,VALUE(E456))="","？",INDEX(設定!$P$8:$P$27,VALUE(E456))),"？")))</f>
        <v/>
      </c>
      <c r="J456" s="44">
        <f>IF(F456="","",IF(ISERROR(VALUE(F456)),F456&amp;"",IF(AND(VALUE(F456)&gt;=1,VALUE(F456)&lt;=20),IF(INDEX(設定!$P$8:$P$27,VALUE(F456))="","？",INDEX(設定!$P$8:$P$27,VALUE(F456))),"？")))</f>
        <v/>
      </c>
      <c r="K456" s="45">
        <f>IF(L456="","",IF(G456="","名簿にいない",IF(COUNTIF(L457:L$552,L456)&gt;0,"2回提出（下の行を使います）",IF(OR(H456="？",I456="？",J456="？"),"クラブ番号がちがう",IF(OR(AND(H456&lt;&gt;"",H456&lt;&gt;"？",COUNTIF(設定!$P$8:$P$27,H456)=0),AND(I456&lt;&gt;"",I456&lt;&gt;"？",COUNTIF(設定!$P$8:$P$27,I456)=0),AND(J456&lt;&gt;"",J456&lt;&gt;"？",COUNTIF(設定!$P$8:$P$27,J456)=0)),"クラブ名がちがう",IF(H456="","第1希望がない",IF(OR(AND(H456&lt;&gt;"",H456=I456),AND(H456&lt;&gt;"",H456=J456),AND(I456&lt;&gt;"",I456=J456)),"同じクラブを重複して希望","OK")))))))</f>
        <v/>
      </c>
      <c r="L456" s="8">
        <f>IF(A456="","",A456&amp;"-"&amp;B456&amp;"-"&amp;C456)</f>
        <v/>
      </c>
      <c r="M456" s="8">
        <f>IF(OR(L456="",G456=""),"",IF(COUNTIF(L457:L$552,L456)=0,L456,""))</f>
        <v/>
      </c>
    </row>
    <row r="457">
      <c r="A457" s="40" t="n"/>
      <c r="B457" s="40" t="n"/>
      <c r="C457" s="40" t="n"/>
      <c r="D457" s="40" t="n"/>
      <c r="E457" s="40" t="n"/>
      <c r="F457" s="40" t="n"/>
      <c r="G457" s="3">
        <f>IF(L457="","",IFERROR(INDEX(前年度名簿!$D$2:$D$451,MATCH(L457,前年度名簿!$F$2:$F$451,0)),""))</f>
        <v/>
      </c>
      <c r="H457" s="44">
        <f>IF(D457="","",IF(ISERROR(VALUE(D457)),D457&amp;"",IF(AND(VALUE(D457)&gt;=1,VALUE(D457)&lt;=20),IF(INDEX(設定!$P$8:$P$27,VALUE(D457))="","？",INDEX(設定!$P$8:$P$27,VALUE(D457))),"？")))</f>
        <v/>
      </c>
      <c r="I457" s="44">
        <f>IF(E457="","",IF(ISERROR(VALUE(E457)),E457&amp;"",IF(AND(VALUE(E457)&gt;=1,VALUE(E457)&lt;=20),IF(INDEX(設定!$P$8:$P$27,VALUE(E457))="","？",INDEX(設定!$P$8:$P$27,VALUE(E457))),"？")))</f>
        <v/>
      </c>
      <c r="J457" s="44">
        <f>IF(F457="","",IF(ISERROR(VALUE(F457)),F457&amp;"",IF(AND(VALUE(F457)&gt;=1,VALUE(F457)&lt;=20),IF(INDEX(設定!$P$8:$P$27,VALUE(F457))="","？",INDEX(設定!$P$8:$P$27,VALUE(F457))),"？")))</f>
        <v/>
      </c>
      <c r="K457" s="45">
        <f>IF(L457="","",IF(G457="","名簿にいない",IF(COUNTIF(L458:L$552,L457)&gt;0,"2回提出（下の行を使います）",IF(OR(H457="？",I457="？",J457="？"),"クラブ番号がちがう",IF(OR(AND(H457&lt;&gt;"",H457&lt;&gt;"？",COUNTIF(設定!$P$8:$P$27,H457)=0),AND(I457&lt;&gt;"",I457&lt;&gt;"？",COUNTIF(設定!$P$8:$P$27,I457)=0),AND(J457&lt;&gt;"",J457&lt;&gt;"？",COUNTIF(設定!$P$8:$P$27,J457)=0)),"クラブ名がちがう",IF(H457="","第1希望がない",IF(OR(AND(H457&lt;&gt;"",H457=I457),AND(H457&lt;&gt;"",H457=J457),AND(I457&lt;&gt;"",I457=J457)),"同じクラブを重複して希望","OK")))))))</f>
        <v/>
      </c>
      <c r="L457" s="8">
        <f>IF(A457="","",A457&amp;"-"&amp;B457&amp;"-"&amp;C457)</f>
        <v/>
      </c>
      <c r="M457" s="8">
        <f>IF(OR(L457="",G457=""),"",IF(COUNTIF(L458:L$552,L457)=0,L457,""))</f>
        <v/>
      </c>
    </row>
    <row r="458">
      <c r="A458" s="40" t="n"/>
      <c r="B458" s="40" t="n"/>
      <c r="C458" s="40" t="n"/>
      <c r="D458" s="40" t="n"/>
      <c r="E458" s="40" t="n"/>
      <c r="F458" s="40" t="n"/>
      <c r="G458" s="3">
        <f>IF(L458="","",IFERROR(INDEX(前年度名簿!$D$2:$D$451,MATCH(L458,前年度名簿!$F$2:$F$451,0)),""))</f>
        <v/>
      </c>
      <c r="H458" s="44">
        <f>IF(D458="","",IF(ISERROR(VALUE(D458)),D458&amp;"",IF(AND(VALUE(D458)&gt;=1,VALUE(D458)&lt;=20),IF(INDEX(設定!$P$8:$P$27,VALUE(D458))="","？",INDEX(設定!$P$8:$P$27,VALUE(D458))),"？")))</f>
        <v/>
      </c>
      <c r="I458" s="44">
        <f>IF(E458="","",IF(ISERROR(VALUE(E458)),E458&amp;"",IF(AND(VALUE(E458)&gt;=1,VALUE(E458)&lt;=20),IF(INDEX(設定!$P$8:$P$27,VALUE(E458))="","？",INDEX(設定!$P$8:$P$27,VALUE(E458))),"？")))</f>
        <v/>
      </c>
      <c r="J458" s="44">
        <f>IF(F458="","",IF(ISERROR(VALUE(F458)),F458&amp;"",IF(AND(VALUE(F458)&gt;=1,VALUE(F458)&lt;=20),IF(INDEX(設定!$P$8:$P$27,VALUE(F458))="","？",INDEX(設定!$P$8:$P$27,VALUE(F458))),"？")))</f>
        <v/>
      </c>
      <c r="K458" s="45">
        <f>IF(L458="","",IF(G458="","名簿にいない",IF(COUNTIF(L459:L$552,L458)&gt;0,"2回提出（下の行を使います）",IF(OR(H458="？",I458="？",J458="？"),"クラブ番号がちがう",IF(OR(AND(H458&lt;&gt;"",H458&lt;&gt;"？",COUNTIF(設定!$P$8:$P$27,H458)=0),AND(I458&lt;&gt;"",I458&lt;&gt;"？",COUNTIF(設定!$P$8:$P$27,I458)=0),AND(J458&lt;&gt;"",J458&lt;&gt;"？",COUNTIF(設定!$P$8:$P$27,J458)=0)),"クラブ名がちがう",IF(H458="","第1希望がない",IF(OR(AND(H458&lt;&gt;"",H458=I458),AND(H458&lt;&gt;"",H458=J458),AND(I458&lt;&gt;"",I458=J458)),"同じクラブを重複して希望","OK")))))))</f>
        <v/>
      </c>
      <c r="L458" s="8">
        <f>IF(A458="","",A458&amp;"-"&amp;B458&amp;"-"&amp;C458)</f>
        <v/>
      </c>
      <c r="M458" s="8">
        <f>IF(OR(L458="",G458=""),"",IF(COUNTIF(L459:L$552,L458)=0,L458,""))</f>
        <v/>
      </c>
    </row>
    <row r="459">
      <c r="A459" s="40" t="n"/>
      <c r="B459" s="40" t="n"/>
      <c r="C459" s="40" t="n"/>
      <c r="D459" s="40" t="n"/>
      <c r="E459" s="40" t="n"/>
      <c r="F459" s="40" t="n"/>
      <c r="G459" s="3">
        <f>IF(L459="","",IFERROR(INDEX(前年度名簿!$D$2:$D$451,MATCH(L459,前年度名簿!$F$2:$F$451,0)),""))</f>
        <v/>
      </c>
      <c r="H459" s="44">
        <f>IF(D459="","",IF(ISERROR(VALUE(D459)),D459&amp;"",IF(AND(VALUE(D459)&gt;=1,VALUE(D459)&lt;=20),IF(INDEX(設定!$P$8:$P$27,VALUE(D459))="","？",INDEX(設定!$P$8:$P$27,VALUE(D459))),"？")))</f>
        <v/>
      </c>
      <c r="I459" s="44">
        <f>IF(E459="","",IF(ISERROR(VALUE(E459)),E459&amp;"",IF(AND(VALUE(E459)&gt;=1,VALUE(E459)&lt;=20),IF(INDEX(設定!$P$8:$P$27,VALUE(E459))="","？",INDEX(設定!$P$8:$P$27,VALUE(E459))),"？")))</f>
        <v/>
      </c>
      <c r="J459" s="44">
        <f>IF(F459="","",IF(ISERROR(VALUE(F459)),F459&amp;"",IF(AND(VALUE(F459)&gt;=1,VALUE(F459)&lt;=20),IF(INDEX(設定!$P$8:$P$27,VALUE(F459))="","？",INDEX(設定!$P$8:$P$27,VALUE(F459))),"？")))</f>
        <v/>
      </c>
      <c r="K459" s="45">
        <f>IF(L459="","",IF(G459="","名簿にいない",IF(COUNTIF(L460:L$552,L459)&gt;0,"2回提出（下の行を使います）",IF(OR(H459="？",I459="？",J459="？"),"クラブ番号がちがう",IF(OR(AND(H459&lt;&gt;"",H459&lt;&gt;"？",COUNTIF(設定!$P$8:$P$27,H459)=0),AND(I459&lt;&gt;"",I459&lt;&gt;"？",COUNTIF(設定!$P$8:$P$27,I459)=0),AND(J459&lt;&gt;"",J459&lt;&gt;"？",COUNTIF(設定!$P$8:$P$27,J459)=0)),"クラブ名がちがう",IF(H459="","第1希望がない",IF(OR(AND(H459&lt;&gt;"",H459=I459),AND(H459&lt;&gt;"",H459=J459),AND(I459&lt;&gt;"",I459=J459)),"同じクラブを重複して希望","OK")))))))</f>
        <v/>
      </c>
      <c r="L459" s="8">
        <f>IF(A459="","",A459&amp;"-"&amp;B459&amp;"-"&amp;C459)</f>
        <v/>
      </c>
      <c r="M459" s="8">
        <f>IF(OR(L459="",G459=""),"",IF(COUNTIF(L460:L$552,L459)=0,L459,""))</f>
        <v/>
      </c>
    </row>
    <row r="460">
      <c r="A460" s="40" t="n"/>
      <c r="B460" s="40" t="n"/>
      <c r="C460" s="40" t="n"/>
      <c r="D460" s="40" t="n"/>
      <c r="E460" s="40" t="n"/>
      <c r="F460" s="40" t="n"/>
      <c r="G460" s="3">
        <f>IF(L460="","",IFERROR(INDEX(前年度名簿!$D$2:$D$451,MATCH(L460,前年度名簿!$F$2:$F$451,0)),""))</f>
        <v/>
      </c>
      <c r="H460" s="44">
        <f>IF(D460="","",IF(ISERROR(VALUE(D460)),D460&amp;"",IF(AND(VALUE(D460)&gt;=1,VALUE(D460)&lt;=20),IF(INDEX(設定!$P$8:$P$27,VALUE(D460))="","？",INDEX(設定!$P$8:$P$27,VALUE(D460))),"？")))</f>
        <v/>
      </c>
      <c r="I460" s="44">
        <f>IF(E460="","",IF(ISERROR(VALUE(E460)),E460&amp;"",IF(AND(VALUE(E460)&gt;=1,VALUE(E460)&lt;=20),IF(INDEX(設定!$P$8:$P$27,VALUE(E460))="","？",INDEX(設定!$P$8:$P$27,VALUE(E460))),"？")))</f>
        <v/>
      </c>
      <c r="J460" s="44">
        <f>IF(F460="","",IF(ISERROR(VALUE(F460)),F460&amp;"",IF(AND(VALUE(F460)&gt;=1,VALUE(F460)&lt;=20),IF(INDEX(設定!$P$8:$P$27,VALUE(F460))="","？",INDEX(設定!$P$8:$P$27,VALUE(F460))),"？")))</f>
        <v/>
      </c>
      <c r="K460" s="45">
        <f>IF(L460="","",IF(G460="","名簿にいない",IF(COUNTIF(L461:L$552,L460)&gt;0,"2回提出（下の行を使います）",IF(OR(H460="？",I460="？",J460="？"),"クラブ番号がちがう",IF(OR(AND(H460&lt;&gt;"",H460&lt;&gt;"？",COUNTIF(設定!$P$8:$P$27,H460)=0),AND(I460&lt;&gt;"",I460&lt;&gt;"？",COUNTIF(設定!$P$8:$P$27,I460)=0),AND(J460&lt;&gt;"",J460&lt;&gt;"？",COUNTIF(設定!$P$8:$P$27,J460)=0)),"クラブ名がちがう",IF(H460="","第1希望がない",IF(OR(AND(H460&lt;&gt;"",H460=I460),AND(H460&lt;&gt;"",H460=J460),AND(I460&lt;&gt;"",I460=J460)),"同じクラブを重複して希望","OK")))))))</f>
        <v/>
      </c>
      <c r="L460" s="8">
        <f>IF(A460="","",A460&amp;"-"&amp;B460&amp;"-"&amp;C460)</f>
        <v/>
      </c>
      <c r="M460" s="8">
        <f>IF(OR(L460="",G460=""),"",IF(COUNTIF(L461:L$552,L460)=0,L460,""))</f>
        <v/>
      </c>
    </row>
    <row r="461">
      <c r="A461" s="40" t="n"/>
      <c r="B461" s="40" t="n"/>
      <c r="C461" s="40" t="n"/>
      <c r="D461" s="40" t="n"/>
      <c r="E461" s="40" t="n"/>
      <c r="F461" s="40" t="n"/>
      <c r="G461" s="3">
        <f>IF(L461="","",IFERROR(INDEX(前年度名簿!$D$2:$D$451,MATCH(L461,前年度名簿!$F$2:$F$451,0)),""))</f>
        <v/>
      </c>
      <c r="H461" s="44">
        <f>IF(D461="","",IF(ISERROR(VALUE(D461)),D461&amp;"",IF(AND(VALUE(D461)&gt;=1,VALUE(D461)&lt;=20),IF(INDEX(設定!$P$8:$P$27,VALUE(D461))="","？",INDEX(設定!$P$8:$P$27,VALUE(D461))),"？")))</f>
        <v/>
      </c>
      <c r="I461" s="44">
        <f>IF(E461="","",IF(ISERROR(VALUE(E461)),E461&amp;"",IF(AND(VALUE(E461)&gt;=1,VALUE(E461)&lt;=20),IF(INDEX(設定!$P$8:$P$27,VALUE(E461))="","？",INDEX(設定!$P$8:$P$27,VALUE(E461))),"？")))</f>
        <v/>
      </c>
      <c r="J461" s="44">
        <f>IF(F461="","",IF(ISERROR(VALUE(F461)),F461&amp;"",IF(AND(VALUE(F461)&gt;=1,VALUE(F461)&lt;=20),IF(INDEX(設定!$P$8:$P$27,VALUE(F461))="","？",INDEX(設定!$P$8:$P$27,VALUE(F461))),"？")))</f>
        <v/>
      </c>
      <c r="K461" s="45">
        <f>IF(L461="","",IF(G461="","名簿にいない",IF(COUNTIF(L462:L$552,L461)&gt;0,"2回提出（下の行を使います）",IF(OR(H461="？",I461="？",J461="？"),"クラブ番号がちがう",IF(OR(AND(H461&lt;&gt;"",H461&lt;&gt;"？",COUNTIF(設定!$P$8:$P$27,H461)=0),AND(I461&lt;&gt;"",I461&lt;&gt;"？",COUNTIF(設定!$P$8:$P$27,I461)=0),AND(J461&lt;&gt;"",J461&lt;&gt;"？",COUNTIF(設定!$P$8:$P$27,J461)=0)),"クラブ名がちがう",IF(H461="","第1希望がない",IF(OR(AND(H461&lt;&gt;"",H461=I461),AND(H461&lt;&gt;"",H461=J461),AND(I461&lt;&gt;"",I461=J461)),"同じクラブを重複して希望","OK")))))))</f>
        <v/>
      </c>
      <c r="L461" s="8">
        <f>IF(A461="","",A461&amp;"-"&amp;B461&amp;"-"&amp;C461)</f>
        <v/>
      </c>
      <c r="M461" s="8">
        <f>IF(OR(L461="",G461=""),"",IF(COUNTIF(L462:L$552,L461)=0,L461,""))</f>
        <v/>
      </c>
    </row>
    <row r="462">
      <c r="A462" s="40" t="n"/>
      <c r="B462" s="40" t="n"/>
      <c r="C462" s="40" t="n"/>
      <c r="D462" s="40" t="n"/>
      <c r="E462" s="40" t="n"/>
      <c r="F462" s="40" t="n"/>
      <c r="G462" s="3">
        <f>IF(L462="","",IFERROR(INDEX(前年度名簿!$D$2:$D$451,MATCH(L462,前年度名簿!$F$2:$F$451,0)),""))</f>
        <v/>
      </c>
      <c r="H462" s="44">
        <f>IF(D462="","",IF(ISERROR(VALUE(D462)),D462&amp;"",IF(AND(VALUE(D462)&gt;=1,VALUE(D462)&lt;=20),IF(INDEX(設定!$P$8:$P$27,VALUE(D462))="","？",INDEX(設定!$P$8:$P$27,VALUE(D462))),"？")))</f>
        <v/>
      </c>
      <c r="I462" s="44">
        <f>IF(E462="","",IF(ISERROR(VALUE(E462)),E462&amp;"",IF(AND(VALUE(E462)&gt;=1,VALUE(E462)&lt;=20),IF(INDEX(設定!$P$8:$P$27,VALUE(E462))="","？",INDEX(設定!$P$8:$P$27,VALUE(E462))),"？")))</f>
        <v/>
      </c>
      <c r="J462" s="44">
        <f>IF(F462="","",IF(ISERROR(VALUE(F462)),F462&amp;"",IF(AND(VALUE(F462)&gt;=1,VALUE(F462)&lt;=20),IF(INDEX(設定!$P$8:$P$27,VALUE(F462))="","？",INDEX(設定!$P$8:$P$27,VALUE(F462))),"？")))</f>
        <v/>
      </c>
      <c r="K462" s="45">
        <f>IF(L462="","",IF(G462="","名簿にいない",IF(COUNTIF(L463:L$552,L462)&gt;0,"2回提出（下の行を使います）",IF(OR(H462="？",I462="？",J462="？"),"クラブ番号がちがう",IF(OR(AND(H462&lt;&gt;"",H462&lt;&gt;"？",COUNTIF(設定!$P$8:$P$27,H462)=0),AND(I462&lt;&gt;"",I462&lt;&gt;"？",COUNTIF(設定!$P$8:$P$27,I462)=0),AND(J462&lt;&gt;"",J462&lt;&gt;"？",COUNTIF(設定!$P$8:$P$27,J462)=0)),"クラブ名がちがう",IF(H462="","第1希望がない",IF(OR(AND(H462&lt;&gt;"",H462=I462),AND(H462&lt;&gt;"",H462=J462),AND(I462&lt;&gt;"",I462=J462)),"同じクラブを重複して希望","OK")))))))</f>
        <v/>
      </c>
      <c r="L462" s="8">
        <f>IF(A462="","",A462&amp;"-"&amp;B462&amp;"-"&amp;C462)</f>
        <v/>
      </c>
      <c r="M462" s="8">
        <f>IF(OR(L462="",G462=""),"",IF(COUNTIF(L463:L$552,L462)=0,L462,""))</f>
        <v/>
      </c>
    </row>
    <row r="463">
      <c r="A463" s="40" t="n"/>
      <c r="B463" s="40" t="n"/>
      <c r="C463" s="40" t="n"/>
      <c r="D463" s="40" t="n"/>
      <c r="E463" s="40" t="n"/>
      <c r="F463" s="40" t="n"/>
      <c r="G463" s="3">
        <f>IF(L463="","",IFERROR(INDEX(前年度名簿!$D$2:$D$451,MATCH(L463,前年度名簿!$F$2:$F$451,0)),""))</f>
        <v/>
      </c>
      <c r="H463" s="44">
        <f>IF(D463="","",IF(ISERROR(VALUE(D463)),D463&amp;"",IF(AND(VALUE(D463)&gt;=1,VALUE(D463)&lt;=20),IF(INDEX(設定!$P$8:$P$27,VALUE(D463))="","？",INDEX(設定!$P$8:$P$27,VALUE(D463))),"？")))</f>
        <v/>
      </c>
      <c r="I463" s="44">
        <f>IF(E463="","",IF(ISERROR(VALUE(E463)),E463&amp;"",IF(AND(VALUE(E463)&gt;=1,VALUE(E463)&lt;=20),IF(INDEX(設定!$P$8:$P$27,VALUE(E463))="","？",INDEX(設定!$P$8:$P$27,VALUE(E463))),"？")))</f>
        <v/>
      </c>
      <c r="J463" s="44">
        <f>IF(F463="","",IF(ISERROR(VALUE(F463)),F463&amp;"",IF(AND(VALUE(F463)&gt;=1,VALUE(F463)&lt;=20),IF(INDEX(設定!$P$8:$P$27,VALUE(F463))="","？",INDEX(設定!$P$8:$P$27,VALUE(F463))),"？")))</f>
        <v/>
      </c>
      <c r="K463" s="45">
        <f>IF(L463="","",IF(G463="","名簿にいない",IF(COUNTIF(L464:L$552,L463)&gt;0,"2回提出（下の行を使います）",IF(OR(H463="？",I463="？",J463="？"),"クラブ番号がちがう",IF(OR(AND(H463&lt;&gt;"",H463&lt;&gt;"？",COUNTIF(設定!$P$8:$P$27,H463)=0),AND(I463&lt;&gt;"",I463&lt;&gt;"？",COUNTIF(設定!$P$8:$P$27,I463)=0),AND(J463&lt;&gt;"",J463&lt;&gt;"？",COUNTIF(設定!$P$8:$P$27,J463)=0)),"クラブ名がちがう",IF(H463="","第1希望がない",IF(OR(AND(H463&lt;&gt;"",H463=I463),AND(H463&lt;&gt;"",H463=J463),AND(I463&lt;&gt;"",I463=J463)),"同じクラブを重複して希望","OK")))))))</f>
        <v/>
      </c>
      <c r="L463" s="8">
        <f>IF(A463="","",A463&amp;"-"&amp;B463&amp;"-"&amp;C463)</f>
        <v/>
      </c>
      <c r="M463" s="8">
        <f>IF(OR(L463="",G463=""),"",IF(COUNTIF(L464:L$552,L463)=0,L463,""))</f>
        <v/>
      </c>
    </row>
    <row r="464">
      <c r="A464" s="40" t="n"/>
      <c r="B464" s="40" t="n"/>
      <c r="C464" s="40" t="n"/>
      <c r="D464" s="40" t="n"/>
      <c r="E464" s="40" t="n"/>
      <c r="F464" s="40" t="n"/>
      <c r="G464" s="3">
        <f>IF(L464="","",IFERROR(INDEX(前年度名簿!$D$2:$D$451,MATCH(L464,前年度名簿!$F$2:$F$451,0)),""))</f>
        <v/>
      </c>
      <c r="H464" s="44">
        <f>IF(D464="","",IF(ISERROR(VALUE(D464)),D464&amp;"",IF(AND(VALUE(D464)&gt;=1,VALUE(D464)&lt;=20),IF(INDEX(設定!$P$8:$P$27,VALUE(D464))="","？",INDEX(設定!$P$8:$P$27,VALUE(D464))),"？")))</f>
        <v/>
      </c>
      <c r="I464" s="44">
        <f>IF(E464="","",IF(ISERROR(VALUE(E464)),E464&amp;"",IF(AND(VALUE(E464)&gt;=1,VALUE(E464)&lt;=20),IF(INDEX(設定!$P$8:$P$27,VALUE(E464))="","？",INDEX(設定!$P$8:$P$27,VALUE(E464))),"？")))</f>
        <v/>
      </c>
      <c r="J464" s="44">
        <f>IF(F464="","",IF(ISERROR(VALUE(F464)),F464&amp;"",IF(AND(VALUE(F464)&gt;=1,VALUE(F464)&lt;=20),IF(INDEX(設定!$P$8:$P$27,VALUE(F464))="","？",INDEX(設定!$P$8:$P$27,VALUE(F464))),"？")))</f>
        <v/>
      </c>
      <c r="K464" s="45">
        <f>IF(L464="","",IF(G464="","名簿にいない",IF(COUNTIF(L465:L$552,L464)&gt;0,"2回提出（下の行を使います）",IF(OR(H464="？",I464="？",J464="？"),"クラブ番号がちがう",IF(OR(AND(H464&lt;&gt;"",H464&lt;&gt;"？",COUNTIF(設定!$P$8:$P$27,H464)=0),AND(I464&lt;&gt;"",I464&lt;&gt;"？",COUNTIF(設定!$P$8:$P$27,I464)=0),AND(J464&lt;&gt;"",J464&lt;&gt;"？",COUNTIF(設定!$P$8:$P$27,J464)=0)),"クラブ名がちがう",IF(H464="","第1希望がない",IF(OR(AND(H464&lt;&gt;"",H464=I464),AND(H464&lt;&gt;"",H464=J464),AND(I464&lt;&gt;"",I464=J464)),"同じクラブを重複して希望","OK")))))))</f>
        <v/>
      </c>
      <c r="L464" s="8">
        <f>IF(A464="","",A464&amp;"-"&amp;B464&amp;"-"&amp;C464)</f>
        <v/>
      </c>
      <c r="M464" s="8">
        <f>IF(OR(L464="",G464=""),"",IF(COUNTIF(L465:L$552,L464)=0,L464,""))</f>
        <v/>
      </c>
    </row>
    <row r="465">
      <c r="A465" s="40" t="n"/>
      <c r="B465" s="40" t="n"/>
      <c r="C465" s="40" t="n"/>
      <c r="D465" s="40" t="n"/>
      <c r="E465" s="40" t="n"/>
      <c r="F465" s="40" t="n"/>
      <c r="G465" s="3">
        <f>IF(L465="","",IFERROR(INDEX(前年度名簿!$D$2:$D$451,MATCH(L465,前年度名簿!$F$2:$F$451,0)),""))</f>
        <v/>
      </c>
      <c r="H465" s="44">
        <f>IF(D465="","",IF(ISERROR(VALUE(D465)),D465&amp;"",IF(AND(VALUE(D465)&gt;=1,VALUE(D465)&lt;=20),IF(INDEX(設定!$P$8:$P$27,VALUE(D465))="","？",INDEX(設定!$P$8:$P$27,VALUE(D465))),"？")))</f>
        <v/>
      </c>
      <c r="I465" s="44">
        <f>IF(E465="","",IF(ISERROR(VALUE(E465)),E465&amp;"",IF(AND(VALUE(E465)&gt;=1,VALUE(E465)&lt;=20),IF(INDEX(設定!$P$8:$P$27,VALUE(E465))="","？",INDEX(設定!$P$8:$P$27,VALUE(E465))),"？")))</f>
        <v/>
      </c>
      <c r="J465" s="44">
        <f>IF(F465="","",IF(ISERROR(VALUE(F465)),F465&amp;"",IF(AND(VALUE(F465)&gt;=1,VALUE(F465)&lt;=20),IF(INDEX(設定!$P$8:$P$27,VALUE(F465))="","？",INDEX(設定!$P$8:$P$27,VALUE(F465))),"？")))</f>
        <v/>
      </c>
      <c r="K465" s="45">
        <f>IF(L465="","",IF(G465="","名簿にいない",IF(COUNTIF(L466:L$552,L465)&gt;0,"2回提出（下の行を使います）",IF(OR(H465="？",I465="？",J465="？"),"クラブ番号がちがう",IF(OR(AND(H465&lt;&gt;"",H465&lt;&gt;"？",COUNTIF(設定!$P$8:$P$27,H465)=0),AND(I465&lt;&gt;"",I465&lt;&gt;"？",COUNTIF(設定!$P$8:$P$27,I465)=0),AND(J465&lt;&gt;"",J465&lt;&gt;"？",COUNTIF(設定!$P$8:$P$27,J465)=0)),"クラブ名がちがう",IF(H465="","第1希望がない",IF(OR(AND(H465&lt;&gt;"",H465=I465),AND(H465&lt;&gt;"",H465=J465),AND(I465&lt;&gt;"",I465=J465)),"同じクラブを重複して希望","OK")))))))</f>
        <v/>
      </c>
      <c r="L465" s="8">
        <f>IF(A465="","",A465&amp;"-"&amp;B465&amp;"-"&amp;C465)</f>
        <v/>
      </c>
      <c r="M465" s="8">
        <f>IF(OR(L465="",G465=""),"",IF(COUNTIF(L466:L$552,L465)=0,L465,""))</f>
        <v/>
      </c>
    </row>
    <row r="466">
      <c r="A466" s="40" t="n"/>
      <c r="B466" s="40" t="n"/>
      <c r="C466" s="40" t="n"/>
      <c r="D466" s="40" t="n"/>
      <c r="E466" s="40" t="n"/>
      <c r="F466" s="40" t="n"/>
      <c r="G466" s="3">
        <f>IF(L466="","",IFERROR(INDEX(前年度名簿!$D$2:$D$451,MATCH(L466,前年度名簿!$F$2:$F$451,0)),""))</f>
        <v/>
      </c>
      <c r="H466" s="44">
        <f>IF(D466="","",IF(ISERROR(VALUE(D466)),D466&amp;"",IF(AND(VALUE(D466)&gt;=1,VALUE(D466)&lt;=20),IF(INDEX(設定!$P$8:$P$27,VALUE(D466))="","？",INDEX(設定!$P$8:$P$27,VALUE(D466))),"？")))</f>
        <v/>
      </c>
      <c r="I466" s="44">
        <f>IF(E466="","",IF(ISERROR(VALUE(E466)),E466&amp;"",IF(AND(VALUE(E466)&gt;=1,VALUE(E466)&lt;=20),IF(INDEX(設定!$P$8:$P$27,VALUE(E466))="","？",INDEX(設定!$P$8:$P$27,VALUE(E466))),"？")))</f>
        <v/>
      </c>
      <c r="J466" s="44">
        <f>IF(F466="","",IF(ISERROR(VALUE(F466)),F466&amp;"",IF(AND(VALUE(F466)&gt;=1,VALUE(F466)&lt;=20),IF(INDEX(設定!$P$8:$P$27,VALUE(F466))="","？",INDEX(設定!$P$8:$P$27,VALUE(F466))),"？")))</f>
        <v/>
      </c>
      <c r="K466" s="45">
        <f>IF(L466="","",IF(G466="","名簿にいない",IF(COUNTIF(L467:L$552,L466)&gt;0,"2回提出（下の行を使います）",IF(OR(H466="？",I466="？",J466="？"),"クラブ番号がちがう",IF(OR(AND(H466&lt;&gt;"",H466&lt;&gt;"？",COUNTIF(設定!$P$8:$P$27,H466)=0),AND(I466&lt;&gt;"",I466&lt;&gt;"？",COUNTIF(設定!$P$8:$P$27,I466)=0),AND(J466&lt;&gt;"",J466&lt;&gt;"？",COUNTIF(設定!$P$8:$P$27,J466)=0)),"クラブ名がちがう",IF(H466="","第1希望がない",IF(OR(AND(H466&lt;&gt;"",H466=I466),AND(H466&lt;&gt;"",H466=J466),AND(I466&lt;&gt;"",I466=J466)),"同じクラブを重複して希望","OK")))))))</f>
        <v/>
      </c>
      <c r="L466" s="8">
        <f>IF(A466="","",A466&amp;"-"&amp;B466&amp;"-"&amp;C466)</f>
        <v/>
      </c>
      <c r="M466" s="8">
        <f>IF(OR(L466="",G466=""),"",IF(COUNTIF(L467:L$552,L466)=0,L466,""))</f>
        <v/>
      </c>
    </row>
    <row r="467">
      <c r="A467" s="40" t="n"/>
      <c r="B467" s="40" t="n"/>
      <c r="C467" s="40" t="n"/>
      <c r="D467" s="40" t="n"/>
      <c r="E467" s="40" t="n"/>
      <c r="F467" s="40" t="n"/>
      <c r="G467" s="3">
        <f>IF(L467="","",IFERROR(INDEX(前年度名簿!$D$2:$D$451,MATCH(L467,前年度名簿!$F$2:$F$451,0)),""))</f>
        <v/>
      </c>
      <c r="H467" s="44">
        <f>IF(D467="","",IF(ISERROR(VALUE(D467)),D467&amp;"",IF(AND(VALUE(D467)&gt;=1,VALUE(D467)&lt;=20),IF(INDEX(設定!$P$8:$P$27,VALUE(D467))="","？",INDEX(設定!$P$8:$P$27,VALUE(D467))),"？")))</f>
        <v/>
      </c>
      <c r="I467" s="44">
        <f>IF(E467="","",IF(ISERROR(VALUE(E467)),E467&amp;"",IF(AND(VALUE(E467)&gt;=1,VALUE(E467)&lt;=20),IF(INDEX(設定!$P$8:$P$27,VALUE(E467))="","？",INDEX(設定!$P$8:$P$27,VALUE(E467))),"？")))</f>
        <v/>
      </c>
      <c r="J467" s="44">
        <f>IF(F467="","",IF(ISERROR(VALUE(F467)),F467&amp;"",IF(AND(VALUE(F467)&gt;=1,VALUE(F467)&lt;=20),IF(INDEX(設定!$P$8:$P$27,VALUE(F467))="","？",INDEX(設定!$P$8:$P$27,VALUE(F467))),"？")))</f>
        <v/>
      </c>
      <c r="K467" s="45">
        <f>IF(L467="","",IF(G467="","名簿にいない",IF(COUNTIF(L468:L$552,L467)&gt;0,"2回提出（下の行を使います）",IF(OR(H467="？",I467="？",J467="？"),"クラブ番号がちがう",IF(OR(AND(H467&lt;&gt;"",H467&lt;&gt;"？",COUNTIF(設定!$P$8:$P$27,H467)=0),AND(I467&lt;&gt;"",I467&lt;&gt;"？",COUNTIF(設定!$P$8:$P$27,I467)=0),AND(J467&lt;&gt;"",J467&lt;&gt;"？",COUNTIF(設定!$P$8:$P$27,J467)=0)),"クラブ名がちがう",IF(H467="","第1希望がない",IF(OR(AND(H467&lt;&gt;"",H467=I467),AND(H467&lt;&gt;"",H467=J467),AND(I467&lt;&gt;"",I467=J467)),"同じクラブを重複して希望","OK")))))))</f>
        <v/>
      </c>
      <c r="L467" s="8">
        <f>IF(A467="","",A467&amp;"-"&amp;B467&amp;"-"&amp;C467)</f>
        <v/>
      </c>
      <c r="M467" s="8">
        <f>IF(OR(L467="",G467=""),"",IF(COUNTIF(L468:L$552,L467)=0,L467,""))</f>
        <v/>
      </c>
    </row>
    <row r="468">
      <c r="A468" s="40" t="n"/>
      <c r="B468" s="40" t="n"/>
      <c r="C468" s="40" t="n"/>
      <c r="D468" s="40" t="n"/>
      <c r="E468" s="40" t="n"/>
      <c r="F468" s="40" t="n"/>
      <c r="G468" s="3">
        <f>IF(L468="","",IFERROR(INDEX(前年度名簿!$D$2:$D$451,MATCH(L468,前年度名簿!$F$2:$F$451,0)),""))</f>
        <v/>
      </c>
      <c r="H468" s="44">
        <f>IF(D468="","",IF(ISERROR(VALUE(D468)),D468&amp;"",IF(AND(VALUE(D468)&gt;=1,VALUE(D468)&lt;=20),IF(INDEX(設定!$P$8:$P$27,VALUE(D468))="","？",INDEX(設定!$P$8:$P$27,VALUE(D468))),"？")))</f>
        <v/>
      </c>
      <c r="I468" s="44">
        <f>IF(E468="","",IF(ISERROR(VALUE(E468)),E468&amp;"",IF(AND(VALUE(E468)&gt;=1,VALUE(E468)&lt;=20),IF(INDEX(設定!$P$8:$P$27,VALUE(E468))="","？",INDEX(設定!$P$8:$P$27,VALUE(E468))),"？")))</f>
        <v/>
      </c>
      <c r="J468" s="44">
        <f>IF(F468="","",IF(ISERROR(VALUE(F468)),F468&amp;"",IF(AND(VALUE(F468)&gt;=1,VALUE(F468)&lt;=20),IF(INDEX(設定!$P$8:$P$27,VALUE(F468))="","？",INDEX(設定!$P$8:$P$27,VALUE(F468))),"？")))</f>
        <v/>
      </c>
      <c r="K468" s="45">
        <f>IF(L468="","",IF(G468="","名簿にいない",IF(COUNTIF(L469:L$552,L468)&gt;0,"2回提出（下の行を使います）",IF(OR(H468="？",I468="？",J468="？"),"クラブ番号がちがう",IF(OR(AND(H468&lt;&gt;"",H468&lt;&gt;"？",COUNTIF(設定!$P$8:$P$27,H468)=0),AND(I468&lt;&gt;"",I468&lt;&gt;"？",COUNTIF(設定!$P$8:$P$27,I468)=0),AND(J468&lt;&gt;"",J468&lt;&gt;"？",COUNTIF(設定!$P$8:$P$27,J468)=0)),"クラブ名がちがう",IF(H468="","第1希望がない",IF(OR(AND(H468&lt;&gt;"",H468=I468),AND(H468&lt;&gt;"",H468=J468),AND(I468&lt;&gt;"",I468=J468)),"同じクラブを重複して希望","OK")))))))</f>
        <v/>
      </c>
      <c r="L468" s="8">
        <f>IF(A468="","",A468&amp;"-"&amp;B468&amp;"-"&amp;C468)</f>
        <v/>
      </c>
      <c r="M468" s="8">
        <f>IF(OR(L468="",G468=""),"",IF(COUNTIF(L469:L$552,L468)=0,L468,""))</f>
        <v/>
      </c>
    </row>
    <row r="469">
      <c r="A469" s="40" t="n"/>
      <c r="B469" s="40" t="n"/>
      <c r="C469" s="40" t="n"/>
      <c r="D469" s="40" t="n"/>
      <c r="E469" s="40" t="n"/>
      <c r="F469" s="40" t="n"/>
      <c r="G469" s="3">
        <f>IF(L469="","",IFERROR(INDEX(前年度名簿!$D$2:$D$451,MATCH(L469,前年度名簿!$F$2:$F$451,0)),""))</f>
        <v/>
      </c>
      <c r="H469" s="44">
        <f>IF(D469="","",IF(ISERROR(VALUE(D469)),D469&amp;"",IF(AND(VALUE(D469)&gt;=1,VALUE(D469)&lt;=20),IF(INDEX(設定!$P$8:$P$27,VALUE(D469))="","？",INDEX(設定!$P$8:$P$27,VALUE(D469))),"？")))</f>
        <v/>
      </c>
      <c r="I469" s="44">
        <f>IF(E469="","",IF(ISERROR(VALUE(E469)),E469&amp;"",IF(AND(VALUE(E469)&gt;=1,VALUE(E469)&lt;=20),IF(INDEX(設定!$P$8:$P$27,VALUE(E469))="","？",INDEX(設定!$P$8:$P$27,VALUE(E469))),"？")))</f>
        <v/>
      </c>
      <c r="J469" s="44">
        <f>IF(F469="","",IF(ISERROR(VALUE(F469)),F469&amp;"",IF(AND(VALUE(F469)&gt;=1,VALUE(F469)&lt;=20),IF(INDEX(設定!$P$8:$P$27,VALUE(F469))="","？",INDEX(設定!$P$8:$P$27,VALUE(F469))),"？")))</f>
        <v/>
      </c>
      <c r="K469" s="45">
        <f>IF(L469="","",IF(G469="","名簿にいない",IF(COUNTIF(L470:L$552,L469)&gt;0,"2回提出（下の行を使います）",IF(OR(H469="？",I469="？",J469="？"),"クラブ番号がちがう",IF(OR(AND(H469&lt;&gt;"",H469&lt;&gt;"？",COUNTIF(設定!$P$8:$P$27,H469)=0),AND(I469&lt;&gt;"",I469&lt;&gt;"？",COUNTIF(設定!$P$8:$P$27,I469)=0),AND(J469&lt;&gt;"",J469&lt;&gt;"？",COUNTIF(設定!$P$8:$P$27,J469)=0)),"クラブ名がちがう",IF(H469="","第1希望がない",IF(OR(AND(H469&lt;&gt;"",H469=I469),AND(H469&lt;&gt;"",H469=J469),AND(I469&lt;&gt;"",I469=J469)),"同じクラブを重複して希望","OK")))))))</f>
        <v/>
      </c>
      <c r="L469" s="8">
        <f>IF(A469="","",A469&amp;"-"&amp;B469&amp;"-"&amp;C469)</f>
        <v/>
      </c>
      <c r="M469" s="8">
        <f>IF(OR(L469="",G469=""),"",IF(COUNTIF(L470:L$552,L469)=0,L469,""))</f>
        <v/>
      </c>
    </row>
    <row r="470">
      <c r="A470" s="40" t="n"/>
      <c r="B470" s="40" t="n"/>
      <c r="C470" s="40" t="n"/>
      <c r="D470" s="40" t="n"/>
      <c r="E470" s="40" t="n"/>
      <c r="F470" s="40" t="n"/>
      <c r="G470" s="3">
        <f>IF(L470="","",IFERROR(INDEX(前年度名簿!$D$2:$D$451,MATCH(L470,前年度名簿!$F$2:$F$451,0)),""))</f>
        <v/>
      </c>
      <c r="H470" s="44">
        <f>IF(D470="","",IF(ISERROR(VALUE(D470)),D470&amp;"",IF(AND(VALUE(D470)&gt;=1,VALUE(D470)&lt;=20),IF(INDEX(設定!$P$8:$P$27,VALUE(D470))="","？",INDEX(設定!$P$8:$P$27,VALUE(D470))),"？")))</f>
        <v/>
      </c>
      <c r="I470" s="44">
        <f>IF(E470="","",IF(ISERROR(VALUE(E470)),E470&amp;"",IF(AND(VALUE(E470)&gt;=1,VALUE(E470)&lt;=20),IF(INDEX(設定!$P$8:$P$27,VALUE(E470))="","？",INDEX(設定!$P$8:$P$27,VALUE(E470))),"？")))</f>
        <v/>
      </c>
      <c r="J470" s="44">
        <f>IF(F470="","",IF(ISERROR(VALUE(F470)),F470&amp;"",IF(AND(VALUE(F470)&gt;=1,VALUE(F470)&lt;=20),IF(INDEX(設定!$P$8:$P$27,VALUE(F470))="","？",INDEX(設定!$P$8:$P$27,VALUE(F470))),"？")))</f>
        <v/>
      </c>
      <c r="K470" s="45">
        <f>IF(L470="","",IF(G470="","名簿にいない",IF(COUNTIF(L471:L$552,L470)&gt;0,"2回提出（下の行を使います）",IF(OR(H470="？",I470="？",J470="？"),"クラブ番号がちがう",IF(OR(AND(H470&lt;&gt;"",H470&lt;&gt;"？",COUNTIF(設定!$P$8:$P$27,H470)=0),AND(I470&lt;&gt;"",I470&lt;&gt;"？",COUNTIF(設定!$P$8:$P$27,I470)=0),AND(J470&lt;&gt;"",J470&lt;&gt;"？",COUNTIF(設定!$P$8:$P$27,J470)=0)),"クラブ名がちがう",IF(H470="","第1希望がない",IF(OR(AND(H470&lt;&gt;"",H470=I470),AND(H470&lt;&gt;"",H470=J470),AND(I470&lt;&gt;"",I470=J470)),"同じクラブを重複して希望","OK")))))))</f>
        <v/>
      </c>
      <c r="L470" s="8">
        <f>IF(A470="","",A470&amp;"-"&amp;B470&amp;"-"&amp;C470)</f>
        <v/>
      </c>
      <c r="M470" s="8">
        <f>IF(OR(L470="",G470=""),"",IF(COUNTIF(L471:L$552,L470)=0,L470,""))</f>
        <v/>
      </c>
    </row>
    <row r="471">
      <c r="A471" s="40" t="n"/>
      <c r="B471" s="40" t="n"/>
      <c r="C471" s="40" t="n"/>
      <c r="D471" s="40" t="n"/>
      <c r="E471" s="40" t="n"/>
      <c r="F471" s="40" t="n"/>
      <c r="G471" s="3">
        <f>IF(L471="","",IFERROR(INDEX(前年度名簿!$D$2:$D$451,MATCH(L471,前年度名簿!$F$2:$F$451,0)),""))</f>
        <v/>
      </c>
      <c r="H471" s="44">
        <f>IF(D471="","",IF(ISERROR(VALUE(D471)),D471&amp;"",IF(AND(VALUE(D471)&gt;=1,VALUE(D471)&lt;=20),IF(INDEX(設定!$P$8:$P$27,VALUE(D471))="","？",INDEX(設定!$P$8:$P$27,VALUE(D471))),"？")))</f>
        <v/>
      </c>
      <c r="I471" s="44">
        <f>IF(E471="","",IF(ISERROR(VALUE(E471)),E471&amp;"",IF(AND(VALUE(E471)&gt;=1,VALUE(E471)&lt;=20),IF(INDEX(設定!$P$8:$P$27,VALUE(E471))="","？",INDEX(設定!$P$8:$P$27,VALUE(E471))),"？")))</f>
        <v/>
      </c>
      <c r="J471" s="44">
        <f>IF(F471="","",IF(ISERROR(VALUE(F471)),F471&amp;"",IF(AND(VALUE(F471)&gt;=1,VALUE(F471)&lt;=20),IF(INDEX(設定!$P$8:$P$27,VALUE(F471))="","？",INDEX(設定!$P$8:$P$27,VALUE(F471))),"？")))</f>
        <v/>
      </c>
      <c r="K471" s="45">
        <f>IF(L471="","",IF(G471="","名簿にいない",IF(COUNTIF(L472:L$552,L471)&gt;0,"2回提出（下の行を使います）",IF(OR(H471="？",I471="？",J471="？"),"クラブ番号がちがう",IF(OR(AND(H471&lt;&gt;"",H471&lt;&gt;"？",COUNTIF(設定!$P$8:$P$27,H471)=0),AND(I471&lt;&gt;"",I471&lt;&gt;"？",COUNTIF(設定!$P$8:$P$27,I471)=0),AND(J471&lt;&gt;"",J471&lt;&gt;"？",COUNTIF(設定!$P$8:$P$27,J471)=0)),"クラブ名がちがう",IF(H471="","第1希望がない",IF(OR(AND(H471&lt;&gt;"",H471=I471),AND(H471&lt;&gt;"",H471=J471),AND(I471&lt;&gt;"",I471=J471)),"同じクラブを重複して希望","OK")))))))</f>
        <v/>
      </c>
      <c r="L471" s="8">
        <f>IF(A471="","",A471&amp;"-"&amp;B471&amp;"-"&amp;C471)</f>
        <v/>
      </c>
      <c r="M471" s="8">
        <f>IF(OR(L471="",G471=""),"",IF(COUNTIF(L472:L$552,L471)=0,L471,""))</f>
        <v/>
      </c>
    </row>
    <row r="472">
      <c r="A472" s="40" t="n"/>
      <c r="B472" s="40" t="n"/>
      <c r="C472" s="40" t="n"/>
      <c r="D472" s="40" t="n"/>
      <c r="E472" s="40" t="n"/>
      <c r="F472" s="40" t="n"/>
      <c r="G472" s="3">
        <f>IF(L472="","",IFERROR(INDEX(前年度名簿!$D$2:$D$451,MATCH(L472,前年度名簿!$F$2:$F$451,0)),""))</f>
        <v/>
      </c>
      <c r="H472" s="44">
        <f>IF(D472="","",IF(ISERROR(VALUE(D472)),D472&amp;"",IF(AND(VALUE(D472)&gt;=1,VALUE(D472)&lt;=20),IF(INDEX(設定!$P$8:$P$27,VALUE(D472))="","？",INDEX(設定!$P$8:$P$27,VALUE(D472))),"？")))</f>
        <v/>
      </c>
      <c r="I472" s="44">
        <f>IF(E472="","",IF(ISERROR(VALUE(E472)),E472&amp;"",IF(AND(VALUE(E472)&gt;=1,VALUE(E472)&lt;=20),IF(INDEX(設定!$P$8:$P$27,VALUE(E472))="","？",INDEX(設定!$P$8:$P$27,VALUE(E472))),"？")))</f>
        <v/>
      </c>
      <c r="J472" s="44">
        <f>IF(F472="","",IF(ISERROR(VALUE(F472)),F472&amp;"",IF(AND(VALUE(F472)&gt;=1,VALUE(F472)&lt;=20),IF(INDEX(設定!$P$8:$P$27,VALUE(F472))="","？",INDEX(設定!$P$8:$P$27,VALUE(F472))),"？")))</f>
        <v/>
      </c>
      <c r="K472" s="45">
        <f>IF(L472="","",IF(G472="","名簿にいない",IF(COUNTIF(L473:L$552,L472)&gt;0,"2回提出（下の行を使います）",IF(OR(H472="？",I472="？",J472="？"),"クラブ番号がちがう",IF(OR(AND(H472&lt;&gt;"",H472&lt;&gt;"？",COUNTIF(設定!$P$8:$P$27,H472)=0),AND(I472&lt;&gt;"",I472&lt;&gt;"？",COUNTIF(設定!$P$8:$P$27,I472)=0),AND(J472&lt;&gt;"",J472&lt;&gt;"？",COUNTIF(設定!$P$8:$P$27,J472)=0)),"クラブ名がちがう",IF(H472="","第1希望がない",IF(OR(AND(H472&lt;&gt;"",H472=I472),AND(H472&lt;&gt;"",H472=J472),AND(I472&lt;&gt;"",I472=J472)),"同じクラブを重複して希望","OK")))))))</f>
        <v/>
      </c>
      <c r="L472" s="8">
        <f>IF(A472="","",A472&amp;"-"&amp;B472&amp;"-"&amp;C472)</f>
        <v/>
      </c>
      <c r="M472" s="8">
        <f>IF(OR(L472="",G472=""),"",IF(COUNTIF(L473:L$552,L472)=0,L472,""))</f>
        <v/>
      </c>
    </row>
    <row r="473">
      <c r="A473" s="40" t="n"/>
      <c r="B473" s="40" t="n"/>
      <c r="C473" s="40" t="n"/>
      <c r="D473" s="40" t="n"/>
      <c r="E473" s="40" t="n"/>
      <c r="F473" s="40" t="n"/>
      <c r="G473" s="3">
        <f>IF(L473="","",IFERROR(INDEX(前年度名簿!$D$2:$D$451,MATCH(L473,前年度名簿!$F$2:$F$451,0)),""))</f>
        <v/>
      </c>
      <c r="H473" s="44">
        <f>IF(D473="","",IF(ISERROR(VALUE(D473)),D473&amp;"",IF(AND(VALUE(D473)&gt;=1,VALUE(D473)&lt;=20),IF(INDEX(設定!$P$8:$P$27,VALUE(D473))="","？",INDEX(設定!$P$8:$P$27,VALUE(D473))),"？")))</f>
        <v/>
      </c>
      <c r="I473" s="44">
        <f>IF(E473="","",IF(ISERROR(VALUE(E473)),E473&amp;"",IF(AND(VALUE(E473)&gt;=1,VALUE(E473)&lt;=20),IF(INDEX(設定!$P$8:$P$27,VALUE(E473))="","？",INDEX(設定!$P$8:$P$27,VALUE(E473))),"？")))</f>
        <v/>
      </c>
      <c r="J473" s="44">
        <f>IF(F473="","",IF(ISERROR(VALUE(F473)),F473&amp;"",IF(AND(VALUE(F473)&gt;=1,VALUE(F473)&lt;=20),IF(INDEX(設定!$P$8:$P$27,VALUE(F473))="","？",INDEX(設定!$P$8:$P$27,VALUE(F473))),"？")))</f>
        <v/>
      </c>
      <c r="K473" s="45">
        <f>IF(L473="","",IF(G473="","名簿にいない",IF(COUNTIF(L474:L$552,L473)&gt;0,"2回提出（下の行を使います）",IF(OR(H473="？",I473="？",J473="？"),"クラブ番号がちがう",IF(OR(AND(H473&lt;&gt;"",H473&lt;&gt;"？",COUNTIF(設定!$P$8:$P$27,H473)=0),AND(I473&lt;&gt;"",I473&lt;&gt;"？",COUNTIF(設定!$P$8:$P$27,I473)=0),AND(J473&lt;&gt;"",J473&lt;&gt;"？",COUNTIF(設定!$P$8:$P$27,J473)=0)),"クラブ名がちがう",IF(H473="","第1希望がない",IF(OR(AND(H473&lt;&gt;"",H473=I473),AND(H473&lt;&gt;"",H473=J473),AND(I473&lt;&gt;"",I473=J473)),"同じクラブを重複して希望","OK")))))))</f>
        <v/>
      </c>
      <c r="L473" s="8">
        <f>IF(A473="","",A473&amp;"-"&amp;B473&amp;"-"&amp;C473)</f>
        <v/>
      </c>
      <c r="M473" s="8">
        <f>IF(OR(L473="",G473=""),"",IF(COUNTIF(L474:L$552,L473)=0,L473,""))</f>
        <v/>
      </c>
    </row>
    <row r="474">
      <c r="A474" s="40" t="n"/>
      <c r="B474" s="40" t="n"/>
      <c r="C474" s="40" t="n"/>
      <c r="D474" s="40" t="n"/>
      <c r="E474" s="40" t="n"/>
      <c r="F474" s="40" t="n"/>
      <c r="G474" s="3">
        <f>IF(L474="","",IFERROR(INDEX(前年度名簿!$D$2:$D$451,MATCH(L474,前年度名簿!$F$2:$F$451,0)),""))</f>
        <v/>
      </c>
      <c r="H474" s="44">
        <f>IF(D474="","",IF(ISERROR(VALUE(D474)),D474&amp;"",IF(AND(VALUE(D474)&gt;=1,VALUE(D474)&lt;=20),IF(INDEX(設定!$P$8:$P$27,VALUE(D474))="","？",INDEX(設定!$P$8:$P$27,VALUE(D474))),"？")))</f>
        <v/>
      </c>
      <c r="I474" s="44">
        <f>IF(E474="","",IF(ISERROR(VALUE(E474)),E474&amp;"",IF(AND(VALUE(E474)&gt;=1,VALUE(E474)&lt;=20),IF(INDEX(設定!$P$8:$P$27,VALUE(E474))="","？",INDEX(設定!$P$8:$P$27,VALUE(E474))),"？")))</f>
        <v/>
      </c>
      <c r="J474" s="44">
        <f>IF(F474="","",IF(ISERROR(VALUE(F474)),F474&amp;"",IF(AND(VALUE(F474)&gt;=1,VALUE(F474)&lt;=20),IF(INDEX(設定!$P$8:$P$27,VALUE(F474))="","？",INDEX(設定!$P$8:$P$27,VALUE(F474))),"？")))</f>
        <v/>
      </c>
      <c r="K474" s="45">
        <f>IF(L474="","",IF(G474="","名簿にいない",IF(COUNTIF(L475:L$552,L474)&gt;0,"2回提出（下の行を使います）",IF(OR(H474="？",I474="？",J474="？"),"クラブ番号がちがう",IF(OR(AND(H474&lt;&gt;"",H474&lt;&gt;"？",COUNTIF(設定!$P$8:$P$27,H474)=0),AND(I474&lt;&gt;"",I474&lt;&gt;"？",COUNTIF(設定!$P$8:$P$27,I474)=0),AND(J474&lt;&gt;"",J474&lt;&gt;"？",COUNTIF(設定!$P$8:$P$27,J474)=0)),"クラブ名がちがう",IF(H474="","第1希望がない",IF(OR(AND(H474&lt;&gt;"",H474=I474),AND(H474&lt;&gt;"",H474=J474),AND(I474&lt;&gt;"",I474=J474)),"同じクラブを重複して希望","OK")))))))</f>
        <v/>
      </c>
      <c r="L474" s="8">
        <f>IF(A474="","",A474&amp;"-"&amp;B474&amp;"-"&amp;C474)</f>
        <v/>
      </c>
      <c r="M474" s="8">
        <f>IF(OR(L474="",G474=""),"",IF(COUNTIF(L475:L$552,L474)=0,L474,""))</f>
        <v/>
      </c>
    </row>
    <row r="475">
      <c r="A475" s="40" t="n"/>
      <c r="B475" s="40" t="n"/>
      <c r="C475" s="40" t="n"/>
      <c r="D475" s="40" t="n"/>
      <c r="E475" s="40" t="n"/>
      <c r="F475" s="40" t="n"/>
      <c r="G475" s="3">
        <f>IF(L475="","",IFERROR(INDEX(前年度名簿!$D$2:$D$451,MATCH(L475,前年度名簿!$F$2:$F$451,0)),""))</f>
        <v/>
      </c>
      <c r="H475" s="44">
        <f>IF(D475="","",IF(ISERROR(VALUE(D475)),D475&amp;"",IF(AND(VALUE(D475)&gt;=1,VALUE(D475)&lt;=20),IF(INDEX(設定!$P$8:$P$27,VALUE(D475))="","？",INDEX(設定!$P$8:$P$27,VALUE(D475))),"？")))</f>
        <v/>
      </c>
      <c r="I475" s="44">
        <f>IF(E475="","",IF(ISERROR(VALUE(E475)),E475&amp;"",IF(AND(VALUE(E475)&gt;=1,VALUE(E475)&lt;=20),IF(INDEX(設定!$P$8:$P$27,VALUE(E475))="","？",INDEX(設定!$P$8:$P$27,VALUE(E475))),"？")))</f>
        <v/>
      </c>
      <c r="J475" s="44">
        <f>IF(F475="","",IF(ISERROR(VALUE(F475)),F475&amp;"",IF(AND(VALUE(F475)&gt;=1,VALUE(F475)&lt;=20),IF(INDEX(設定!$P$8:$P$27,VALUE(F475))="","？",INDEX(設定!$P$8:$P$27,VALUE(F475))),"？")))</f>
        <v/>
      </c>
      <c r="K475" s="45">
        <f>IF(L475="","",IF(G475="","名簿にいない",IF(COUNTIF(L476:L$552,L475)&gt;0,"2回提出（下の行を使います）",IF(OR(H475="？",I475="？",J475="？"),"クラブ番号がちがう",IF(OR(AND(H475&lt;&gt;"",H475&lt;&gt;"？",COUNTIF(設定!$P$8:$P$27,H475)=0),AND(I475&lt;&gt;"",I475&lt;&gt;"？",COUNTIF(設定!$P$8:$P$27,I475)=0),AND(J475&lt;&gt;"",J475&lt;&gt;"？",COUNTIF(設定!$P$8:$P$27,J475)=0)),"クラブ名がちがう",IF(H475="","第1希望がない",IF(OR(AND(H475&lt;&gt;"",H475=I475),AND(H475&lt;&gt;"",H475=J475),AND(I475&lt;&gt;"",I475=J475)),"同じクラブを重複して希望","OK")))))))</f>
        <v/>
      </c>
      <c r="L475" s="8">
        <f>IF(A475="","",A475&amp;"-"&amp;B475&amp;"-"&amp;C475)</f>
        <v/>
      </c>
      <c r="M475" s="8">
        <f>IF(OR(L475="",G475=""),"",IF(COUNTIF(L476:L$552,L475)=0,L475,""))</f>
        <v/>
      </c>
    </row>
    <row r="476">
      <c r="A476" s="40" t="n"/>
      <c r="B476" s="40" t="n"/>
      <c r="C476" s="40" t="n"/>
      <c r="D476" s="40" t="n"/>
      <c r="E476" s="40" t="n"/>
      <c r="F476" s="40" t="n"/>
      <c r="G476" s="3">
        <f>IF(L476="","",IFERROR(INDEX(前年度名簿!$D$2:$D$451,MATCH(L476,前年度名簿!$F$2:$F$451,0)),""))</f>
        <v/>
      </c>
      <c r="H476" s="44">
        <f>IF(D476="","",IF(ISERROR(VALUE(D476)),D476&amp;"",IF(AND(VALUE(D476)&gt;=1,VALUE(D476)&lt;=20),IF(INDEX(設定!$P$8:$P$27,VALUE(D476))="","？",INDEX(設定!$P$8:$P$27,VALUE(D476))),"？")))</f>
        <v/>
      </c>
      <c r="I476" s="44">
        <f>IF(E476="","",IF(ISERROR(VALUE(E476)),E476&amp;"",IF(AND(VALUE(E476)&gt;=1,VALUE(E476)&lt;=20),IF(INDEX(設定!$P$8:$P$27,VALUE(E476))="","？",INDEX(設定!$P$8:$P$27,VALUE(E476))),"？")))</f>
        <v/>
      </c>
      <c r="J476" s="44">
        <f>IF(F476="","",IF(ISERROR(VALUE(F476)),F476&amp;"",IF(AND(VALUE(F476)&gt;=1,VALUE(F476)&lt;=20),IF(INDEX(設定!$P$8:$P$27,VALUE(F476))="","？",INDEX(設定!$P$8:$P$27,VALUE(F476))),"？")))</f>
        <v/>
      </c>
      <c r="K476" s="45">
        <f>IF(L476="","",IF(G476="","名簿にいない",IF(COUNTIF(L477:L$552,L476)&gt;0,"2回提出（下の行を使います）",IF(OR(H476="？",I476="？",J476="？"),"クラブ番号がちがう",IF(OR(AND(H476&lt;&gt;"",H476&lt;&gt;"？",COUNTIF(設定!$P$8:$P$27,H476)=0),AND(I476&lt;&gt;"",I476&lt;&gt;"？",COUNTIF(設定!$P$8:$P$27,I476)=0),AND(J476&lt;&gt;"",J476&lt;&gt;"？",COUNTIF(設定!$P$8:$P$27,J476)=0)),"クラブ名がちがう",IF(H476="","第1希望がない",IF(OR(AND(H476&lt;&gt;"",H476=I476),AND(H476&lt;&gt;"",H476=J476),AND(I476&lt;&gt;"",I476=J476)),"同じクラブを重複して希望","OK")))))))</f>
        <v/>
      </c>
      <c r="L476" s="8">
        <f>IF(A476="","",A476&amp;"-"&amp;B476&amp;"-"&amp;C476)</f>
        <v/>
      </c>
      <c r="M476" s="8">
        <f>IF(OR(L476="",G476=""),"",IF(COUNTIF(L477:L$552,L476)=0,L476,""))</f>
        <v/>
      </c>
    </row>
    <row r="477">
      <c r="A477" s="40" t="n"/>
      <c r="B477" s="40" t="n"/>
      <c r="C477" s="40" t="n"/>
      <c r="D477" s="40" t="n"/>
      <c r="E477" s="40" t="n"/>
      <c r="F477" s="40" t="n"/>
      <c r="G477" s="3">
        <f>IF(L477="","",IFERROR(INDEX(前年度名簿!$D$2:$D$451,MATCH(L477,前年度名簿!$F$2:$F$451,0)),""))</f>
        <v/>
      </c>
      <c r="H477" s="44">
        <f>IF(D477="","",IF(ISERROR(VALUE(D477)),D477&amp;"",IF(AND(VALUE(D477)&gt;=1,VALUE(D477)&lt;=20),IF(INDEX(設定!$P$8:$P$27,VALUE(D477))="","？",INDEX(設定!$P$8:$P$27,VALUE(D477))),"？")))</f>
        <v/>
      </c>
      <c r="I477" s="44">
        <f>IF(E477="","",IF(ISERROR(VALUE(E477)),E477&amp;"",IF(AND(VALUE(E477)&gt;=1,VALUE(E477)&lt;=20),IF(INDEX(設定!$P$8:$P$27,VALUE(E477))="","？",INDEX(設定!$P$8:$P$27,VALUE(E477))),"？")))</f>
        <v/>
      </c>
      <c r="J477" s="44">
        <f>IF(F477="","",IF(ISERROR(VALUE(F477)),F477&amp;"",IF(AND(VALUE(F477)&gt;=1,VALUE(F477)&lt;=20),IF(INDEX(設定!$P$8:$P$27,VALUE(F477))="","？",INDEX(設定!$P$8:$P$27,VALUE(F477))),"？")))</f>
        <v/>
      </c>
      <c r="K477" s="45">
        <f>IF(L477="","",IF(G477="","名簿にいない",IF(COUNTIF(L478:L$552,L477)&gt;0,"2回提出（下の行を使います）",IF(OR(H477="？",I477="？",J477="？"),"クラブ番号がちがう",IF(OR(AND(H477&lt;&gt;"",H477&lt;&gt;"？",COUNTIF(設定!$P$8:$P$27,H477)=0),AND(I477&lt;&gt;"",I477&lt;&gt;"？",COUNTIF(設定!$P$8:$P$27,I477)=0),AND(J477&lt;&gt;"",J477&lt;&gt;"？",COUNTIF(設定!$P$8:$P$27,J477)=0)),"クラブ名がちがう",IF(H477="","第1希望がない",IF(OR(AND(H477&lt;&gt;"",H477=I477),AND(H477&lt;&gt;"",H477=J477),AND(I477&lt;&gt;"",I477=J477)),"同じクラブを重複して希望","OK")))))))</f>
        <v/>
      </c>
      <c r="L477" s="8">
        <f>IF(A477="","",A477&amp;"-"&amp;B477&amp;"-"&amp;C477)</f>
        <v/>
      </c>
      <c r="M477" s="8">
        <f>IF(OR(L477="",G477=""),"",IF(COUNTIF(L478:L$552,L477)=0,L477,""))</f>
        <v/>
      </c>
    </row>
    <row r="478">
      <c r="A478" s="40" t="n"/>
      <c r="B478" s="40" t="n"/>
      <c r="C478" s="40" t="n"/>
      <c r="D478" s="40" t="n"/>
      <c r="E478" s="40" t="n"/>
      <c r="F478" s="40" t="n"/>
      <c r="G478" s="3">
        <f>IF(L478="","",IFERROR(INDEX(前年度名簿!$D$2:$D$451,MATCH(L478,前年度名簿!$F$2:$F$451,0)),""))</f>
        <v/>
      </c>
      <c r="H478" s="44">
        <f>IF(D478="","",IF(ISERROR(VALUE(D478)),D478&amp;"",IF(AND(VALUE(D478)&gt;=1,VALUE(D478)&lt;=20),IF(INDEX(設定!$P$8:$P$27,VALUE(D478))="","？",INDEX(設定!$P$8:$P$27,VALUE(D478))),"？")))</f>
        <v/>
      </c>
      <c r="I478" s="44">
        <f>IF(E478="","",IF(ISERROR(VALUE(E478)),E478&amp;"",IF(AND(VALUE(E478)&gt;=1,VALUE(E478)&lt;=20),IF(INDEX(設定!$P$8:$P$27,VALUE(E478))="","？",INDEX(設定!$P$8:$P$27,VALUE(E478))),"？")))</f>
        <v/>
      </c>
      <c r="J478" s="44">
        <f>IF(F478="","",IF(ISERROR(VALUE(F478)),F478&amp;"",IF(AND(VALUE(F478)&gt;=1,VALUE(F478)&lt;=20),IF(INDEX(設定!$P$8:$P$27,VALUE(F478))="","？",INDEX(設定!$P$8:$P$27,VALUE(F478))),"？")))</f>
        <v/>
      </c>
      <c r="K478" s="45">
        <f>IF(L478="","",IF(G478="","名簿にいない",IF(COUNTIF(L479:L$552,L478)&gt;0,"2回提出（下の行を使います）",IF(OR(H478="？",I478="？",J478="？"),"クラブ番号がちがう",IF(OR(AND(H478&lt;&gt;"",H478&lt;&gt;"？",COUNTIF(設定!$P$8:$P$27,H478)=0),AND(I478&lt;&gt;"",I478&lt;&gt;"？",COUNTIF(設定!$P$8:$P$27,I478)=0),AND(J478&lt;&gt;"",J478&lt;&gt;"？",COUNTIF(設定!$P$8:$P$27,J478)=0)),"クラブ名がちがう",IF(H478="","第1希望がない",IF(OR(AND(H478&lt;&gt;"",H478=I478),AND(H478&lt;&gt;"",H478=J478),AND(I478&lt;&gt;"",I478=J478)),"同じクラブを重複して希望","OK")))))))</f>
        <v/>
      </c>
      <c r="L478" s="8">
        <f>IF(A478="","",A478&amp;"-"&amp;B478&amp;"-"&amp;C478)</f>
        <v/>
      </c>
      <c r="M478" s="8">
        <f>IF(OR(L478="",G478=""),"",IF(COUNTIF(L479:L$552,L478)=0,L478,""))</f>
        <v/>
      </c>
    </row>
    <row r="479">
      <c r="A479" s="40" t="n"/>
      <c r="B479" s="40" t="n"/>
      <c r="C479" s="40" t="n"/>
      <c r="D479" s="40" t="n"/>
      <c r="E479" s="40" t="n"/>
      <c r="F479" s="40" t="n"/>
      <c r="G479" s="3">
        <f>IF(L479="","",IFERROR(INDEX(前年度名簿!$D$2:$D$451,MATCH(L479,前年度名簿!$F$2:$F$451,0)),""))</f>
        <v/>
      </c>
      <c r="H479" s="44">
        <f>IF(D479="","",IF(ISERROR(VALUE(D479)),D479&amp;"",IF(AND(VALUE(D479)&gt;=1,VALUE(D479)&lt;=20),IF(INDEX(設定!$P$8:$P$27,VALUE(D479))="","？",INDEX(設定!$P$8:$P$27,VALUE(D479))),"？")))</f>
        <v/>
      </c>
      <c r="I479" s="44">
        <f>IF(E479="","",IF(ISERROR(VALUE(E479)),E479&amp;"",IF(AND(VALUE(E479)&gt;=1,VALUE(E479)&lt;=20),IF(INDEX(設定!$P$8:$P$27,VALUE(E479))="","？",INDEX(設定!$P$8:$P$27,VALUE(E479))),"？")))</f>
        <v/>
      </c>
      <c r="J479" s="44">
        <f>IF(F479="","",IF(ISERROR(VALUE(F479)),F479&amp;"",IF(AND(VALUE(F479)&gt;=1,VALUE(F479)&lt;=20),IF(INDEX(設定!$P$8:$P$27,VALUE(F479))="","？",INDEX(設定!$P$8:$P$27,VALUE(F479))),"？")))</f>
        <v/>
      </c>
      <c r="K479" s="45">
        <f>IF(L479="","",IF(G479="","名簿にいない",IF(COUNTIF(L480:L$552,L479)&gt;0,"2回提出（下の行を使います）",IF(OR(H479="？",I479="？",J479="？"),"クラブ番号がちがう",IF(OR(AND(H479&lt;&gt;"",H479&lt;&gt;"？",COUNTIF(設定!$P$8:$P$27,H479)=0),AND(I479&lt;&gt;"",I479&lt;&gt;"？",COUNTIF(設定!$P$8:$P$27,I479)=0),AND(J479&lt;&gt;"",J479&lt;&gt;"？",COUNTIF(設定!$P$8:$P$27,J479)=0)),"クラブ名がちがう",IF(H479="","第1希望がない",IF(OR(AND(H479&lt;&gt;"",H479=I479),AND(H479&lt;&gt;"",H479=J479),AND(I479&lt;&gt;"",I479=J479)),"同じクラブを重複して希望","OK")))))))</f>
        <v/>
      </c>
      <c r="L479" s="8">
        <f>IF(A479="","",A479&amp;"-"&amp;B479&amp;"-"&amp;C479)</f>
        <v/>
      </c>
      <c r="M479" s="8">
        <f>IF(OR(L479="",G479=""),"",IF(COUNTIF(L480:L$552,L479)=0,L479,""))</f>
        <v/>
      </c>
    </row>
    <row r="480">
      <c r="A480" s="40" t="n"/>
      <c r="B480" s="40" t="n"/>
      <c r="C480" s="40" t="n"/>
      <c r="D480" s="40" t="n"/>
      <c r="E480" s="40" t="n"/>
      <c r="F480" s="40" t="n"/>
      <c r="G480" s="3">
        <f>IF(L480="","",IFERROR(INDEX(前年度名簿!$D$2:$D$451,MATCH(L480,前年度名簿!$F$2:$F$451,0)),""))</f>
        <v/>
      </c>
      <c r="H480" s="44">
        <f>IF(D480="","",IF(ISERROR(VALUE(D480)),D480&amp;"",IF(AND(VALUE(D480)&gt;=1,VALUE(D480)&lt;=20),IF(INDEX(設定!$P$8:$P$27,VALUE(D480))="","？",INDEX(設定!$P$8:$P$27,VALUE(D480))),"？")))</f>
        <v/>
      </c>
      <c r="I480" s="44">
        <f>IF(E480="","",IF(ISERROR(VALUE(E480)),E480&amp;"",IF(AND(VALUE(E480)&gt;=1,VALUE(E480)&lt;=20),IF(INDEX(設定!$P$8:$P$27,VALUE(E480))="","？",INDEX(設定!$P$8:$P$27,VALUE(E480))),"？")))</f>
        <v/>
      </c>
      <c r="J480" s="44">
        <f>IF(F480="","",IF(ISERROR(VALUE(F480)),F480&amp;"",IF(AND(VALUE(F480)&gt;=1,VALUE(F480)&lt;=20),IF(INDEX(設定!$P$8:$P$27,VALUE(F480))="","？",INDEX(設定!$P$8:$P$27,VALUE(F480))),"？")))</f>
        <v/>
      </c>
      <c r="K480" s="45">
        <f>IF(L480="","",IF(G480="","名簿にいない",IF(COUNTIF(L481:L$552,L480)&gt;0,"2回提出（下の行を使います）",IF(OR(H480="？",I480="？",J480="？"),"クラブ番号がちがう",IF(OR(AND(H480&lt;&gt;"",H480&lt;&gt;"？",COUNTIF(設定!$P$8:$P$27,H480)=0),AND(I480&lt;&gt;"",I480&lt;&gt;"？",COUNTIF(設定!$P$8:$P$27,I480)=0),AND(J480&lt;&gt;"",J480&lt;&gt;"？",COUNTIF(設定!$P$8:$P$27,J480)=0)),"クラブ名がちがう",IF(H480="","第1希望がない",IF(OR(AND(H480&lt;&gt;"",H480=I480),AND(H480&lt;&gt;"",H480=J480),AND(I480&lt;&gt;"",I480=J480)),"同じクラブを重複して希望","OK")))))))</f>
        <v/>
      </c>
      <c r="L480" s="8">
        <f>IF(A480="","",A480&amp;"-"&amp;B480&amp;"-"&amp;C480)</f>
        <v/>
      </c>
      <c r="M480" s="8">
        <f>IF(OR(L480="",G480=""),"",IF(COUNTIF(L481:L$552,L480)=0,L480,""))</f>
        <v/>
      </c>
    </row>
    <row r="481">
      <c r="A481" s="40" t="n"/>
      <c r="B481" s="40" t="n"/>
      <c r="C481" s="40" t="n"/>
      <c r="D481" s="40" t="n"/>
      <c r="E481" s="40" t="n"/>
      <c r="F481" s="40" t="n"/>
      <c r="G481" s="3">
        <f>IF(L481="","",IFERROR(INDEX(前年度名簿!$D$2:$D$451,MATCH(L481,前年度名簿!$F$2:$F$451,0)),""))</f>
        <v/>
      </c>
      <c r="H481" s="44">
        <f>IF(D481="","",IF(ISERROR(VALUE(D481)),D481&amp;"",IF(AND(VALUE(D481)&gt;=1,VALUE(D481)&lt;=20),IF(INDEX(設定!$P$8:$P$27,VALUE(D481))="","？",INDEX(設定!$P$8:$P$27,VALUE(D481))),"？")))</f>
        <v/>
      </c>
      <c r="I481" s="44">
        <f>IF(E481="","",IF(ISERROR(VALUE(E481)),E481&amp;"",IF(AND(VALUE(E481)&gt;=1,VALUE(E481)&lt;=20),IF(INDEX(設定!$P$8:$P$27,VALUE(E481))="","？",INDEX(設定!$P$8:$P$27,VALUE(E481))),"？")))</f>
        <v/>
      </c>
      <c r="J481" s="44">
        <f>IF(F481="","",IF(ISERROR(VALUE(F481)),F481&amp;"",IF(AND(VALUE(F481)&gt;=1,VALUE(F481)&lt;=20),IF(INDEX(設定!$P$8:$P$27,VALUE(F481))="","？",INDEX(設定!$P$8:$P$27,VALUE(F481))),"？")))</f>
        <v/>
      </c>
      <c r="K481" s="45">
        <f>IF(L481="","",IF(G481="","名簿にいない",IF(COUNTIF(L482:L$552,L481)&gt;0,"2回提出（下の行を使います）",IF(OR(H481="？",I481="？",J481="？"),"クラブ番号がちがう",IF(OR(AND(H481&lt;&gt;"",H481&lt;&gt;"？",COUNTIF(設定!$P$8:$P$27,H481)=0),AND(I481&lt;&gt;"",I481&lt;&gt;"？",COUNTIF(設定!$P$8:$P$27,I481)=0),AND(J481&lt;&gt;"",J481&lt;&gt;"？",COUNTIF(設定!$P$8:$P$27,J481)=0)),"クラブ名がちがう",IF(H481="","第1希望がない",IF(OR(AND(H481&lt;&gt;"",H481=I481),AND(H481&lt;&gt;"",H481=J481),AND(I481&lt;&gt;"",I481=J481)),"同じクラブを重複して希望","OK")))))))</f>
        <v/>
      </c>
      <c r="L481" s="8">
        <f>IF(A481="","",A481&amp;"-"&amp;B481&amp;"-"&amp;C481)</f>
        <v/>
      </c>
      <c r="M481" s="8">
        <f>IF(OR(L481="",G481=""),"",IF(COUNTIF(L482:L$552,L481)=0,L481,""))</f>
        <v/>
      </c>
    </row>
    <row r="482">
      <c r="A482" s="40" t="n"/>
      <c r="B482" s="40" t="n"/>
      <c r="C482" s="40" t="n"/>
      <c r="D482" s="40" t="n"/>
      <c r="E482" s="40" t="n"/>
      <c r="F482" s="40" t="n"/>
      <c r="G482" s="3">
        <f>IF(L482="","",IFERROR(INDEX(前年度名簿!$D$2:$D$451,MATCH(L482,前年度名簿!$F$2:$F$451,0)),""))</f>
        <v/>
      </c>
      <c r="H482" s="44">
        <f>IF(D482="","",IF(ISERROR(VALUE(D482)),D482&amp;"",IF(AND(VALUE(D482)&gt;=1,VALUE(D482)&lt;=20),IF(INDEX(設定!$P$8:$P$27,VALUE(D482))="","？",INDEX(設定!$P$8:$P$27,VALUE(D482))),"？")))</f>
        <v/>
      </c>
      <c r="I482" s="44">
        <f>IF(E482="","",IF(ISERROR(VALUE(E482)),E482&amp;"",IF(AND(VALUE(E482)&gt;=1,VALUE(E482)&lt;=20),IF(INDEX(設定!$P$8:$P$27,VALUE(E482))="","？",INDEX(設定!$P$8:$P$27,VALUE(E482))),"？")))</f>
        <v/>
      </c>
      <c r="J482" s="44">
        <f>IF(F482="","",IF(ISERROR(VALUE(F482)),F482&amp;"",IF(AND(VALUE(F482)&gt;=1,VALUE(F482)&lt;=20),IF(INDEX(設定!$P$8:$P$27,VALUE(F482))="","？",INDEX(設定!$P$8:$P$27,VALUE(F482))),"？")))</f>
        <v/>
      </c>
      <c r="K482" s="45">
        <f>IF(L482="","",IF(G482="","名簿にいない",IF(COUNTIF(L483:L$552,L482)&gt;0,"2回提出（下の行を使います）",IF(OR(H482="？",I482="？",J482="？"),"クラブ番号がちがう",IF(OR(AND(H482&lt;&gt;"",H482&lt;&gt;"？",COUNTIF(設定!$P$8:$P$27,H482)=0),AND(I482&lt;&gt;"",I482&lt;&gt;"？",COUNTIF(設定!$P$8:$P$27,I482)=0),AND(J482&lt;&gt;"",J482&lt;&gt;"？",COUNTIF(設定!$P$8:$P$27,J482)=0)),"クラブ名がちがう",IF(H482="","第1希望がない",IF(OR(AND(H482&lt;&gt;"",H482=I482),AND(H482&lt;&gt;"",H482=J482),AND(I482&lt;&gt;"",I482=J482)),"同じクラブを重複して希望","OK")))))))</f>
        <v/>
      </c>
      <c r="L482" s="8">
        <f>IF(A482="","",A482&amp;"-"&amp;B482&amp;"-"&amp;C482)</f>
        <v/>
      </c>
      <c r="M482" s="8">
        <f>IF(OR(L482="",G482=""),"",IF(COUNTIF(L483:L$552,L482)=0,L482,""))</f>
        <v/>
      </c>
    </row>
    <row r="483">
      <c r="A483" s="40" t="n"/>
      <c r="B483" s="40" t="n"/>
      <c r="C483" s="40" t="n"/>
      <c r="D483" s="40" t="n"/>
      <c r="E483" s="40" t="n"/>
      <c r="F483" s="40" t="n"/>
      <c r="G483" s="3">
        <f>IF(L483="","",IFERROR(INDEX(前年度名簿!$D$2:$D$451,MATCH(L483,前年度名簿!$F$2:$F$451,0)),""))</f>
        <v/>
      </c>
      <c r="H483" s="44">
        <f>IF(D483="","",IF(ISERROR(VALUE(D483)),D483&amp;"",IF(AND(VALUE(D483)&gt;=1,VALUE(D483)&lt;=20),IF(INDEX(設定!$P$8:$P$27,VALUE(D483))="","？",INDEX(設定!$P$8:$P$27,VALUE(D483))),"？")))</f>
        <v/>
      </c>
      <c r="I483" s="44">
        <f>IF(E483="","",IF(ISERROR(VALUE(E483)),E483&amp;"",IF(AND(VALUE(E483)&gt;=1,VALUE(E483)&lt;=20),IF(INDEX(設定!$P$8:$P$27,VALUE(E483))="","？",INDEX(設定!$P$8:$P$27,VALUE(E483))),"？")))</f>
        <v/>
      </c>
      <c r="J483" s="44">
        <f>IF(F483="","",IF(ISERROR(VALUE(F483)),F483&amp;"",IF(AND(VALUE(F483)&gt;=1,VALUE(F483)&lt;=20),IF(INDEX(設定!$P$8:$P$27,VALUE(F483))="","？",INDEX(設定!$P$8:$P$27,VALUE(F483))),"？")))</f>
        <v/>
      </c>
      <c r="K483" s="45">
        <f>IF(L483="","",IF(G483="","名簿にいない",IF(COUNTIF(L484:L$552,L483)&gt;0,"2回提出（下の行を使います）",IF(OR(H483="？",I483="？",J483="？"),"クラブ番号がちがう",IF(OR(AND(H483&lt;&gt;"",H483&lt;&gt;"？",COUNTIF(設定!$P$8:$P$27,H483)=0),AND(I483&lt;&gt;"",I483&lt;&gt;"？",COUNTIF(設定!$P$8:$P$27,I483)=0),AND(J483&lt;&gt;"",J483&lt;&gt;"？",COUNTIF(設定!$P$8:$P$27,J483)=0)),"クラブ名がちがう",IF(H483="","第1希望がない",IF(OR(AND(H483&lt;&gt;"",H483=I483),AND(H483&lt;&gt;"",H483=J483),AND(I483&lt;&gt;"",I483=J483)),"同じクラブを重複して希望","OK")))))))</f>
        <v/>
      </c>
      <c r="L483" s="8">
        <f>IF(A483="","",A483&amp;"-"&amp;B483&amp;"-"&amp;C483)</f>
        <v/>
      </c>
      <c r="M483" s="8">
        <f>IF(OR(L483="",G483=""),"",IF(COUNTIF(L484:L$552,L483)=0,L483,""))</f>
        <v/>
      </c>
    </row>
    <row r="484">
      <c r="A484" s="40" t="n"/>
      <c r="B484" s="40" t="n"/>
      <c r="C484" s="40" t="n"/>
      <c r="D484" s="40" t="n"/>
      <c r="E484" s="40" t="n"/>
      <c r="F484" s="40" t="n"/>
      <c r="G484" s="3">
        <f>IF(L484="","",IFERROR(INDEX(前年度名簿!$D$2:$D$451,MATCH(L484,前年度名簿!$F$2:$F$451,0)),""))</f>
        <v/>
      </c>
      <c r="H484" s="44">
        <f>IF(D484="","",IF(ISERROR(VALUE(D484)),D484&amp;"",IF(AND(VALUE(D484)&gt;=1,VALUE(D484)&lt;=20),IF(INDEX(設定!$P$8:$P$27,VALUE(D484))="","？",INDEX(設定!$P$8:$P$27,VALUE(D484))),"？")))</f>
        <v/>
      </c>
      <c r="I484" s="44">
        <f>IF(E484="","",IF(ISERROR(VALUE(E484)),E484&amp;"",IF(AND(VALUE(E484)&gt;=1,VALUE(E484)&lt;=20),IF(INDEX(設定!$P$8:$P$27,VALUE(E484))="","？",INDEX(設定!$P$8:$P$27,VALUE(E484))),"？")))</f>
        <v/>
      </c>
      <c r="J484" s="44">
        <f>IF(F484="","",IF(ISERROR(VALUE(F484)),F484&amp;"",IF(AND(VALUE(F484)&gt;=1,VALUE(F484)&lt;=20),IF(INDEX(設定!$P$8:$P$27,VALUE(F484))="","？",INDEX(設定!$P$8:$P$27,VALUE(F484))),"？")))</f>
        <v/>
      </c>
      <c r="K484" s="45">
        <f>IF(L484="","",IF(G484="","名簿にいない",IF(COUNTIF(L485:L$552,L484)&gt;0,"2回提出（下の行を使います）",IF(OR(H484="？",I484="？",J484="？"),"クラブ番号がちがう",IF(OR(AND(H484&lt;&gt;"",H484&lt;&gt;"？",COUNTIF(設定!$P$8:$P$27,H484)=0),AND(I484&lt;&gt;"",I484&lt;&gt;"？",COUNTIF(設定!$P$8:$P$27,I484)=0),AND(J484&lt;&gt;"",J484&lt;&gt;"？",COUNTIF(設定!$P$8:$P$27,J484)=0)),"クラブ名がちがう",IF(H484="","第1希望がない",IF(OR(AND(H484&lt;&gt;"",H484=I484),AND(H484&lt;&gt;"",H484=J484),AND(I484&lt;&gt;"",I484=J484)),"同じクラブを重複して希望","OK")))))))</f>
        <v/>
      </c>
      <c r="L484" s="8">
        <f>IF(A484="","",A484&amp;"-"&amp;B484&amp;"-"&amp;C484)</f>
        <v/>
      </c>
      <c r="M484" s="8">
        <f>IF(OR(L484="",G484=""),"",IF(COUNTIF(L485:L$552,L484)=0,L484,""))</f>
        <v/>
      </c>
    </row>
    <row r="485">
      <c r="A485" s="40" t="n"/>
      <c r="B485" s="40" t="n"/>
      <c r="C485" s="40" t="n"/>
      <c r="D485" s="40" t="n"/>
      <c r="E485" s="40" t="n"/>
      <c r="F485" s="40" t="n"/>
      <c r="G485" s="3">
        <f>IF(L485="","",IFERROR(INDEX(前年度名簿!$D$2:$D$451,MATCH(L485,前年度名簿!$F$2:$F$451,0)),""))</f>
        <v/>
      </c>
      <c r="H485" s="44">
        <f>IF(D485="","",IF(ISERROR(VALUE(D485)),D485&amp;"",IF(AND(VALUE(D485)&gt;=1,VALUE(D485)&lt;=20),IF(INDEX(設定!$P$8:$P$27,VALUE(D485))="","？",INDEX(設定!$P$8:$P$27,VALUE(D485))),"？")))</f>
        <v/>
      </c>
      <c r="I485" s="44">
        <f>IF(E485="","",IF(ISERROR(VALUE(E485)),E485&amp;"",IF(AND(VALUE(E485)&gt;=1,VALUE(E485)&lt;=20),IF(INDEX(設定!$P$8:$P$27,VALUE(E485))="","？",INDEX(設定!$P$8:$P$27,VALUE(E485))),"？")))</f>
        <v/>
      </c>
      <c r="J485" s="44">
        <f>IF(F485="","",IF(ISERROR(VALUE(F485)),F485&amp;"",IF(AND(VALUE(F485)&gt;=1,VALUE(F485)&lt;=20),IF(INDEX(設定!$P$8:$P$27,VALUE(F485))="","？",INDEX(設定!$P$8:$P$27,VALUE(F485))),"？")))</f>
        <v/>
      </c>
      <c r="K485" s="45">
        <f>IF(L485="","",IF(G485="","名簿にいない",IF(COUNTIF(L486:L$552,L485)&gt;0,"2回提出（下の行を使います）",IF(OR(H485="？",I485="？",J485="？"),"クラブ番号がちがう",IF(OR(AND(H485&lt;&gt;"",H485&lt;&gt;"？",COUNTIF(設定!$P$8:$P$27,H485)=0),AND(I485&lt;&gt;"",I485&lt;&gt;"？",COUNTIF(設定!$P$8:$P$27,I485)=0),AND(J485&lt;&gt;"",J485&lt;&gt;"？",COUNTIF(設定!$P$8:$P$27,J485)=0)),"クラブ名がちがう",IF(H485="","第1希望がない",IF(OR(AND(H485&lt;&gt;"",H485=I485),AND(H485&lt;&gt;"",H485=J485),AND(I485&lt;&gt;"",I485=J485)),"同じクラブを重複して希望","OK")))))))</f>
        <v/>
      </c>
      <c r="L485" s="8">
        <f>IF(A485="","",A485&amp;"-"&amp;B485&amp;"-"&amp;C485)</f>
        <v/>
      </c>
      <c r="M485" s="8">
        <f>IF(OR(L485="",G485=""),"",IF(COUNTIF(L486:L$552,L485)=0,L485,""))</f>
        <v/>
      </c>
    </row>
    <row r="486">
      <c r="A486" s="40" t="n"/>
      <c r="B486" s="40" t="n"/>
      <c r="C486" s="40" t="n"/>
      <c r="D486" s="40" t="n"/>
      <c r="E486" s="40" t="n"/>
      <c r="F486" s="40" t="n"/>
      <c r="G486" s="3">
        <f>IF(L486="","",IFERROR(INDEX(前年度名簿!$D$2:$D$451,MATCH(L486,前年度名簿!$F$2:$F$451,0)),""))</f>
        <v/>
      </c>
      <c r="H486" s="44">
        <f>IF(D486="","",IF(ISERROR(VALUE(D486)),D486&amp;"",IF(AND(VALUE(D486)&gt;=1,VALUE(D486)&lt;=20),IF(INDEX(設定!$P$8:$P$27,VALUE(D486))="","？",INDEX(設定!$P$8:$P$27,VALUE(D486))),"？")))</f>
        <v/>
      </c>
      <c r="I486" s="44">
        <f>IF(E486="","",IF(ISERROR(VALUE(E486)),E486&amp;"",IF(AND(VALUE(E486)&gt;=1,VALUE(E486)&lt;=20),IF(INDEX(設定!$P$8:$P$27,VALUE(E486))="","？",INDEX(設定!$P$8:$P$27,VALUE(E486))),"？")))</f>
        <v/>
      </c>
      <c r="J486" s="44">
        <f>IF(F486="","",IF(ISERROR(VALUE(F486)),F486&amp;"",IF(AND(VALUE(F486)&gt;=1,VALUE(F486)&lt;=20),IF(INDEX(設定!$P$8:$P$27,VALUE(F486))="","？",INDEX(設定!$P$8:$P$27,VALUE(F486))),"？")))</f>
        <v/>
      </c>
      <c r="K486" s="45">
        <f>IF(L486="","",IF(G486="","名簿にいない",IF(COUNTIF(L487:L$552,L486)&gt;0,"2回提出（下の行を使います）",IF(OR(H486="？",I486="？",J486="？"),"クラブ番号がちがう",IF(OR(AND(H486&lt;&gt;"",H486&lt;&gt;"？",COUNTIF(設定!$P$8:$P$27,H486)=0),AND(I486&lt;&gt;"",I486&lt;&gt;"？",COUNTIF(設定!$P$8:$P$27,I486)=0),AND(J486&lt;&gt;"",J486&lt;&gt;"？",COUNTIF(設定!$P$8:$P$27,J486)=0)),"クラブ名がちがう",IF(H486="","第1希望がない",IF(OR(AND(H486&lt;&gt;"",H486=I486),AND(H486&lt;&gt;"",H486=J486),AND(I486&lt;&gt;"",I486=J486)),"同じクラブを重複して希望","OK")))))))</f>
        <v/>
      </c>
      <c r="L486" s="8">
        <f>IF(A486="","",A486&amp;"-"&amp;B486&amp;"-"&amp;C486)</f>
        <v/>
      </c>
      <c r="M486" s="8">
        <f>IF(OR(L486="",G486=""),"",IF(COUNTIF(L487:L$552,L486)=0,L486,""))</f>
        <v/>
      </c>
    </row>
    <row r="487">
      <c r="A487" s="40" t="n"/>
      <c r="B487" s="40" t="n"/>
      <c r="C487" s="40" t="n"/>
      <c r="D487" s="40" t="n"/>
      <c r="E487" s="40" t="n"/>
      <c r="F487" s="40" t="n"/>
      <c r="G487" s="3">
        <f>IF(L487="","",IFERROR(INDEX(前年度名簿!$D$2:$D$451,MATCH(L487,前年度名簿!$F$2:$F$451,0)),""))</f>
        <v/>
      </c>
      <c r="H487" s="44">
        <f>IF(D487="","",IF(ISERROR(VALUE(D487)),D487&amp;"",IF(AND(VALUE(D487)&gt;=1,VALUE(D487)&lt;=20),IF(INDEX(設定!$P$8:$P$27,VALUE(D487))="","？",INDEX(設定!$P$8:$P$27,VALUE(D487))),"？")))</f>
        <v/>
      </c>
      <c r="I487" s="44">
        <f>IF(E487="","",IF(ISERROR(VALUE(E487)),E487&amp;"",IF(AND(VALUE(E487)&gt;=1,VALUE(E487)&lt;=20),IF(INDEX(設定!$P$8:$P$27,VALUE(E487))="","？",INDEX(設定!$P$8:$P$27,VALUE(E487))),"？")))</f>
        <v/>
      </c>
      <c r="J487" s="44">
        <f>IF(F487="","",IF(ISERROR(VALUE(F487)),F487&amp;"",IF(AND(VALUE(F487)&gt;=1,VALUE(F487)&lt;=20),IF(INDEX(設定!$P$8:$P$27,VALUE(F487))="","？",INDEX(設定!$P$8:$P$27,VALUE(F487))),"？")))</f>
        <v/>
      </c>
      <c r="K487" s="45">
        <f>IF(L487="","",IF(G487="","名簿にいない",IF(COUNTIF(L488:L$552,L487)&gt;0,"2回提出（下の行を使います）",IF(OR(H487="？",I487="？",J487="？"),"クラブ番号がちがう",IF(OR(AND(H487&lt;&gt;"",H487&lt;&gt;"？",COUNTIF(設定!$P$8:$P$27,H487)=0),AND(I487&lt;&gt;"",I487&lt;&gt;"？",COUNTIF(設定!$P$8:$P$27,I487)=0),AND(J487&lt;&gt;"",J487&lt;&gt;"？",COUNTIF(設定!$P$8:$P$27,J487)=0)),"クラブ名がちがう",IF(H487="","第1希望がない",IF(OR(AND(H487&lt;&gt;"",H487=I487),AND(H487&lt;&gt;"",H487=J487),AND(I487&lt;&gt;"",I487=J487)),"同じクラブを重複して希望","OK")))))))</f>
        <v/>
      </c>
      <c r="L487" s="8">
        <f>IF(A487="","",A487&amp;"-"&amp;B487&amp;"-"&amp;C487)</f>
        <v/>
      </c>
      <c r="M487" s="8">
        <f>IF(OR(L487="",G487=""),"",IF(COUNTIF(L488:L$552,L487)=0,L487,""))</f>
        <v/>
      </c>
    </row>
    <row r="488">
      <c r="A488" s="40" t="n"/>
      <c r="B488" s="40" t="n"/>
      <c r="C488" s="40" t="n"/>
      <c r="D488" s="40" t="n"/>
      <c r="E488" s="40" t="n"/>
      <c r="F488" s="40" t="n"/>
      <c r="G488" s="3">
        <f>IF(L488="","",IFERROR(INDEX(前年度名簿!$D$2:$D$451,MATCH(L488,前年度名簿!$F$2:$F$451,0)),""))</f>
        <v/>
      </c>
      <c r="H488" s="44">
        <f>IF(D488="","",IF(ISERROR(VALUE(D488)),D488&amp;"",IF(AND(VALUE(D488)&gt;=1,VALUE(D488)&lt;=20),IF(INDEX(設定!$P$8:$P$27,VALUE(D488))="","？",INDEX(設定!$P$8:$P$27,VALUE(D488))),"？")))</f>
        <v/>
      </c>
      <c r="I488" s="44">
        <f>IF(E488="","",IF(ISERROR(VALUE(E488)),E488&amp;"",IF(AND(VALUE(E488)&gt;=1,VALUE(E488)&lt;=20),IF(INDEX(設定!$P$8:$P$27,VALUE(E488))="","？",INDEX(設定!$P$8:$P$27,VALUE(E488))),"？")))</f>
        <v/>
      </c>
      <c r="J488" s="44">
        <f>IF(F488="","",IF(ISERROR(VALUE(F488)),F488&amp;"",IF(AND(VALUE(F488)&gt;=1,VALUE(F488)&lt;=20),IF(INDEX(設定!$P$8:$P$27,VALUE(F488))="","？",INDEX(設定!$P$8:$P$27,VALUE(F488))),"？")))</f>
        <v/>
      </c>
      <c r="K488" s="45">
        <f>IF(L488="","",IF(G488="","名簿にいない",IF(COUNTIF(L489:L$552,L488)&gt;0,"2回提出（下の行を使います）",IF(OR(H488="？",I488="？",J488="？"),"クラブ番号がちがう",IF(OR(AND(H488&lt;&gt;"",H488&lt;&gt;"？",COUNTIF(設定!$P$8:$P$27,H488)=0),AND(I488&lt;&gt;"",I488&lt;&gt;"？",COUNTIF(設定!$P$8:$P$27,I488)=0),AND(J488&lt;&gt;"",J488&lt;&gt;"？",COUNTIF(設定!$P$8:$P$27,J488)=0)),"クラブ名がちがう",IF(H488="","第1希望がない",IF(OR(AND(H488&lt;&gt;"",H488=I488),AND(H488&lt;&gt;"",H488=J488),AND(I488&lt;&gt;"",I488=J488)),"同じクラブを重複して希望","OK")))))))</f>
        <v/>
      </c>
      <c r="L488" s="8">
        <f>IF(A488="","",A488&amp;"-"&amp;B488&amp;"-"&amp;C488)</f>
        <v/>
      </c>
      <c r="M488" s="8">
        <f>IF(OR(L488="",G488=""),"",IF(COUNTIF(L489:L$552,L488)=0,L488,""))</f>
        <v/>
      </c>
    </row>
    <row r="489">
      <c r="A489" s="40" t="n"/>
      <c r="B489" s="40" t="n"/>
      <c r="C489" s="40" t="n"/>
      <c r="D489" s="40" t="n"/>
      <c r="E489" s="40" t="n"/>
      <c r="F489" s="40" t="n"/>
      <c r="G489" s="3">
        <f>IF(L489="","",IFERROR(INDEX(前年度名簿!$D$2:$D$451,MATCH(L489,前年度名簿!$F$2:$F$451,0)),""))</f>
        <v/>
      </c>
      <c r="H489" s="44">
        <f>IF(D489="","",IF(ISERROR(VALUE(D489)),D489&amp;"",IF(AND(VALUE(D489)&gt;=1,VALUE(D489)&lt;=20),IF(INDEX(設定!$P$8:$P$27,VALUE(D489))="","？",INDEX(設定!$P$8:$P$27,VALUE(D489))),"？")))</f>
        <v/>
      </c>
      <c r="I489" s="44">
        <f>IF(E489="","",IF(ISERROR(VALUE(E489)),E489&amp;"",IF(AND(VALUE(E489)&gt;=1,VALUE(E489)&lt;=20),IF(INDEX(設定!$P$8:$P$27,VALUE(E489))="","？",INDEX(設定!$P$8:$P$27,VALUE(E489))),"？")))</f>
        <v/>
      </c>
      <c r="J489" s="44">
        <f>IF(F489="","",IF(ISERROR(VALUE(F489)),F489&amp;"",IF(AND(VALUE(F489)&gt;=1,VALUE(F489)&lt;=20),IF(INDEX(設定!$P$8:$P$27,VALUE(F489))="","？",INDEX(設定!$P$8:$P$27,VALUE(F489))),"？")))</f>
        <v/>
      </c>
      <c r="K489" s="45">
        <f>IF(L489="","",IF(G489="","名簿にいない",IF(COUNTIF(L490:L$552,L489)&gt;0,"2回提出（下の行を使います）",IF(OR(H489="？",I489="？",J489="？"),"クラブ番号がちがう",IF(OR(AND(H489&lt;&gt;"",H489&lt;&gt;"？",COUNTIF(設定!$P$8:$P$27,H489)=0),AND(I489&lt;&gt;"",I489&lt;&gt;"？",COUNTIF(設定!$P$8:$P$27,I489)=0),AND(J489&lt;&gt;"",J489&lt;&gt;"？",COUNTIF(設定!$P$8:$P$27,J489)=0)),"クラブ名がちがう",IF(H489="","第1希望がない",IF(OR(AND(H489&lt;&gt;"",H489=I489),AND(H489&lt;&gt;"",H489=J489),AND(I489&lt;&gt;"",I489=J489)),"同じクラブを重複して希望","OK")))))))</f>
        <v/>
      </c>
      <c r="L489" s="8">
        <f>IF(A489="","",A489&amp;"-"&amp;B489&amp;"-"&amp;C489)</f>
        <v/>
      </c>
      <c r="M489" s="8">
        <f>IF(OR(L489="",G489=""),"",IF(COUNTIF(L490:L$552,L489)=0,L489,""))</f>
        <v/>
      </c>
    </row>
    <row r="490">
      <c r="A490" s="40" t="n"/>
      <c r="B490" s="40" t="n"/>
      <c r="C490" s="40" t="n"/>
      <c r="D490" s="40" t="n"/>
      <c r="E490" s="40" t="n"/>
      <c r="F490" s="40" t="n"/>
      <c r="G490" s="3">
        <f>IF(L490="","",IFERROR(INDEX(前年度名簿!$D$2:$D$451,MATCH(L490,前年度名簿!$F$2:$F$451,0)),""))</f>
        <v/>
      </c>
      <c r="H490" s="44">
        <f>IF(D490="","",IF(ISERROR(VALUE(D490)),D490&amp;"",IF(AND(VALUE(D490)&gt;=1,VALUE(D490)&lt;=20),IF(INDEX(設定!$P$8:$P$27,VALUE(D490))="","？",INDEX(設定!$P$8:$P$27,VALUE(D490))),"？")))</f>
        <v/>
      </c>
      <c r="I490" s="44">
        <f>IF(E490="","",IF(ISERROR(VALUE(E490)),E490&amp;"",IF(AND(VALUE(E490)&gt;=1,VALUE(E490)&lt;=20),IF(INDEX(設定!$P$8:$P$27,VALUE(E490))="","？",INDEX(設定!$P$8:$P$27,VALUE(E490))),"？")))</f>
        <v/>
      </c>
      <c r="J490" s="44">
        <f>IF(F490="","",IF(ISERROR(VALUE(F490)),F490&amp;"",IF(AND(VALUE(F490)&gt;=1,VALUE(F490)&lt;=20),IF(INDEX(設定!$P$8:$P$27,VALUE(F490))="","？",INDEX(設定!$P$8:$P$27,VALUE(F490))),"？")))</f>
        <v/>
      </c>
      <c r="K490" s="45">
        <f>IF(L490="","",IF(G490="","名簿にいない",IF(COUNTIF(L491:L$552,L490)&gt;0,"2回提出（下の行を使います）",IF(OR(H490="？",I490="？",J490="？"),"クラブ番号がちがう",IF(OR(AND(H490&lt;&gt;"",H490&lt;&gt;"？",COUNTIF(設定!$P$8:$P$27,H490)=0),AND(I490&lt;&gt;"",I490&lt;&gt;"？",COUNTIF(設定!$P$8:$P$27,I490)=0),AND(J490&lt;&gt;"",J490&lt;&gt;"？",COUNTIF(設定!$P$8:$P$27,J490)=0)),"クラブ名がちがう",IF(H490="","第1希望がない",IF(OR(AND(H490&lt;&gt;"",H490=I490),AND(H490&lt;&gt;"",H490=J490),AND(I490&lt;&gt;"",I490=J490)),"同じクラブを重複して希望","OK")))))))</f>
        <v/>
      </c>
      <c r="L490" s="8">
        <f>IF(A490="","",A490&amp;"-"&amp;B490&amp;"-"&amp;C490)</f>
        <v/>
      </c>
      <c r="M490" s="8">
        <f>IF(OR(L490="",G490=""),"",IF(COUNTIF(L491:L$552,L490)=0,L490,""))</f>
        <v/>
      </c>
    </row>
    <row r="491">
      <c r="A491" s="40" t="n"/>
      <c r="B491" s="40" t="n"/>
      <c r="C491" s="40" t="n"/>
      <c r="D491" s="40" t="n"/>
      <c r="E491" s="40" t="n"/>
      <c r="F491" s="40" t="n"/>
      <c r="G491" s="3">
        <f>IF(L491="","",IFERROR(INDEX(前年度名簿!$D$2:$D$451,MATCH(L491,前年度名簿!$F$2:$F$451,0)),""))</f>
        <v/>
      </c>
      <c r="H491" s="44">
        <f>IF(D491="","",IF(ISERROR(VALUE(D491)),D491&amp;"",IF(AND(VALUE(D491)&gt;=1,VALUE(D491)&lt;=20),IF(INDEX(設定!$P$8:$P$27,VALUE(D491))="","？",INDEX(設定!$P$8:$P$27,VALUE(D491))),"？")))</f>
        <v/>
      </c>
      <c r="I491" s="44">
        <f>IF(E491="","",IF(ISERROR(VALUE(E491)),E491&amp;"",IF(AND(VALUE(E491)&gt;=1,VALUE(E491)&lt;=20),IF(INDEX(設定!$P$8:$P$27,VALUE(E491))="","？",INDEX(設定!$P$8:$P$27,VALUE(E491))),"？")))</f>
        <v/>
      </c>
      <c r="J491" s="44">
        <f>IF(F491="","",IF(ISERROR(VALUE(F491)),F491&amp;"",IF(AND(VALUE(F491)&gt;=1,VALUE(F491)&lt;=20),IF(INDEX(設定!$P$8:$P$27,VALUE(F491))="","？",INDEX(設定!$P$8:$P$27,VALUE(F491))),"？")))</f>
        <v/>
      </c>
      <c r="K491" s="45">
        <f>IF(L491="","",IF(G491="","名簿にいない",IF(COUNTIF(L492:L$552,L491)&gt;0,"2回提出（下の行を使います）",IF(OR(H491="？",I491="？",J491="？"),"クラブ番号がちがう",IF(OR(AND(H491&lt;&gt;"",H491&lt;&gt;"？",COUNTIF(設定!$P$8:$P$27,H491)=0),AND(I491&lt;&gt;"",I491&lt;&gt;"？",COUNTIF(設定!$P$8:$P$27,I491)=0),AND(J491&lt;&gt;"",J491&lt;&gt;"？",COUNTIF(設定!$P$8:$P$27,J491)=0)),"クラブ名がちがう",IF(H491="","第1希望がない",IF(OR(AND(H491&lt;&gt;"",H491=I491),AND(H491&lt;&gt;"",H491=J491),AND(I491&lt;&gt;"",I491=J491)),"同じクラブを重複して希望","OK")))))))</f>
        <v/>
      </c>
      <c r="L491" s="8">
        <f>IF(A491="","",A491&amp;"-"&amp;B491&amp;"-"&amp;C491)</f>
        <v/>
      </c>
      <c r="M491" s="8">
        <f>IF(OR(L491="",G491=""),"",IF(COUNTIF(L492:L$552,L491)=0,L491,""))</f>
        <v/>
      </c>
    </row>
    <row r="492">
      <c r="A492" s="40" t="n"/>
      <c r="B492" s="40" t="n"/>
      <c r="C492" s="40" t="n"/>
      <c r="D492" s="40" t="n"/>
      <c r="E492" s="40" t="n"/>
      <c r="F492" s="40" t="n"/>
      <c r="G492" s="3">
        <f>IF(L492="","",IFERROR(INDEX(前年度名簿!$D$2:$D$451,MATCH(L492,前年度名簿!$F$2:$F$451,0)),""))</f>
        <v/>
      </c>
      <c r="H492" s="44">
        <f>IF(D492="","",IF(ISERROR(VALUE(D492)),D492&amp;"",IF(AND(VALUE(D492)&gt;=1,VALUE(D492)&lt;=20),IF(INDEX(設定!$P$8:$P$27,VALUE(D492))="","？",INDEX(設定!$P$8:$P$27,VALUE(D492))),"？")))</f>
        <v/>
      </c>
      <c r="I492" s="44">
        <f>IF(E492="","",IF(ISERROR(VALUE(E492)),E492&amp;"",IF(AND(VALUE(E492)&gt;=1,VALUE(E492)&lt;=20),IF(INDEX(設定!$P$8:$P$27,VALUE(E492))="","？",INDEX(設定!$P$8:$P$27,VALUE(E492))),"？")))</f>
        <v/>
      </c>
      <c r="J492" s="44">
        <f>IF(F492="","",IF(ISERROR(VALUE(F492)),F492&amp;"",IF(AND(VALUE(F492)&gt;=1,VALUE(F492)&lt;=20),IF(INDEX(設定!$P$8:$P$27,VALUE(F492))="","？",INDEX(設定!$P$8:$P$27,VALUE(F492))),"？")))</f>
        <v/>
      </c>
      <c r="K492" s="45">
        <f>IF(L492="","",IF(G492="","名簿にいない",IF(COUNTIF(L493:L$552,L492)&gt;0,"2回提出（下の行を使います）",IF(OR(H492="？",I492="？",J492="？"),"クラブ番号がちがう",IF(OR(AND(H492&lt;&gt;"",H492&lt;&gt;"？",COUNTIF(設定!$P$8:$P$27,H492)=0),AND(I492&lt;&gt;"",I492&lt;&gt;"？",COUNTIF(設定!$P$8:$P$27,I492)=0),AND(J492&lt;&gt;"",J492&lt;&gt;"？",COUNTIF(設定!$P$8:$P$27,J492)=0)),"クラブ名がちがう",IF(H492="","第1希望がない",IF(OR(AND(H492&lt;&gt;"",H492=I492),AND(H492&lt;&gt;"",H492=J492),AND(I492&lt;&gt;"",I492=J492)),"同じクラブを重複して希望","OK")))))))</f>
        <v/>
      </c>
      <c r="L492" s="8">
        <f>IF(A492="","",A492&amp;"-"&amp;B492&amp;"-"&amp;C492)</f>
        <v/>
      </c>
      <c r="M492" s="8">
        <f>IF(OR(L492="",G492=""),"",IF(COUNTIF(L493:L$552,L492)=0,L492,""))</f>
        <v/>
      </c>
    </row>
    <row r="493">
      <c r="A493" s="40" t="n"/>
      <c r="B493" s="40" t="n"/>
      <c r="C493" s="40" t="n"/>
      <c r="D493" s="40" t="n"/>
      <c r="E493" s="40" t="n"/>
      <c r="F493" s="40" t="n"/>
      <c r="G493" s="3">
        <f>IF(L493="","",IFERROR(INDEX(前年度名簿!$D$2:$D$451,MATCH(L493,前年度名簿!$F$2:$F$451,0)),""))</f>
        <v/>
      </c>
      <c r="H493" s="44">
        <f>IF(D493="","",IF(ISERROR(VALUE(D493)),D493&amp;"",IF(AND(VALUE(D493)&gt;=1,VALUE(D493)&lt;=20),IF(INDEX(設定!$P$8:$P$27,VALUE(D493))="","？",INDEX(設定!$P$8:$P$27,VALUE(D493))),"？")))</f>
        <v/>
      </c>
      <c r="I493" s="44">
        <f>IF(E493="","",IF(ISERROR(VALUE(E493)),E493&amp;"",IF(AND(VALUE(E493)&gt;=1,VALUE(E493)&lt;=20),IF(INDEX(設定!$P$8:$P$27,VALUE(E493))="","？",INDEX(設定!$P$8:$P$27,VALUE(E493))),"？")))</f>
        <v/>
      </c>
      <c r="J493" s="44">
        <f>IF(F493="","",IF(ISERROR(VALUE(F493)),F493&amp;"",IF(AND(VALUE(F493)&gt;=1,VALUE(F493)&lt;=20),IF(INDEX(設定!$P$8:$P$27,VALUE(F493))="","？",INDEX(設定!$P$8:$P$27,VALUE(F493))),"？")))</f>
        <v/>
      </c>
      <c r="K493" s="45">
        <f>IF(L493="","",IF(G493="","名簿にいない",IF(COUNTIF(L494:L$552,L493)&gt;0,"2回提出（下の行を使います）",IF(OR(H493="？",I493="？",J493="？"),"クラブ番号がちがう",IF(OR(AND(H493&lt;&gt;"",H493&lt;&gt;"？",COUNTIF(設定!$P$8:$P$27,H493)=0),AND(I493&lt;&gt;"",I493&lt;&gt;"？",COUNTIF(設定!$P$8:$P$27,I493)=0),AND(J493&lt;&gt;"",J493&lt;&gt;"？",COUNTIF(設定!$P$8:$P$27,J493)=0)),"クラブ名がちがう",IF(H493="","第1希望がない",IF(OR(AND(H493&lt;&gt;"",H493=I493),AND(H493&lt;&gt;"",H493=J493),AND(I493&lt;&gt;"",I493=J493)),"同じクラブを重複して希望","OK")))))))</f>
        <v/>
      </c>
      <c r="L493" s="8">
        <f>IF(A493="","",A493&amp;"-"&amp;B493&amp;"-"&amp;C493)</f>
        <v/>
      </c>
      <c r="M493" s="8">
        <f>IF(OR(L493="",G493=""),"",IF(COUNTIF(L494:L$552,L493)=0,L493,""))</f>
        <v/>
      </c>
    </row>
    <row r="494">
      <c r="A494" s="40" t="n"/>
      <c r="B494" s="40" t="n"/>
      <c r="C494" s="40" t="n"/>
      <c r="D494" s="40" t="n"/>
      <c r="E494" s="40" t="n"/>
      <c r="F494" s="40" t="n"/>
      <c r="G494" s="3">
        <f>IF(L494="","",IFERROR(INDEX(前年度名簿!$D$2:$D$451,MATCH(L494,前年度名簿!$F$2:$F$451,0)),""))</f>
        <v/>
      </c>
      <c r="H494" s="44">
        <f>IF(D494="","",IF(ISERROR(VALUE(D494)),D494&amp;"",IF(AND(VALUE(D494)&gt;=1,VALUE(D494)&lt;=20),IF(INDEX(設定!$P$8:$P$27,VALUE(D494))="","？",INDEX(設定!$P$8:$P$27,VALUE(D494))),"？")))</f>
        <v/>
      </c>
      <c r="I494" s="44">
        <f>IF(E494="","",IF(ISERROR(VALUE(E494)),E494&amp;"",IF(AND(VALUE(E494)&gt;=1,VALUE(E494)&lt;=20),IF(INDEX(設定!$P$8:$P$27,VALUE(E494))="","？",INDEX(設定!$P$8:$P$27,VALUE(E494))),"？")))</f>
        <v/>
      </c>
      <c r="J494" s="44">
        <f>IF(F494="","",IF(ISERROR(VALUE(F494)),F494&amp;"",IF(AND(VALUE(F494)&gt;=1,VALUE(F494)&lt;=20),IF(INDEX(設定!$P$8:$P$27,VALUE(F494))="","？",INDEX(設定!$P$8:$P$27,VALUE(F494))),"？")))</f>
        <v/>
      </c>
      <c r="K494" s="45">
        <f>IF(L494="","",IF(G494="","名簿にいない",IF(COUNTIF(L495:L$552,L494)&gt;0,"2回提出（下の行を使います）",IF(OR(H494="？",I494="？",J494="？"),"クラブ番号がちがう",IF(OR(AND(H494&lt;&gt;"",H494&lt;&gt;"？",COUNTIF(設定!$P$8:$P$27,H494)=0),AND(I494&lt;&gt;"",I494&lt;&gt;"？",COUNTIF(設定!$P$8:$P$27,I494)=0),AND(J494&lt;&gt;"",J494&lt;&gt;"？",COUNTIF(設定!$P$8:$P$27,J494)=0)),"クラブ名がちがう",IF(H494="","第1希望がない",IF(OR(AND(H494&lt;&gt;"",H494=I494),AND(H494&lt;&gt;"",H494=J494),AND(I494&lt;&gt;"",I494=J494)),"同じクラブを重複して希望","OK")))))))</f>
        <v/>
      </c>
      <c r="L494" s="8">
        <f>IF(A494="","",A494&amp;"-"&amp;B494&amp;"-"&amp;C494)</f>
        <v/>
      </c>
      <c r="M494" s="8">
        <f>IF(OR(L494="",G494=""),"",IF(COUNTIF(L495:L$552,L494)=0,L494,""))</f>
        <v/>
      </c>
    </row>
    <row r="495">
      <c r="A495" s="40" t="n"/>
      <c r="B495" s="40" t="n"/>
      <c r="C495" s="40" t="n"/>
      <c r="D495" s="40" t="n"/>
      <c r="E495" s="40" t="n"/>
      <c r="F495" s="40" t="n"/>
      <c r="G495" s="3">
        <f>IF(L495="","",IFERROR(INDEX(前年度名簿!$D$2:$D$451,MATCH(L495,前年度名簿!$F$2:$F$451,0)),""))</f>
        <v/>
      </c>
      <c r="H495" s="44">
        <f>IF(D495="","",IF(ISERROR(VALUE(D495)),D495&amp;"",IF(AND(VALUE(D495)&gt;=1,VALUE(D495)&lt;=20),IF(INDEX(設定!$P$8:$P$27,VALUE(D495))="","？",INDEX(設定!$P$8:$P$27,VALUE(D495))),"？")))</f>
        <v/>
      </c>
      <c r="I495" s="44">
        <f>IF(E495="","",IF(ISERROR(VALUE(E495)),E495&amp;"",IF(AND(VALUE(E495)&gt;=1,VALUE(E495)&lt;=20),IF(INDEX(設定!$P$8:$P$27,VALUE(E495))="","？",INDEX(設定!$P$8:$P$27,VALUE(E495))),"？")))</f>
        <v/>
      </c>
      <c r="J495" s="44">
        <f>IF(F495="","",IF(ISERROR(VALUE(F495)),F495&amp;"",IF(AND(VALUE(F495)&gt;=1,VALUE(F495)&lt;=20),IF(INDEX(設定!$P$8:$P$27,VALUE(F495))="","？",INDEX(設定!$P$8:$P$27,VALUE(F495))),"？")))</f>
        <v/>
      </c>
      <c r="K495" s="45">
        <f>IF(L495="","",IF(G495="","名簿にいない",IF(COUNTIF(L496:L$552,L495)&gt;0,"2回提出（下の行を使います）",IF(OR(H495="？",I495="？",J495="？"),"クラブ番号がちがう",IF(OR(AND(H495&lt;&gt;"",H495&lt;&gt;"？",COUNTIF(設定!$P$8:$P$27,H495)=0),AND(I495&lt;&gt;"",I495&lt;&gt;"？",COUNTIF(設定!$P$8:$P$27,I495)=0),AND(J495&lt;&gt;"",J495&lt;&gt;"？",COUNTIF(設定!$P$8:$P$27,J495)=0)),"クラブ名がちがう",IF(H495="","第1希望がない",IF(OR(AND(H495&lt;&gt;"",H495=I495),AND(H495&lt;&gt;"",H495=J495),AND(I495&lt;&gt;"",I495=J495)),"同じクラブを重複して希望","OK")))))))</f>
        <v/>
      </c>
      <c r="L495" s="8">
        <f>IF(A495="","",A495&amp;"-"&amp;B495&amp;"-"&amp;C495)</f>
        <v/>
      </c>
      <c r="M495" s="8">
        <f>IF(OR(L495="",G495=""),"",IF(COUNTIF(L496:L$552,L495)=0,L495,""))</f>
        <v/>
      </c>
    </row>
    <row r="496">
      <c r="A496" s="40" t="n"/>
      <c r="B496" s="40" t="n"/>
      <c r="C496" s="40" t="n"/>
      <c r="D496" s="40" t="n"/>
      <c r="E496" s="40" t="n"/>
      <c r="F496" s="40" t="n"/>
      <c r="G496" s="3">
        <f>IF(L496="","",IFERROR(INDEX(前年度名簿!$D$2:$D$451,MATCH(L496,前年度名簿!$F$2:$F$451,0)),""))</f>
        <v/>
      </c>
      <c r="H496" s="44">
        <f>IF(D496="","",IF(ISERROR(VALUE(D496)),D496&amp;"",IF(AND(VALUE(D496)&gt;=1,VALUE(D496)&lt;=20),IF(INDEX(設定!$P$8:$P$27,VALUE(D496))="","？",INDEX(設定!$P$8:$P$27,VALUE(D496))),"？")))</f>
        <v/>
      </c>
      <c r="I496" s="44">
        <f>IF(E496="","",IF(ISERROR(VALUE(E496)),E496&amp;"",IF(AND(VALUE(E496)&gt;=1,VALUE(E496)&lt;=20),IF(INDEX(設定!$P$8:$P$27,VALUE(E496))="","？",INDEX(設定!$P$8:$P$27,VALUE(E496))),"？")))</f>
        <v/>
      </c>
      <c r="J496" s="44">
        <f>IF(F496="","",IF(ISERROR(VALUE(F496)),F496&amp;"",IF(AND(VALUE(F496)&gt;=1,VALUE(F496)&lt;=20),IF(INDEX(設定!$P$8:$P$27,VALUE(F496))="","？",INDEX(設定!$P$8:$P$27,VALUE(F496))),"？")))</f>
        <v/>
      </c>
      <c r="K496" s="45">
        <f>IF(L496="","",IF(G496="","名簿にいない",IF(COUNTIF(L497:L$552,L496)&gt;0,"2回提出（下の行を使います）",IF(OR(H496="？",I496="？",J496="？"),"クラブ番号がちがう",IF(OR(AND(H496&lt;&gt;"",H496&lt;&gt;"？",COUNTIF(設定!$P$8:$P$27,H496)=0),AND(I496&lt;&gt;"",I496&lt;&gt;"？",COUNTIF(設定!$P$8:$P$27,I496)=0),AND(J496&lt;&gt;"",J496&lt;&gt;"？",COUNTIF(設定!$P$8:$P$27,J496)=0)),"クラブ名がちがう",IF(H496="","第1希望がない",IF(OR(AND(H496&lt;&gt;"",H496=I496),AND(H496&lt;&gt;"",H496=J496),AND(I496&lt;&gt;"",I496=J496)),"同じクラブを重複して希望","OK")))))))</f>
        <v/>
      </c>
      <c r="L496" s="8">
        <f>IF(A496="","",A496&amp;"-"&amp;B496&amp;"-"&amp;C496)</f>
        <v/>
      </c>
      <c r="M496" s="8">
        <f>IF(OR(L496="",G496=""),"",IF(COUNTIF(L497:L$552,L496)=0,L496,""))</f>
        <v/>
      </c>
    </row>
    <row r="497">
      <c r="A497" s="40" t="n"/>
      <c r="B497" s="40" t="n"/>
      <c r="C497" s="40" t="n"/>
      <c r="D497" s="40" t="n"/>
      <c r="E497" s="40" t="n"/>
      <c r="F497" s="40" t="n"/>
      <c r="G497" s="3">
        <f>IF(L497="","",IFERROR(INDEX(前年度名簿!$D$2:$D$451,MATCH(L497,前年度名簿!$F$2:$F$451,0)),""))</f>
        <v/>
      </c>
      <c r="H497" s="44">
        <f>IF(D497="","",IF(ISERROR(VALUE(D497)),D497&amp;"",IF(AND(VALUE(D497)&gt;=1,VALUE(D497)&lt;=20),IF(INDEX(設定!$P$8:$P$27,VALUE(D497))="","？",INDEX(設定!$P$8:$P$27,VALUE(D497))),"？")))</f>
        <v/>
      </c>
      <c r="I497" s="44">
        <f>IF(E497="","",IF(ISERROR(VALUE(E497)),E497&amp;"",IF(AND(VALUE(E497)&gt;=1,VALUE(E497)&lt;=20),IF(INDEX(設定!$P$8:$P$27,VALUE(E497))="","？",INDEX(設定!$P$8:$P$27,VALUE(E497))),"？")))</f>
        <v/>
      </c>
      <c r="J497" s="44">
        <f>IF(F497="","",IF(ISERROR(VALUE(F497)),F497&amp;"",IF(AND(VALUE(F497)&gt;=1,VALUE(F497)&lt;=20),IF(INDEX(設定!$P$8:$P$27,VALUE(F497))="","？",INDEX(設定!$P$8:$P$27,VALUE(F497))),"？")))</f>
        <v/>
      </c>
      <c r="K497" s="45">
        <f>IF(L497="","",IF(G497="","名簿にいない",IF(COUNTIF(L498:L$552,L497)&gt;0,"2回提出（下の行を使います）",IF(OR(H497="？",I497="？",J497="？"),"クラブ番号がちがう",IF(OR(AND(H497&lt;&gt;"",H497&lt;&gt;"？",COUNTIF(設定!$P$8:$P$27,H497)=0),AND(I497&lt;&gt;"",I497&lt;&gt;"？",COUNTIF(設定!$P$8:$P$27,I497)=0),AND(J497&lt;&gt;"",J497&lt;&gt;"？",COUNTIF(設定!$P$8:$P$27,J497)=0)),"クラブ名がちがう",IF(H497="","第1希望がない",IF(OR(AND(H497&lt;&gt;"",H497=I497),AND(H497&lt;&gt;"",H497=J497),AND(I497&lt;&gt;"",I497=J497)),"同じクラブを重複して希望","OK")))))))</f>
        <v/>
      </c>
      <c r="L497" s="8">
        <f>IF(A497="","",A497&amp;"-"&amp;B497&amp;"-"&amp;C497)</f>
        <v/>
      </c>
      <c r="M497" s="8">
        <f>IF(OR(L497="",G497=""),"",IF(COUNTIF(L498:L$552,L497)=0,L497,""))</f>
        <v/>
      </c>
    </row>
    <row r="498">
      <c r="A498" s="40" t="n"/>
      <c r="B498" s="40" t="n"/>
      <c r="C498" s="40" t="n"/>
      <c r="D498" s="40" t="n"/>
      <c r="E498" s="40" t="n"/>
      <c r="F498" s="40" t="n"/>
      <c r="G498" s="3">
        <f>IF(L498="","",IFERROR(INDEX(前年度名簿!$D$2:$D$451,MATCH(L498,前年度名簿!$F$2:$F$451,0)),""))</f>
        <v/>
      </c>
      <c r="H498" s="44">
        <f>IF(D498="","",IF(ISERROR(VALUE(D498)),D498&amp;"",IF(AND(VALUE(D498)&gt;=1,VALUE(D498)&lt;=20),IF(INDEX(設定!$P$8:$P$27,VALUE(D498))="","？",INDEX(設定!$P$8:$P$27,VALUE(D498))),"？")))</f>
        <v/>
      </c>
      <c r="I498" s="44">
        <f>IF(E498="","",IF(ISERROR(VALUE(E498)),E498&amp;"",IF(AND(VALUE(E498)&gt;=1,VALUE(E498)&lt;=20),IF(INDEX(設定!$P$8:$P$27,VALUE(E498))="","？",INDEX(設定!$P$8:$P$27,VALUE(E498))),"？")))</f>
        <v/>
      </c>
      <c r="J498" s="44">
        <f>IF(F498="","",IF(ISERROR(VALUE(F498)),F498&amp;"",IF(AND(VALUE(F498)&gt;=1,VALUE(F498)&lt;=20),IF(INDEX(設定!$P$8:$P$27,VALUE(F498))="","？",INDEX(設定!$P$8:$P$27,VALUE(F498))),"？")))</f>
        <v/>
      </c>
      <c r="K498" s="45">
        <f>IF(L498="","",IF(G498="","名簿にいない",IF(COUNTIF(L499:L$552,L498)&gt;0,"2回提出（下の行を使います）",IF(OR(H498="？",I498="？",J498="？"),"クラブ番号がちがう",IF(OR(AND(H498&lt;&gt;"",H498&lt;&gt;"？",COUNTIF(設定!$P$8:$P$27,H498)=0),AND(I498&lt;&gt;"",I498&lt;&gt;"？",COUNTIF(設定!$P$8:$P$27,I498)=0),AND(J498&lt;&gt;"",J498&lt;&gt;"？",COUNTIF(設定!$P$8:$P$27,J498)=0)),"クラブ名がちがう",IF(H498="","第1希望がない",IF(OR(AND(H498&lt;&gt;"",H498=I498),AND(H498&lt;&gt;"",H498=J498),AND(I498&lt;&gt;"",I498=J498)),"同じクラブを重複して希望","OK")))))))</f>
        <v/>
      </c>
      <c r="L498" s="8">
        <f>IF(A498="","",A498&amp;"-"&amp;B498&amp;"-"&amp;C498)</f>
        <v/>
      </c>
      <c r="M498" s="8">
        <f>IF(OR(L498="",G498=""),"",IF(COUNTIF(L499:L$552,L498)=0,L498,""))</f>
        <v/>
      </c>
    </row>
    <row r="499">
      <c r="A499" s="40" t="n"/>
      <c r="B499" s="40" t="n"/>
      <c r="C499" s="40" t="n"/>
      <c r="D499" s="40" t="n"/>
      <c r="E499" s="40" t="n"/>
      <c r="F499" s="40" t="n"/>
      <c r="G499" s="3">
        <f>IF(L499="","",IFERROR(INDEX(前年度名簿!$D$2:$D$451,MATCH(L499,前年度名簿!$F$2:$F$451,0)),""))</f>
        <v/>
      </c>
      <c r="H499" s="44">
        <f>IF(D499="","",IF(ISERROR(VALUE(D499)),D499&amp;"",IF(AND(VALUE(D499)&gt;=1,VALUE(D499)&lt;=20),IF(INDEX(設定!$P$8:$P$27,VALUE(D499))="","？",INDEX(設定!$P$8:$P$27,VALUE(D499))),"？")))</f>
        <v/>
      </c>
      <c r="I499" s="44">
        <f>IF(E499="","",IF(ISERROR(VALUE(E499)),E499&amp;"",IF(AND(VALUE(E499)&gt;=1,VALUE(E499)&lt;=20),IF(INDEX(設定!$P$8:$P$27,VALUE(E499))="","？",INDEX(設定!$P$8:$P$27,VALUE(E499))),"？")))</f>
        <v/>
      </c>
      <c r="J499" s="44">
        <f>IF(F499="","",IF(ISERROR(VALUE(F499)),F499&amp;"",IF(AND(VALUE(F499)&gt;=1,VALUE(F499)&lt;=20),IF(INDEX(設定!$P$8:$P$27,VALUE(F499))="","？",INDEX(設定!$P$8:$P$27,VALUE(F499))),"？")))</f>
        <v/>
      </c>
      <c r="K499" s="45">
        <f>IF(L499="","",IF(G499="","名簿にいない",IF(COUNTIF(L500:L$552,L499)&gt;0,"2回提出（下の行を使います）",IF(OR(H499="？",I499="？",J499="？"),"クラブ番号がちがう",IF(OR(AND(H499&lt;&gt;"",H499&lt;&gt;"？",COUNTIF(設定!$P$8:$P$27,H499)=0),AND(I499&lt;&gt;"",I499&lt;&gt;"？",COUNTIF(設定!$P$8:$P$27,I499)=0),AND(J499&lt;&gt;"",J499&lt;&gt;"？",COUNTIF(設定!$P$8:$P$27,J499)=0)),"クラブ名がちがう",IF(H499="","第1希望がない",IF(OR(AND(H499&lt;&gt;"",H499=I499),AND(H499&lt;&gt;"",H499=J499),AND(I499&lt;&gt;"",I499=J499)),"同じクラブを重複して希望","OK")))))))</f>
        <v/>
      </c>
      <c r="L499" s="8">
        <f>IF(A499="","",A499&amp;"-"&amp;B499&amp;"-"&amp;C499)</f>
        <v/>
      </c>
      <c r="M499" s="8">
        <f>IF(OR(L499="",G499=""),"",IF(COUNTIF(L500:L$552,L499)=0,L499,""))</f>
        <v/>
      </c>
    </row>
    <row r="500">
      <c r="A500" s="40" t="n"/>
      <c r="B500" s="40" t="n"/>
      <c r="C500" s="40" t="n"/>
      <c r="D500" s="40" t="n"/>
      <c r="E500" s="40" t="n"/>
      <c r="F500" s="40" t="n"/>
      <c r="G500" s="3">
        <f>IF(L500="","",IFERROR(INDEX(前年度名簿!$D$2:$D$451,MATCH(L500,前年度名簿!$F$2:$F$451,0)),""))</f>
        <v/>
      </c>
      <c r="H500" s="44">
        <f>IF(D500="","",IF(ISERROR(VALUE(D500)),D500&amp;"",IF(AND(VALUE(D500)&gt;=1,VALUE(D500)&lt;=20),IF(INDEX(設定!$P$8:$P$27,VALUE(D500))="","？",INDEX(設定!$P$8:$P$27,VALUE(D500))),"？")))</f>
        <v/>
      </c>
      <c r="I500" s="44">
        <f>IF(E500="","",IF(ISERROR(VALUE(E500)),E500&amp;"",IF(AND(VALUE(E500)&gt;=1,VALUE(E500)&lt;=20),IF(INDEX(設定!$P$8:$P$27,VALUE(E500))="","？",INDEX(設定!$P$8:$P$27,VALUE(E500))),"？")))</f>
        <v/>
      </c>
      <c r="J500" s="44">
        <f>IF(F500="","",IF(ISERROR(VALUE(F500)),F500&amp;"",IF(AND(VALUE(F500)&gt;=1,VALUE(F500)&lt;=20),IF(INDEX(設定!$P$8:$P$27,VALUE(F500))="","？",INDEX(設定!$P$8:$P$27,VALUE(F500))),"？")))</f>
        <v/>
      </c>
      <c r="K500" s="45">
        <f>IF(L500="","",IF(G500="","名簿にいない",IF(COUNTIF(L501:L$552,L500)&gt;0,"2回提出（下の行を使います）",IF(OR(H500="？",I500="？",J500="？"),"クラブ番号がちがう",IF(OR(AND(H500&lt;&gt;"",H500&lt;&gt;"？",COUNTIF(設定!$P$8:$P$27,H500)=0),AND(I500&lt;&gt;"",I500&lt;&gt;"？",COUNTIF(設定!$P$8:$P$27,I500)=0),AND(J500&lt;&gt;"",J500&lt;&gt;"？",COUNTIF(設定!$P$8:$P$27,J500)=0)),"クラブ名がちがう",IF(H500="","第1希望がない",IF(OR(AND(H500&lt;&gt;"",H500=I500),AND(H500&lt;&gt;"",H500=J500),AND(I500&lt;&gt;"",I500=J500)),"同じクラブを重複して希望","OK")))))))</f>
        <v/>
      </c>
      <c r="L500" s="8">
        <f>IF(A500="","",A500&amp;"-"&amp;B500&amp;"-"&amp;C500)</f>
        <v/>
      </c>
      <c r="M500" s="8">
        <f>IF(OR(L500="",G500=""),"",IF(COUNTIF(L501:L$552,L500)=0,L500,""))</f>
        <v/>
      </c>
    </row>
    <row r="501">
      <c r="A501" s="40" t="n"/>
      <c r="B501" s="40" t="n"/>
      <c r="C501" s="40" t="n"/>
      <c r="D501" s="40" t="n"/>
      <c r="E501" s="40" t="n"/>
      <c r="F501" s="40" t="n"/>
      <c r="G501" s="3">
        <f>IF(L501="","",IFERROR(INDEX(前年度名簿!$D$2:$D$451,MATCH(L501,前年度名簿!$F$2:$F$451,0)),""))</f>
        <v/>
      </c>
      <c r="H501" s="44">
        <f>IF(D501="","",IF(ISERROR(VALUE(D501)),D501&amp;"",IF(AND(VALUE(D501)&gt;=1,VALUE(D501)&lt;=20),IF(INDEX(設定!$P$8:$P$27,VALUE(D501))="","？",INDEX(設定!$P$8:$P$27,VALUE(D501))),"？")))</f>
        <v/>
      </c>
      <c r="I501" s="44">
        <f>IF(E501="","",IF(ISERROR(VALUE(E501)),E501&amp;"",IF(AND(VALUE(E501)&gt;=1,VALUE(E501)&lt;=20),IF(INDEX(設定!$P$8:$P$27,VALUE(E501))="","？",INDEX(設定!$P$8:$P$27,VALUE(E501))),"？")))</f>
        <v/>
      </c>
      <c r="J501" s="44">
        <f>IF(F501="","",IF(ISERROR(VALUE(F501)),F501&amp;"",IF(AND(VALUE(F501)&gt;=1,VALUE(F501)&lt;=20),IF(INDEX(設定!$P$8:$P$27,VALUE(F501))="","？",INDEX(設定!$P$8:$P$27,VALUE(F501))),"？")))</f>
        <v/>
      </c>
      <c r="K501" s="45">
        <f>IF(L501="","",IF(G501="","名簿にいない",IF(COUNTIF(L502:L$552,L501)&gt;0,"2回提出（下の行を使います）",IF(OR(H501="？",I501="？",J501="？"),"クラブ番号がちがう",IF(OR(AND(H501&lt;&gt;"",H501&lt;&gt;"？",COUNTIF(設定!$P$8:$P$27,H501)=0),AND(I501&lt;&gt;"",I501&lt;&gt;"？",COUNTIF(設定!$P$8:$P$27,I501)=0),AND(J501&lt;&gt;"",J501&lt;&gt;"？",COUNTIF(設定!$P$8:$P$27,J501)=0)),"クラブ名がちがう",IF(H501="","第1希望がない",IF(OR(AND(H501&lt;&gt;"",H501=I501),AND(H501&lt;&gt;"",H501=J501),AND(I501&lt;&gt;"",I501=J501)),"同じクラブを重複して希望","OK")))))))</f>
        <v/>
      </c>
      <c r="L501" s="8">
        <f>IF(A501="","",A501&amp;"-"&amp;B501&amp;"-"&amp;C501)</f>
        <v/>
      </c>
      <c r="M501" s="8">
        <f>IF(OR(L501="",G501=""),"",IF(COUNTIF(L502:L$552,L501)=0,L501,""))</f>
        <v/>
      </c>
    </row>
    <row r="502">
      <c r="A502" s="40" t="n"/>
      <c r="B502" s="40" t="n"/>
      <c r="C502" s="40" t="n"/>
      <c r="D502" s="40" t="n"/>
      <c r="E502" s="40" t="n"/>
      <c r="F502" s="40" t="n"/>
      <c r="G502" s="3">
        <f>IF(L502="","",IFERROR(INDEX(前年度名簿!$D$2:$D$451,MATCH(L502,前年度名簿!$F$2:$F$451,0)),""))</f>
        <v/>
      </c>
      <c r="H502" s="44">
        <f>IF(D502="","",IF(ISERROR(VALUE(D502)),D502&amp;"",IF(AND(VALUE(D502)&gt;=1,VALUE(D502)&lt;=20),IF(INDEX(設定!$P$8:$P$27,VALUE(D502))="","？",INDEX(設定!$P$8:$P$27,VALUE(D502))),"？")))</f>
        <v/>
      </c>
      <c r="I502" s="44">
        <f>IF(E502="","",IF(ISERROR(VALUE(E502)),E502&amp;"",IF(AND(VALUE(E502)&gt;=1,VALUE(E502)&lt;=20),IF(INDEX(設定!$P$8:$P$27,VALUE(E502))="","？",INDEX(設定!$P$8:$P$27,VALUE(E502))),"？")))</f>
        <v/>
      </c>
      <c r="J502" s="44">
        <f>IF(F502="","",IF(ISERROR(VALUE(F502)),F502&amp;"",IF(AND(VALUE(F502)&gt;=1,VALUE(F502)&lt;=20),IF(INDEX(設定!$P$8:$P$27,VALUE(F502))="","？",INDEX(設定!$P$8:$P$27,VALUE(F502))),"？")))</f>
        <v/>
      </c>
      <c r="K502" s="45">
        <f>IF(L502="","",IF(G502="","名簿にいない",IF(COUNTIF(L503:L$552,L502)&gt;0,"2回提出（下の行を使います）",IF(OR(H502="？",I502="？",J502="？"),"クラブ番号がちがう",IF(OR(AND(H502&lt;&gt;"",H502&lt;&gt;"？",COUNTIF(設定!$P$8:$P$27,H502)=0),AND(I502&lt;&gt;"",I502&lt;&gt;"？",COUNTIF(設定!$P$8:$P$27,I502)=0),AND(J502&lt;&gt;"",J502&lt;&gt;"？",COUNTIF(設定!$P$8:$P$27,J502)=0)),"クラブ名がちがう",IF(H502="","第1希望がない",IF(OR(AND(H502&lt;&gt;"",H502=I502),AND(H502&lt;&gt;"",H502=J502),AND(I502&lt;&gt;"",I502=J502)),"同じクラブを重複して希望","OK")))))))</f>
        <v/>
      </c>
      <c r="L502" s="8">
        <f>IF(A502="","",A502&amp;"-"&amp;B502&amp;"-"&amp;C502)</f>
        <v/>
      </c>
      <c r="M502" s="8">
        <f>IF(OR(L502="",G502=""),"",IF(COUNTIF(L503:L$552,L502)=0,L502,""))</f>
        <v/>
      </c>
    </row>
    <row r="503">
      <c r="A503" s="40" t="n"/>
      <c r="B503" s="40" t="n"/>
      <c r="C503" s="40" t="n"/>
      <c r="D503" s="40" t="n"/>
      <c r="E503" s="40" t="n"/>
      <c r="F503" s="40" t="n"/>
      <c r="G503" s="3">
        <f>IF(L503="","",IFERROR(INDEX(前年度名簿!$D$2:$D$451,MATCH(L503,前年度名簿!$F$2:$F$451,0)),""))</f>
        <v/>
      </c>
      <c r="H503" s="44">
        <f>IF(D503="","",IF(ISERROR(VALUE(D503)),D503&amp;"",IF(AND(VALUE(D503)&gt;=1,VALUE(D503)&lt;=20),IF(INDEX(設定!$P$8:$P$27,VALUE(D503))="","？",INDEX(設定!$P$8:$P$27,VALUE(D503))),"？")))</f>
        <v/>
      </c>
      <c r="I503" s="44">
        <f>IF(E503="","",IF(ISERROR(VALUE(E503)),E503&amp;"",IF(AND(VALUE(E503)&gt;=1,VALUE(E503)&lt;=20),IF(INDEX(設定!$P$8:$P$27,VALUE(E503))="","？",INDEX(設定!$P$8:$P$27,VALUE(E503))),"？")))</f>
        <v/>
      </c>
      <c r="J503" s="44">
        <f>IF(F503="","",IF(ISERROR(VALUE(F503)),F503&amp;"",IF(AND(VALUE(F503)&gt;=1,VALUE(F503)&lt;=20),IF(INDEX(設定!$P$8:$P$27,VALUE(F503))="","？",INDEX(設定!$P$8:$P$27,VALUE(F503))),"？")))</f>
        <v/>
      </c>
      <c r="K503" s="45">
        <f>IF(L503="","",IF(G503="","名簿にいない",IF(COUNTIF(L504:L$552,L503)&gt;0,"2回提出（下の行を使います）",IF(OR(H503="？",I503="？",J503="？"),"クラブ番号がちがう",IF(OR(AND(H503&lt;&gt;"",H503&lt;&gt;"？",COUNTIF(設定!$P$8:$P$27,H503)=0),AND(I503&lt;&gt;"",I503&lt;&gt;"？",COUNTIF(設定!$P$8:$P$27,I503)=0),AND(J503&lt;&gt;"",J503&lt;&gt;"？",COUNTIF(設定!$P$8:$P$27,J503)=0)),"クラブ名がちがう",IF(H503="","第1希望がない",IF(OR(AND(H503&lt;&gt;"",H503=I503),AND(H503&lt;&gt;"",H503=J503),AND(I503&lt;&gt;"",I503=J503)),"同じクラブを重複して希望","OK")))))))</f>
        <v/>
      </c>
      <c r="L503" s="8">
        <f>IF(A503="","",A503&amp;"-"&amp;B503&amp;"-"&amp;C503)</f>
        <v/>
      </c>
      <c r="M503" s="8">
        <f>IF(OR(L503="",G503=""),"",IF(COUNTIF(L504:L$552,L503)=0,L503,""))</f>
        <v/>
      </c>
    </row>
    <row r="504">
      <c r="A504" s="40" t="n"/>
      <c r="B504" s="40" t="n"/>
      <c r="C504" s="40" t="n"/>
      <c r="D504" s="40" t="n"/>
      <c r="E504" s="40" t="n"/>
      <c r="F504" s="40" t="n"/>
      <c r="G504" s="3">
        <f>IF(L504="","",IFERROR(INDEX(前年度名簿!$D$2:$D$451,MATCH(L504,前年度名簿!$F$2:$F$451,0)),""))</f>
        <v/>
      </c>
      <c r="H504" s="44">
        <f>IF(D504="","",IF(ISERROR(VALUE(D504)),D504&amp;"",IF(AND(VALUE(D504)&gt;=1,VALUE(D504)&lt;=20),IF(INDEX(設定!$P$8:$P$27,VALUE(D504))="","？",INDEX(設定!$P$8:$P$27,VALUE(D504))),"？")))</f>
        <v/>
      </c>
      <c r="I504" s="44">
        <f>IF(E504="","",IF(ISERROR(VALUE(E504)),E504&amp;"",IF(AND(VALUE(E504)&gt;=1,VALUE(E504)&lt;=20),IF(INDEX(設定!$P$8:$P$27,VALUE(E504))="","？",INDEX(設定!$P$8:$P$27,VALUE(E504))),"？")))</f>
        <v/>
      </c>
      <c r="J504" s="44">
        <f>IF(F504="","",IF(ISERROR(VALUE(F504)),F504&amp;"",IF(AND(VALUE(F504)&gt;=1,VALUE(F504)&lt;=20),IF(INDEX(設定!$P$8:$P$27,VALUE(F504))="","？",INDEX(設定!$P$8:$P$27,VALUE(F504))),"？")))</f>
        <v/>
      </c>
      <c r="K504" s="45">
        <f>IF(L504="","",IF(G504="","名簿にいない",IF(COUNTIF(L505:L$552,L504)&gt;0,"2回提出（下の行を使います）",IF(OR(H504="？",I504="？",J504="？"),"クラブ番号がちがう",IF(OR(AND(H504&lt;&gt;"",H504&lt;&gt;"？",COUNTIF(設定!$P$8:$P$27,H504)=0),AND(I504&lt;&gt;"",I504&lt;&gt;"？",COUNTIF(設定!$P$8:$P$27,I504)=0),AND(J504&lt;&gt;"",J504&lt;&gt;"？",COUNTIF(設定!$P$8:$P$27,J504)=0)),"クラブ名がちがう",IF(H504="","第1希望がない",IF(OR(AND(H504&lt;&gt;"",H504=I504),AND(H504&lt;&gt;"",H504=J504),AND(I504&lt;&gt;"",I504=J504)),"同じクラブを重複して希望","OK")))))))</f>
        <v/>
      </c>
      <c r="L504" s="8">
        <f>IF(A504="","",A504&amp;"-"&amp;B504&amp;"-"&amp;C504)</f>
        <v/>
      </c>
      <c r="M504" s="8">
        <f>IF(OR(L504="",G504=""),"",IF(COUNTIF(L505:L$552,L504)=0,L504,""))</f>
        <v/>
      </c>
    </row>
    <row r="505">
      <c r="A505" s="40" t="n"/>
      <c r="B505" s="40" t="n"/>
      <c r="C505" s="40" t="n"/>
      <c r="D505" s="40" t="n"/>
      <c r="E505" s="40" t="n"/>
      <c r="F505" s="40" t="n"/>
      <c r="G505" s="3">
        <f>IF(L505="","",IFERROR(INDEX(前年度名簿!$D$2:$D$451,MATCH(L505,前年度名簿!$F$2:$F$451,0)),""))</f>
        <v/>
      </c>
      <c r="H505" s="44">
        <f>IF(D505="","",IF(ISERROR(VALUE(D505)),D505&amp;"",IF(AND(VALUE(D505)&gt;=1,VALUE(D505)&lt;=20),IF(INDEX(設定!$P$8:$P$27,VALUE(D505))="","？",INDEX(設定!$P$8:$P$27,VALUE(D505))),"？")))</f>
        <v/>
      </c>
      <c r="I505" s="44">
        <f>IF(E505="","",IF(ISERROR(VALUE(E505)),E505&amp;"",IF(AND(VALUE(E505)&gt;=1,VALUE(E505)&lt;=20),IF(INDEX(設定!$P$8:$P$27,VALUE(E505))="","？",INDEX(設定!$P$8:$P$27,VALUE(E505))),"？")))</f>
        <v/>
      </c>
      <c r="J505" s="44">
        <f>IF(F505="","",IF(ISERROR(VALUE(F505)),F505&amp;"",IF(AND(VALUE(F505)&gt;=1,VALUE(F505)&lt;=20),IF(INDEX(設定!$P$8:$P$27,VALUE(F505))="","？",INDEX(設定!$P$8:$P$27,VALUE(F505))),"？")))</f>
        <v/>
      </c>
      <c r="K505" s="45">
        <f>IF(L505="","",IF(G505="","名簿にいない",IF(COUNTIF(L506:L$552,L505)&gt;0,"2回提出（下の行を使います）",IF(OR(H505="？",I505="？",J505="？"),"クラブ番号がちがう",IF(OR(AND(H505&lt;&gt;"",H505&lt;&gt;"？",COUNTIF(設定!$P$8:$P$27,H505)=0),AND(I505&lt;&gt;"",I505&lt;&gt;"？",COUNTIF(設定!$P$8:$P$27,I505)=0),AND(J505&lt;&gt;"",J505&lt;&gt;"？",COUNTIF(設定!$P$8:$P$27,J505)=0)),"クラブ名がちがう",IF(H505="","第1希望がない",IF(OR(AND(H505&lt;&gt;"",H505=I505),AND(H505&lt;&gt;"",H505=J505),AND(I505&lt;&gt;"",I505=J505)),"同じクラブを重複して希望","OK")))))))</f>
        <v/>
      </c>
      <c r="L505" s="8">
        <f>IF(A505="","",A505&amp;"-"&amp;B505&amp;"-"&amp;C505)</f>
        <v/>
      </c>
      <c r="M505" s="8">
        <f>IF(OR(L505="",G505=""),"",IF(COUNTIF(L506:L$552,L505)=0,L505,""))</f>
        <v/>
      </c>
    </row>
    <row r="506">
      <c r="A506" s="40" t="n"/>
      <c r="B506" s="40" t="n"/>
      <c r="C506" s="40" t="n"/>
      <c r="D506" s="40" t="n"/>
      <c r="E506" s="40" t="n"/>
      <c r="F506" s="40" t="n"/>
      <c r="G506" s="3">
        <f>IF(L506="","",IFERROR(INDEX(前年度名簿!$D$2:$D$451,MATCH(L506,前年度名簿!$F$2:$F$451,0)),""))</f>
        <v/>
      </c>
      <c r="H506" s="44">
        <f>IF(D506="","",IF(ISERROR(VALUE(D506)),D506&amp;"",IF(AND(VALUE(D506)&gt;=1,VALUE(D506)&lt;=20),IF(INDEX(設定!$P$8:$P$27,VALUE(D506))="","？",INDEX(設定!$P$8:$P$27,VALUE(D506))),"？")))</f>
        <v/>
      </c>
      <c r="I506" s="44">
        <f>IF(E506="","",IF(ISERROR(VALUE(E506)),E506&amp;"",IF(AND(VALUE(E506)&gt;=1,VALUE(E506)&lt;=20),IF(INDEX(設定!$P$8:$P$27,VALUE(E506))="","？",INDEX(設定!$P$8:$P$27,VALUE(E506))),"？")))</f>
        <v/>
      </c>
      <c r="J506" s="44">
        <f>IF(F506="","",IF(ISERROR(VALUE(F506)),F506&amp;"",IF(AND(VALUE(F506)&gt;=1,VALUE(F506)&lt;=20),IF(INDEX(設定!$P$8:$P$27,VALUE(F506))="","？",INDEX(設定!$P$8:$P$27,VALUE(F506))),"？")))</f>
        <v/>
      </c>
      <c r="K506" s="45">
        <f>IF(L506="","",IF(G506="","名簿にいない",IF(COUNTIF(L507:L$552,L506)&gt;0,"2回提出（下の行を使います）",IF(OR(H506="？",I506="？",J506="？"),"クラブ番号がちがう",IF(OR(AND(H506&lt;&gt;"",H506&lt;&gt;"？",COUNTIF(設定!$P$8:$P$27,H506)=0),AND(I506&lt;&gt;"",I506&lt;&gt;"？",COUNTIF(設定!$P$8:$P$27,I506)=0),AND(J506&lt;&gt;"",J506&lt;&gt;"？",COUNTIF(設定!$P$8:$P$27,J506)=0)),"クラブ名がちがう",IF(H506="","第1希望がない",IF(OR(AND(H506&lt;&gt;"",H506=I506),AND(H506&lt;&gt;"",H506=J506),AND(I506&lt;&gt;"",I506=J506)),"同じクラブを重複して希望","OK")))))))</f>
        <v/>
      </c>
      <c r="L506" s="8">
        <f>IF(A506="","",A506&amp;"-"&amp;B506&amp;"-"&amp;C506)</f>
        <v/>
      </c>
      <c r="M506" s="8">
        <f>IF(OR(L506="",G506=""),"",IF(COUNTIF(L507:L$552,L506)=0,L506,""))</f>
        <v/>
      </c>
    </row>
    <row r="507">
      <c r="A507" s="40" t="n"/>
      <c r="B507" s="40" t="n"/>
      <c r="C507" s="40" t="n"/>
      <c r="D507" s="40" t="n"/>
      <c r="E507" s="40" t="n"/>
      <c r="F507" s="40" t="n"/>
      <c r="G507" s="3">
        <f>IF(L507="","",IFERROR(INDEX(前年度名簿!$D$2:$D$451,MATCH(L507,前年度名簿!$F$2:$F$451,0)),""))</f>
        <v/>
      </c>
      <c r="H507" s="44">
        <f>IF(D507="","",IF(ISERROR(VALUE(D507)),D507&amp;"",IF(AND(VALUE(D507)&gt;=1,VALUE(D507)&lt;=20),IF(INDEX(設定!$P$8:$P$27,VALUE(D507))="","？",INDEX(設定!$P$8:$P$27,VALUE(D507))),"？")))</f>
        <v/>
      </c>
      <c r="I507" s="44">
        <f>IF(E507="","",IF(ISERROR(VALUE(E507)),E507&amp;"",IF(AND(VALUE(E507)&gt;=1,VALUE(E507)&lt;=20),IF(INDEX(設定!$P$8:$P$27,VALUE(E507))="","？",INDEX(設定!$P$8:$P$27,VALUE(E507))),"？")))</f>
        <v/>
      </c>
      <c r="J507" s="44">
        <f>IF(F507="","",IF(ISERROR(VALUE(F507)),F507&amp;"",IF(AND(VALUE(F507)&gt;=1,VALUE(F507)&lt;=20),IF(INDEX(設定!$P$8:$P$27,VALUE(F507))="","？",INDEX(設定!$P$8:$P$27,VALUE(F507))),"？")))</f>
        <v/>
      </c>
      <c r="K507" s="45">
        <f>IF(L507="","",IF(G507="","名簿にいない",IF(COUNTIF(L508:L$552,L507)&gt;0,"2回提出（下の行を使います）",IF(OR(H507="？",I507="？",J507="？"),"クラブ番号がちがう",IF(OR(AND(H507&lt;&gt;"",H507&lt;&gt;"？",COUNTIF(設定!$P$8:$P$27,H507)=0),AND(I507&lt;&gt;"",I507&lt;&gt;"？",COUNTIF(設定!$P$8:$P$27,I507)=0),AND(J507&lt;&gt;"",J507&lt;&gt;"？",COUNTIF(設定!$P$8:$P$27,J507)=0)),"クラブ名がちがう",IF(H507="","第1希望がない",IF(OR(AND(H507&lt;&gt;"",H507=I507),AND(H507&lt;&gt;"",H507=J507),AND(I507&lt;&gt;"",I507=J507)),"同じクラブを重複して希望","OK")))))))</f>
        <v/>
      </c>
      <c r="L507" s="8">
        <f>IF(A507="","",A507&amp;"-"&amp;B507&amp;"-"&amp;C507)</f>
        <v/>
      </c>
      <c r="M507" s="8">
        <f>IF(OR(L507="",G507=""),"",IF(COUNTIF(L508:L$552,L507)=0,L507,""))</f>
        <v/>
      </c>
    </row>
    <row r="508">
      <c r="A508" s="40" t="n"/>
      <c r="B508" s="40" t="n"/>
      <c r="C508" s="40" t="n"/>
      <c r="D508" s="40" t="n"/>
      <c r="E508" s="40" t="n"/>
      <c r="F508" s="40" t="n"/>
      <c r="G508" s="3">
        <f>IF(L508="","",IFERROR(INDEX(前年度名簿!$D$2:$D$451,MATCH(L508,前年度名簿!$F$2:$F$451,0)),""))</f>
        <v/>
      </c>
      <c r="H508" s="44">
        <f>IF(D508="","",IF(ISERROR(VALUE(D508)),D508&amp;"",IF(AND(VALUE(D508)&gt;=1,VALUE(D508)&lt;=20),IF(INDEX(設定!$P$8:$P$27,VALUE(D508))="","？",INDEX(設定!$P$8:$P$27,VALUE(D508))),"？")))</f>
        <v/>
      </c>
      <c r="I508" s="44">
        <f>IF(E508="","",IF(ISERROR(VALUE(E508)),E508&amp;"",IF(AND(VALUE(E508)&gt;=1,VALUE(E508)&lt;=20),IF(INDEX(設定!$P$8:$P$27,VALUE(E508))="","？",INDEX(設定!$P$8:$P$27,VALUE(E508))),"？")))</f>
        <v/>
      </c>
      <c r="J508" s="44">
        <f>IF(F508="","",IF(ISERROR(VALUE(F508)),F508&amp;"",IF(AND(VALUE(F508)&gt;=1,VALUE(F508)&lt;=20),IF(INDEX(設定!$P$8:$P$27,VALUE(F508))="","？",INDEX(設定!$P$8:$P$27,VALUE(F508))),"？")))</f>
        <v/>
      </c>
      <c r="K508" s="45">
        <f>IF(L508="","",IF(G508="","名簿にいない",IF(COUNTIF(L509:L$552,L508)&gt;0,"2回提出（下の行を使います）",IF(OR(H508="？",I508="？",J508="？"),"クラブ番号がちがう",IF(OR(AND(H508&lt;&gt;"",H508&lt;&gt;"？",COUNTIF(設定!$P$8:$P$27,H508)=0),AND(I508&lt;&gt;"",I508&lt;&gt;"？",COUNTIF(設定!$P$8:$P$27,I508)=0),AND(J508&lt;&gt;"",J508&lt;&gt;"？",COUNTIF(設定!$P$8:$P$27,J508)=0)),"クラブ名がちがう",IF(H508="","第1希望がない",IF(OR(AND(H508&lt;&gt;"",H508=I508),AND(H508&lt;&gt;"",H508=J508),AND(I508&lt;&gt;"",I508=J508)),"同じクラブを重複して希望","OK")))))))</f>
        <v/>
      </c>
      <c r="L508" s="8">
        <f>IF(A508="","",A508&amp;"-"&amp;B508&amp;"-"&amp;C508)</f>
        <v/>
      </c>
      <c r="M508" s="8">
        <f>IF(OR(L508="",G508=""),"",IF(COUNTIF(L509:L$552,L508)=0,L508,""))</f>
        <v/>
      </c>
    </row>
    <row r="509">
      <c r="A509" s="40" t="n"/>
      <c r="B509" s="40" t="n"/>
      <c r="C509" s="40" t="n"/>
      <c r="D509" s="40" t="n"/>
      <c r="E509" s="40" t="n"/>
      <c r="F509" s="40" t="n"/>
      <c r="G509" s="3">
        <f>IF(L509="","",IFERROR(INDEX(前年度名簿!$D$2:$D$451,MATCH(L509,前年度名簿!$F$2:$F$451,0)),""))</f>
        <v/>
      </c>
      <c r="H509" s="44">
        <f>IF(D509="","",IF(ISERROR(VALUE(D509)),D509&amp;"",IF(AND(VALUE(D509)&gt;=1,VALUE(D509)&lt;=20),IF(INDEX(設定!$P$8:$P$27,VALUE(D509))="","？",INDEX(設定!$P$8:$P$27,VALUE(D509))),"？")))</f>
        <v/>
      </c>
      <c r="I509" s="44">
        <f>IF(E509="","",IF(ISERROR(VALUE(E509)),E509&amp;"",IF(AND(VALUE(E509)&gt;=1,VALUE(E509)&lt;=20),IF(INDEX(設定!$P$8:$P$27,VALUE(E509))="","？",INDEX(設定!$P$8:$P$27,VALUE(E509))),"？")))</f>
        <v/>
      </c>
      <c r="J509" s="44">
        <f>IF(F509="","",IF(ISERROR(VALUE(F509)),F509&amp;"",IF(AND(VALUE(F509)&gt;=1,VALUE(F509)&lt;=20),IF(INDEX(設定!$P$8:$P$27,VALUE(F509))="","？",INDEX(設定!$P$8:$P$27,VALUE(F509))),"？")))</f>
        <v/>
      </c>
      <c r="K509" s="45">
        <f>IF(L509="","",IF(G509="","名簿にいない",IF(COUNTIF(L510:L$552,L509)&gt;0,"2回提出（下の行を使います）",IF(OR(H509="？",I509="？",J509="？"),"クラブ番号がちがう",IF(OR(AND(H509&lt;&gt;"",H509&lt;&gt;"？",COUNTIF(設定!$P$8:$P$27,H509)=0),AND(I509&lt;&gt;"",I509&lt;&gt;"？",COUNTIF(設定!$P$8:$P$27,I509)=0),AND(J509&lt;&gt;"",J509&lt;&gt;"？",COUNTIF(設定!$P$8:$P$27,J509)=0)),"クラブ名がちがう",IF(H509="","第1希望がない",IF(OR(AND(H509&lt;&gt;"",H509=I509),AND(H509&lt;&gt;"",H509=J509),AND(I509&lt;&gt;"",I509=J509)),"同じクラブを重複して希望","OK")))))))</f>
        <v/>
      </c>
      <c r="L509" s="8">
        <f>IF(A509="","",A509&amp;"-"&amp;B509&amp;"-"&amp;C509)</f>
        <v/>
      </c>
      <c r="M509" s="8">
        <f>IF(OR(L509="",G509=""),"",IF(COUNTIF(L510:L$552,L509)=0,L509,""))</f>
        <v/>
      </c>
    </row>
    <row r="510">
      <c r="A510" s="40" t="n"/>
      <c r="B510" s="40" t="n"/>
      <c r="C510" s="40" t="n"/>
      <c r="D510" s="40" t="n"/>
      <c r="E510" s="40" t="n"/>
      <c r="F510" s="40" t="n"/>
      <c r="G510" s="3">
        <f>IF(L510="","",IFERROR(INDEX(前年度名簿!$D$2:$D$451,MATCH(L510,前年度名簿!$F$2:$F$451,0)),""))</f>
        <v/>
      </c>
      <c r="H510" s="44">
        <f>IF(D510="","",IF(ISERROR(VALUE(D510)),D510&amp;"",IF(AND(VALUE(D510)&gt;=1,VALUE(D510)&lt;=20),IF(INDEX(設定!$P$8:$P$27,VALUE(D510))="","？",INDEX(設定!$P$8:$P$27,VALUE(D510))),"？")))</f>
        <v/>
      </c>
      <c r="I510" s="44">
        <f>IF(E510="","",IF(ISERROR(VALUE(E510)),E510&amp;"",IF(AND(VALUE(E510)&gt;=1,VALUE(E510)&lt;=20),IF(INDEX(設定!$P$8:$P$27,VALUE(E510))="","？",INDEX(設定!$P$8:$P$27,VALUE(E510))),"？")))</f>
        <v/>
      </c>
      <c r="J510" s="44">
        <f>IF(F510="","",IF(ISERROR(VALUE(F510)),F510&amp;"",IF(AND(VALUE(F510)&gt;=1,VALUE(F510)&lt;=20),IF(INDEX(設定!$P$8:$P$27,VALUE(F510))="","？",INDEX(設定!$P$8:$P$27,VALUE(F510))),"？")))</f>
        <v/>
      </c>
      <c r="K510" s="45">
        <f>IF(L510="","",IF(G510="","名簿にいない",IF(COUNTIF(L511:L$552,L510)&gt;0,"2回提出（下の行を使います）",IF(OR(H510="？",I510="？",J510="？"),"クラブ番号がちがう",IF(OR(AND(H510&lt;&gt;"",H510&lt;&gt;"？",COUNTIF(設定!$P$8:$P$27,H510)=0),AND(I510&lt;&gt;"",I510&lt;&gt;"？",COUNTIF(設定!$P$8:$P$27,I510)=0),AND(J510&lt;&gt;"",J510&lt;&gt;"？",COUNTIF(設定!$P$8:$P$27,J510)=0)),"クラブ名がちがう",IF(H510="","第1希望がない",IF(OR(AND(H510&lt;&gt;"",H510=I510),AND(H510&lt;&gt;"",H510=J510),AND(I510&lt;&gt;"",I510=J510)),"同じクラブを重複して希望","OK")))))))</f>
        <v/>
      </c>
      <c r="L510" s="8">
        <f>IF(A510="","",A510&amp;"-"&amp;B510&amp;"-"&amp;C510)</f>
        <v/>
      </c>
      <c r="M510" s="8">
        <f>IF(OR(L510="",G510=""),"",IF(COUNTIF(L511:L$552,L510)=0,L510,""))</f>
        <v/>
      </c>
    </row>
    <row r="511">
      <c r="A511" s="40" t="n"/>
      <c r="B511" s="40" t="n"/>
      <c r="C511" s="40" t="n"/>
      <c r="D511" s="40" t="n"/>
      <c r="E511" s="40" t="n"/>
      <c r="F511" s="40" t="n"/>
      <c r="G511" s="3">
        <f>IF(L511="","",IFERROR(INDEX(前年度名簿!$D$2:$D$451,MATCH(L511,前年度名簿!$F$2:$F$451,0)),""))</f>
        <v/>
      </c>
      <c r="H511" s="44">
        <f>IF(D511="","",IF(ISERROR(VALUE(D511)),D511&amp;"",IF(AND(VALUE(D511)&gt;=1,VALUE(D511)&lt;=20),IF(INDEX(設定!$P$8:$P$27,VALUE(D511))="","？",INDEX(設定!$P$8:$P$27,VALUE(D511))),"？")))</f>
        <v/>
      </c>
      <c r="I511" s="44">
        <f>IF(E511="","",IF(ISERROR(VALUE(E511)),E511&amp;"",IF(AND(VALUE(E511)&gt;=1,VALUE(E511)&lt;=20),IF(INDEX(設定!$P$8:$P$27,VALUE(E511))="","？",INDEX(設定!$P$8:$P$27,VALUE(E511))),"？")))</f>
        <v/>
      </c>
      <c r="J511" s="44">
        <f>IF(F511="","",IF(ISERROR(VALUE(F511)),F511&amp;"",IF(AND(VALUE(F511)&gt;=1,VALUE(F511)&lt;=20),IF(INDEX(設定!$P$8:$P$27,VALUE(F511))="","？",INDEX(設定!$P$8:$P$27,VALUE(F511))),"？")))</f>
        <v/>
      </c>
      <c r="K511" s="45">
        <f>IF(L511="","",IF(G511="","名簿にいない",IF(COUNTIF(L512:L$552,L511)&gt;0,"2回提出（下の行を使います）",IF(OR(H511="？",I511="？",J511="？"),"クラブ番号がちがう",IF(OR(AND(H511&lt;&gt;"",H511&lt;&gt;"？",COUNTIF(設定!$P$8:$P$27,H511)=0),AND(I511&lt;&gt;"",I511&lt;&gt;"？",COUNTIF(設定!$P$8:$P$27,I511)=0),AND(J511&lt;&gt;"",J511&lt;&gt;"？",COUNTIF(設定!$P$8:$P$27,J511)=0)),"クラブ名がちがう",IF(H511="","第1希望がない",IF(OR(AND(H511&lt;&gt;"",H511=I511),AND(H511&lt;&gt;"",H511=J511),AND(I511&lt;&gt;"",I511=J511)),"同じクラブを重複して希望","OK")))))))</f>
        <v/>
      </c>
      <c r="L511" s="8">
        <f>IF(A511="","",A511&amp;"-"&amp;B511&amp;"-"&amp;C511)</f>
        <v/>
      </c>
      <c r="M511" s="8">
        <f>IF(OR(L511="",G511=""),"",IF(COUNTIF(L512:L$552,L511)=0,L511,""))</f>
        <v/>
      </c>
    </row>
    <row r="512">
      <c r="A512" s="40" t="n"/>
      <c r="B512" s="40" t="n"/>
      <c r="C512" s="40" t="n"/>
      <c r="D512" s="40" t="n"/>
      <c r="E512" s="40" t="n"/>
      <c r="F512" s="40" t="n"/>
      <c r="G512" s="3">
        <f>IF(L512="","",IFERROR(INDEX(前年度名簿!$D$2:$D$451,MATCH(L512,前年度名簿!$F$2:$F$451,0)),""))</f>
        <v/>
      </c>
      <c r="H512" s="44">
        <f>IF(D512="","",IF(ISERROR(VALUE(D512)),D512&amp;"",IF(AND(VALUE(D512)&gt;=1,VALUE(D512)&lt;=20),IF(INDEX(設定!$P$8:$P$27,VALUE(D512))="","？",INDEX(設定!$P$8:$P$27,VALUE(D512))),"？")))</f>
        <v/>
      </c>
      <c r="I512" s="44">
        <f>IF(E512="","",IF(ISERROR(VALUE(E512)),E512&amp;"",IF(AND(VALUE(E512)&gt;=1,VALUE(E512)&lt;=20),IF(INDEX(設定!$P$8:$P$27,VALUE(E512))="","？",INDEX(設定!$P$8:$P$27,VALUE(E512))),"？")))</f>
        <v/>
      </c>
      <c r="J512" s="44">
        <f>IF(F512="","",IF(ISERROR(VALUE(F512)),F512&amp;"",IF(AND(VALUE(F512)&gt;=1,VALUE(F512)&lt;=20),IF(INDEX(設定!$P$8:$P$27,VALUE(F512))="","？",INDEX(設定!$P$8:$P$27,VALUE(F512))),"？")))</f>
        <v/>
      </c>
      <c r="K512" s="45">
        <f>IF(L512="","",IF(G512="","名簿にいない",IF(COUNTIF(L513:L$552,L512)&gt;0,"2回提出（下の行を使います）",IF(OR(H512="？",I512="？",J512="？"),"クラブ番号がちがう",IF(OR(AND(H512&lt;&gt;"",H512&lt;&gt;"？",COUNTIF(設定!$P$8:$P$27,H512)=0),AND(I512&lt;&gt;"",I512&lt;&gt;"？",COUNTIF(設定!$P$8:$P$27,I512)=0),AND(J512&lt;&gt;"",J512&lt;&gt;"？",COUNTIF(設定!$P$8:$P$27,J512)=0)),"クラブ名がちがう",IF(H512="","第1希望がない",IF(OR(AND(H512&lt;&gt;"",H512=I512),AND(H512&lt;&gt;"",H512=J512),AND(I512&lt;&gt;"",I512=J512)),"同じクラブを重複して希望","OK")))))))</f>
        <v/>
      </c>
      <c r="L512" s="8">
        <f>IF(A512="","",A512&amp;"-"&amp;B512&amp;"-"&amp;C512)</f>
        <v/>
      </c>
      <c r="M512" s="8">
        <f>IF(OR(L512="",G512=""),"",IF(COUNTIF(L513:L$552,L512)=0,L512,""))</f>
        <v/>
      </c>
    </row>
    <row r="513">
      <c r="A513" s="40" t="n"/>
      <c r="B513" s="40" t="n"/>
      <c r="C513" s="40" t="n"/>
      <c r="D513" s="40" t="n"/>
      <c r="E513" s="40" t="n"/>
      <c r="F513" s="40" t="n"/>
      <c r="G513" s="3">
        <f>IF(L513="","",IFERROR(INDEX(前年度名簿!$D$2:$D$451,MATCH(L513,前年度名簿!$F$2:$F$451,0)),""))</f>
        <v/>
      </c>
      <c r="H513" s="44">
        <f>IF(D513="","",IF(ISERROR(VALUE(D513)),D513&amp;"",IF(AND(VALUE(D513)&gt;=1,VALUE(D513)&lt;=20),IF(INDEX(設定!$P$8:$P$27,VALUE(D513))="","？",INDEX(設定!$P$8:$P$27,VALUE(D513))),"？")))</f>
        <v/>
      </c>
      <c r="I513" s="44">
        <f>IF(E513="","",IF(ISERROR(VALUE(E513)),E513&amp;"",IF(AND(VALUE(E513)&gt;=1,VALUE(E513)&lt;=20),IF(INDEX(設定!$P$8:$P$27,VALUE(E513))="","？",INDEX(設定!$P$8:$P$27,VALUE(E513))),"？")))</f>
        <v/>
      </c>
      <c r="J513" s="44">
        <f>IF(F513="","",IF(ISERROR(VALUE(F513)),F513&amp;"",IF(AND(VALUE(F513)&gt;=1,VALUE(F513)&lt;=20),IF(INDEX(設定!$P$8:$P$27,VALUE(F513))="","？",INDEX(設定!$P$8:$P$27,VALUE(F513))),"？")))</f>
        <v/>
      </c>
      <c r="K513" s="45">
        <f>IF(L513="","",IF(G513="","名簿にいない",IF(COUNTIF(L514:L$552,L513)&gt;0,"2回提出（下の行を使います）",IF(OR(H513="？",I513="？",J513="？"),"クラブ番号がちがう",IF(OR(AND(H513&lt;&gt;"",H513&lt;&gt;"？",COUNTIF(設定!$P$8:$P$27,H513)=0),AND(I513&lt;&gt;"",I513&lt;&gt;"？",COUNTIF(設定!$P$8:$P$27,I513)=0),AND(J513&lt;&gt;"",J513&lt;&gt;"？",COUNTIF(設定!$P$8:$P$27,J513)=0)),"クラブ名がちがう",IF(H513="","第1希望がない",IF(OR(AND(H513&lt;&gt;"",H513=I513),AND(H513&lt;&gt;"",H513=J513),AND(I513&lt;&gt;"",I513=J513)),"同じクラブを重複して希望","OK")))))))</f>
        <v/>
      </c>
      <c r="L513" s="8">
        <f>IF(A513="","",A513&amp;"-"&amp;B513&amp;"-"&amp;C513)</f>
        <v/>
      </c>
      <c r="M513" s="8">
        <f>IF(OR(L513="",G513=""),"",IF(COUNTIF(L514:L$552,L513)=0,L513,""))</f>
        <v/>
      </c>
    </row>
    <row r="514">
      <c r="A514" s="40" t="n"/>
      <c r="B514" s="40" t="n"/>
      <c r="C514" s="40" t="n"/>
      <c r="D514" s="40" t="n"/>
      <c r="E514" s="40" t="n"/>
      <c r="F514" s="40" t="n"/>
      <c r="G514" s="3">
        <f>IF(L514="","",IFERROR(INDEX(前年度名簿!$D$2:$D$451,MATCH(L514,前年度名簿!$F$2:$F$451,0)),""))</f>
        <v/>
      </c>
      <c r="H514" s="44">
        <f>IF(D514="","",IF(ISERROR(VALUE(D514)),D514&amp;"",IF(AND(VALUE(D514)&gt;=1,VALUE(D514)&lt;=20),IF(INDEX(設定!$P$8:$P$27,VALUE(D514))="","？",INDEX(設定!$P$8:$P$27,VALUE(D514))),"？")))</f>
        <v/>
      </c>
      <c r="I514" s="44">
        <f>IF(E514="","",IF(ISERROR(VALUE(E514)),E514&amp;"",IF(AND(VALUE(E514)&gt;=1,VALUE(E514)&lt;=20),IF(INDEX(設定!$P$8:$P$27,VALUE(E514))="","？",INDEX(設定!$P$8:$P$27,VALUE(E514))),"？")))</f>
        <v/>
      </c>
      <c r="J514" s="44">
        <f>IF(F514="","",IF(ISERROR(VALUE(F514)),F514&amp;"",IF(AND(VALUE(F514)&gt;=1,VALUE(F514)&lt;=20),IF(INDEX(設定!$P$8:$P$27,VALUE(F514))="","？",INDEX(設定!$P$8:$P$27,VALUE(F514))),"？")))</f>
        <v/>
      </c>
      <c r="K514" s="45">
        <f>IF(L514="","",IF(G514="","名簿にいない",IF(COUNTIF(L515:L$552,L514)&gt;0,"2回提出（下の行を使います）",IF(OR(H514="？",I514="？",J514="？"),"クラブ番号がちがう",IF(OR(AND(H514&lt;&gt;"",H514&lt;&gt;"？",COUNTIF(設定!$P$8:$P$27,H514)=0),AND(I514&lt;&gt;"",I514&lt;&gt;"？",COUNTIF(設定!$P$8:$P$27,I514)=0),AND(J514&lt;&gt;"",J514&lt;&gt;"？",COUNTIF(設定!$P$8:$P$27,J514)=0)),"クラブ名がちがう",IF(H514="","第1希望がない",IF(OR(AND(H514&lt;&gt;"",H514=I514),AND(H514&lt;&gt;"",H514=J514),AND(I514&lt;&gt;"",I514=J514)),"同じクラブを重複して希望","OK")))))))</f>
        <v/>
      </c>
      <c r="L514" s="8">
        <f>IF(A514="","",A514&amp;"-"&amp;B514&amp;"-"&amp;C514)</f>
        <v/>
      </c>
      <c r="M514" s="8">
        <f>IF(OR(L514="",G514=""),"",IF(COUNTIF(L515:L$552,L514)=0,L514,""))</f>
        <v/>
      </c>
    </row>
    <row r="515">
      <c r="A515" s="40" t="n"/>
      <c r="B515" s="40" t="n"/>
      <c r="C515" s="40" t="n"/>
      <c r="D515" s="40" t="n"/>
      <c r="E515" s="40" t="n"/>
      <c r="F515" s="40" t="n"/>
      <c r="G515" s="3">
        <f>IF(L515="","",IFERROR(INDEX(前年度名簿!$D$2:$D$451,MATCH(L515,前年度名簿!$F$2:$F$451,0)),""))</f>
        <v/>
      </c>
      <c r="H515" s="44">
        <f>IF(D515="","",IF(ISERROR(VALUE(D515)),D515&amp;"",IF(AND(VALUE(D515)&gt;=1,VALUE(D515)&lt;=20),IF(INDEX(設定!$P$8:$P$27,VALUE(D515))="","？",INDEX(設定!$P$8:$P$27,VALUE(D515))),"？")))</f>
        <v/>
      </c>
      <c r="I515" s="44">
        <f>IF(E515="","",IF(ISERROR(VALUE(E515)),E515&amp;"",IF(AND(VALUE(E515)&gt;=1,VALUE(E515)&lt;=20),IF(INDEX(設定!$P$8:$P$27,VALUE(E515))="","？",INDEX(設定!$P$8:$P$27,VALUE(E515))),"？")))</f>
        <v/>
      </c>
      <c r="J515" s="44">
        <f>IF(F515="","",IF(ISERROR(VALUE(F515)),F515&amp;"",IF(AND(VALUE(F515)&gt;=1,VALUE(F515)&lt;=20),IF(INDEX(設定!$P$8:$P$27,VALUE(F515))="","？",INDEX(設定!$P$8:$P$27,VALUE(F515))),"？")))</f>
        <v/>
      </c>
      <c r="K515" s="45">
        <f>IF(L515="","",IF(G515="","名簿にいない",IF(COUNTIF(L516:L$552,L515)&gt;0,"2回提出（下の行を使います）",IF(OR(H515="？",I515="？",J515="？"),"クラブ番号がちがう",IF(OR(AND(H515&lt;&gt;"",H515&lt;&gt;"？",COUNTIF(設定!$P$8:$P$27,H515)=0),AND(I515&lt;&gt;"",I515&lt;&gt;"？",COUNTIF(設定!$P$8:$P$27,I515)=0),AND(J515&lt;&gt;"",J515&lt;&gt;"？",COUNTIF(設定!$P$8:$P$27,J515)=0)),"クラブ名がちがう",IF(H515="","第1希望がない",IF(OR(AND(H515&lt;&gt;"",H515=I515),AND(H515&lt;&gt;"",H515=J515),AND(I515&lt;&gt;"",I515=J515)),"同じクラブを重複して希望","OK")))))))</f>
        <v/>
      </c>
      <c r="L515" s="8">
        <f>IF(A515="","",A515&amp;"-"&amp;B515&amp;"-"&amp;C515)</f>
        <v/>
      </c>
      <c r="M515" s="8">
        <f>IF(OR(L515="",G515=""),"",IF(COUNTIF(L516:L$552,L515)=0,L515,""))</f>
        <v/>
      </c>
    </row>
    <row r="516">
      <c r="A516" s="40" t="n"/>
      <c r="B516" s="40" t="n"/>
      <c r="C516" s="40" t="n"/>
      <c r="D516" s="40" t="n"/>
      <c r="E516" s="40" t="n"/>
      <c r="F516" s="40" t="n"/>
      <c r="G516" s="3">
        <f>IF(L516="","",IFERROR(INDEX(前年度名簿!$D$2:$D$451,MATCH(L516,前年度名簿!$F$2:$F$451,0)),""))</f>
        <v/>
      </c>
      <c r="H516" s="44">
        <f>IF(D516="","",IF(ISERROR(VALUE(D516)),D516&amp;"",IF(AND(VALUE(D516)&gt;=1,VALUE(D516)&lt;=20),IF(INDEX(設定!$P$8:$P$27,VALUE(D516))="","？",INDEX(設定!$P$8:$P$27,VALUE(D516))),"？")))</f>
        <v/>
      </c>
      <c r="I516" s="44">
        <f>IF(E516="","",IF(ISERROR(VALUE(E516)),E516&amp;"",IF(AND(VALUE(E516)&gt;=1,VALUE(E516)&lt;=20),IF(INDEX(設定!$P$8:$P$27,VALUE(E516))="","？",INDEX(設定!$P$8:$P$27,VALUE(E516))),"？")))</f>
        <v/>
      </c>
      <c r="J516" s="44">
        <f>IF(F516="","",IF(ISERROR(VALUE(F516)),F516&amp;"",IF(AND(VALUE(F516)&gt;=1,VALUE(F516)&lt;=20),IF(INDEX(設定!$P$8:$P$27,VALUE(F516))="","？",INDEX(設定!$P$8:$P$27,VALUE(F516))),"？")))</f>
        <v/>
      </c>
      <c r="K516" s="45">
        <f>IF(L516="","",IF(G516="","名簿にいない",IF(COUNTIF(L517:L$552,L516)&gt;0,"2回提出（下の行を使います）",IF(OR(H516="？",I516="？",J516="？"),"クラブ番号がちがう",IF(OR(AND(H516&lt;&gt;"",H516&lt;&gt;"？",COUNTIF(設定!$P$8:$P$27,H516)=0),AND(I516&lt;&gt;"",I516&lt;&gt;"？",COUNTIF(設定!$P$8:$P$27,I516)=0),AND(J516&lt;&gt;"",J516&lt;&gt;"？",COUNTIF(設定!$P$8:$P$27,J516)=0)),"クラブ名がちがう",IF(H516="","第1希望がない",IF(OR(AND(H516&lt;&gt;"",H516=I516),AND(H516&lt;&gt;"",H516=J516),AND(I516&lt;&gt;"",I516=J516)),"同じクラブを重複して希望","OK")))))))</f>
        <v/>
      </c>
      <c r="L516" s="8">
        <f>IF(A516="","",A516&amp;"-"&amp;B516&amp;"-"&amp;C516)</f>
        <v/>
      </c>
      <c r="M516" s="8">
        <f>IF(OR(L516="",G516=""),"",IF(COUNTIF(L517:L$552,L516)=0,L516,""))</f>
        <v/>
      </c>
    </row>
    <row r="517">
      <c r="A517" s="40" t="n"/>
      <c r="B517" s="40" t="n"/>
      <c r="C517" s="40" t="n"/>
      <c r="D517" s="40" t="n"/>
      <c r="E517" s="40" t="n"/>
      <c r="F517" s="40" t="n"/>
      <c r="G517" s="3">
        <f>IF(L517="","",IFERROR(INDEX(前年度名簿!$D$2:$D$451,MATCH(L517,前年度名簿!$F$2:$F$451,0)),""))</f>
        <v/>
      </c>
      <c r="H517" s="44">
        <f>IF(D517="","",IF(ISERROR(VALUE(D517)),D517&amp;"",IF(AND(VALUE(D517)&gt;=1,VALUE(D517)&lt;=20),IF(INDEX(設定!$P$8:$P$27,VALUE(D517))="","？",INDEX(設定!$P$8:$P$27,VALUE(D517))),"？")))</f>
        <v/>
      </c>
      <c r="I517" s="44">
        <f>IF(E517="","",IF(ISERROR(VALUE(E517)),E517&amp;"",IF(AND(VALUE(E517)&gt;=1,VALUE(E517)&lt;=20),IF(INDEX(設定!$P$8:$P$27,VALUE(E517))="","？",INDEX(設定!$P$8:$P$27,VALUE(E517))),"？")))</f>
        <v/>
      </c>
      <c r="J517" s="44">
        <f>IF(F517="","",IF(ISERROR(VALUE(F517)),F517&amp;"",IF(AND(VALUE(F517)&gt;=1,VALUE(F517)&lt;=20),IF(INDEX(設定!$P$8:$P$27,VALUE(F517))="","？",INDEX(設定!$P$8:$P$27,VALUE(F517))),"？")))</f>
        <v/>
      </c>
      <c r="K517" s="45">
        <f>IF(L517="","",IF(G517="","名簿にいない",IF(COUNTIF(L518:L$552,L517)&gt;0,"2回提出（下の行を使います）",IF(OR(H517="？",I517="？",J517="？"),"クラブ番号がちがう",IF(OR(AND(H517&lt;&gt;"",H517&lt;&gt;"？",COUNTIF(設定!$P$8:$P$27,H517)=0),AND(I517&lt;&gt;"",I517&lt;&gt;"？",COUNTIF(設定!$P$8:$P$27,I517)=0),AND(J517&lt;&gt;"",J517&lt;&gt;"？",COUNTIF(設定!$P$8:$P$27,J517)=0)),"クラブ名がちがう",IF(H517="","第1希望がない",IF(OR(AND(H517&lt;&gt;"",H517=I517),AND(H517&lt;&gt;"",H517=J517),AND(I517&lt;&gt;"",I517=J517)),"同じクラブを重複して希望","OK")))))))</f>
        <v/>
      </c>
      <c r="L517" s="8">
        <f>IF(A517="","",A517&amp;"-"&amp;B517&amp;"-"&amp;C517)</f>
        <v/>
      </c>
      <c r="M517" s="8">
        <f>IF(OR(L517="",G517=""),"",IF(COUNTIF(L518:L$552,L517)=0,L517,""))</f>
        <v/>
      </c>
    </row>
    <row r="518">
      <c r="A518" s="40" t="n"/>
      <c r="B518" s="40" t="n"/>
      <c r="C518" s="40" t="n"/>
      <c r="D518" s="40" t="n"/>
      <c r="E518" s="40" t="n"/>
      <c r="F518" s="40" t="n"/>
      <c r="G518" s="3">
        <f>IF(L518="","",IFERROR(INDEX(前年度名簿!$D$2:$D$451,MATCH(L518,前年度名簿!$F$2:$F$451,0)),""))</f>
        <v/>
      </c>
      <c r="H518" s="44">
        <f>IF(D518="","",IF(ISERROR(VALUE(D518)),D518&amp;"",IF(AND(VALUE(D518)&gt;=1,VALUE(D518)&lt;=20),IF(INDEX(設定!$P$8:$P$27,VALUE(D518))="","？",INDEX(設定!$P$8:$P$27,VALUE(D518))),"？")))</f>
        <v/>
      </c>
      <c r="I518" s="44">
        <f>IF(E518="","",IF(ISERROR(VALUE(E518)),E518&amp;"",IF(AND(VALUE(E518)&gt;=1,VALUE(E518)&lt;=20),IF(INDEX(設定!$P$8:$P$27,VALUE(E518))="","？",INDEX(設定!$P$8:$P$27,VALUE(E518))),"？")))</f>
        <v/>
      </c>
      <c r="J518" s="44">
        <f>IF(F518="","",IF(ISERROR(VALUE(F518)),F518&amp;"",IF(AND(VALUE(F518)&gt;=1,VALUE(F518)&lt;=20),IF(INDEX(設定!$P$8:$P$27,VALUE(F518))="","？",INDEX(設定!$P$8:$P$27,VALUE(F518))),"？")))</f>
        <v/>
      </c>
      <c r="K518" s="45">
        <f>IF(L518="","",IF(G518="","名簿にいない",IF(COUNTIF(L519:L$552,L518)&gt;0,"2回提出（下の行を使います）",IF(OR(H518="？",I518="？",J518="？"),"クラブ番号がちがう",IF(OR(AND(H518&lt;&gt;"",H518&lt;&gt;"？",COUNTIF(設定!$P$8:$P$27,H518)=0),AND(I518&lt;&gt;"",I518&lt;&gt;"？",COUNTIF(設定!$P$8:$P$27,I518)=0),AND(J518&lt;&gt;"",J518&lt;&gt;"？",COUNTIF(設定!$P$8:$P$27,J518)=0)),"クラブ名がちがう",IF(H518="","第1希望がない",IF(OR(AND(H518&lt;&gt;"",H518=I518),AND(H518&lt;&gt;"",H518=J518),AND(I518&lt;&gt;"",I518=J518)),"同じクラブを重複して希望","OK")))))))</f>
        <v/>
      </c>
      <c r="L518" s="8">
        <f>IF(A518="","",A518&amp;"-"&amp;B518&amp;"-"&amp;C518)</f>
        <v/>
      </c>
      <c r="M518" s="8">
        <f>IF(OR(L518="",G518=""),"",IF(COUNTIF(L519:L$552,L518)=0,L518,""))</f>
        <v/>
      </c>
    </row>
    <row r="519">
      <c r="A519" s="40" t="n"/>
      <c r="B519" s="40" t="n"/>
      <c r="C519" s="40" t="n"/>
      <c r="D519" s="40" t="n"/>
      <c r="E519" s="40" t="n"/>
      <c r="F519" s="40" t="n"/>
      <c r="G519" s="3">
        <f>IF(L519="","",IFERROR(INDEX(前年度名簿!$D$2:$D$451,MATCH(L519,前年度名簿!$F$2:$F$451,0)),""))</f>
        <v/>
      </c>
      <c r="H519" s="44">
        <f>IF(D519="","",IF(ISERROR(VALUE(D519)),D519&amp;"",IF(AND(VALUE(D519)&gt;=1,VALUE(D519)&lt;=20),IF(INDEX(設定!$P$8:$P$27,VALUE(D519))="","？",INDEX(設定!$P$8:$P$27,VALUE(D519))),"？")))</f>
        <v/>
      </c>
      <c r="I519" s="44">
        <f>IF(E519="","",IF(ISERROR(VALUE(E519)),E519&amp;"",IF(AND(VALUE(E519)&gt;=1,VALUE(E519)&lt;=20),IF(INDEX(設定!$P$8:$P$27,VALUE(E519))="","？",INDEX(設定!$P$8:$P$27,VALUE(E519))),"？")))</f>
        <v/>
      </c>
      <c r="J519" s="44">
        <f>IF(F519="","",IF(ISERROR(VALUE(F519)),F519&amp;"",IF(AND(VALUE(F519)&gt;=1,VALUE(F519)&lt;=20),IF(INDEX(設定!$P$8:$P$27,VALUE(F519))="","？",INDEX(設定!$P$8:$P$27,VALUE(F519))),"？")))</f>
        <v/>
      </c>
      <c r="K519" s="45">
        <f>IF(L519="","",IF(G519="","名簿にいない",IF(COUNTIF(L520:L$552,L519)&gt;0,"2回提出（下の行を使います）",IF(OR(H519="？",I519="？",J519="？"),"クラブ番号がちがう",IF(OR(AND(H519&lt;&gt;"",H519&lt;&gt;"？",COUNTIF(設定!$P$8:$P$27,H519)=0),AND(I519&lt;&gt;"",I519&lt;&gt;"？",COUNTIF(設定!$P$8:$P$27,I519)=0),AND(J519&lt;&gt;"",J519&lt;&gt;"？",COUNTIF(設定!$P$8:$P$27,J519)=0)),"クラブ名がちがう",IF(H519="","第1希望がない",IF(OR(AND(H519&lt;&gt;"",H519=I519),AND(H519&lt;&gt;"",H519=J519),AND(I519&lt;&gt;"",I519=J519)),"同じクラブを重複して希望","OK")))))))</f>
        <v/>
      </c>
      <c r="L519" s="8">
        <f>IF(A519="","",A519&amp;"-"&amp;B519&amp;"-"&amp;C519)</f>
        <v/>
      </c>
      <c r="M519" s="8">
        <f>IF(OR(L519="",G519=""),"",IF(COUNTIF(L520:L$552,L519)=0,L519,""))</f>
        <v/>
      </c>
    </row>
    <row r="520">
      <c r="A520" s="40" t="n"/>
      <c r="B520" s="40" t="n"/>
      <c r="C520" s="40" t="n"/>
      <c r="D520" s="40" t="n"/>
      <c r="E520" s="40" t="n"/>
      <c r="F520" s="40" t="n"/>
      <c r="G520" s="3">
        <f>IF(L520="","",IFERROR(INDEX(前年度名簿!$D$2:$D$451,MATCH(L520,前年度名簿!$F$2:$F$451,0)),""))</f>
        <v/>
      </c>
      <c r="H520" s="44">
        <f>IF(D520="","",IF(ISERROR(VALUE(D520)),D520&amp;"",IF(AND(VALUE(D520)&gt;=1,VALUE(D520)&lt;=20),IF(INDEX(設定!$P$8:$P$27,VALUE(D520))="","？",INDEX(設定!$P$8:$P$27,VALUE(D520))),"？")))</f>
        <v/>
      </c>
      <c r="I520" s="44">
        <f>IF(E520="","",IF(ISERROR(VALUE(E520)),E520&amp;"",IF(AND(VALUE(E520)&gt;=1,VALUE(E520)&lt;=20),IF(INDEX(設定!$P$8:$P$27,VALUE(E520))="","？",INDEX(設定!$P$8:$P$27,VALUE(E520))),"？")))</f>
        <v/>
      </c>
      <c r="J520" s="44">
        <f>IF(F520="","",IF(ISERROR(VALUE(F520)),F520&amp;"",IF(AND(VALUE(F520)&gt;=1,VALUE(F520)&lt;=20),IF(INDEX(設定!$P$8:$P$27,VALUE(F520))="","？",INDEX(設定!$P$8:$P$27,VALUE(F520))),"？")))</f>
        <v/>
      </c>
      <c r="K520" s="45">
        <f>IF(L520="","",IF(G520="","名簿にいない",IF(COUNTIF(L521:L$552,L520)&gt;0,"2回提出（下の行を使います）",IF(OR(H520="？",I520="？",J520="？"),"クラブ番号がちがう",IF(OR(AND(H520&lt;&gt;"",H520&lt;&gt;"？",COUNTIF(設定!$P$8:$P$27,H520)=0),AND(I520&lt;&gt;"",I520&lt;&gt;"？",COUNTIF(設定!$P$8:$P$27,I520)=0),AND(J520&lt;&gt;"",J520&lt;&gt;"？",COUNTIF(設定!$P$8:$P$27,J520)=0)),"クラブ名がちがう",IF(H520="","第1希望がない",IF(OR(AND(H520&lt;&gt;"",H520=I520),AND(H520&lt;&gt;"",H520=J520),AND(I520&lt;&gt;"",I520=J520)),"同じクラブを重複して希望","OK")))))))</f>
        <v/>
      </c>
      <c r="L520" s="8">
        <f>IF(A520="","",A520&amp;"-"&amp;B520&amp;"-"&amp;C520)</f>
        <v/>
      </c>
      <c r="M520" s="8">
        <f>IF(OR(L520="",G520=""),"",IF(COUNTIF(L521:L$552,L520)=0,L520,""))</f>
        <v/>
      </c>
    </row>
    <row r="521">
      <c r="A521" s="40" t="n"/>
      <c r="B521" s="40" t="n"/>
      <c r="C521" s="40" t="n"/>
      <c r="D521" s="40" t="n"/>
      <c r="E521" s="40" t="n"/>
      <c r="F521" s="40" t="n"/>
      <c r="G521" s="3">
        <f>IF(L521="","",IFERROR(INDEX(前年度名簿!$D$2:$D$451,MATCH(L521,前年度名簿!$F$2:$F$451,0)),""))</f>
        <v/>
      </c>
      <c r="H521" s="44">
        <f>IF(D521="","",IF(ISERROR(VALUE(D521)),D521&amp;"",IF(AND(VALUE(D521)&gt;=1,VALUE(D521)&lt;=20),IF(INDEX(設定!$P$8:$P$27,VALUE(D521))="","？",INDEX(設定!$P$8:$P$27,VALUE(D521))),"？")))</f>
        <v/>
      </c>
      <c r="I521" s="44">
        <f>IF(E521="","",IF(ISERROR(VALUE(E521)),E521&amp;"",IF(AND(VALUE(E521)&gt;=1,VALUE(E521)&lt;=20),IF(INDEX(設定!$P$8:$P$27,VALUE(E521))="","？",INDEX(設定!$P$8:$P$27,VALUE(E521))),"？")))</f>
        <v/>
      </c>
      <c r="J521" s="44">
        <f>IF(F521="","",IF(ISERROR(VALUE(F521)),F521&amp;"",IF(AND(VALUE(F521)&gt;=1,VALUE(F521)&lt;=20),IF(INDEX(設定!$P$8:$P$27,VALUE(F521))="","？",INDEX(設定!$P$8:$P$27,VALUE(F521))),"？")))</f>
        <v/>
      </c>
      <c r="K521" s="45">
        <f>IF(L521="","",IF(G521="","名簿にいない",IF(COUNTIF(L522:L$552,L521)&gt;0,"2回提出（下の行を使います）",IF(OR(H521="？",I521="？",J521="？"),"クラブ番号がちがう",IF(OR(AND(H521&lt;&gt;"",H521&lt;&gt;"？",COUNTIF(設定!$P$8:$P$27,H521)=0),AND(I521&lt;&gt;"",I521&lt;&gt;"？",COUNTIF(設定!$P$8:$P$27,I521)=0),AND(J521&lt;&gt;"",J521&lt;&gt;"？",COUNTIF(設定!$P$8:$P$27,J521)=0)),"クラブ名がちがう",IF(H521="","第1希望がない",IF(OR(AND(H521&lt;&gt;"",H521=I521),AND(H521&lt;&gt;"",H521=J521),AND(I521&lt;&gt;"",I521=J521)),"同じクラブを重複して希望","OK")))))))</f>
        <v/>
      </c>
      <c r="L521" s="8">
        <f>IF(A521="","",A521&amp;"-"&amp;B521&amp;"-"&amp;C521)</f>
        <v/>
      </c>
      <c r="M521" s="8">
        <f>IF(OR(L521="",G521=""),"",IF(COUNTIF(L522:L$552,L521)=0,L521,""))</f>
        <v/>
      </c>
    </row>
    <row r="522">
      <c r="A522" s="40" t="n"/>
      <c r="B522" s="40" t="n"/>
      <c r="C522" s="40" t="n"/>
      <c r="D522" s="40" t="n"/>
      <c r="E522" s="40" t="n"/>
      <c r="F522" s="40" t="n"/>
      <c r="G522" s="3">
        <f>IF(L522="","",IFERROR(INDEX(前年度名簿!$D$2:$D$451,MATCH(L522,前年度名簿!$F$2:$F$451,0)),""))</f>
        <v/>
      </c>
      <c r="H522" s="44">
        <f>IF(D522="","",IF(ISERROR(VALUE(D522)),D522&amp;"",IF(AND(VALUE(D522)&gt;=1,VALUE(D522)&lt;=20),IF(INDEX(設定!$P$8:$P$27,VALUE(D522))="","？",INDEX(設定!$P$8:$P$27,VALUE(D522))),"？")))</f>
        <v/>
      </c>
      <c r="I522" s="44">
        <f>IF(E522="","",IF(ISERROR(VALUE(E522)),E522&amp;"",IF(AND(VALUE(E522)&gt;=1,VALUE(E522)&lt;=20),IF(INDEX(設定!$P$8:$P$27,VALUE(E522))="","？",INDEX(設定!$P$8:$P$27,VALUE(E522))),"？")))</f>
        <v/>
      </c>
      <c r="J522" s="44">
        <f>IF(F522="","",IF(ISERROR(VALUE(F522)),F522&amp;"",IF(AND(VALUE(F522)&gt;=1,VALUE(F522)&lt;=20),IF(INDEX(設定!$P$8:$P$27,VALUE(F522))="","？",INDEX(設定!$P$8:$P$27,VALUE(F522))),"？")))</f>
        <v/>
      </c>
      <c r="K522" s="45">
        <f>IF(L522="","",IF(G522="","名簿にいない",IF(COUNTIF(L523:L$552,L522)&gt;0,"2回提出（下の行を使います）",IF(OR(H522="？",I522="？",J522="？"),"クラブ番号がちがう",IF(OR(AND(H522&lt;&gt;"",H522&lt;&gt;"？",COUNTIF(設定!$P$8:$P$27,H522)=0),AND(I522&lt;&gt;"",I522&lt;&gt;"？",COUNTIF(設定!$P$8:$P$27,I522)=0),AND(J522&lt;&gt;"",J522&lt;&gt;"？",COUNTIF(設定!$P$8:$P$27,J522)=0)),"クラブ名がちがう",IF(H522="","第1希望がない",IF(OR(AND(H522&lt;&gt;"",H522=I522),AND(H522&lt;&gt;"",H522=J522),AND(I522&lt;&gt;"",I522=J522)),"同じクラブを重複して希望","OK")))))))</f>
        <v/>
      </c>
      <c r="L522" s="8">
        <f>IF(A522="","",A522&amp;"-"&amp;B522&amp;"-"&amp;C522)</f>
        <v/>
      </c>
      <c r="M522" s="8">
        <f>IF(OR(L522="",G522=""),"",IF(COUNTIF(L523:L$552,L522)=0,L522,""))</f>
        <v/>
      </c>
    </row>
    <row r="523">
      <c r="A523" s="40" t="n"/>
      <c r="B523" s="40" t="n"/>
      <c r="C523" s="40" t="n"/>
      <c r="D523" s="40" t="n"/>
      <c r="E523" s="40" t="n"/>
      <c r="F523" s="40" t="n"/>
      <c r="G523" s="3">
        <f>IF(L523="","",IFERROR(INDEX(前年度名簿!$D$2:$D$451,MATCH(L523,前年度名簿!$F$2:$F$451,0)),""))</f>
        <v/>
      </c>
      <c r="H523" s="44">
        <f>IF(D523="","",IF(ISERROR(VALUE(D523)),D523&amp;"",IF(AND(VALUE(D523)&gt;=1,VALUE(D523)&lt;=20),IF(INDEX(設定!$P$8:$P$27,VALUE(D523))="","？",INDEX(設定!$P$8:$P$27,VALUE(D523))),"？")))</f>
        <v/>
      </c>
      <c r="I523" s="44">
        <f>IF(E523="","",IF(ISERROR(VALUE(E523)),E523&amp;"",IF(AND(VALUE(E523)&gt;=1,VALUE(E523)&lt;=20),IF(INDEX(設定!$P$8:$P$27,VALUE(E523))="","？",INDEX(設定!$P$8:$P$27,VALUE(E523))),"？")))</f>
        <v/>
      </c>
      <c r="J523" s="44">
        <f>IF(F523="","",IF(ISERROR(VALUE(F523)),F523&amp;"",IF(AND(VALUE(F523)&gt;=1,VALUE(F523)&lt;=20),IF(INDEX(設定!$P$8:$P$27,VALUE(F523))="","？",INDEX(設定!$P$8:$P$27,VALUE(F523))),"？")))</f>
        <v/>
      </c>
      <c r="K523" s="45">
        <f>IF(L523="","",IF(G523="","名簿にいない",IF(COUNTIF(L524:L$552,L523)&gt;0,"2回提出（下の行を使います）",IF(OR(H523="？",I523="？",J523="？"),"クラブ番号がちがう",IF(OR(AND(H523&lt;&gt;"",H523&lt;&gt;"？",COUNTIF(設定!$P$8:$P$27,H523)=0),AND(I523&lt;&gt;"",I523&lt;&gt;"？",COUNTIF(設定!$P$8:$P$27,I523)=0),AND(J523&lt;&gt;"",J523&lt;&gt;"？",COUNTIF(設定!$P$8:$P$27,J523)=0)),"クラブ名がちがう",IF(H523="","第1希望がない",IF(OR(AND(H523&lt;&gt;"",H523=I523),AND(H523&lt;&gt;"",H523=J523),AND(I523&lt;&gt;"",I523=J523)),"同じクラブを重複して希望","OK")))))))</f>
        <v/>
      </c>
      <c r="L523" s="8">
        <f>IF(A523="","",A523&amp;"-"&amp;B523&amp;"-"&amp;C523)</f>
        <v/>
      </c>
      <c r="M523" s="8">
        <f>IF(OR(L523="",G523=""),"",IF(COUNTIF(L524:L$552,L523)=0,L523,""))</f>
        <v/>
      </c>
    </row>
    <row r="524">
      <c r="A524" s="40" t="n"/>
      <c r="B524" s="40" t="n"/>
      <c r="C524" s="40" t="n"/>
      <c r="D524" s="40" t="n"/>
      <c r="E524" s="40" t="n"/>
      <c r="F524" s="40" t="n"/>
      <c r="G524" s="3">
        <f>IF(L524="","",IFERROR(INDEX(前年度名簿!$D$2:$D$451,MATCH(L524,前年度名簿!$F$2:$F$451,0)),""))</f>
        <v/>
      </c>
      <c r="H524" s="44">
        <f>IF(D524="","",IF(ISERROR(VALUE(D524)),D524&amp;"",IF(AND(VALUE(D524)&gt;=1,VALUE(D524)&lt;=20),IF(INDEX(設定!$P$8:$P$27,VALUE(D524))="","？",INDEX(設定!$P$8:$P$27,VALUE(D524))),"？")))</f>
        <v/>
      </c>
      <c r="I524" s="44">
        <f>IF(E524="","",IF(ISERROR(VALUE(E524)),E524&amp;"",IF(AND(VALUE(E524)&gt;=1,VALUE(E524)&lt;=20),IF(INDEX(設定!$P$8:$P$27,VALUE(E524))="","？",INDEX(設定!$P$8:$P$27,VALUE(E524))),"？")))</f>
        <v/>
      </c>
      <c r="J524" s="44">
        <f>IF(F524="","",IF(ISERROR(VALUE(F524)),F524&amp;"",IF(AND(VALUE(F524)&gt;=1,VALUE(F524)&lt;=20),IF(INDEX(設定!$P$8:$P$27,VALUE(F524))="","？",INDEX(設定!$P$8:$P$27,VALUE(F524))),"？")))</f>
        <v/>
      </c>
      <c r="K524" s="45">
        <f>IF(L524="","",IF(G524="","名簿にいない",IF(COUNTIF(L525:L$552,L524)&gt;0,"2回提出（下の行を使います）",IF(OR(H524="？",I524="？",J524="？"),"クラブ番号がちがう",IF(OR(AND(H524&lt;&gt;"",H524&lt;&gt;"？",COUNTIF(設定!$P$8:$P$27,H524)=0),AND(I524&lt;&gt;"",I524&lt;&gt;"？",COUNTIF(設定!$P$8:$P$27,I524)=0),AND(J524&lt;&gt;"",J524&lt;&gt;"？",COUNTIF(設定!$P$8:$P$27,J524)=0)),"クラブ名がちがう",IF(H524="","第1希望がない",IF(OR(AND(H524&lt;&gt;"",H524=I524),AND(H524&lt;&gt;"",H524=J524),AND(I524&lt;&gt;"",I524=J524)),"同じクラブを重複して希望","OK")))))))</f>
        <v/>
      </c>
      <c r="L524" s="8">
        <f>IF(A524="","",A524&amp;"-"&amp;B524&amp;"-"&amp;C524)</f>
        <v/>
      </c>
      <c r="M524" s="8">
        <f>IF(OR(L524="",G524=""),"",IF(COUNTIF(L525:L$552,L524)=0,L524,""))</f>
        <v/>
      </c>
    </row>
    <row r="525">
      <c r="A525" s="40" t="n"/>
      <c r="B525" s="40" t="n"/>
      <c r="C525" s="40" t="n"/>
      <c r="D525" s="40" t="n"/>
      <c r="E525" s="40" t="n"/>
      <c r="F525" s="40" t="n"/>
      <c r="G525" s="3">
        <f>IF(L525="","",IFERROR(INDEX(前年度名簿!$D$2:$D$451,MATCH(L525,前年度名簿!$F$2:$F$451,0)),""))</f>
        <v/>
      </c>
      <c r="H525" s="44">
        <f>IF(D525="","",IF(ISERROR(VALUE(D525)),D525&amp;"",IF(AND(VALUE(D525)&gt;=1,VALUE(D525)&lt;=20),IF(INDEX(設定!$P$8:$P$27,VALUE(D525))="","？",INDEX(設定!$P$8:$P$27,VALUE(D525))),"？")))</f>
        <v/>
      </c>
      <c r="I525" s="44">
        <f>IF(E525="","",IF(ISERROR(VALUE(E525)),E525&amp;"",IF(AND(VALUE(E525)&gt;=1,VALUE(E525)&lt;=20),IF(INDEX(設定!$P$8:$P$27,VALUE(E525))="","？",INDEX(設定!$P$8:$P$27,VALUE(E525))),"？")))</f>
        <v/>
      </c>
      <c r="J525" s="44">
        <f>IF(F525="","",IF(ISERROR(VALUE(F525)),F525&amp;"",IF(AND(VALUE(F525)&gt;=1,VALUE(F525)&lt;=20),IF(INDEX(設定!$P$8:$P$27,VALUE(F525))="","？",INDEX(設定!$P$8:$P$27,VALUE(F525))),"？")))</f>
        <v/>
      </c>
      <c r="K525" s="45">
        <f>IF(L525="","",IF(G525="","名簿にいない",IF(COUNTIF(L526:L$552,L525)&gt;0,"2回提出（下の行を使います）",IF(OR(H525="？",I525="？",J525="？"),"クラブ番号がちがう",IF(OR(AND(H525&lt;&gt;"",H525&lt;&gt;"？",COUNTIF(設定!$P$8:$P$27,H525)=0),AND(I525&lt;&gt;"",I525&lt;&gt;"？",COUNTIF(設定!$P$8:$P$27,I525)=0),AND(J525&lt;&gt;"",J525&lt;&gt;"？",COUNTIF(設定!$P$8:$P$27,J525)=0)),"クラブ名がちがう",IF(H525="","第1希望がない",IF(OR(AND(H525&lt;&gt;"",H525=I525),AND(H525&lt;&gt;"",H525=J525),AND(I525&lt;&gt;"",I525=J525)),"同じクラブを重複して希望","OK")))))))</f>
        <v/>
      </c>
      <c r="L525" s="8">
        <f>IF(A525="","",A525&amp;"-"&amp;B525&amp;"-"&amp;C525)</f>
        <v/>
      </c>
      <c r="M525" s="8">
        <f>IF(OR(L525="",G525=""),"",IF(COUNTIF(L526:L$552,L525)=0,L525,""))</f>
        <v/>
      </c>
    </row>
    <row r="526">
      <c r="A526" s="40" t="n"/>
      <c r="B526" s="40" t="n"/>
      <c r="C526" s="40" t="n"/>
      <c r="D526" s="40" t="n"/>
      <c r="E526" s="40" t="n"/>
      <c r="F526" s="40" t="n"/>
      <c r="G526" s="3">
        <f>IF(L526="","",IFERROR(INDEX(前年度名簿!$D$2:$D$451,MATCH(L526,前年度名簿!$F$2:$F$451,0)),""))</f>
        <v/>
      </c>
      <c r="H526" s="44">
        <f>IF(D526="","",IF(ISERROR(VALUE(D526)),D526&amp;"",IF(AND(VALUE(D526)&gt;=1,VALUE(D526)&lt;=20),IF(INDEX(設定!$P$8:$P$27,VALUE(D526))="","？",INDEX(設定!$P$8:$P$27,VALUE(D526))),"？")))</f>
        <v/>
      </c>
      <c r="I526" s="44">
        <f>IF(E526="","",IF(ISERROR(VALUE(E526)),E526&amp;"",IF(AND(VALUE(E526)&gt;=1,VALUE(E526)&lt;=20),IF(INDEX(設定!$P$8:$P$27,VALUE(E526))="","？",INDEX(設定!$P$8:$P$27,VALUE(E526))),"？")))</f>
        <v/>
      </c>
      <c r="J526" s="44">
        <f>IF(F526="","",IF(ISERROR(VALUE(F526)),F526&amp;"",IF(AND(VALUE(F526)&gt;=1,VALUE(F526)&lt;=20),IF(INDEX(設定!$P$8:$P$27,VALUE(F526))="","？",INDEX(設定!$P$8:$P$27,VALUE(F526))),"？")))</f>
        <v/>
      </c>
      <c r="K526" s="45">
        <f>IF(L526="","",IF(G526="","名簿にいない",IF(COUNTIF(L527:L$552,L526)&gt;0,"2回提出（下の行を使います）",IF(OR(H526="？",I526="？",J526="？"),"クラブ番号がちがう",IF(OR(AND(H526&lt;&gt;"",H526&lt;&gt;"？",COUNTIF(設定!$P$8:$P$27,H526)=0),AND(I526&lt;&gt;"",I526&lt;&gt;"？",COUNTIF(設定!$P$8:$P$27,I526)=0),AND(J526&lt;&gt;"",J526&lt;&gt;"？",COUNTIF(設定!$P$8:$P$27,J526)=0)),"クラブ名がちがう",IF(H526="","第1希望がない",IF(OR(AND(H526&lt;&gt;"",H526=I526),AND(H526&lt;&gt;"",H526=J526),AND(I526&lt;&gt;"",I526=J526)),"同じクラブを重複して希望","OK")))))))</f>
        <v/>
      </c>
      <c r="L526" s="8">
        <f>IF(A526="","",A526&amp;"-"&amp;B526&amp;"-"&amp;C526)</f>
        <v/>
      </c>
      <c r="M526" s="8">
        <f>IF(OR(L526="",G526=""),"",IF(COUNTIF(L527:L$552,L526)=0,L526,""))</f>
        <v/>
      </c>
    </row>
    <row r="527">
      <c r="A527" s="40" t="n"/>
      <c r="B527" s="40" t="n"/>
      <c r="C527" s="40" t="n"/>
      <c r="D527" s="40" t="n"/>
      <c r="E527" s="40" t="n"/>
      <c r="F527" s="40" t="n"/>
      <c r="G527" s="3">
        <f>IF(L527="","",IFERROR(INDEX(前年度名簿!$D$2:$D$451,MATCH(L527,前年度名簿!$F$2:$F$451,0)),""))</f>
        <v/>
      </c>
      <c r="H527" s="44">
        <f>IF(D527="","",IF(ISERROR(VALUE(D527)),D527&amp;"",IF(AND(VALUE(D527)&gt;=1,VALUE(D527)&lt;=20),IF(INDEX(設定!$P$8:$P$27,VALUE(D527))="","？",INDEX(設定!$P$8:$P$27,VALUE(D527))),"？")))</f>
        <v/>
      </c>
      <c r="I527" s="44">
        <f>IF(E527="","",IF(ISERROR(VALUE(E527)),E527&amp;"",IF(AND(VALUE(E527)&gt;=1,VALUE(E527)&lt;=20),IF(INDEX(設定!$P$8:$P$27,VALUE(E527))="","？",INDEX(設定!$P$8:$P$27,VALUE(E527))),"？")))</f>
        <v/>
      </c>
      <c r="J527" s="44">
        <f>IF(F527="","",IF(ISERROR(VALUE(F527)),F527&amp;"",IF(AND(VALUE(F527)&gt;=1,VALUE(F527)&lt;=20),IF(INDEX(設定!$P$8:$P$27,VALUE(F527))="","？",INDEX(設定!$P$8:$P$27,VALUE(F527))),"？")))</f>
        <v/>
      </c>
      <c r="K527" s="45">
        <f>IF(L527="","",IF(G527="","名簿にいない",IF(COUNTIF(L528:L$552,L527)&gt;0,"2回提出（下の行を使います）",IF(OR(H527="？",I527="？",J527="？"),"クラブ番号がちがう",IF(OR(AND(H527&lt;&gt;"",H527&lt;&gt;"？",COUNTIF(設定!$P$8:$P$27,H527)=0),AND(I527&lt;&gt;"",I527&lt;&gt;"？",COUNTIF(設定!$P$8:$P$27,I527)=0),AND(J527&lt;&gt;"",J527&lt;&gt;"？",COUNTIF(設定!$P$8:$P$27,J527)=0)),"クラブ名がちがう",IF(H527="","第1希望がない",IF(OR(AND(H527&lt;&gt;"",H527=I527),AND(H527&lt;&gt;"",H527=J527),AND(I527&lt;&gt;"",I527=J527)),"同じクラブを重複して希望","OK")))))))</f>
        <v/>
      </c>
      <c r="L527" s="8">
        <f>IF(A527="","",A527&amp;"-"&amp;B527&amp;"-"&amp;C527)</f>
        <v/>
      </c>
      <c r="M527" s="8">
        <f>IF(OR(L527="",G527=""),"",IF(COUNTIF(L528:L$552,L527)=0,L527,""))</f>
        <v/>
      </c>
    </row>
    <row r="528">
      <c r="A528" s="40" t="n"/>
      <c r="B528" s="40" t="n"/>
      <c r="C528" s="40" t="n"/>
      <c r="D528" s="40" t="n"/>
      <c r="E528" s="40" t="n"/>
      <c r="F528" s="40" t="n"/>
      <c r="G528" s="3">
        <f>IF(L528="","",IFERROR(INDEX(前年度名簿!$D$2:$D$451,MATCH(L528,前年度名簿!$F$2:$F$451,0)),""))</f>
        <v/>
      </c>
      <c r="H528" s="44">
        <f>IF(D528="","",IF(ISERROR(VALUE(D528)),D528&amp;"",IF(AND(VALUE(D528)&gt;=1,VALUE(D528)&lt;=20),IF(INDEX(設定!$P$8:$P$27,VALUE(D528))="","？",INDEX(設定!$P$8:$P$27,VALUE(D528))),"？")))</f>
        <v/>
      </c>
      <c r="I528" s="44">
        <f>IF(E528="","",IF(ISERROR(VALUE(E528)),E528&amp;"",IF(AND(VALUE(E528)&gt;=1,VALUE(E528)&lt;=20),IF(INDEX(設定!$P$8:$P$27,VALUE(E528))="","？",INDEX(設定!$P$8:$P$27,VALUE(E528))),"？")))</f>
        <v/>
      </c>
      <c r="J528" s="44">
        <f>IF(F528="","",IF(ISERROR(VALUE(F528)),F528&amp;"",IF(AND(VALUE(F528)&gt;=1,VALUE(F528)&lt;=20),IF(INDEX(設定!$P$8:$P$27,VALUE(F528))="","？",INDEX(設定!$P$8:$P$27,VALUE(F528))),"？")))</f>
        <v/>
      </c>
      <c r="K528" s="45">
        <f>IF(L528="","",IF(G528="","名簿にいない",IF(COUNTIF(L529:L$552,L528)&gt;0,"2回提出（下の行を使います）",IF(OR(H528="？",I528="？",J528="？"),"クラブ番号がちがう",IF(OR(AND(H528&lt;&gt;"",H528&lt;&gt;"？",COUNTIF(設定!$P$8:$P$27,H528)=0),AND(I528&lt;&gt;"",I528&lt;&gt;"？",COUNTIF(設定!$P$8:$P$27,I528)=0),AND(J528&lt;&gt;"",J528&lt;&gt;"？",COUNTIF(設定!$P$8:$P$27,J528)=0)),"クラブ名がちがう",IF(H528="","第1希望がない",IF(OR(AND(H528&lt;&gt;"",H528=I528),AND(H528&lt;&gt;"",H528=J528),AND(I528&lt;&gt;"",I528=J528)),"同じクラブを重複して希望","OK")))))))</f>
        <v/>
      </c>
      <c r="L528" s="8">
        <f>IF(A528="","",A528&amp;"-"&amp;B528&amp;"-"&amp;C528)</f>
        <v/>
      </c>
      <c r="M528" s="8">
        <f>IF(OR(L528="",G528=""),"",IF(COUNTIF(L529:L$552,L528)=0,L528,""))</f>
        <v/>
      </c>
    </row>
    <row r="529">
      <c r="A529" s="40" t="n"/>
      <c r="B529" s="40" t="n"/>
      <c r="C529" s="40" t="n"/>
      <c r="D529" s="40" t="n"/>
      <c r="E529" s="40" t="n"/>
      <c r="F529" s="40" t="n"/>
      <c r="G529" s="3">
        <f>IF(L529="","",IFERROR(INDEX(前年度名簿!$D$2:$D$451,MATCH(L529,前年度名簿!$F$2:$F$451,0)),""))</f>
        <v/>
      </c>
      <c r="H529" s="44">
        <f>IF(D529="","",IF(ISERROR(VALUE(D529)),D529&amp;"",IF(AND(VALUE(D529)&gt;=1,VALUE(D529)&lt;=20),IF(INDEX(設定!$P$8:$P$27,VALUE(D529))="","？",INDEX(設定!$P$8:$P$27,VALUE(D529))),"？")))</f>
        <v/>
      </c>
      <c r="I529" s="44">
        <f>IF(E529="","",IF(ISERROR(VALUE(E529)),E529&amp;"",IF(AND(VALUE(E529)&gt;=1,VALUE(E529)&lt;=20),IF(INDEX(設定!$P$8:$P$27,VALUE(E529))="","？",INDEX(設定!$P$8:$P$27,VALUE(E529))),"？")))</f>
        <v/>
      </c>
      <c r="J529" s="44">
        <f>IF(F529="","",IF(ISERROR(VALUE(F529)),F529&amp;"",IF(AND(VALUE(F529)&gt;=1,VALUE(F529)&lt;=20),IF(INDEX(設定!$P$8:$P$27,VALUE(F529))="","？",INDEX(設定!$P$8:$P$27,VALUE(F529))),"？")))</f>
        <v/>
      </c>
      <c r="K529" s="45">
        <f>IF(L529="","",IF(G529="","名簿にいない",IF(COUNTIF(L530:L$552,L529)&gt;0,"2回提出（下の行を使います）",IF(OR(H529="？",I529="？",J529="？"),"クラブ番号がちがう",IF(OR(AND(H529&lt;&gt;"",H529&lt;&gt;"？",COUNTIF(設定!$P$8:$P$27,H529)=0),AND(I529&lt;&gt;"",I529&lt;&gt;"？",COUNTIF(設定!$P$8:$P$27,I529)=0),AND(J529&lt;&gt;"",J529&lt;&gt;"？",COUNTIF(設定!$P$8:$P$27,J529)=0)),"クラブ名がちがう",IF(H529="","第1希望がない",IF(OR(AND(H529&lt;&gt;"",H529=I529),AND(H529&lt;&gt;"",H529=J529),AND(I529&lt;&gt;"",I529=J529)),"同じクラブを重複して希望","OK")))))))</f>
        <v/>
      </c>
      <c r="L529" s="8">
        <f>IF(A529="","",A529&amp;"-"&amp;B529&amp;"-"&amp;C529)</f>
        <v/>
      </c>
      <c r="M529" s="8">
        <f>IF(OR(L529="",G529=""),"",IF(COUNTIF(L530:L$552,L529)=0,L529,""))</f>
        <v/>
      </c>
    </row>
    <row r="530">
      <c r="A530" s="40" t="n"/>
      <c r="B530" s="40" t="n"/>
      <c r="C530" s="40" t="n"/>
      <c r="D530" s="40" t="n"/>
      <c r="E530" s="40" t="n"/>
      <c r="F530" s="40" t="n"/>
      <c r="G530" s="3">
        <f>IF(L530="","",IFERROR(INDEX(前年度名簿!$D$2:$D$451,MATCH(L530,前年度名簿!$F$2:$F$451,0)),""))</f>
        <v/>
      </c>
      <c r="H530" s="44">
        <f>IF(D530="","",IF(ISERROR(VALUE(D530)),D530&amp;"",IF(AND(VALUE(D530)&gt;=1,VALUE(D530)&lt;=20),IF(INDEX(設定!$P$8:$P$27,VALUE(D530))="","？",INDEX(設定!$P$8:$P$27,VALUE(D530))),"？")))</f>
        <v/>
      </c>
      <c r="I530" s="44">
        <f>IF(E530="","",IF(ISERROR(VALUE(E530)),E530&amp;"",IF(AND(VALUE(E530)&gt;=1,VALUE(E530)&lt;=20),IF(INDEX(設定!$P$8:$P$27,VALUE(E530))="","？",INDEX(設定!$P$8:$P$27,VALUE(E530))),"？")))</f>
        <v/>
      </c>
      <c r="J530" s="44">
        <f>IF(F530="","",IF(ISERROR(VALUE(F530)),F530&amp;"",IF(AND(VALUE(F530)&gt;=1,VALUE(F530)&lt;=20),IF(INDEX(設定!$P$8:$P$27,VALUE(F530))="","？",INDEX(設定!$P$8:$P$27,VALUE(F530))),"？")))</f>
        <v/>
      </c>
      <c r="K530" s="45">
        <f>IF(L530="","",IF(G530="","名簿にいない",IF(COUNTIF(L531:L$552,L530)&gt;0,"2回提出（下の行を使います）",IF(OR(H530="？",I530="？",J530="？"),"クラブ番号がちがう",IF(OR(AND(H530&lt;&gt;"",H530&lt;&gt;"？",COUNTIF(設定!$P$8:$P$27,H530)=0),AND(I530&lt;&gt;"",I530&lt;&gt;"？",COUNTIF(設定!$P$8:$P$27,I530)=0),AND(J530&lt;&gt;"",J530&lt;&gt;"？",COUNTIF(設定!$P$8:$P$27,J530)=0)),"クラブ名がちがう",IF(H530="","第1希望がない",IF(OR(AND(H530&lt;&gt;"",H530=I530),AND(H530&lt;&gt;"",H530=J530),AND(I530&lt;&gt;"",I530=J530)),"同じクラブを重複して希望","OK")))))))</f>
        <v/>
      </c>
      <c r="L530" s="8">
        <f>IF(A530="","",A530&amp;"-"&amp;B530&amp;"-"&amp;C530)</f>
        <v/>
      </c>
      <c r="M530" s="8">
        <f>IF(OR(L530="",G530=""),"",IF(COUNTIF(L531:L$552,L530)=0,L530,""))</f>
        <v/>
      </c>
    </row>
    <row r="531">
      <c r="A531" s="40" t="n"/>
      <c r="B531" s="40" t="n"/>
      <c r="C531" s="40" t="n"/>
      <c r="D531" s="40" t="n"/>
      <c r="E531" s="40" t="n"/>
      <c r="F531" s="40" t="n"/>
      <c r="G531" s="3">
        <f>IF(L531="","",IFERROR(INDEX(前年度名簿!$D$2:$D$451,MATCH(L531,前年度名簿!$F$2:$F$451,0)),""))</f>
        <v/>
      </c>
      <c r="H531" s="44">
        <f>IF(D531="","",IF(ISERROR(VALUE(D531)),D531&amp;"",IF(AND(VALUE(D531)&gt;=1,VALUE(D531)&lt;=20),IF(INDEX(設定!$P$8:$P$27,VALUE(D531))="","？",INDEX(設定!$P$8:$P$27,VALUE(D531))),"？")))</f>
        <v/>
      </c>
      <c r="I531" s="44">
        <f>IF(E531="","",IF(ISERROR(VALUE(E531)),E531&amp;"",IF(AND(VALUE(E531)&gt;=1,VALUE(E531)&lt;=20),IF(INDEX(設定!$P$8:$P$27,VALUE(E531))="","？",INDEX(設定!$P$8:$P$27,VALUE(E531))),"？")))</f>
        <v/>
      </c>
      <c r="J531" s="44">
        <f>IF(F531="","",IF(ISERROR(VALUE(F531)),F531&amp;"",IF(AND(VALUE(F531)&gt;=1,VALUE(F531)&lt;=20),IF(INDEX(設定!$P$8:$P$27,VALUE(F531))="","？",INDEX(設定!$P$8:$P$27,VALUE(F531))),"？")))</f>
        <v/>
      </c>
      <c r="K531" s="45">
        <f>IF(L531="","",IF(G531="","名簿にいない",IF(COUNTIF(L532:L$552,L531)&gt;0,"2回提出（下の行を使います）",IF(OR(H531="？",I531="？",J531="？"),"クラブ番号がちがう",IF(OR(AND(H531&lt;&gt;"",H531&lt;&gt;"？",COUNTIF(設定!$P$8:$P$27,H531)=0),AND(I531&lt;&gt;"",I531&lt;&gt;"？",COUNTIF(設定!$P$8:$P$27,I531)=0),AND(J531&lt;&gt;"",J531&lt;&gt;"？",COUNTIF(設定!$P$8:$P$27,J531)=0)),"クラブ名がちがう",IF(H531="","第1希望がない",IF(OR(AND(H531&lt;&gt;"",H531=I531),AND(H531&lt;&gt;"",H531=J531),AND(I531&lt;&gt;"",I531=J531)),"同じクラブを重複して希望","OK")))))))</f>
        <v/>
      </c>
      <c r="L531" s="8">
        <f>IF(A531="","",A531&amp;"-"&amp;B531&amp;"-"&amp;C531)</f>
        <v/>
      </c>
      <c r="M531" s="8">
        <f>IF(OR(L531="",G531=""),"",IF(COUNTIF(L532:L$552,L531)=0,L531,""))</f>
        <v/>
      </c>
    </row>
    <row r="532">
      <c r="A532" s="40" t="n"/>
      <c r="B532" s="40" t="n"/>
      <c r="C532" s="40" t="n"/>
      <c r="D532" s="40" t="n"/>
      <c r="E532" s="40" t="n"/>
      <c r="F532" s="40" t="n"/>
      <c r="G532" s="3">
        <f>IF(L532="","",IFERROR(INDEX(前年度名簿!$D$2:$D$451,MATCH(L532,前年度名簿!$F$2:$F$451,0)),""))</f>
        <v/>
      </c>
      <c r="H532" s="44">
        <f>IF(D532="","",IF(ISERROR(VALUE(D532)),D532&amp;"",IF(AND(VALUE(D532)&gt;=1,VALUE(D532)&lt;=20),IF(INDEX(設定!$P$8:$P$27,VALUE(D532))="","？",INDEX(設定!$P$8:$P$27,VALUE(D532))),"？")))</f>
        <v/>
      </c>
      <c r="I532" s="44">
        <f>IF(E532="","",IF(ISERROR(VALUE(E532)),E532&amp;"",IF(AND(VALUE(E532)&gt;=1,VALUE(E532)&lt;=20),IF(INDEX(設定!$P$8:$P$27,VALUE(E532))="","？",INDEX(設定!$P$8:$P$27,VALUE(E532))),"？")))</f>
        <v/>
      </c>
      <c r="J532" s="44">
        <f>IF(F532="","",IF(ISERROR(VALUE(F532)),F532&amp;"",IF(AND(VALUE(F532)&gt;=1,VALUE(F532)&lt;=20),IF(INDEX(設定!$P$8:$P$27,VALUE(F532))="","？",INDEX(設定!$P$8:$P$27,VALUE(F532))),"？")))</f>
        <v/>
      </c>
      <c r="K532" s="45">
        <f>IF(L532="","",IF(G532="","名簿にいない",IF(COUNTIF(L533:L$552,L532)&gt;0,"2回提出（下の行を使います）",IF(OR(H532="？",I532="？",J532="？"),"クラブ番号がちがう",IF(OR(AND(H532&lt;&gt;"",H532&lt;&gt;"？",COUNTIF(設定!$P$8:$P$27,H532)=0),AND(I532&lt;&gt;"",I532&lt;&gt;"？",COUNTIF(設定!$P$8:$P$27,I532)=0),AND(J532&lt;&gt;"",J532&lt;&gt;"？",COUNTIF(設定!$P$8:$P$27,J532)=0)),"クラブ名がちがう",IF(H532="","第1希望がない",IF(OR(AND(H532&lt;&gt;"",H532=I532),AND(H532&lt;&gt;"",H532=J532),AND(I532&lt;&gt;"",I532=J532)),"同じクラブを重複して希望","OK")))))))</f>
        <v/>
      </c>
      <c r="L532" s="8">
        <f>IF(A532="","",A532&amp;"-"&amp;B532&amp;"-"&amp;C532)</f>
        <v/>
      </c>
      <c r="M532" s="8">
        <f>IF(OR(L532="",G532=""),"",IF(COUNTIF(L533:L$552,L532)=0,L532,""))</f>
        <v/>
      </c>
    </row>
    <row r="533">
      <c r="A533" s="40" t="n"/>
      <c r="B533" s="40" t="n"/>
      <c r="C533" s="40" t="n"/>
      <c r="D533" s="40" t="n"/>
      <c r="E533" s="40" t="n"/>
      <c r="F533" s="40" t="n"/>
      <c r="G533" s="3">
        <f>IF(L533="","",IFERROR(INDEX(前年度名簿!$D$2:$D$451,MATCH(L533,前年度名簿!$F$2:$F$451,0)),""))</f>
        <v/>
      </c>
      <c r="H533" s="44">
        <f>IF(D533="","",IF(ISERROR(VALUE(D533)),D533&amp;"",IF(AND(VALUE(D533)&gt;=1,VALUE(D533)&lt;=20),IF(INDEX(設定!$P$8:$P$27,VALUE(D533))="","？",INDEX(設定!$P$8:$P$27,VALUE(D533))),"？")))</f>
        <v/>
      </c>
      <c r="I533" s="44">
        <f>IF(E533="","",IF(ISERROR(VALUE(E533)),E533&amp;"",IF(AND(VALUE(E533)&gt;=1,VALUE(E533)&lt;=20),IF(INDEX(設定!$P$8:$P$27,VALUE(E533))="","？",INDEX(設定!$P$8:$P$27,VALUE(E533))),"？")))</f>
        <v/>
      </c>
      <c r="J533" s="44">
        <f>IF(F533="","",IF(ISERROR(VALUE(F533)),F533&amp;"",IF(AND(VALUE(F533)&gt;=1,VALUE(F533)&lt;=20),IF(INDEX(設定!$P$8:$P$27,VALUE(F533))="","？",INDEX(設定!$P$8:$P$27,VALUE(F533))),"？")))</f>
        <v/>
      </c>
      <c r="K533" s="45">
        <f>IF(L533="","",IF(G533="","名簿にいない",IF(COUNTIF(L534:L$552,L533)&gt;0,"2回提出（下の行を使います）",IF(OR(H533="？",I533="？",J533="？"),"クラブ番号がちがう",IF(OR(AND(H533&lt;&gt;"",H533&lt;&gt;"？",COUNTIF(設定!$P$8:$P$27,H533)=0),AND(I533&lt;&gt;"",I533&lt;&gt;"？",COUNTIF(設定!$P$8:$P$27,I533)=0),AND(J533&lt;&gt;"",J533&lt;&gt;"？",COUNTIF(設定!$P$8:$P$27,J533)=0)),"クラブ名がちがう",IF(H533="","第1希望がない",IF(OR(AND(H533&lt;&gt;"",H533=I533),AND(H533&lt;&gt;"",H533=J533),AND(I533&lt;&gt;"",I533=J533)),"同じクラブを重複して希望","OK")))))))</f>
        <v/>
      </c>
      <c r="L533" s="8">
        <f>IF(A533="","",A533&amp;"-"&amp;B533&amp;"-"&amp;C533)</f>
        <v/>
      </c>
      <c r="M533" s="8">
        <f>IF(OR(L533="",G533=""),"",IF(COUNTIF(L534:L$552,L533)=0,L533,""))</f>
        <v/>
      </c>
    </row>
    <row r="534">
      <c r="A534" s="40" t="n"/>
      <c r="B534" s="40" t="n"/>
      <c r="C534" s="40" t="n"/>
      <c r="D534" s="40" t="n"/>
      <c r="E534" s="40" t="n"/>
      <c r="F534" s="40" t="n"/>
      <c r="G534" s="3">
        <f>IF(L534="","",IFERROR(INDEX(前年度名簿!$D$2:$D$451,MATCH(L534,前年度名簿!$F$2:$F$451,0)),""))</f>
        <v/>
      </c>
      <c r="H534" s="44">
        <f>IF(D534="","",IF(ISERROR(VALUE(D534)),D534&amp;"",IF(AND(VALUE(D534)&gt;=1,VALUE(D534)&lt;=20),IF(INDEX(設定!$P$8:$P$27,VALUE(D534))="","？",INDEX(設定!$P$8:$P$27,VALUE(D534))),"？")))</f>
        <v/>
      </c>
      <c r="I534" s="44">
        <f>IF(E534="","",IF(ISERROR(VALUE(E534)),E534&amp;"",IF(AND(VALUE(E534)&gt;=1,VALUE(E534)&lt;=20),IF(INDEX(設定!$P$8:$P$27,VALUE(E534))="","？",INDEX(設定!$P$8:$P$27,VALUE(E534))),"？")))</f>
        <v/>
      </c>
      <c r="J534" s="44">
        <f>IF(F534="","",IF(ISERROR(VALUE(F534)),F534&amp;"",IF(AND(VALUE(F534)&gt;=1,VALUE(F534)&lt;=20),IF(INDEX(設定!$P$8:$P$27,VALUE(F534))="","？",INDEX(設定!$P$8:$P$27,VALUE(F534))),"？")))</f>
        <v/>
      </c>
      <c r="K534" s="45">
        <f>IF(L534="","",IF(G534="","名簿にいない",IF(COUNTIF(L535:L$552,L534)&gt;0,"2回提出（下の行を使います）",IF(OR(H534="？",I534="？",J534="？"),"クラブ番号がちがう",IF(OR(AND(H534&lt;&gt;"",H534&lt;&gt;"？",COUNTIF(設定!$P$8:$P$27,H534)=0),AND(I534&lt;&gt;"",I534&lt;&gt;"？",COUNTIF(設定!$P$8:$P$27,I534)=0),AND(J534&lt;&gt;"",J534&lt;&gt;"？",COUNTIF(設定!$P$8:$P$27,J534)=0)),"クラブ名がちがう",IF(H534="","第1希望がない",IF(OR(AND(H534&lt;&gt;"",H534=I534),AND(H534&lt;&gt;"",H534=J534),AND(I534&lt;&gt;"",I534=J534)),"同じクラブを重複して希望","OK")))))))</f>
        <v/>
      </c>
      <c r="L534" s="8">
        <f>IF(A534="","",A534&amp;"-"&amp;B534&amp;"-"&amp;C534)</f>
        <v/>
      </c>
      <c r="M534" s="8">
        <f>IF(OR(L534="",G534=""),"",IF(COUNTIF(L535:L$552,L534)=0,L534,""))</f>
        <v/>
      </c>
    </row>
    <row r="535">
      <c r="A535" s="40" t="n"/>
      <c r="B535" s="40" t="n"/>
      <c r="C535" s="40" t="n"/>
      <c r="D535" s="40" t="n"/>
      <c r="E535" s="40" t="n"/>
      <c r="F535" s="40" t="n"/>
      <c r="G535" s="3">
        <f>IF(L535="","",IFERROR(INDEX(前年度名簿!$D$2:$D$451,MATCH(L535,前年度名簿!$F$2:$F$451,0)),""))</f>
        <v/>
      </c>
      <c r="H535" s="44">
        <f>IF(D535="","",IF(ISERROR(VALUE(D535)),D535&amp;"",IF(AND(VALUE(D535)&gt;=1,VALUE(D535)&lt;=20),IF(INDEX(設定!$P$8:$P$27,VALUE(D535))="","？",INDEX(設定!$P$8:$P$27,VALUE(D535))),"？")))</f>
        <v/>
      </c>
      <c r="I535" s="44">
        <f>IF(E535="","",IF(ISERROR(VALUE(E535)),E535&amp;"",IF(AND(VALUE(E535)&gt;=1,VALUE(E535)&lt;=20),IF(INDEX(設定!$P$8:$P$27,VALUE(E535))="","？",INDEX(設定!$P$8:$P$27,VALUE(E535))),"？")))</f>
        <v/>
      </c>
      <c r="J535" s="44">
        <f>IF(F535="","",IF(ISERROR(VALUE(F535)),F535&amp;"",IF(AND(VALUE(F535)&gt;=1,VALUE(F535)&lt;=20),IF(INDEX(設定!$P$8:$P$27,VALUE(F535))="","？",INDEX(設定!$P$8:$P$27,VALUE(F535))),"？")))</f>
        <v/>
      </c>
      <c r="K535" s="45">
        <f>IF(L535="","",IF(G535="","名簿にいない",IF(COUNTIF(L536:L$552,L535)&gt;0,"2回提出（下の行を使います）",IF(OR(H535="？",I535="？",J535="？"),"クラブ番号がちがう",IF(OR(AND(H535&lt;&gt;"",H535&lt;&gt;"？",COUNTIF(設定!$P$8:$P$27,H535)=0),AND(I535&lt;&gt;"",I535&lt;&gt;"？",COUNTIF(設定!$P$8:$P$27,I535)=0),AND(J535&lt;&gt;"",J535&lt;&gt;"？",COUNTIF(設定!$P$8:$P$27,J535)=0)),"クラブ名がちがう",IF(H535="","第1希望がない",IF(OR(AND(H535&lt;&gt;"",H535=I535),AND(H535&lt;&gt;"",H535=J535),AND(I535&lt;&gt;"",I535=J535)),"同じクラブを重複して希望","OK")))))))</f>
        <v/>
      </c>
      <c r="L535" s="8">
        <f>IF(A535="","",A535&amp;"-"&amp;B535&amp;"-"&amp;C535)</f>
        <v/>
      </c>
      <c r="M535" s="8">
        <f>IF(OR(L535="",G535=""),"",IF(COUNTIF(L536:L$552,L535)=0,L535,""))</f>
        <v/>
      </c>
    </row>
    <row r="536">
      <c r="A536" s="40" t="n"/>
      <c r="B536" s="40" t="n"/>
      <c r="C536" s="40" t="n"/>
      <c r="D536" s="40" t="n"/>
      <c r="E536" s="40" t="n"/>
      <c r="F536" s="40" t="n"/>
      <c r="G536" s="3">
        <f>IF(L536="","",IFERROR(INDEX(前年度名簿!$D$2:$D$451,MATCH(L536,前年度名簿!$F$2:$F$451,0)),""))</f>
        <v/>
      </c>
      <c r="H536" s="44">
        <f>IF(D536="","",IF(ISERROR(VALUE(D536)),D536&amp;"",IF(AND(VALUE(D536)&gt;=1,VALUE(D536)&lt;=20),IF(INDEX(設定!$P$8:$P$27,VALUE(D536))="","？",INDEX(設定!$P$8:$P$27,VALUE(D536))),"？")))</f>
        <v/>
      </c>
      <c r="I536" s="44">
        <f>IF(E536="","",IF(ISERROR(VALUE(E536)),E536&amp;"",IF(AND(VALUE(E536)&gt;=1,VALUE(E536)&lt;=20),IF(INDEX(設定!$P$8:$P$27,VALUE(E536))="","？",INDEX(設定!$P$8:$P$27,VALUE(E536))),"？")))</f>
        <v/>
      </c>
      <c r="J536" s="44">
        <f>IF(F536="","",IF(ISERROR(VALUE(F536)),F536&amp;"",IF(AND(VALUE(F536)&gt;=1,VALUE(F536)&lt;=20),IF(INDEX(設定!$P$8:$P$27,VALUE(F536))="","？",INDEX(設定!$P$8:$P$27,VALUE(F536))),"？")))</f>
        <v/>
      </c>
      <c r="K536" s="45">
        <f>IF(L536="","",IF(G536="","名簿にいない",IF(COUNTIF(L537:L$552,L536)&gt;0,"2回提出（下の行を使います）",IF(OR(H536="？",I536="？",J536="？"),"クラブ番号がちがう",IF(OR(AND(H536&lt;&gt;"",H536&lt;&gt;"？",COUNTIF(設定!$P$8:$P$27,H536)=0),AND(I536&lt;&gt;"",I536&lt;&gt;"？",COUNTIF(設定!$P$8:$P$27,I536)=0),AND(J536&lt;&gt;"",J536&lt;&gt;"？",COUNTIF(設定!$P$8:$P$27,J536)=0)),"クラブ名がちがう",IF(H536="","第1希望がない",IF(OR(AND(H536&lt;&gt;"",H536=I536),AND(H536&lt;&gt;"",H536=J536),AND(I536&lt;&gt;"",I536=J536)),"同じクラブを重複して希望","OK")))))))</f>
        <v/>
      </c>
      <c r="L536" s="8">
        <f>IF(A536="","",A536&amp;"-"&amp;B536&amp;"-"&amp;C536)</f>
        <v/>
      </c>
      <c r="M536" s="8">
        <f>IF(OR(L536="",G536=""),"",IF(COUNTIF(L537:L$552,L536)=0,L536,""))</f>
        <v/>
      </c>
    </row>
    <row r="537">
      <c r="A537" s="40" t="n"/>
      <c r="B537" s="40" t="n"/>
      <c r="C537" s="40" t="n"/>
      <c r="D537" s="40" t="n"/>
      <c r="E537" s="40" t="n"/>
      <c r="F537" s="40" t="n"/>
      <c r="G537" s="3">
        <f>IF(L537="","",IFERROR(INDEX(前年度名簿!$D$2:$D$451,MATCH(L537,前年度名簿!$F$2:$F$451,0)),""))</f>
        <v/>
      </c>
      <c r="H537" s="44">
        <f>IF(D537="","",IF(ISERROR(VALUE(D537)),D537&amp;"",IF(AND(VALUE(D537)&gt;=1,VALUE(D537)&lt;=20),IF(INDEX(設定!$P$8:$P$27,VALUE(D537))="","？",INDEX(設定!$P$8:$P$27,VALUE(D537))),"？")))</f>
        <v/>
      </c>
      <c r="I537" s="44">
        <f>IF(E537="","",IF(ISERROR(VALUE(E537)),E537&amp;"",IF(AND(VALUE(E537)&gt;=1,VALUE(E537)&lt;=20),IF(INDEX(設定!$P$8:$P$27,VALUE(E537))="","？",INDEX(設定!$P$8:$P$27,VALUE(E537))),"？")))</f>
        <v/>
      </c>
      <c r="J537" s="44">
        <f>IF(F537="","",IF(ISERROR(VALUE(F537)),F537&amp;"",IF(AND(VALUE(F537)&gt;=1,VALUE(F537)&lt;=20),IF(INDEX(設定!$P$8:$P$27,VALUE(F537))="","？",INDEX(設定!$P$8:$P$27,VALUE(F537))),"？")))</f>
        <v/>
      </c>
      <c r="K537" s="45">
        <f>IF(L537="","",IF(G537="","名簿にいない",IF(COUNTIF(L538:L$552,L537)&gt;0,"2回提出（下の行を使います）",IF(OR(H537="？",I537="？",J537="？"),"クラブ番号がちがう",IF(OR(AND(H537&lt;&gt;"",H537&lt;&gt;"？",COUNTIF(設定!$P$8:$P$27,H537)=0),AND(I537&lt;&gt;"",I537&lt;&gt;"？",COUNTIF(設定!$P$8:$P$27,I537)=0),AND(J537&lt;&gt;"",J537&lt;&gt;"？",COUNTIF(設定!$P$8:$P$27,J537)=0)),"クラブ名がちがう",IF(H537="","第1希望がない",IF(OR(AND(H537&lt;&gt;"",H537=I537),AND(H537&lt;&gt;"",H537=J537),AND(I537&lt;&gt;"",I537=J537)),"同じクラブを重複して希望","OK")))))))</f>
        <v/>
      </c>
      <c r="L537" s="8">
        <f>IF(A537="","",A537&amp;"-"&amp;B537&amp;"-"&amp;C537)</f>
        <v/>
      </c>
      <c r="M537" s="8">
        <f>IF(OR(L537="",G537=""),"",IF(COUNTIF(L538:L$552,L537)=0,L537,""))</f>
        <v/>
      </c>
    </row>
    <row r="538">
      <c r="A538" s="40" t="n"/>
      <c r="B538" s="40" t="n"/>
      <c r="C538" s="40" t="n"/>
      <c r="D538" s="40" t="n"/>
      <c r="E538" s="40" t="n"/>
      <c r="F538" s="40" t="n"/>
      <c r="G538" s="3">
        <f>IF(L538="","",IFERROR(INDEX(前年度名簿!$D$2:$D$451,MATCH(L538,前年度名簿!$F$2:$F$451,0)),""))</f>
        <v/>
      </c>
      <c r="H538" s="44">
        <f>IF(D538="","",IF(ISERROR(VALUE(D538)),D538&amp;"",IF(AND(VALUE(D538)&gt;=1,VALUE(D538)&lt;=20),IF(INDEX(設定!$P$8:$P$27,VALUE(D538))="","？",INDEX(設定!$P$8:$P$27,VALUE(D538))),"？")))</f>
        <v/>
      </c>
      <c r="I538" s="44">
        <f>IF(E538="","",IF(ISERROR(VALUE(E538)),E538&amp;"",IF(AND(VALUE(E538)&gt;=1,VALUE(E538)&lt;=20),IF(INDEX(設定!$P$8:$P$27,VALUE(E538))="","？",INDEX(設定!$P$8:$P$27,VALUE(E538))),"？")))</f>
        <v/>
      </c>
      <c r="J538" s="44">
        <f>IF(F538="","",IF(ISERROR(VALUE(F538)),F538&amp;"",IF(AND(VALUE(F538)&gt;=1,VALUE(F538)&lt;=20),IF(INDEX(設定!$P$8:$P$27,VALUE(F538))="","？",INDEX(設定!$P$8:$P$27,VALUE(F538))),"？")))</f>
        <v/>
      </c>
      <c r="K538" s="45">
        <f>IF(L538="","",IF(G538="","名簿にいない",IF(COUNTIF(L539:L$552,L538)&gt;0,"2回提出（下の行を使います）",IF(OR(H538="？",I538="？",J538="？"),"クラブ番号がちがう",IF(OR(AND(H538&lt;&gt;"",H538&lt;&gt;"？",COUNTIF(設定!$P$8:$P$27,H538)=0),AND(I538&lt;&gt;"",I538&lt;&gt;"？",COUNTIF(設定!$P$8:$P$27,I538)=0),AND(J538&lt;&gt;"",J538&lt;&gt;"？",COUNTIF(設定!$P$8:$P$27,J538)=0)),"クラブ名がちがう",IF(H538="","第1希望がない",IF(OR(AND(H538&lt;&gt;"",H538=I538),AND(H538&lt;&gt;"",H538=J538),AND(I538&lt;&gt;"",I538=J538)),"同じクラブを重複して希望","OK")))))))</f>
        <v/>
      </c>
      <c r="L538" s="8">
        <f>IF(A538="","",A538&amp;"-"&amp;B538&amp;"-"&amp;C538)</f>
        <v/>
      </c>
      <c r="M538" s="8">
        <f>IF(OR(L538="",G538=""),"",IF(COUNTIF(L539:L$552,L538)=0,L538,""))</f>
        <v/>
      </c>
    </row>
    <row r="539">
      <c r="A539" s="40" t="n"/>
      <c r="B539" s="40" t="n"/>
      <c r="C539" s="40" t="n"/>
      <c r="D539" s="40" t="n"/>
      <c r="E539" s="40" t="n"/>
      <c r="F539" s="40" t="n"/>
      <c r="G539" s="3">
        <f>IF(L539="","",IFERROR(INDEX(前年度名簿!$D$2:$D$451,MATCH(L539,前年度名簿!$F$2:$F$451,0)),""))</f>
        <v/>
      </c>
      <c r="H539" s="44">
        <f>IF(D539="","",IF(ISERROR(VALUE(D539)),D539&amp;"",IF(AND(VALUE(D539)&gt;=1,VALUE(D539)&lt;=20),IF(INDEX(設定!$P$8:$P$27,VALUE(D539))="","？",INDEX(設定!$P$8:$P$27,VALUE(D539))),"？")))</f>
        <v/>
      </c>
      <c r="I539" s="44">
        <f>IF(E539="","",IF(ISERROR(VALUE(E539)),E539&amp;"",IF(AND(VALUE(E539)&gt;=1,VALUE(E539)&lt;=20),IF(INDEX(設定!$P$8:$P$27,VALUE(E539))="","？",INDEX(設定!$P$8:$P$27,VALUE(E539))),"？")))</f>
        <v/>
      </c>
      <c r="J539" s="44">
        <f>IF(F539="","",IF(ISERROR(VALUE(F539)),F539&amp;"",IF(AND(VALUE(F539)&gt;=1,VALUE(F539)&lt;=20),IF(INDEX(設定!$P$8:$P$27,VALUE(F539))="","？",INDEX(設定!$P$8:$P$27,VALUE(F539))),"？")))</f>
        <v/>
      </c>
      <c r="K539" s="45">
        <f>IF(L539="","",IF(G539="","名簿にいない",IF(COUNTIF(L540:L$552,L539)&gt;0,"2回提出（下の行を使います）",IF(OR(H539="？",I539="？",J539="？"),"クラブ番号がちがう",IF(OR(AND(H539&lt;&gt;"",H539&lt;&gt;"？",COUNTIF(設定!$P$8:$P$27,H539)=0),AND(I539&lt;&gt;"",I539&lt;&gt;"？",COUNTIF(設定!$P$8:$P$27,I539)=0),AND(J539&lt;&gt;"",J539&lt;&gt;"？",COUNTIF(設定!$P$8:$P$27,J539)=0)),"クラブ名がちがう",IF(H539="","第1希望がない",IF(OR(AND(H539&lt;&gt;"",H539=I539),AND(H539&lt;&gt;"",H539=J539),AND(I539&lt;&gt;"",I539=J539)),"同じクラブを重複して希望","OK")))))))</f>
        <v/>
      </c>
      <c r="L539" s="8">
        <f>IF(A539="","",A539&amp;"-"&amp;B539&amp;"-"&amp;C539)</f>
        <v/>
      </c>
      <c r="M539" s="8">
        <f>IF(OR(L539="",G539=""),"",IF(COUNTIF(L540:L$552,L539)=0,L539,""))</f>
        <v/>
      </c>
    </row>
    <row r="540">
      <c r="A540" s="40" t="n"/>
      <c r="B540" s="40" t="n"/>
      <c r="C540" s="40" t="n"/>
      <c r="D540" s="40" t="n"/>
      <c r="E540" s="40" t="n"/>
      <c r="F540" s="40" t="n"/>
      <c r="G540" s="3">
        <f>IF(L540="","",IFERROR(INDEX(前年度名簿!$D$2:$D$451,MATCH(L540,前年度名簿!$F$2:$F$451,0)),""))</f>
        <v/>
      </c>
      <c r="H540" s="44">
        <f>IF(D540="","",IF(ISERROR(VALUE(D540)),D540&amp;"",IF(AND(VALUE(D540)&gt;=1,VALUE(D540)&lt;=20),IF(INDEX(設定!$P$8:$P$27,VALUE(D540))="","？",INDEX(設定!$P$8:$P$27,VALUE(D540))),"？")))</f>
        <v/>
      </c>
      <c r="I540" s="44">
        <f>IF(E540="","",IF(ISERROR(VALUE(E540)),E540&amp;"",IF(AND(VALUE(E540)&gt;=1,VALUE(E540)&lt;=20),IF(INDEX(設定!$P$8:$P$27,VALUE(E540))="","？",INDEX(設定!$P$8:$P$27,VALUE(E540))),"？")))</f>
        <v/>
      </c>
      <c r="J540" s="44">
        <f>IF(F540="","",IF(ISERROR(VALUE(F540)),F540&amp;"",IF(AND(VALUE(F540)&gt;=1,VALUE(F540)&lt;=20),IF(INDEX(設定!$P$8:$P$27,VALUE(F540))="","？",INDEX(設定!$P$8:$P$27,VALUE(F540))),"？")))</f>
        <v/>
      </c>
      <c r="K540" s="45">
        <f>IF(L540="","",IF(G540="","名簿にいない",IF(COUNTIF(L541:L$552,L540)&gt;0,"2回提出（下の行を使います）",IF(OR(H540="？",I540="？",J540="？"),"クラブ番号がちがう",IF(OR(AND(H540&lt;&gt;"",H540&lt;&gt;"？",COUNTIF(設定!$P$8:$P$27,H540)=0),AND(I540&lt;&gt;"",I540&lt;&gt;"？",COUNTIF(設定!$P$8:$P$27,I540)=0),AND(J540&lt;&gt;"",J540&lt;&gt;"？",COUNTIF(設定!$P$8:$P$27,J540)=0)),"クラブ名がちがう",IF(H540="","第1希望がない",IF(OR(AND(H540&lt;&gt;"",H540=I540),AND(H540&lt;&gt;"",H540=J540),AND(I540&lt;&gt;"",I540=J540)),"同じクラブを重複して希望","OK")))))))</f>
        <v/>
      </c>
      <c r="L540" s="8">
        <f>IF(A540="","",A540&amp;"-"&amp;B540&amp;"-"&amp;C540)</f>
        <v/>
      </c>
      <c r="M540" s="8">
        <f>IF(OR(L540="",G540=""),"",IF(COUNTIF(L541:L$552,L540)=0,L540,""))</f>
        <v/>
      </c>
    </row>
    <row r="541">
      <c r="A541" s="40" t="n"/>
      <c r="B541" s="40" t="n"/>
      <c r="C541" s="40" t="n"/>
      <c r="D541" s="40" t="n"/>
      <c r="E541" s="40" t="n"/>
      <c r="F541" s="40" t="n"/>
      <c r="G541" s="3">
        <f>IF(L541="","",IFERROR(INDEX(前年度名簿!$D$2:$D$451,MATCH(L541,前年度名簿!$F$2:$F$451,0)),""))</f>
        <v/>
      </c>
      <c r="H541" s="44">
        <f>IF(D541="","",IF(ISERROR(VALUE(D541)),D541&amp;"",IF(AND(VALUE(D541)&gt;=1,VALUE(D541)&lt;=20),IF(INDEX(設定!$P$8:$P$27,VALUE(D541))="","？",INDEX(設定!$P$8:$P$27,VALUE(D541))),"？")))</f>
        <v/>
      </c>
      <c r="I541" s="44">
        <f>IF(E541="","",IF(ISERROR(VALUE(E541)),E541&amp;"",IF(AND(VALUE(E541)&gt;=1,VALUE(E541)&lt;=20),IF(INDEX(設定!$P$8:$P$27,VALUE(E541))="","？",INDEX(設定!$P$8:$P$27,VALUE(E541))),"？")))</f>
        <v/>
      </c>
      <c r="J541" s="44">
        <f>IF(F541="","",IF(ISERROR(VALUE(F541)),F541&amp;"",IF(AND(VALUE(F541)&gt;=1,VALUE(F541)&lt;=20),IF(INDEX(設定!$P$8:$P$27,VALUE(F541))="","？",INDEX(設定!$P$8:$P$27,VALUE(F541))),"？")))</f>
        <v/>
      </c>
      <c r="K541" s="45">
        <f>IF(L541="","",IF(G541="","名簿にいない",IF(COUNTIF(L542:L$552,L541)&gt;0,"2回提出（下の行を使います）",IF(OR(H541="？",I541="？",J541="？"),"クラブ番号がちがう",IF(OR(AND(H541&lt;&gt;"",H541&lt;&gt;"？",COUNTIF(設定!$P$8:$P$27,H541)=0),AND(I541&lt;&gt;"",I541&lt;&gt;"？",COUNTIF(設定!$P$8:$P$27,I541)=0),AND(J541&lt;&gt;"",J541&lt;&gt;"？",COUNTIF(設定!$P$8:$P$27,J541)=0)),"クラブ名がちがう",IF(H541="","第1希望がない",IF(OR(AND(H541&lt;&gt;"",H541=I541),AND(H541&lt;&gt;"",H541=J541),AND(I541&lt;&gt;"",I541=J541)),"同じクラブを重複して希望","OK")))))))</f>
        <v/>
      </c>
      <c r="L541" s="8">
        <f>IF(A541="","",A541&amp;"-"&amp;B541&amp;"-"&amp;C541)</f>
        <v/>
      </c>
      <c r="M541" s="8">
        <f>IF(OR(L541="",G541=""),"",IF(COUNTIF(L542:L$552,L541)=0,L541,""))</f>
        <v/>
      </c>
    </row>
    <row r="542">
      <c r="A542" s="40" t="n"/>
      <c r="B542" s="40" t="n"/>
      <c r="C542" s="40" t="n"/>
      <c r="D542" s="40" t="n"/>
      <c r="E542" s="40" t="n"/>
      <c r="F542" s="40" t="n"/>
      <c r="G542" s="3">
        <f>IF(L542="","",IFERROR(INDEX(前年度名簿!$D$2:$D$451,MATCH(L542,前年度名簿!$F$2:$F$451,0)),""))</f>
        <v/>
      </c>
      <c r="H542" s="44">
        <f>IF(D542="","",IF(ISERROR(VALUE(D542)),D542&amp;"",IF(AND(VALUE(D542)&gt;=1,VALUE(D542)&lt;=20),IF(INDEX(設定!$P$8:$P$27,VALUE(D542))="","？",INDEX(設定!$P$8:$P$27,VALUE(D542))),"？")))</f>
        <v/>
      </c>
      <c r="I542" s="44">
        <f>IF(E542="","",IF(ISERROR(VALUE(E542)),E542&amp;"",IF(AND(VALUE(E542)&gt;=1,VALUE(E542)&lt;=20),IF(INDEX(設定!$P$8:$P$27,VALUE(E542))="","？",INDEX(設定!$P$8:$P$27,VALUE(E542))),"？")))</f>
        <v/>
      </c>
      <c r="J542" s="44">
        <f>IF(F542="","",IF(ISERROR(VALUE(F542)),F542&amp;"",IF(AND(VALUE(F542)&gt;=1,VALUE(F542)&lt;=20),IF(INDEX(設定!$P$8:$P$27,VALUE(F542))="","？",INDEX(設定!$P$8:$P$27,VALUE(F542))),"？")))</f>
        <v/>
      </c>
      <c r="K542" s="45">
        <f>IF(L542="","",IF(G542="","名簿にいない",IF(COUNTIF(L543:L$552,L542)&gt;0,"2回提出（下の行を使います）",IF(OR(H542="？",I542="？",J542="？"),"クラブ番号がちがう",IF(OR(AND(H542&lt;&gt;"",H542&lt;&gt;"？",COUNTIF(設定!$P$8:$P$27,H542)=0),AND(I542&lt;&gt;"",I542&lt;&gt;"？",COUNTIF(設定!$P$8:$P$27,I542)=0),AND(J542&lt;&gt;"",J542&lt;&gt;"？",COUNTIF(設定!$P$8:$P$27,J542)=0)),"クラブ名がちがう",IF(H542="","第1希望がない",IF(OR(AND(H542&lt;&gt;"",H542=I542),AND(H542&lt;&gt;"",H542=J542),AND(I542&lt;&gt;"",I542=J542)),"同じクラブを重複して希望","OK")))))))</f>
        <v/>
      </c>
      <c r="L542" s="8">
        <f>IF(A542="","",A542&amp;"-"&amp;B542&amp;"-"&amp;C542)</f>
        <v/>
      </c>
      <c r="M542" s="8">
        <f>IF(OR(L542="",G542=""),"",IF(COUNTIF(L543:L$552,L542)=0,L542,""))</f>
        <v/>
      </c>
    </row>
    <row r="543">
      <c r="A543" s="40" t="n"/>
      <c r="B543" s="40" t="n"/>
      <c r="C543" s="40" t="n"/>
      <c r="D543" s="40" t="n"/>
      <c r="E543" s="40" t="n"/>
      <c r="F543" s="40" t="n"/>
      <c r="G543" s="3">
        <f>IF(L543="","",IFERROR(INDEX(前年度名簿!$D$2:$D$451,MATCH(L543,前年度名簿!$F$2:$F$451,0)),""))</f>
        <v/>
      </c>
      <c r="H543" s="44">
        <f>IF(D543="","",IF(ISERROR(VALUE(D543)),D543&amp;"",IF(AND(VALUE(D543)&gt;=1,VALUE(D543)&lt;=20),IF(INDEX(設定!$P$8:$P$27,VALUE(D543))="","？",INDEX(設定!$P$8:$P$27,VALUE(D543))),"？")))</f>
        <v/>
      </c>
      <c r="I543" s="44">
        <f>IF(E543="","",IF(ISERROR(VALUE(E543)),E543&amp;"",IF(AND(VALUE(E543)&gt;=1,VALUE(E543)&lt;=20),IF(INDEX(設定!$P$8:$P$27,VALUE(E543))="","？",INDEX(設定!$P$8:$P$27,VALUE(E543))),"？")))</f>
        <v/>
      </c>
      <c r="J543" s="44">
        <f>IF(F543="","",IF(ISERROR(VALUE(F543)),F543&amp;"",IF(AND(VALUE(F543)&gt;=1,VALUE(F543)&lt;=20),IF(INDEX(設定!$P$8:$P$27,VALUE(F543))="","？",INDEX(設定!$P$8:$P$27,VALUE(F543))),"？")))</f>
        <v/>
      </c>
      <c r="K543" s="45">
        <f>IF(L543="","",IF(G543="","名簿にいない",IF(COUNTIF(L544:L$552,L543)&gt;0,"2回提出（下の行を使います）",IF(OR(H543="？",I543="？",J543="？"),"クラブ番号がちがう",IF(OR(AND(H543&lt;&gt;"",H543&lt;&gt;"？",COUNTIF(設定!$P$8:$P$27,H543)=0),AND(I543&lt;&gt;"",I543&lt;&gt;"？",COUNTIF(設定!$P$8:$P$27,I543)=0),AND(J543&lt;&gt;"",J543&lt;&gt;"？",COUNTIF(設定!$P$8:$P$27,J543)=0)),"クラブ名がちがう",IF(H543="","第1希望がない",IF(OR(AND(H543&lt;&gt;"",H543=I543),AND(H543&lt;&gt;"",H543=J543),AND(I543&lt;&gt;"",I543=J543)),"同じクラブを重複して希望","OK")))))))</f>
        <v/>
      </c>
      <c r="L543" s="8">
        <f>IF(A543="","",A543&amp;"-"&amp;B543&amp;"-"&amp;C543)</f>
        <v/>
      </c>
      <c r="M543" s="8">
        <f>IF(OR(L543="",G543=""),"",IF(COUNTIF(L544:L$552,L543)=0,L543,""))</f>
        <v/>
      </c>
    </row>
    <row r="544">
      <c r="A544" s="40" t="n"/>
      <c r="B544" s="40" t="n"/>
      <c r="C544" s="40" t="n"/>
      <c r="D544" s="40" t="n"/>
      <c r="E544" s="40" t="n"/>
      <c r="F544" s="40" t="n"/>
      <c r="G544" s="3">
        <f>IF(L544="","",IFERROR(INDEX(前年度名簿!$D$2:$D$451,MATCH(L544,前年度名簿!$F$2:$F$451,0)),""))</f>
        <v/>
      </c>
      <c r="H544" s="44">
        <f>IF(D544="","",IF(ISERROR(VALUE(D544)),D544&amp;"",IF(AND(VALUE(D544)&gt;=1,VALUE(D544)&lt;=20),IF(INDEX(設定!$P$8:$P$27,VALUE(D544))="","？",INDEX(設定!$P$8:$P$27,VALUE(D544))),"？")))</f>
        <v/>
      </c>
      <c r="I544" s="44">
        <f>IF(E544="","",IF(ISERROR(VALUE(E544)),E544&amp;"",IF(AND(VALUE(E544)&gt;=1,VALUE(E544)&lt;=20),IF(INDEX(設定!$P$8:$P$27,VALUE(E544))="","？",INDEX(設定!$P$8:$P$27,VALUE(E544))),"？")))</f>
        <v/>
      </c>
      <c r="J544" s="44">
        <f>IF(F544="","",IF(ISERROR(VALUE(F544)),F544&amp;"",IF(AND(VALUE(F544)&gt;=1,VALUE(F544)&lt;=20),IF(INDEX(設定!$P$8:$P$27,VALUE(F544))="","？",INDEX(設定!$P$8:$P$27,VALUE(F544))),"？")))</f>
        <v/>
      </c>
      <c r="K544" s="45">
        <f>IF(L544="","",IF(G544="","名簿にいない",IF(COUNTIF(L545:L$552,L544)&gt;0,"2回提出（下の行を使います）",IF(OR(H544="？",I544="？",J544="？"),"クラブ番号がちがう",IF(OR(AND(H544&lt;&gt;"",H544&lt;&gt;"？",COUNTIF(設定!$P$8:$P$27,H544)=0),AND(I544&lt;&gt;"",I544&lt;&gt;"？",COUNTIF(設定!$P$8:$P$27,I544)=0),AND(J544&lt;&gt;"",J544&lt;&gt;"？",COUNTIF(設定!$P$8:$P$27,J544)=0)),"クラブ名がちがう",IF(H544="","第1希望がない",IF(OR(AND(H544&lt;&gt;"",H544=I544),AND(H544&lt;&gt;"",H544=J544),AND(I544&lt;&gt;"",I544=J544)),"同じクラブを重複して希望","OK")))))))</f>
        <v/>
      </c>
      <c r="L544" s="8">
        <f>IF(A544="","",A544&amp;"-"&amp;B544&amp;"-"&amp;C544)</f>
        <v/>
      </c>
      <c r="M544" s="8">
        <f>IF(OR(L544="",G544=""),"",IF(COUNTIF(L545:L$552,L544)=0,L544,""))</f>
        <v/>
      </c>
    </row>
    <row r="545">
      <c r="A545" s="40" t="n"/>
      <c r="B545" s="40" t="n"/>
      <c r="C545" s="40" t="n"/>
      <c r="D545" s="40" t="n"/>
      <c r="E545" s="40" t="n"/>
      <c r="F545" s="40" t="n"/>
      <c r="G545" s="3">
        <f>IF(L545="","",IFERROR(INDEX(前年度名簿!$D$2:$D$451,MATCH(L545,前年度名簿!$F$2:$F$451,0)),""))</f>
        <v/>
      </c>
      <c r="H545" s="44">
        <f>IF(D545="","",IF(ISERROR(VALUE(D545)),D545&amp;"",IF(AND(VALUE(D545)&gt;=1,VALUE(D545)&lt;=20),IF(INDEX(設定!$P$8:$P$27,VALUE(D545))="","？",INDEX(設定!$P$8:$P$27,VALUE(D545))),"？")))</f>
        <v/>
      </c>
      <c r="I545" s="44">
        <f>IF(E545="","",IF(ISERROR(VALUE(E545)),E545&amp;"",IF(AND(VALUE(E545)&gt;=1,VALUE(E545)&lt;=20),IF(INDEX(設定!$P$8:$P$27,VALUE(E545))="","？",INDEX(設定!$P$8:$P$27,VALUE(E545))),"？")))</f>
        <v/>
      </c>
      <c r="J545" s="44">
        <f>IF(F545="","",IF(ISERROR(VALUE(F545)),F545&amp;"",IF(AND(VALUE(F545)&gt;=1,VALUE(F545)&lt;=20),IF(INDEX(設定!$P$8:$P$27,VALUE(F545))="","？",INDEX(設定!$P$8:$P$27,VALUE(F545))),"？")))</f>
        <v/>
      </c>
      <c r="K545" s="45">
        <f>IF(L545="","",IF(G545="","名簿にいない",IF(COUNTIF(L546:L$552,L545)&gt;0,"2回提出（下の行を使います）",IF(OR(H545="？",I545="？",J545="？"),"クラブ番号がちがう",IF(OR(AND(H545&lt;&gt;"",H545&lt;&gt;"？",COUNTIF(設定!$P$8:$P$27,H545)=0),AND(I545&lt;&gt;"",I545&lt;&gt;"？",COUNTIF(設定!$P$8:$P$27,I545)=0),AND(J545&lt;&gt;"",J545&lt;&gt;"？",COUNTIF(設定!$P$8:$P$27,J545)=0)),"クラブ名がちがう",IF(H545="","第1希望がない",IF(OR(AND(H545&lt;&gt;"",H545=I545),AND(H545&lt;&gt;"",H545=J545),AND(I545&lt;&gt;"",I545=J545)),"同じクラブを重複して希望","OK")))))))</f>
        <v/>
      </c>
      <c r="L545" s="8">
        <f>IF(A545="","",A545&amp;"-"&amp;B545&amp;"-"&amp;C545)</f>
        <v/>
      </c>
      <c r="M545" s="8">
        <f>IF(OR(L545="",G545=""),"",IF(COUNTIF(L546:L$552,L545)=0,L545,""))</f>
        <v/>
      </c>
    </row>
    <row r="546">
      <c r="A546" s="40" t="n"/>
      <c r="B546" s="40" t="n"/>
      <c r="C546" s="40" t="n"/>
      <c r="D546" s="40" t="n"/>
      <c r="E546" s="40" t="n"/>
      <c r="F546" s="40" t="n"/>
      <c r="G546" s="3">
        <f>IF(L546="","",IFERROR(INDEX(前年度名簿!$D$2:$D$451,MATCH(L546,前年度名簿!$F$2:$F$451,0)),""))</f>
        <v/>
      </c>
      <c r="H546" s="44">
        <f>IF(D546="","",IF(ISERROR(VALUE(D546)),D546&amp;"",IF(AND(VALUE(D546)&gt;=1,VALUE(D546)&lt;=20),IF(INDEX(設定!$P$8:$P$27,VALUE(D546))="","？",INDEX(設定!$P$8:$P$27,VALUE(D546))),"？")))</f>
        <v/>
      </c>
      <c r="I546" s="44">
        <f>IF(E546="","",IF(ISERROR(VALUE(E546)),E546&amp;"",IF(AND(VALUE(E546)&gt;=1,VALUE(E546)&lt;=20),IF(INDEX(設定!$P$8:$P$27,VALUE(E546))="","？",INDEX(設定!$P$8:$P$27,VALUE(E546))),"？")))</f>
        <v/>
      </c>
      <c r="J546" s="44">
        <f>IF(F546="","",IF(ISERROR(VALUE(F546)),F546&amp;"",IF(AND(VALUE(F546)&gt;=1,VALUE(F546)&lt;=20),IF(INDEX(設定!$P$8:$P$27,VALUE(F546))="","？",INDEX(設定!$P$8:$P$27,VALUE(F546))),"？")))</f>
        <v/>
      </c>
      <c r="K546" s="45">
        <f>IF(L546="","",IF(G546="","名簿にいない",IF(COUNTIF(L547:L$552,L546)&gt;0,"2回提出（下の行を使います）",IF(OR(H546="？",I546="？",J546="？"),"クラブ番号がちがう",IF(OR(AND(H546&lt;&gt;"",H546&lt;&gt;"？",COUNTIF(設定!$P$8:$P$27,H546)=0),AND(I546&lt;&gt;"",I546&lt;&gt;"？",COUNTIF(設定!$P$8:$P$27,I546)=0),AND(J546&lt;&gt;"",J546&lt;&gt;"？",COUNTIF(設定!$P$8:$P$27,J546)=0)),"クラブ名がちがう",IF(H546="","第1希望がない",IF(OR(AND(H546&lt;&gt;"",H546=I546),AND(H546&lt;&gt;"",H546=J546),AND(I546&lt;&gt;"",I546=J546)),"同じクラブを重複して希望","OK")))))))</f>
        <v/>
      </c>
      <c r="L546" s="8">
        <f>IF(A546="","",A546&amp;"-"&amp;B546&amp;"-"&amp;C546)</f>
        <v/>
      </c>
      <c r="M546" s="8">
        <f>IF(OR(L546="",G546=""),"",IF(COUNTIF(L547:L$552,L546)=0,L546,""))</f>
        <v/>
      </c>
    </row>
    <row r="547">
      <c r="A547" s="40" t="n"/>
      <c r="B547" s="40" t="n"/>
      <c r="C547" s="40" t="n"/>
      <c r="D547" s="40" t="n"/>
      <c r="E547" s="40" t="n"/>
      <c r="F547" s="40" t="n"/>
      <c r="G547" s="3">
        <f>IF(L547="","",IFERROR(INDEX(前年度名簿!$D$2:$D$451,MATCH(L547,前年度名簿!$F$2:$F$451,0)),""))</f>
        <v/>
      </c>
      <c r="H547" s="44">
        <f>IF(D547="","",IF(ISERROR(VALUE(D547)),D547&amp;"",IF(AND(VALUE(D547)&gt;=1,VALUE(D547)&lt;=20),IF(INDEX(設定!$P$8:$P$27,VALUE(D547))="","？",INDEX(設定!$P$8:$P$27,VALUE(D547))),"？")))</f>
        <v/>
      </c>
      <c r="I547" s="44">
        <f>IF(E547="","",IF(ISERROR(VALUE(E547)),E547&amp;"",IF(AND(VALUE(E547)&gt;=1,VALUE(E547)&lt;=20),IF(INDEX(設定!$P$8:$P$27,VALUE(E547))="","？",INDEX(設定!$P$8:$P$27,VALUE(E547))),"？")))</f>
        <v/>
      </c>
      <c r="J547" s="44">
        <f>IF(F547="","",IF(ISERROR(VALUE(F547)),F547&amp;"",IF(AND(VALUE(F547)&gt;=1,VALUE(F547)&lt;=20),IF(INDEX(設定!$P$8:$P$27,VALUE(F547))="","？",INDEX(設定!$P$8:$P$27,VALUE(F547))),"？")))</f>
        <v/>
      </c>
      <c r="K547" s="45">
        <f>IF(L547="","",IF(G547="","名簿にいない",IF(COUNTIF(L548:L$552,L547)&gt;0,"2回提出（下の行を使います）",IF(OR(H547="？",I547="？",J547="？"),"クラブ番号がちがう",IF(OR(AND(H547&lt;&gt;"",H547&lt;&gt;"？",COUNTIF(設定!$P$8:$P$27,H547)=0),AND(I547&lt;&gt;"",I547&lt;&gt;"？",COUNTIF(設定!$P$8:$P$27,I547)=0),AND(J547&lt;&gt;"",J547&lt;&gt;"？",COUNTIF(設定!$P$8:$P$27,J547)=0)),"クラブ名がちがう",IF(H547="","第1希望がない",IF(OR(AND(H547&lt;&gt;"",H547=I547),AND(H547&lt;&gt;"",H547=J547),AND(I547&lt;&gt;"",I547=J547)),"同じクラブを重複して希望","OK")))))))</f>
        <v/>
      </c>
      <c r="L547" s="8">
        <f>IF(A547="","",A547&amp;"-"&amp;B547&amp;"-"&amp;C547)</f>
        <v/>
      </c>
      <c r="M547" s="8">
        <f>IF(OR(L547="",G547=""),"",IF(COUNTIF(L548:L$552,L547)=0,L547,""))</f>
        <v/>
      </c>
    </row>
    <row r="548">
      <c r="A548" s="40" t="n"/>
      <c r="B548" s="40" t="n"/>
      <c r="C548" s="40" t="n"/>
      <c r="D548" s="40" t="n"/>
      <c r="E548" s="40" t="n"/>
      <c r="F548" s="40" t="n"/>
      <c r="G548" s="3">
        <f>IF(L548="","",IFERROR(INDEX(前年度名簿!$D$2:$D$451,MATCH(L548,前年度名簿!$F$2:$F$451,0)),""))</f>
        <v/>
      </c>
      <c r="H548" s="44">
        <f>IF(D548="","",IF(ISERROR(VALUE(D548)),D548&amp;"",IF(AND(VALUE(D548)&gt;=1,VALUE(D548)&lt;=20),IF(INDEX(設定!$P$8:$P$27,VALUE(D548))="","？",INDEX(設定!$P$8:$P$27,VALUE(D548))),"？")))</f>
        <v/>
      </c>
      <c r="I548" s="44">
        <f>IF(E548="","",IF(ISERROR(VALUE(E548)),E548&amp;"",IF(AND(VALUE(E548)&gt;=1,VALUE(E548)&lt;=20),IF(INDEX(設定!$P$8:$P$27,VALUE(E548))="","？",INDEX(設定!$P$8:$P$27,VALUE(E548))),"？")))</f>
        <v/>
      </c>
      <c r="J548" s="44">
        <f>IF(F548="","",IF(ISERROR(VALUE(F548)),F548&amp;"",IF(AND(VALUE(F548)&gt;=1,VALUE(F548)&lt;=20),IF(INDEX(設定!$P$8:$P$27,VALUE(F548))="","？",INDEX(設定!$P$8:$P$27,VALUE(F548))),"？")))</f>
        <v/>
      </c>
      <c r="K548" s="45">
        <f>IF(L548="","",IF(G548="","名簿にいない",IF(COUNTIF(L549:L$552,L548)&gt;0,"2回提出（下の行を使います）",IF(OR(H548="？",I548="？",J548="？"),"クラブ番号がちがう",IF(OR(AND(H548&lt;&gt;"",H548&lt;&gt;"？",COUNTIF(設定!$P$8:$P$27,H548)=0),AND(I548&lt;&gt;"",I548&lt;&gt;"？",COUNTIF(設定!$P$8:$P$27,I548)=0),AND(J548&lt;&gt;"",J548&lt;&gt;"？",COUNTIF(設定!$P$8:$P$27,J548)=0)),"クラブ名がちがう",IF(H548="","第1希望がない",IF(OR(AND(H548&lt;&gt;"",H548=I548),AND(H548&lt;&gt;"",H548=J548),AND(I548&lt;&gt;"",I548=J548)),"同じクラブを重複して希望","OK")))))))</f>
        <v/>
      </c>
      <c r="L548" s="8">
        <f>IF(A548="","",A548&amp;"-"&amp;B548&amp;"-"&amp;C548)</f>
        <v/>
      </c>
      <c r="M548" s="8">
        <f>IF(OR(L548="",G548=""),"",IF(COUNTIF(L549:L$552,L548)=0,L548,""))</f>
        <v/>
      </c>
    </row>
    <row r="549">
      <c r="A549" s="40" t="n"/>
      <c r="B549" s="40" t="n"/>
      <c r="C549" s="40" t="n"/>
      <c r="D549" s="40" t="n"/>
      <c r="E549" s="40" t="n"/>
      <c r="F549" s="40" t="n"/>
      <c r="G549" s="3">
        <f>IF(L549="","",IFERROR(INDEX(前年度名簿!$D$2:$D$451,MATCH(L549,前年度名簿!$F$2:$F$451,0)),""))</f>
        <v/>
      </c>
      <c r="H549" s="44">
        <f>IF(D549="","",IF(ISERROR(VALUE(D549)),D549&amp;"",IF(AND(VALUE(D549)&gt;=1,VALUE(D549)&lt;=20),IF(INDEX(設定!$P$8:$P$27,VALUE(D549))="","？",INDEX(設定!$P$8:$P$27,VALUE(D549))),"？")))</f>
        <v/>
      </c>
      <c r="I549" s="44">
        <f>IF(E549="","",IF(ISERROR(VALUE(E549)),E549&amp;"",IF(AND(VALUE(E549)&gt;=1,VALUE(E549)&lt;=20),IF(INDEX(設定!$P$8:$P$27,VALUE(E549))="","？",INDEX(設定!$P$8:$P$27,VALUE(E549))),"？")))</f>
        <v/>
      </c>
      <c r="J549" s="44">
        <f>IF(F549="","",IF(ISERROR(VALUE(F549)),F549&amp;"",IF(AND(VALUE(F549)&gt;=1,VALUE(F549)&lt;=20),IF(INDEX(設定!$P$8:$P$27,VALUE(F549))="","？",INDEX(設定!$P$8:$P$27,VALUE(F549))),"？")))</f>
        <v/>
      </c>
      <c r="K549" s="45">
        <f>IF(L549="","",IF(G549="","名簿にいない",IF(COUNTIF(L550:L$552,L549)&gt;0,"2回提出（下の行を使います）",IF(OR(H549="？",I549="？",J549="？"),"クラブ番号がちがう",IF(OR(AND(H549&lt;&gt;"",H549&lt;&gt;"？",COUNTIF(設定!$P$8:$P$27,H549)=0),AND(I549&lt;&gt;"",I549&lt;&gt;"？",COUNTIF(設定!$P$8:$P$27,I549)=0),AND(J549&lt;&gt;"",J549&lt;&gt;"？",COUNTIF(設定!$P$8:$P$27,J549)=0)),"クラブ名がちがう",IF(H549="","第1希望がない",IF(OR(AND(H549&lt;&gt;"",H549=I549),AND(H549&lt;&gt;"",H549=J549),AND(I549&lt;&gt;"",I549=J549)),"同じクラブを重複して希望","OK")))))))</f>
        <v/>
      </c>
      <c r="L549" s="8">
        <f>IF(A549="","",A549&amp;"-"&amp;B549&amp;"-"&amp;C549)</f>
        <v/>
      </c>
      <c r="M549" s="8">
        <f>IF(OR(L549="",G549=""),"",IF(COUNTIF(L550:L$552,L549)=0,L549,""))</f>
        <v/>
      </c>
    </row>
    <row r="550">
      <c r="A550" s="40" t="n"/>
      <c r="B550" s="40" t="n"/>
      <c r="C550" s="40" t="n"/>
      <c r="D550" s="40" t="n"/>
      <c r="E550" s="40" t="n"/>
      <c r="F550" s="40" t="n"/>
      <c r="G550" s="3">
        <f>IF(L550="","",IFERROR(INDEX(前年度名簿!$D$2:$D$451,MATCH(L550,前年度名簿!$F$2:$F$451,0)),""))</f>
        <v/>
      </c>
      <c r="H550" s="44">
        <f>IF(D550="","",IF(ISERROR(VALUE(D550)),D550&amp;"",IF(AND(VALUE(D550)&gt;=1,VALUE(D550)&lt;=20),IF(INDEX(設定!$P$8:$P$27,VALUE(D550))="","？",INDEX(設定!$P$8:$P$27,VALUE(D550))),"？")))</f>
        <v/>
      </c>
      <c r="I550" s="44">
        <f>IF(E550="","",IF(ISERROR(VALUE(E550)),E550&amp;"",IF(AND(VALUE(E550)&gt;=1,VALUE(E550)&lt;=20),IF(INDEX(設定!$P$8:$P$27,VALUE(E550))="","？",INDEX(設定!$P$8:$P$27,VALUE(E550))),"？")))</f>
        <v/>
      </c>
      <c r="J550" s="44">
        <f>IF(F550="","",IF(ISERROR(VALUE(F550)),F550&amp;"",IF(AND(VALUE(F550)&gt;=1,VALUE(F550)&lt;=20),IF(INDEX(設定!$P$8:$P$27,VALUE(F550))="","？",INDEX(設定!$P$8:$P$27,VALUE(F550))),"？")))</f>
        <v/>
      </c>
      <c r="K550" s="45">
        <f>IF(L550="","",IF(G550="","名簿にいない",IF(COUNTIF(L551:L$552,L550)&gt;0,"2回提出（下の行を使います）",IF(OR(H550="？",I550="？",J550="？"),"クラブ番号がちがう",IF(OR(AND(H550&lt;&gt;"",H550&lt;&gt;"？",COUNTIF(設定!$P$8:$P$27,H550)=0),AND(I550&lt;&gt;"",I550&lt;&gt;"？",COUNTIF(設定!$P$8:$P$27,I550)=0),AND(J550&lt;&gt;"",J550&lt;&gt;"？",COUNTIF(設定!$P$8:$P$27,J550)=0)),"クラブ名がちがう",IF(H550="","第1希望がない",IF(OR(AND(H550&lt;&gt;"",H550=I550),AND(H550&lt;&gt;"",H550=J550),AND(I550&lt;&gt;"",I550=J550)),"同じクラブを重複して希望","OK")))))))</f>
        <v/>
      </c>
      <c r="L550" s="8">
        <f>IF(A550="","",A550&amp;"-"&amp;B550&amp;"-"&amp;C550)</f>
        <v/>
      </c>
      <c r="M550" s="8">
        <f>IF(OR(L550="",G550=""),"",IF(COUNTIF(L551:L$552,L550)=0,L550,""))</f>
        <v/>
      </c>
    </row>
    <row r="551">
      <c r="A551" s="40" t="n"/>
      <c r="B551" s="40" t="n"/>
      <c r="C551" s="40" t="n"/>
      <c r="D551" s="40" t="n"/>
      <c r="E551" s="40" t="n"/>
      <c r="F551" s="40" t="n"/>
      <c r="G551" s="3">
        <f>IF(L551="","",IFERROR(INDEX(前年度名簿!$D$2:$D$451,MATCH(L551,前年度名簿!$F$2:$F$451,0)),""))</f>
        <v/>
      </c>
      <c r="H551" s="44">
        <f>IF(D551="","",IF(ISERROR(VALUE(D551)),D551&amp;"",IF(AND(VALUE(D551)&gt;=1,VALUE(D551)&lt;=20),IF(INDEX(設定!$P$8:$P$27,VALUE(D551))="","？",INDEX(設定!$P$8:$P$27,VALUE(D551))),"？")))</f>
        <v/>
      </c>
      <c r="I551" s="44">
        <f>IF(E551="","",IF(ISERROR(VALUE(E551)),E551&amp;"",IF(AND(VALUE(E551)&gt;=1,VALUE(E551)&lt;=20),IF(INDEX(設定!$P$8:$P$27,VALUE(E551))="","？",INDEX(設定!$P$8:$P$27,VALUE(E551))),"？")))</f>
        <v/>
      </c>
      <c r="J551" s="44">
        <f>IF(F551="","",IF(ISERROR(VALUE(F551)),F551&amp;"",IF(AND(VALUE(F551)&gt;=1,VALUE(F551)&lt;=20),IF(INDEX(設定!$P$8:$P$27,VALUE(F551))="","？",INDEX(設定!$P$8:$P$27,VALUE(F551))),"？")))</f>
        <v/>
      </c>
      <c r="K551" s="45">
        <f>IF(L551="","",IF(G551="","名簿にいない",IF(COUNTIF(L552:L$552,L551)&gt;0,"2回提出（下の行を使います）",IF(OR(H551="？",I551="？",J551="？"),"クラブ番号がちがう",IF(OR(AND(H551&lt;&gt;"",H551&lt;&gt;"？",COUNTIF(設定!$P$8:$P$27,H551)=0),AND(I551&lt;&gt;"",I551&lt;&gt;"？",COUNTIF(設定!$P$8:$P$27,I551)=0),AND(J551&lt;&gt;"",J551&lt;&gt;"？",COUNTIF(設定!$P$8:$P$27,J551)=0)),"クラブ名がちがう",IF(H551="","第1希望がない",IF(OR(AND(H551&lt;&gt;"",H551=I551),AND(H551&lt;&gt;"",H551=J551),AND(I551&lt;&gt;"",I551=J551)),"同じクラブを重複して希望","OK")))))))</f>
        <v/>
      </c>
      <c r="L551" s="8">
        <f>IF(A551="","",A551&amp;"-"&amp;B551&amp;"-"&amp;C551)</f>
        <v/>
      </c>
      <c r="M551" s="8">
        <f>IF(OR(L551="",G551=""),"",IF(COUNTIF(L552:L$552,L551)=0,L551,""))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K2:K551">
    <cfRule type="expression" priority="1" dxfId="8">
      <formula>AND(K2&lt;&gt;"",K2&lt;&gt;"OK")</formula>
    </cfRule>
  </conditionalFormatting>
  <conditionalFormatting sqref="H2:J551">
    <cfRule type="expression" priority="2" dxfId="8">
      <formula>H2="？"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45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16" customWidth="1" min="4" max="4"/>
    <col width="7" customWidth="1" min="5" max="5"/>
    <col width="6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5" customWidth="1" min="16" max="16"/>
    <col width="5" customWidth="1" min="17" max="17"/>
    <col width="9" customWidth="1" min="18" max="18"/>
    <col width="14" customWidth="1" min="19" max="19"/>
    <col width="5" customWidth="1" min="20" max="20"/>
    <col width="5" customWidth="1" min="21" max="21"/>
    <col width="5" customWidth="1" min="22" max="22"/>
    <col width="7" customWidth="1" min="23" max="23"/>
  </cols>
  <sheetData>
    <row r="1">
      <c r="A1" s="2" t="inlineStr">
        <is>
          <t>振り分け　　「要調整」の子は、決まったら「先生の決定」（黄色）にプルダウンでクラブを入れてください。</t>
        </is>
      </c>
    </row>
    <row r="2">
      <c r="A2" s="5" t="inlineStr">
        <is>
          <t>■ 色の見方</t>
        </is>
      </c>
    </row>
    <row r="3">
      <c r="B3" s="46" t="inlineStr">
        <is>
          <t>要調整</t>
        </is>
      </c>
      <c r="C3" s="3" t="inlineStr">
        <is>
          <t>…第1希望のクラブが「定員＋融通」をこえています。話し合いなどで決めて、「先生の決定」にクラブを入れてください。</t>
        </is>
      </c>
    </row>
    <row r="4">
      <c r="B4" s="47" t="inlineStr">
        <is>
          <t>クラブ名</t>
        </is>
      </c>
      <c r="C4" s="3" t="inlineStr">
        <is>
          <t>…（第2・第3希望が緑地に白い字）そのクラブには、まだ空きがあります。色のないクラブは、第1希望の子でいっぱいです。</t>
        </is>
      </c>
    </row>
    <row r="5">
      <c r="C5" s="48">
        <f>IF(OR(設定!$C$14="〇",設定!$C$14="○"),"※ 上の学年から優先：〇（6年→5年→4年の順に枠を埋めています）","※ 上の学年から優先：なし（全学年まとめて判定しています）")</f>
        <v/>
      </c>
    </row>
    <row r="6" ht="30" customHeight="1">
      <c r="A6" s="49" t="inlineStr">
        <is>
          <t>新学年</t>
        </is>
      </c>
      <c r="B6" s="49" t="inlineStr">
        <is>
          <t>前年度の組</t>
        </is>
      </c>
      <c r="C6" s="49" t="inlineStr">
        <is>
          <t>番号</t>
        </is>
      </c>
      <c r="D6" s="49" t="inlineStr">
        <is>
          <t>名前</t>
        </is>
      </c>
      <c r="E6" s="49" t="inlineStr">
        <is>
          <t>新年度の組</t>
        </is>
      </c>
      <c r="F6" s="49" t="inlineStr">
        <is>
          <t>新番号</t>
        </is>
      </c>
      <c r="G6" s="49" t="inlineStr">
        <is>
          <t>第1希望</t>
        </is>
      </c>
      <c r="H6" s="49" t="inlineStr">
        <is>
          <t>第2希望</t>
        </is>
      </c>
      <c r="I6" s="49" t="inlineStr">
        <is>
          <t>第3希望</t>
        </is>
      </c>
      <c r="J6" s="49" t="inlineStr">
        <is>
          <t>自動仮決定</t>
        </is>
      </c>
      <c r="K6" s="50" t="inlineStr">
        <is>
          <t>先生の決定</t>
        </is>
      </c>
      <c r="L6" s="49" t="inlineStr">
        <is>
          <t>最終決定</t>
        </is>
      </c>
      <c r="M6" s="49" t="inlineStr">
        <is>
          <t>状態</t>
        </is>
      </c>
      <c r="N6" s="49" t="inlineStr">
        <is>
          <t>第2希望の空き</t>
        </is>
      </c>
      <c r="O6" s="49" t="inlineStr">
        <is>
          <t>第3希望の空き</t>
        </is>
      </c>
      <c r="P6" s="51" t="inlineStr">
        <is>
          <t>名簿行</t>
        </is>
      </c>
      <c r="Q6" s="51" t="inlineStr">
        <is>
          <t>希望行</t>
        </is>
      </c>
      <c r="R6" s="51" t="inlineStr">
        <is>
          <t>キー</t>
        </is>
      </c>
      <c r="S6" s="51" t="inlineStr">
        <is>
          <t>名前キー</t>
        </is>
      </c>
      <c r="T6" s="51" t="inlineStr">
        <is>
          <t>新名簿行</t>
        </is>
      </c>
      <c r="U6" s="51" t="inlineStr">
        <is>
          <t>クラブNo</t>
        </is>
      </c>
      <c r="V6" s="51" t="inlineStr">
        <is>
          <t>順</t>
        </is>
      </c>
      <c r="W6" s="51" t="inlineStr">
        <is>
          <t>一覧キー</t>
        </is>
      </c>
    </row>
    <row r="7">
      <c r="A7" s="44">
        <f>IF(P7="","",INDEX(前年度名簿!$H$2:$H$451,P7))</f>
        <v/>
      </c>
      <c r="B7" s="44">
        <f>IF(P7="","",IFERROR(INDEX(設定!$G$8:$G$31,INT(INDEX(前年度名簿!$G$2:$G$451,P7)/1000)),INDEX(前年度名簿!$A$2:$A$451,P7)&amp;INDEX(前年度名簿!$B$2:$B$451,P7)))</f>
        <v/>
      </c>
      <c r="C7" s="44">
        <f>IF(P7="","",INDEX(前年度名簿!$C$2:$C$451,P7))</f>
        <v/>
      </c>
      <c r="D7" s="3">
        <f>IF(P7="","",INDEX(前年度名簿!$D$2:$D$451,P7))</f>
        <v/>
      </c>
      <c r="E7" s="44">
        <f>IF(T7="","",INDEX(新年度名簿!$K$2:$K$451,T7))</f>
        <v/>
      </c>
      <c r="F7" s="44">
        <f>IF(T7="","",INDEX(新年度名簿!$C$2:$C$451,T7))</f>
        <v/>
      </c>
      <c r="G7" s="44">
        <f>IF(Q7="","",INDEX(希望入力!$H$2:$H$551,Q7)&amp;"")</f>
        <v/>
      </c>
      <c r="H7" s="44">
        <f>IF(Q7="","",INDEX(希望入力!$I$2:$I$551,Q7)&amp;"")</f>
        <v/>
      </c>
      <c r="I7" s="44">
        <f>IF(Q7="","",INDEX(希望入力!$J$2:$J$551,Q7)&amp;"")</f>
        <v/>
      </c>
      <c r="J7" s="44">
        <f>IF(Q7="","",IF(G7="","要調整",IFERROR(IF(IF(OR(設定!$C$14="〇",設定!$C$14="○"),COUNTIFS($A$7:$A$456,"&gt;="&amp;A7,$G$7:$G$456,G7),COUNTIF($G$7:$G$456,G7))&lt;=(INDEX(設定!$Q$8:$Q$27,MATCH(G7,設定!$P$8:$P$27,0))+N(INDEX(設定!$R$8:$R$27,MATCH(G7,設定!$P$8:$P$27,0)))),G7,"要調整"),"要調整")))</f>
        <v/>
      </c>
      <c r="K7" s="40" t="n"/>
      <c r="L7" s="52">
        <f>IF(P7="","",IF(K7&lt;&gt;"",K7,IF(OR(J7="",J7="要調整"),"",J7)))</f>
        <v/>
      </c>
      <c r="M7" s="44">
        <f>IF(P7="","",IF(AND(計算用!$B$1=1,T7=""),"転出",IF(L7&lt;&gt;"","決定",IF(Q7="","未提出","要調整"))))</f>
        <v/>
      </c>
      <c r="N7" s="44">
        <f>IF(OR(M7&lt;&gt;"要調整",H7=""),"",IFERROR((INDEX(設定!$Q$8:$Q$27,MATCH(H7,設定!$P$8:$P$27,0))+N(INDEX(設定!$R$8:$R$27,MATCH(H7,設定!$P$8:$P$27,0))))-INDEX(定員チェック!$F$7:$F$26,MATCH(H7,設定!$P$8:$P$27,0))-COUNTIFS($M$7:$M$456,"要調整",$G$7:$G$456,H7),""))</f>
        <v/>
      </c>
      <c r="O7" s="44">
        <f>IF(OR(M7&lt;&gt;"要調整",I7=""),"",IFERROR((INDEX(設定!$Q$8:$Q$27,MATCH(I7,設定!$P$8:$P$27,0))+N(INDEX(設定!$R$8:$R$27,MATCH(I7,設定!$P$8:$P$27,0))))-INDEX(定員チェック!$F$7:$F$26,MATCH(I7,設定!$P$8:$P$27,0))-COUNTIFS($M$7:$M$456,"要調整",$G$7:$G$456,I7),""))</f>
        <v/>
      </c>
      <c r="P7" s="8">
        <f>IFERROR(MATCH(SMALL(前年度名簿!$G$2:$G$451,1),前年度名簿!$G$2:$G$451,0),"")</f>
        <v/>
      </c>
      <c r="Q7" s="8">
        <f>IF(R7="","",IFERROR(MATCH(R7,希望入力!$M$2:$M$551,0),""))</f>
        <v/>
      </c>
      <c r="R7" s="8">
        <f>IF(P7="","",INDEX(前年度名簿!$F$2:$F$451,P7))</f>
        <v/>
      </c>
      <c r="S7" s="8">
        <f>IF(P7="","",INDEX(前年度名簿!$I$2:$I$451,P7))</f>
        <v/>
      </c>
      <c r="T7" s="8">
        <f>IF(OR(P7="",計算用!$B$1=0),"",IFERROR(MATCH(S7,新年度名簿!$H$2:$H$451,0),""))</f>
        <v/>
      </c>
      <c r="U7" s="8">
        <f>IF(OR(L7="",M7="転出"),"",IFERROR(MATCH(L7,設定!$P$8:$P$27,0),""))</f>
        <v/>
      </c>
      <c r="V7" s="8">
        <f>IF(U7="","",COUNTIF($U$7:U7,U7))</f>
        <v/>
      </c>
      <c r="W7" s="8">
        <f>IF(U7="","",U7*1000+V7)</f>
        <v/>
      </c>
    </row>
    <row r="8">
      <c r="A8" s="44">
        <f>IF(P8="","",INDEX(前年度名簿!$H$2:$H$451,P8))</f>
        <v/>
      </c>
      <c r="B8" s="44">
        <f>IF(P8="","",IFERROR(INDEX(設定!$G$8:$G$31,INT(INDEX(前年度名簿!$G$2:$G$451,P8)/1000)),INDEX(前年度名簿!$A$2:$A$451,P8)&amp;INDEX(前年度名簿!$B$2:$B$451,P8)))</f>
        <v/>
      </c>
      <c r="C8" s="44">
        <f>IF(P8="","",INDEX(前年度名簿!$C$2:$C$451,P8))</f>
        <v/>
      </c>
      <c r="D8" s="3">
        <f>IF(P8="","",INDEX(前年度名簿!$D$2:$D$451,P8))</f>
        <v/>
      </c>
      <c r="E8" s="44">
        <f>IF(T8="","",INDEX(新年度名簿!$K$2:$K$451,T8))</f>
        <v/>
      </c>
      <c r="F8" s="44">
        <f>IF(T8="","",INDEX(新年度名簿!$C$2:$C$451,T8))</f>
        <v/>
      </c>
      <c r="G8" s="44">
        <f>IF(Q8="","",INDEX(希望入力!$H$2:$H$551,Q8)&amp;"")</f>
        <v/>
      </c>
      <c r="H8" s="44">
        <f>IF(Q8="","",INDEX(希望入力!$I$2:$I$551,Q8)&amp;"")</f>
        <v/>
      </c>
      <c r="I8" s="44">
        <f>IF(Q8="","",INDEX(希望入力!$J$2:$J$551,Q8)&amp;"")</f>
        <v/>
      </c>
      <c r="J8" s="44">
        <f>IF(Q8="","",IF(G8="","要調整",IFERROR(IF(IF(OR(設定!$C$14="〇",設定!$C$14="○"),COUNTIFS($A$7:$A$456,"&gt;="&amp;A8,$G$7:$G$456,G8),COUNTIF($G$7:$G$456,G8))&lt;=(INDEX(設定!$Q$8:$Q$27,MATCH(G8,設定!$P$8:$P$27,0))+N(INDEX(設定!$R$8:$R$27,MATCH(G8,設定!$P$8:$P$27,0)))),G8,"要調整"),"要調整")))</f>
        <v/>
      </c>
      <c r="K8" s="40" t="n"/>
      <c r="L8" s="52">
        <f>IF(P8="","",IF(K8&lt;&gt;"",K8,IF(OR(J8="",J8="要調整"),"",J8)))</f>
        <v/>
      </c>
      <c r="M8" s="44">
        <f>IF(P8="","",IF(AND(計算用!$B$1=1,T8=""),"転出",IF(L8&lt;&gt;"","決定",IF(Q8="","未提出","要調整"))))</f>
        <v/>
      </c>
      <c r="N8" s="44">
        <f>IF(OR(M8&lt;&gt;"要調整",H8=""),"",IFERROR((INDEX(設定!$Q$8:$Q$27,MATCH(H8,設定!$P$8:$P$27,0))+N(INDEX(設定!$R$8:$R$27,MATCH(H8,設定!$P$8:$P$27,0))))-INDEX(定員チェック!$F$7:$F$26,MATCH(H8,設定!$P$8:$P$27,0))-COUNTIFS($M$7:$M$456,"要調整",$G$7:$G$456,H8),""))</f>
        <v/>
      </c>
      <c r="O8" s="44">
        <f>IF(OR(M8&lt;&gt;"要調整",I8=""),"",IFERROR((INDEX(設定!$Q$8:$Q$27,MATCH(I8,設定!$P$8:$P$27,0))+N(INDEX(設定!$R$8:$R$27,MATCH(I8,設定!$P$8:$P$27,0))))-INDEX(定員チェック!$F$7:$F$26,MATCH(I8,設定!$P$8:$P$27,0))-COUNTIFS($M$7:$M$456,"要調整",$G$7:$G$456,I8),""))</f>
        <v/>
      </c>
      <c r="P8" s="8">
        <f>IFERROR(MATCH(SMALL(前年度名簿!$G$2:$G$451,2),前年度名簿!$G$2:$G$451,0),"")</f>
        <v/>
      </c>
      <c r="Q8" s="8">
        <f>IF(R8="","",IFERROR(MATCH(R8,希望入力!$M$2:$M$551,0),""))</f>
        <v/>
      </c>
      <c r="R8" s="8">
        <f>IF(P8="","",INDEX(前年度名簿!$F$2:$F$451,P8))</f>
        <v/>
      </c>
      <c r="S8" s="8">
        <f>IF(P8="","",INDEX(前年度名簿!$I$2:$I$451,P8))</f>
        <v/>
      </c>
      <c r="T8" s="8">
        <f>IF(OR(P8="",計算用!$B$1=0),"",IFERROR(MATCH(S8,新年度名簿!$H$2:$H$451,0),""))</f>
        <v/>
      </c>
      <c r="U8" s="8">
        <f>IF(OR(L8="",M8="転出"),"",IFERROR(MATCH(L8,設定!$P$8:$P$27,0),""))</f>
        <v/>
      </c>
      <c r="V8" s="8">
        <f>IF(U8="","",COUNTIF($U$7:U8,U8))</f>
        <v/>
      </c>
      <c r="W8" s="8">
        <f>IF(U8="","",U8*1000+V8)</f>
        <v/>
      </c>
    </row>
    <row r="9">
      <c r="A9" s="44">
        <f>IF(P9="","",INDEX(前年度名簿!$H$2:$H$451,P9))</f>
        <v/>
      </c>
      <c r="B9" s="44">
        <f>IF(P9="","",IFERROR(INDEX(設定!$G$8:$G$31,INT(INDEX(前年度名簿!$G$2:$G$451,P9)/1000)),INDEX(前年度名簿!$A$2:$A$451,P9)&amp;INDEX(前年度名簿!$B$2:$B$451,P9)))</f>
        <v/>
      </c>
      <c r="C9" s="44">
        <f>IF(P9="","",INDEX(前年度名簿!$C$2:$C$451,P9))</f>
        <v/>
      </c>
      <c r="D9" s="3">
        <f>IF(P9="","",INDEX(前年度名簿!$D$2:$D$451,P9))</f>
        <v/>
      </c>
      <c r="E9" s="44">
        <f>IF(T9="","",INDEX(新年度名簿!$K$2:$K$451,T9))</f>
        <v/>
      </c>
      <c r="F9" s="44">
        <f>IF(T9="","",INDEX(新年度名簿!$C$2:$C$451,T9))</f>
        <v/>
      </c>
      <c r="G9" s="44">
        <f>IF(Q9="","",INDEX(希望入力!$H$2:$H$551,Q9)&amp;"")</f>
        <v/>
      </c>
      <c r="H9" s="44">
        <f>IF(Q9="","",INDEX(希望入力!$I$2:$I$551,Q9)&amp;"")</f>
        <v/>
      </c>
      <c r="I9" s="44">
        <f>IF(Q9="","",INDEX(希望入力!$J$2:$J$551,Q9)&amp;"")</f>
        <v/>
      </c>
      <c r="J9" s="44">
        <f>IF(Q9="","",IF(G9="","要調整",IFERROR(IF(IF(OR(設定!$C$14="〇",設定!$C$14="○"),COUNTIFS($A$7:$A$456,"&gt;="&amp;A9,$G$7:$G$456,G9),COUNTIF($G$7:$G$456,G9))&lt;=(INDEX(設定!$Q$8:$Q$27,MATCH(G9,設定!$P$8:$P$27,0))+N(INDEX(設定!$R$8:$R$27,MATCH(G9,設定!$P$8:$P$27,0)))),G9,"要調整"),"要調整")))</f>
        <v/>
      </c>
      <c r="K9" s="40" t="n"/>
      <c r="L9" s="52">
        <f>IF(P9="","",IF(K9&lt;&gt;"",K9,IF(OR(J9="",J9="要調整"),"",J9)))</f>
        <v/>
      </c>
      <c r="M9" s="44">
        <f>IF(P9="","",IF(AND(計算用!$B$1=1,T9=""),"転出",IF(L9&lt;&gt;"","決定",IF(Q9="","未提出","要調整"))))</f>
        <v/>
      </c>
      <c r="N9" s="44">
        <f>IF(OR(M9&lt;&gt;"要調整",H9=""),"",IFERROR((INDEX(設定!$Q$8:$Q$27,MATCH(H9,設定!$P$8:$P$27,0))+N(INDEX(設定!$R$8:$R$27,MATCH(H9,設定!$P$8:$P$27,0))))-INDEX(定員チェック!$F$7:$F$26,MATCH(H9,設定!$P$8:$P$27,0))-COUNTIFS($M$7:$M$456,"要調整",$G$7:$G$456,H9),""))</f>
        <v/>
      </c>
      <c r="O9" s="44">
        <f>IF(OR(M9&lt;&gt;"要調整",I9=""),"",IFERROR((INDEX(設定!$Q$8:$Q$27,MATCH(I9,設定!$P$8:$P$27,0))+N(INDEX(設定!$R$8:$R$27,MATCH(I9,設定!$P$8:$P$27,0))))-INDEX(定員チェック!$F$7:$F$26,MATCH(I9,設定!$P$8:$P$27,0))-COUNTIFS($M$7:$M$456,"要調整",$G$7:$G$456,I9),""))</f>
        <v/>
      </c>
      <c r="P9" s="8">
        <f>IFERROR(MATCH(SMALL(前年度名簿!$G$2:$G$451,3),前年度名簿!$G$2:$G$451,0),"")</f>
        <v/>
      </c>
      <c r="Q9" s="8">
        <f>IF(R9="","",IFERROR(MATCH(R9,希望入力!$M$2:$M$551,0),""))</f>
        <v/>
      </c>
      <c r="R9" s="8">
        <f>IF(P9="","",INDEX(前年度名簿!$F$2:$F$451,P9))</f>
        <v/>
      </c>
      <c r="S9" s="8">
        <f>IF(P9="","",INDEX(前年度名簿!$I$2:$I$451,P9))</f>
        <v/>
      </c>
      <c r="T9" s="8">
        <f>IF(OR(P9="",計算用!$B$1=0),"",IFERROR(MATCH(S9,新年度名簿!$H$2:$H$451,0),""))</f>
        <v/>
      </c>
      <c r="U9" s="8">
        <f>IF(OR(L9="",M9="転出"),"",IFERROR(MATCH(L9,設定!$P$8:$P$27,0),""))</f>
        <v/>
      </c>
      <c r="V9" s="8">
        <f>IF(U9="","",COUNTIF($U$7:U9,U9))</f>
        <v/>
      </c>
      <c r="W9" s="8">
        <f>IF(U9="","",U9*1000+V9)</f>
        <v/>
      </c>
    </row>
    <row r="10">
      <c r="A10" s="44">
        <f>IF(P10="","",INDEX(前年度名簿!$H$2:$H$451,P10))</f>
        <v/>
      </c>
      <c r="B10" s="44">
        <f>IF(P10="","",IFERROR(INDEX(設定!$G$8:$G$31,INT(INDEX(前年度名簿!$G$2:$G$451,P10)/1000)),INDEX(前年度名簿!$A$2:$A$451,P10)&amp;INDEX(前年度名簿!$B$2:$B$451,P10)))</f>
        <v/>
      </c>
      <c r="C10" s="44">
        <f>IF(P10="","",INDEX(前年度名簿!$C$2:$C$451,P10))</f>
        <v/>
      </c>
      <c r="D10" s="3">
        <f>IF(P10="","",INDEX(前年度名簿!$D$2:$D$451,P10))</f>
        <v/>
      </c>
      <c r="E10" s="44">
        <f>IF(T10="","",INDEX(新年度名簿!$K$2:$K$451,T10))</f>
        <v/>
      </c>
      <c r="F10" s="44">
        <f>IF(T10="","",INDEX(新年度名簿!$C$2:$C$451,T10))</f>
        <v/>
      </c>
      <c r="G10" s="44">
        <f>IF(Q10="","",INDEX(希望入力!$H$2:$H$551,Q10)&amp;"")</f>
        <v/>
      </c>
      <c r="H10" s="44">
        <f>IF(Q10="","",INDEX(希望入力!$I$2:$I$551,Q10)&amp;"")</f>
        <v/>
      </c>
      <c r="I10" s="44">
        <f>IF(Q10="","",INDEX(希望入力!$J$2:$J$551,Q10)&amp;"")</f>
        <v/>
      </c>
      <c r="J10" s="44">
        <f>IF(Q10="","",IF(G10="","要調整",IFERROR(IF(IF(OR(設定!$C$14="〇",設定!$C$14="○"),COUNTIFS($A$7:$A$456,"&gt;="&amp;A10,$G$7:$G$456,G10),COUNTIF($G$7:$G$456,G10))&lt;=(INDEX(設定!$Q$8:$Q$27,MATCH(G10,設定!$P$8:$P$27,0))+N(INDEX(設定!$R$8:$R$27,MATCH(G10,設定!$P$8:$P$27,0)))),G10,"要調整"),"要調整")))</f>
        <v/>
      </c>
      <c r="K10" s="40" t="n"/>
      <c r="L10" s="52">
        <f>IF(P10="","",IF(K10&lt;&gt;"",K10,IF(OR(J10="",J10="要調整"),"",J10)))</f>
        <v/>
      </c>
      <c r="M10" s="44">
        <f>IF(P10="","",IF(AND(計算用!$B$1=1,T10=""),"転出",IF(L10&lt;&gt;"","決定",IF(Q10="","未提出","要調整"))))</f>
        <v/>
      </c>
      <c r="N10" s="44">
        <f>IF(OR(M10&lt;&gt;"要調整",H10=""),"",IFERROR((INDEX(設定!$Q$8:$Q$27,MATCH(H10,設定!$P$8:$P$27,0))+N(INDEX(設定!$R$8:$R$27,MATCH(H10,設定!$P$8:$P$27,0))))-INDEX(定員チェック!$F$7:$F$26,MATCH(H10,設定!$P$8:$P$27,0))-COUNTIFS($M$7:$M$456,"要調整",$G$7:$G$456,H10),""))</f>
        <v/>
      </c>
      <c r="O10" s="44">
        <f>IF(OR(M10&lt;&gt;"要調整",I10=""),"",IFERROR((INDEX(設定!$Q$8:$Q$27,MATCH(I10,設定!$P$8:$P$27,0))+N(INDEX(設定!$R$8:$R$27,MATCH(I10,設定!$P$8:$P$27,0))))-INDEX(定員チェック!$F$7:$F$26,MATCH(I10,設定!$P$8:$P$27,0))-COUNTIFS($M$7:$M$456,"要調整",$G$7:$G$456,I10),""))</f>
        <v/>
      </c>
      <c r="P10" s="8">
        <f>IFERROR(MATCH(SMALL(前年度名簿!$G$2:$G$451,4),前年度名簿!$G$2:$G$451,0),"")</f>
        <v/>
      </c>
      <c r="Q10" s="8">
        <f>IF(R10="","",IFERROR(MATCH(R10,希望入力!$M$2:$M$551,0),""))</f>
        <v/>
      </c>
      <c r="R10" s="8">
        <f>IF(P10="","",INDEX(前年度名簿!$F$2:$F$451,P10))</f>
        <v/>
      </c>
      <c r="S10" s="8">
        <f>IF(P10="","",INDEX(前年度名簿!$I$2:$I$451,P10))</f>
        <v/>
      </c>
      <c r="T10" s="8">
        <f>IF(OR(P10="",計算用!$B$1=0),"",IFERROR(MATCH(S10,新年度名簿!$H$2:$H$451,0),""))</f>
        <v/>
      </c>
      <c r="U10" s="8">
        <f>IF(OR(L10="",M10="転出"),"",IFERROR(MATCH(L10,設定!$P$8:$P$27,0),""))</f>
        <v/>
      </c>
      <c r="V10" s="8">
        <f>IF(U10="","",COUNTIF($U$7:U10,U10))</f>
        <v/>
      </c>
      <c r="W10" s="8">
        <f>IF(U10="","",U10*1000+V10)</f>
        <v/>
      </c>
    </row>
    <row r="11">
      <c r="A11" s="44">
        <f>IF(P11="","",INDEX(前年度名簿!$H$2:$H$451,P11))</f>
        <v/>
      </c>
      <c r="B11" s="44">
        <f>IF(P11="","",IFERROR(INDEX(設定!$G$8:$G$31,INT(INDEX(前年度名簿!$G$2:$G$451,P11)/1000)),INDEX(前年度名簿!$A$2:$A$451,P11)&amp;INDEX(前年度名簿!$B$2:$B$451,P11)))</f>
        <v/>
      </c>
      <c r="C11" s="44">
        <f>IF(P11="","",INDEX(前年度名簿!$C$2:$C$451,P11))</f>
        <v/>
      </c>
      <c r="D11" s="3">
        <f>IF(P11="","",INDEX(前年度名簿!$D$2:$D$451,P11))</f>
        <v/>
      </c>
      <c r="E11" s="44">
        <f>IF(T11="","",INDEX(新年度名簿!$K$2:$K$451,T11))</f>
        <v/>
      </c>
      <c r="F11" s="44">
        <f>IF(T11="","",INDEX(新年度名簿!$C$2:$C$451,T11))</f>
        <v/>
      </c>
      <c r="G11" s="44">
        <f>IF(Q11="","",INDEX(希望入力!$H$2:$H$551,Q11)&amp;"")</f>
        <v/>
      </c>
      <c r="H11" s="44">
        <f>IF(Q11="","",INDEX(希望入力!$I$2:$I$551,Q11)&amp;"")</f>
        <v/>
      </c>
      <c r="I11" s="44">
        <f>IF(Q11="","",INDEX(希望入力!$J$2:$J$551,Q11)&amp;"")</f>
        <v/>
      </c>
      <c r="J11" s="44">
        <f>IF(Q11="","",IF(G11="","要調整",IFERROR(IF(IF(OR(設定!$C$14="〇",設定!$C$14="○"),COUNTIFS($A$7:$A$456,"&gt;="&amp;A11,$G$7:$G$456,G11),COUNTIF($G$7:$G$456,G11))&lt;=(INDEX(設定!$Q$8:$Q$27,MATCH(G11,設定!$P$8:$P$27,0))+N(INDEX(設定!$R$8:$R$27,MATCH(G11,設定!$P$8:$P$27,0)))),G11,"要調整"),"要調整")))</f>
        <v/>
      </c>
      <c r="K11" s="40" t="n"/>
      <c r="L11" s="52">
        <f>IF(P11="","",IF(K11&lt;&gt;"",K11,IF(OR(J11="",J11="要調整"),"",J11)))</f>
        <v/>
      </c>
      <c r="M11" s="44">
        <f>IF(P11="","",IF(AND(計算用!$B$1=1,T11=""),"転出",IF(L11&lt;&gt;"","決定",IF(Q11="","未提出","要調整"))))</f>
        <v/>
      </c>
      <c r="N11" s="44">
        <f>IF(OR(M11&lt;&gt;"要調整",H11=""),"",IFERROR((INDEX(設定!$Q$8:$Q$27,MATCH(H11,設定!$P$8:$P$27,0))+N(INDEX(設定!$R$8:$R$27,MATCH(H11,設定!$P$8:$P$27,0))))-INDEX(定員チェック!$F$7:$F$26,MATCH(H11,設定!$P$8:$P$27,0))-COUNTIFS($M$7:$M$456,"要調整",$G$7:$G$456,H11),""))</f>
        <v/>
      </c>
      <c r="O11" s="44">
        <f>IF(OR(M11&lt;&gt;"要調整",I11=""),"",IFERROR((INDEX(設定!$Q$8:$Q$27,MATCH(I11,設定!$P$8:$P$27,0))+N(INDEX(設定!$R$8:$R$27,MATCH(I11,設定!$P$8:$P$27,0))))-INDEX(定員チェック!$F$7:$F$26,MATCH(I11,設定!$P$8:$P$27,0))-COUNTIFS($M$7:$M$456,"要調整",$G$7:$G$456,I11),""))</f>
        <v/>
      </c>
      <c r="P11" s="8">
        <f>IFERROR(MATCH(SMALL(前年度名簿!$G$2:$G$451,5),前年度名簿!$G$2:$G$451,0),"")</f>
        <v/>
      </c>
      <c r="Q11" s="8">
        <f>IF(R11="","",IFERROR(MATCH(R11,希望入力!$M$2:$M$551,0),""))</f>
        <v/>
      </c>
      <c r="R11" s="8">
        <f>IF(P11="","",INDEX(前年度名簿!$F$2:$F$451,P11))</f>
        <v/>
      </c>
      <c r="S11" s="8">
        <f>IF(P11="","",INDEX(前年度名簿!$I$2:$I$451,P11))</f>
        <v/>
      </c>
      <c r="T11" s="8">
        <f>IF(OR(P11="",計算用!$B$1=0),"",IFERROR(MATCH(S11,新年度名簿!$H$2:$H$451,0),""))</f>
        <v/>
      </c>
      <c r="U11" s="8">
        <f>IF(OR(L11="",M11="転出"),"",IFERROR(MATCH(L11,設定!$P$8:$P$27,0),""))</f>
        <v/>
      </c>
      <c r="V11" s="8">
        <f>IF(U11="","",COUNTIF($U$7:U11,U11))</f>
        <v/>
      </c>
      <c r="W11" s="8">
        <f>IF(U11="","",U11*1000+V11)</f>
        <v/>
      </c>
    </row>
    <row r="12">
      <c r="A12" s="44">
        <f>IF(P12="","",INDEX(前年度名簿!$H$2:$H$451,P12))</f>
        <v/>
      </c>
      <c r="B12" s="44">
        <f>IF(P12="","",IFERROR(INDEX(設定!$G$8:$G$31,INT(INDEX(前年度名簿!$G$2:$G$451,P12)/1000)),INDEX(前年度名簿!$A$2:$A$451,P12)&amp;INDEX(前年度名簿!$B$2:$B$451,P12)))</f>
        <v/>
      </c>
      <c r="C12" s="44">
        <f>IF(P12="","",INDEX(前年度名簿!$C$2:$C$451,P12))</f>
        <v/>
      </c>
      <c r="D12" s="3">
        <f>IF(P12="","",INDEX(前年度名簿!$D$2:$D$451,P12))</f>
        <v/>
      </c>
      <c r="E12" s="44">
        <f>IF(T12="","",INDEX(新年度名簿!$K$2:$K$451,T12))</f>
        <v/>
      </c>
      <c r="F12" s="44">
        <f>IF(T12="","",INDEX(新年度名簿!$C$2:$C$451,T12))</f>
        <v/>
      </c>
      <c r="G12" s="44">
        <f>IF(Q12="","",INDEX(希望入力!$H$2:$H$551,Q12)&amp;"")</f>
        <v/>
      </c>
      <c r="H12" s="44">
        <f>IF(Q12="","",INDEX(希望入力!$I$2:$I$551,Q12)&amp;"")</f>
        <v/>
      </c>
      <c r="I12" s="44">
        <f>IF(Q12="","",INDEX(希望入力!$J$2:$J$551,Q12)&amp;"")</f>
        <v/>
      </c>
      <c r="J12" s="44">
        <f>IF(Q12="","",IF(G12="","要調整",IFERROR(IF(IF(OR(設定!$C$14="〇",設定!$C$14="○"),COUNTIFS($A$7:$A$456,"&gt;="&amp;A12,$G$7:$G$456,G12),COUNTIF($G$7:$G$456,G12))&lt;=(INDEX(設定!$Q$8:$Q$27,MATCH(G12,設定!$P$8:$P$27,0))+N(INDEX(設定!$R$8:$R$27,MATCH(G12,設定!$P$8:$P$27,0)))),G12,"要調整"),"要調整")))</f>
        <v/>
      </c>
      <c r="K12" s="40" t="n"/>
      <c r="L12" s="52">
        <f>IF(P12="","",IF(K12&lt;&gt;"",K12,IF(OR(J12="",J12="要調整"),"",J12)))</f>
        <v/>
      </c>
      <c r="M12" s="44">
        <f>IF(P12="","",IF(AND(計算用!$B$1=1,T12=""),"転出",IF(L12&lt;&gt;"","決定",IF(Q12="","未提出","要調整"))))</f>
        <v/>
      </c>
      <c r="N12" s="44">
        <f>IF(OR(M12&lt;&gt;"要調整",H12=""),"",IFERROR((INDEX(設定!$Q$8:$Q$27,MATCH(H12,設定!$P$8:$P$27,0))+N(INDEX(設定!$R$8:$R$27,MATCH(H12,設定!$P$8:$P$27,0))))-INDEX(定員チェック!$F$7:$F$26,MATCH(H12,設定!$P$8:$P$27,0))-COUNTIFS($M$7:$M$456,"要調整",$G$7:$G$456,H12),""))</f>
        <v/>
      </c>
      <c r="O12" s="44">
        <f>IF(OR(M12&lt;&gt;"要調整",I12=""),"",IFERROR((INDEX(設定!$Q$8:$Q$27,MATCH(I12,設定!$P$8:$P$27,0))+N(INDEX(設定!$R$8:$R$27,MATCH(I12,設定!$P$8:$P$27,0))))-INDEX(定員チェック!$F$7:$F$26,MATCH(I12,設定!$P$8:$P$27,0))-COUNTIFS($M$7:$M$456,"要調整",$G$7:$G$456,I12),""))</f>
        <v/>
      </c>
      <c r="P12" s="8">
        <f>IFERROR(MATCH(SMALL(前年度名簿!$G$2:$G$451,6),前年度名簿!$G$2:$G$451,0),"")</f>
        <v/>
      </c>
      <c r="Q12" s="8">
        <f>IF(R12="","",IFERROR(MATCH(R12,希望入力!$M$2:$M$551,0),""))</f>
        <v/>
      </c>
      <c r="R12" s="8">
        <f>IF(P12="","",INDEX(前年度名簿!$F$2:$F$451,P12))</f>
        <v/>
      </c>
      <c r="S12" s="8">
        <f>IF(P12="","",INDEX(前年度名簿!$I$2:$I$451,P12))</f>
        <v/>
      </c>
      <c r="T12" s="8">
        <f>IF(OR(P12="",計算用!$B$1=0),"",IFERROR(MATCH(S12,新年度名簿!$H$2:$H$451,0),""))</f>
        <v/>
      </c>
      <c r="U12" s="8">
        <f>IF(OR(L12="",M12="転出"),"",IFERROR(MATCH(L12,設定!$P$8:$P$27,0),""))</f>
        <v/>
      </c>
      <c r="V12" s="8">
        <f>IF(U12="","",COUNTIF($U$7:U12,U12))</f>
        <v/>
      </c>
      <c r="W12" s="8">
        <f>IF(U12="","",U12*1000+V12)</f>
        <v/>
      </c>
    </row>
    <row r="13">
      <c r="A13" s="44">
        <f>IF(P13="","",INDEX(前年度名簿!$H$2:$H$451,P13))</f>
        <v/>
      </c>
      <c r="B13" s="44">
        <f>IF(P13="","",IFERROR(INDEX(設定!$G$8:$G$31,INT(INDEX(前年度名簿!$G$2:$G$451,P13)/1000)),INDEX(前年度名簿!$A$2:$A$451,P13)&amp;INDEX(前年度名簿!$B$2:$B$451,P13)))</f>
        <v/>
      </c>
      <c r="C13" s="44">
        <f>IF(P13="","",INDEX(前年度名簿!$C$2:$C$451,P13))</f>
        <v/>
      </c>
      <c r="D13" s="3">
        <f>IF(P13="","",INDEX(前年度名簿!$D$2:$D$451,P13))</f>
        <v/>
      </c>
      <c r="E13" s="44">
        <f>IF(T13="","",INDEX(新年度名簿!$K$2:$K$451,T13))</f>
        <v/>
      </c>
      <c r="F13" s="44">
        <f>IF(T13="","",INDEX(新年度名簿!$C$2:$C$451,T13))</f>
        <v/>
      </c>
      <c r="G13" s="44">
        <f>IF(Q13="","",INDEX(希望入力!$H$2:$H$551,Q13)&amp;"")</f>
        <v/>
      </c>
      <c r="H13" s="44">
        <f>IF(Q13="","",INDEX(希望入力!$I$2:$I$551,Q13)&amp;"")</f>
        <v/>
      </c>
      <c r="I13" s="44">
        <f>IF(Q13="","",INDEX(希望入力!$J$2:$J$551,Q13)&amp;"")</f>
        <v/>
      </c>
      <c r="J13" s="44">
        <f>IF(Q13="","",IF(G13="","要調整",IFERROR(IF(IF(OR(設定!$C$14="〇",設定!$C$14="○"),COUNTIFS($A$7:$A$456,"&gt;="&amp;A13,$G$7:$G$456,G13),COUNTIF($G$7:$G$456,G13))&lt;=(INDEX(設定!$Q$8:$Q$27,MATCH(G13,設定!$P$8:$P$27,0))+N(INDEX(設定!$R$8:$R$27,MATCH(G13,設定!$P$8:$P$27,0)))),G13,"要調整"),"要調整")))</f>
        <v/>
      </c>
      <c r="K13" s="40" t="n"/>
      <c r="L13" s="52">
        <f>IF(P13="","",IF(K13&lt;&gt;"",K13,IF(OR(J13="",J13="要調整"),"",J13)))</f>
        <v/>
      </c>
      <c r="M13" s="44">
        <f>IF(P13="","",IF(AND(計算用!$B$1=1,T13=""),"転出",IF(L13&lt;&gt;"","決定",IF(Q13="","未提出","要調整"))))</f>
        <v/>
      </c>
      <c r="N13" s="44">
        <f>IF(OR(M13&lt;&gt;"要調整",H13=""),"",IFERROR((INDEX(設定!$Q$8:$Q$27,MATCH(H13,設定!$P$8:$P$27,0))+N(INDEX(設定!$R$8:$R$27,MATCH(H13,設定!$P$8:$P$27,0))))-INDEX(定員チェック!$F$7:$F$26,MATCH(H13,設定!$P$8:$P$27,0))-COUNTIFS($M$7:$M$456,"要調整",$G$7:$G$456,H13),""))</f>
        <v/>
      </c>
      <c r="O13" s="44">
        <f>IF(OR(M13&lt;&gt;"要調整",I13=""),"",IFERROR((INDEX(設定!$Q$8:$Q$27,MATCH(I13,設定!$P$8:$P$27,0))+N(INDEX(設定!$R$8:$R$27,MATCH(I13,設定!$P$8:$P$27,0))))-INDEX(定員チェック!$F$7:$F$26,MATCH(I13,設定!$P$8:$P$27,0))-COUNTIFS($M$7:$M$456,"要調整",$G$7:$G$456,I13),""))</f>
        <v/>
      </c>
      <c r="P13" s="8">
        <f>IFERROR(MATCH(SMALL(前年度名簿!$G$2:$G$451,7),前年度名簿!$G$2:$G$451,0),"")</f>
        <v/>
      </c>
      <c r="Q13" s="8">
        <f>IF(R13="","",IFERROR(MATCH(R13,希望入力!$M$2:$M$551,0),""))</f>
        <v/>
      </c>
      <c r="R13" s="8">
        <f>IF(P13="","",INDEX(前年度名簿!$F$2:$F$451,P13))</f>
        <v/>
      </c>
      <c r="S13" s="8">
        <f>IF(P13="","",INDEX(前年度名簿!$I$2:$I$451,P13))</f>
        <v/>
      </c>
      <c r="T13" s="8">
        <f>IF(OR(P13="",計算用!$B$1=0),"",IFERROR(MATCH(S13,新年度名簿!$H$2:$H$451,0),""))</f>
        <v/>
      </c>
      <c r="U13" s="8">
        <f>IF(OR(L13="",M13="転出"),"",IFERROR(MATCH(L13,設定!$P$8:$P$27,0),""))</f>
        <v/>
      </c>
      <c r="V13" s="8">
        <f>IF(U13="","",COUNTIF($U$7:U13,U13))</f>
        <v/>
      </c>
      <c r="W13" s="8">
        <f>IF(U13="","",U13*1000+V13)</f>
        <v/>
      </c>
    </row>
    <row r="14">
      <c r="A14" s="44">
        <f>IF(P14="","",INDEX(前年度名簿!$H$2:$H$451,P14))</f>
        <v/>
      </c>
      <c r="B14" s="44">
        <f>IF(P14="","",IFERROR(INDEX(設定!$G$8:$G$31,INT(INDEX(前年度名簿!$G$2:$G$451,P14)/1000)),INDEX(前年度名簿!$A$2:$A$451,P14)&amp;INDEX(前年度名簿!$B$2:$B$451,P14)))</f>
        <v/>
      </c>
      <c r="C14" s="44">
        <f>IF(P14="","",INDEX(前年度名簿!$C$2:$C$451,P14))</f>
        <v/>
      </c>
      <c r="D14" s="3">
        <f>IF(P14="","",INDEX(前年度名簿!$D$2:$D$451,P14))</f>
        <v/>
      </c>
      <c r="E14" s="44">
        <f>IF(T14="","",INDEX(新年度名簿!$K$2:$K$451,T14))</f>
        <v/>
      </c>
      <c r="F14" s="44">
        <f>IF(T14="","",INDEX(新年度名簿!$C$2:$C$451,T14))</f>
        <v/>
      </c>
      <c r="G14" s="44">
        <f>IF(Q14="","",INDEX(希望入力!$H$2:$H$551,Q14)&amp;"")</f>
        <v/>
      </c>
      <c r="H14" s="44">
        <f>IF(Q14="","",INDEX(希望入力!$I$2:$I$551,Q14)&amp;"")</f>
        <v/>
      </c>
      <c r="I14" s="44">
        <f>IF(Q14="","",INDEX(希望入力!$J$2:$J$551,Q14)&amp;"")</f>
        <v/>
      </c>
      <c r="J14" s="44">
        <f>IF(Q14="","",IF(G14="","要調整",IFERROR(IF(IF(OR(設定!$C$14="〇",設定!$C$14="○"),COUNTIFS($A$7:$A$456,"&gt;="&amp;A14,$G$7:$G$456,G14),COUNTIF($G$7:$G$456,G14))&lt;=(INDEX(設定!$Q$8:$Q$27,MATCH(G14,設定!$P$8:$P$27,0))+N(INDEX(設定!$R$8:$R$27,MATCH(G14,設定!$P$8:$P$27,0)))),G14,"要調整"),"要調整")))</f>
        <v/>
      </c>
      <c r="K14" s="40" t="n"/>
      <c r="L14" s="52">
        <f>IF(P14="","",IF(K14&lt;&gt;"",K14,IF(OR(J14="",J14="要調整"),"",J14)))</f>
        <v/>
      </c>
      <c r="M14" s="44">
        <f>IF(P14="","",IF(AND(計算用!$B$1=1,T14=""),"転出",IF(L14&lt;&gt;"","決定",IF(Q14="","未提出","要調整"))))</f>
        <v/>
      </c>
      <c r="N14" s="44">
        <f>IF(OR(M14&lt;&gt;"要調整",H14=""),"",IFERROR((INDEX(設定!$Q$8:$Q$27,MATCH(H14,設定!$P$8:$P$27,0))+N(INDEX(設定!$R$8:$R$27,MATCH(H14,設定!$P$8:$P$27,0))))-INDEX(定員チェック!$F$7:$F$26,MATCH(H14,設定!$P$8:$P$27,0))-COUNTIFS($M$7:$M$456,"要調整",$G$7:$G$456,H14),""))</f>
        <v/>
      </c>
      <c r="O14" s="44">
        <f>IF(OR(M14&lt;&gt;"要調整",I14=""),"",IFERROR((INDEX(設定!$Q$8:$Q$27,MATCH(I14,設定!$P$8:$P$27,0))+N(INDEX(設定!$R$8:$R$27,MATCH(I14,設定!$P$8:$P$27,0))))-INDEX(定員チェック!$F$7:$F$26,MATCH(I14,設定!$P$8:$P$27,0))-COUNTIFS($M$7:$M$456,"要調整",$G$7:$G$456,I14),""))</f>
        <v/>
      </c>
      <c r="P14" s="8">
        <f>IFERROR(MATCH(SMALL(前年度名簿!$G$2:$G$451,8),前年度名簿!$G$2:$G$451,0),"")</f>
        <v/>
      </c>
      <c r="Q14" s="8">
        <f>IF(R14="","",IFERROR(MATCH(R14,希望入力!$M$2:$M$551,0),""))</f>
        <v/>
      </c>
      <c r="R14" s="8">
        <f>IF(P14="","",INDEX(前年度名簿!$F$2:$F$451,P14))</f>
        <v/>
      </c>
      <c r="S14" s="8">
        <f>IF(P14="","",INDEX(前年度名簿!$I$2:$I$451,P14))</f>
        <v/>
      </c>
      <c r="T14" s="8">
        <f>IF(OR(P14="",計算用!$B$1=0),"",IFERROR(MATCH(S14,新年度名簿!$H$2:$H$451,0),""))</f>
        <v/>
      </c>
      <c r="U14" s="8">
        <f>IF(OR(L14="",M14="転出"),"",IFERROR(MATCH(L14,設定!$P$8:$P$27,0),""))</f>
        <v/>
      </c>
      <c r="V14" s="8">
        <f>IF(U14="","",COUNTIF($U$7:U14,U14))</f>
        <v/>
      </c>
      <c r="W14" s="8">
        <f>IF(U14="","",U14*1000+V14)</f>
        <v/>
      </c>
    </row>
    <row r="15">
      <c r="A15" s="44">
        <f>IF(P15="","",INDEX(前年度名簿!$H$2:$H$451,P15))</f>
        <v/>
      </c>
      <c r="B15" s="44">
        <f>IF(P15="","",IFERROR(INDEX(設定!$G$8:$G$31,INT(INDEX(前年度名簿!$G$2:$G$451,P15)/1000)),INDEX(前年度名簿!$A$2:$A$451,P15)&amp;INDEX(前年度名簿!$B$2:$B$451,P15)))</f>
        <v/>
      </c>
      <c r="C15" s="44">
        <f>IF(P15="","",INDEX(前年度名簿!$C$2:$C$451,P15))</f>
        <v/>
      </c>
      <c r="D15" s="3">
        <f>IF(P15="","",INDEX(前年度名簿!$D$2:$D$451,P15))</f>
        <v/>
      </c>
      <c r="E15" s="44">
        <f>IF(T15="","",INDEX(新年度名簿!$K$2:$K$451,T15))</f>
        <v/>
      </c>
      <c r="F15" s="44">
        <f>IF(T15="","",INDEX(新年度名簿!$C$2:$C$451,T15))</f>
        <v/>
      </c>
      <c r="G15" s="44">
        <f>IF(Q15="","",INDEX(希望入力!$H$2:$H$551,Q15)&amp;"")</f>
        <v/>
      </c>
      <c r="H15" s="44">
        <f>IF(Q15="","",INDEX(希望入力!$I$2:$I$551,Q15)&amp;"")</f>
        <v/>
      </c>
      <c r="I15" s="44">
        <f>IF(Q15="","",INDEX(希望入力!$J$2:$J$551,Q15)&amp;"")</f>
        <v/>
      </c>
      <c r="J15" s="44">
        <f>IF(Q15="","",IF(G15="","要調整",IFERROR(IF(IF(OR(設定!$C$14="〇",設定!$C$14="○"),COUNTIFS($A$7:$A$456,"&gt;="&amp;A15,$G$7:$G$456,G15),COUNTIF($G$7:$G$456,G15))&lt;=(INDEX(設定!$Q$8:$Q$27,MATCH(G15,設定!$P$8:$P$27,0))+N(INDEX(設定!$R$8:$R$27,MATCH(G15,設定!$P$8:$P$27,0)))),G15,"要調整"),"要調整")))</f>
        <v/>
      </c>
      <c r="K15" s="40" t="n"/>
      <c r="L15" s="52">
        <f>IF(P15="","",IF(K15&lt;&gt;"",K15,IF(OR(J15="",J15="要調整"),"",J15)))</f>
        <v/>
      </c>
      <c r="M15" s="44">
        <f>IF(P15="","",IF(AND(計算用!$B$1=1,T15=""),"転出",IF(L15&lt;&gt;"","決定",IF(Q15="","未提出","要調整"))))</f>
        <v/>
      </c>
      <c r="N15" s="44">
        <f>IF(OR(M15&lt;&gt;"要調整",H15=""),"",IFERROR((INDEX(設定!$Q$8:$Q$27,MATCH(H15,設定!$P$8:$P$27,0))+N(INDEX(設定!$R$8:$R$27,MATCH(H15,設定!$P$8:$P$27,0))))-INDEX(定員チェック!$F$7:$F$26,MATCH(H15,設定!$P$8:$P$27,0))-COUNTIFS($M$7:$M$456,"要調整",$G$7:$G$456,H15),""))</f>
        <v/>
      </c>
      <c r="O15" s="44">
        <f>IF(OR(M15&lt;&gt;"要調整",I15=""),"",IFERROR((INDEX(設定!$Q$8:$Q$27,MATCH(I15,設定!$P$8:$P$27,0))+N(INDEX(設定!$R$8:$R$27,MATCH(I15,設定!$P$8:$P$27,0))))-INDEX(定員チェック!$F$7:$F$26,MATCH(I15,設定!$P$8:$P$27,0))-COUNTIFS($M$7:$M$456,"要調整",$G$7:$G$456,I15),""))</f>
        <v/>
      </c>
      <c r="P15" s="8">
        <f>IFERROR(MATCH(SMALL(前年度名簿!$G$2:$G$451,9),前年度名簿!$G$2:$G$451,0),"")</f>
        <v/>
      </c>
      <c r="Q15" s="8">
        <f>IF(R15="","",IFERROR(MATCH(R15,希望入力!$M$2:$M$551,0),""))</f>
        <v/>
      </c>
      <c r="R15" s="8">
        <f>IF(P15="","",INDEX(前年度名簿!$F$2:$F$451,P15))</f>
        <v/>
      </c>
      <c r="S15" s="8">
        <f>IF(P15="","",INDEX(前年度名簿!$I$2:$I$451,P15))</f>
        <v/>
      </c>
      <c r="T15" s="8">
        <f>IF(OR(P15="",計算用!$B$1=0),"",IFERROR(MATCH(S15,新年度名簿!$H$2:$H$451,0),""))</f>
        <v/>
      </c>
      <c r="U15" s="8">
        <f>IF(OR(L15="",M15="転出"),"",IFERROR(MATCH(L15,設定!$P$8:$P$27,0),""))</f>
        <v/>
      </c>
      <c r="V15" s="8">
        <f>IF(U15="","",COUNTIF($U$7:U15,U15))</f>
        <v/>
      </c>
      <c r="W15" s="8">
        <f>IF(U15="","",U15*1000+V15)</f>
        <v/>
      </c>
    </row>
    <row r="16">
      <c r="A16" s="44">
        <f>IF(P16="","",INDEX(前年度名簿!$H$2:$H$451,P16))</f>
        <v/>
      </c>
      <c r="B16" s="44">
        <f>IF(P16="","",IFERROR(INDEX(設定!$G$8:$G$31,INT(INDEX(前年度名簿!$G$2:$G$451,P16)/1000)),INDEX(前年度名簿!$A$2:$A$451,P16)&amp;INDEX(前年度名簿!$B$2:$B$451,P16)))</f>
        <v/>
      </c>
      <c r="C16" s="44">
        <f>IF(P16="","",INDEX(前年度名簿!$C$2:$C$451,P16))</f>
        <v/>
      </c>
      <c r="D16" s="3">
        <f>IF(P16="","",INDEX(前年度名簿!$D$2:$D$451,P16))</f>
        <v/>
      </c>
      <c r="E16" s="44">
        <f>IF(T16="","",INDEX(新年度名簿!$K$2:$K$451,T16))</f>
        <v/>
      </c>
      <c r="F16" s="44">
        <f>IF(T16="","",INDEX(新年度名簿!$C$2:$C$451,T16))</f>
        <v/>
      </c>
      <c r="G16" s="44">
        <f>IF(Q16="","",INDEX(希望入力!$H$2:$H$551,Q16)&amp;"")</f>
        <v/>
      </c>
      <c r="H16" s="44">
        <f>IF(Q16="","",INDEX(希望入力!$I$2:$I$551,Q16)&amp;"")</f>
        <v/>
      </c>
      <c r="I16" s="44">
        <f>IF(Q16="","",INDEX(希望入力!$J$2:$J$551,Q16)&amp;"")</f>
        <v/>
      </c>
      <c r="J16" s="44">
        <f>IF(Q16="","",IF(G16="","要調整",IFERROR(IF(IF(OR(設定!$C$14="〇",設定!$C$14="○"),COUNTIFS($A$7:$A$456,"&gt;="&amp;A16,$G$7:$G$456,G16),COUNTIF($G$7:$G$456,G16))&lt;=(INDEX(設定!$Q$8:$Q$27,MATCH(G16,設定!$P$8:$P$27,0))+N(INDEX(設定!$R$8:$R$27,MATCH(G16,設定!$P$8:$P$27,0)))),G16,"要調整"),"要調整")))</f>
        <v/>
      </c>
      <c r="K16" s="40" t="n"/>
      <c r="L16" s="52">
        <f>IF(P16="","",IF(K16&lt;&gt;"",K16,IF(OR(J16="",J16="要調整"),"",J16)))</f>
        <v/>
      </c>
      <c r="M16" s="44">
        <f>IF(P16="","",IF(AND(計算用!$B$1=1,T16=""),"転出",IF(L16&lt;&gt;"","決定",IF(Q16="","未提出","要調整"))))</f>
        <v/>
      </c>
      <c r="N16" s="44">
        <f>IF(OR(M16&lt;&gt;"要調整",H16=""),"",IFERROR((INDEX(設定!$Q$8:$Q$27,MATCH(H16,設定!$P$8:$P$27,0))+N(INDEX(設定!$R$8:$R$27,MATCH(H16,設定!$P$8:$P$27,0))))-INDEX(定員チェック!$F$7:$F$26,MATCH(H16,設定!$P$8:$P$27,0))-COUNTIFS($M$7:$M$456,"要調整",$G$7:$G$456,H16),""))</f>
        <v/>
      </c>
      <c r="O16" s="44">
        <f>IF(OR(M16&lt;&gt;"要調整",I16=""),"",IFERROR((INDEX(設定!$Q$8:$Q$27,MATCH(I16,設定!$P$8:$P$27,0))+N(INDEX(設定!$R$8:$R$27,MATCH(I16,設定!$P$8:$P$27,0))))-INDEX(定員チェック!$F$7:$F$26,MATCH(I16,設定!$P$8:$P$27,0))-COUNTIFS($M$7:$M$456,"要調整",$G$7:$G$456,I16),""))</f>
        <v/>
      </c>
      <c r="P16" s="8">
        <f>IFERROR(MATCH(SMALL(前年度名簿!$G$2:$G$451,10),前年度名簿!$G$2:$G$451,0),"")</f>
        <v/>
      </c>
      <c r="Q16" s="8">
        <f>IF(R16="","",IFERROR(MATCH(R16,希望入力!$M$2:$M$551,0),""))</f>
        <v/>
      </c>
      <c r="R16" s="8">
        <f>IF(P16="","",INDEX(前年度名簿!$F$2:$F$451,P16))</f>
        <v/>
      </c>
      <c r="S16" s="8">
        <f>IF(P16="","",INDEX(前年度名簿!$I$2:$I$451,P16))</f>
        <v/>
      </c>
      <c r="T16" s="8">
        <f>IF(OR(P16="",計算用!$B$1=0),"",IFERROR(MATCH(S16,新年度名簿!$H$2:$H$451,0),""))</f>
        <v/>
      </c>
      <c r="U16" s="8">
        <f>IF(OR(L16="",M16="転出"),"",IFERROR(MATCH(L16,設定!$P$8:$P$27,0),""))</f>
        <v/>
      </c>
      <c r="V16" s="8">
        <f>IF(U16="","",COUNTIF($U$7:U16,U16))</f>
        <v/>
      </c>
      <c r="W16" s="8">
        <f>IF(U16="","",U16*1000+V16)</f>
        <v/>
      </c>
    </row>
    <row r="17">
      <c r="A17" s="44">
        <f>IF(P17="","",INDEX(前年度名簿!$H$2:$H$451,P17))</f>
        <v/>
      </c>
      <c r="B17" s="44">
        <f>IF(P17="","",IFERROR(INDEX(設定!$G$8:$G$31,INT(INDEX(前年度名簿!$G$2:$G$451,P17)/1000)),INDEX(前年度名簿!$A$2:$A$451,P17)&amp;INDEX(前年度名簿!$B$2:$B$451,P17)))</f>
        <v/>
      </c>
      <c r="C17" s="44">
        <f>IF(P17="","",INDEX(前年度名簿!$C$2:$C$451,P17))</f>
        <v/>
      </c>
      <c r="D17" s="3">
        <f>IF(P17="","",INDEX(前年度名簿!$D$2:$D$451,P17))</f>
        <v/>
      </c>
      <c r="E17" s="44">
        <f>IF(T17="","",INDEX(新年度名簿!$K$2:$K$451,T17))</f>
        <v/>
      </c>
      <c r="F17" s="44">
        <f>IF(T17="","",INDEX(新年度名簿!$C$2:$C$451,T17))</f>
        <v/>
      </c>
      <c r="G17" s="44">
        <f>IF(Q17="","",INDEX(希望入力!$H$2:$H$551,Q17)&amp;"")</f>
        <v/>
      </c>
      <c r="H17" s="44">
        <f>IF(Q17="","",INDEX(希望入力!$I$2:$I$551,Q17)&amp;"")</f>
        <v/>
      </c>
      <c r="I17" s="44">
        <f>IF(Q17="","",INDEX(希望入力!$J$2:$J$551,Q17)&amp;"")</f>
        <v/>
      </c>
      <c r="J17" s="44">
        <f>IF(Q17="","",IF(G17="","要調整",IFERROR(IF(IF(OR(設定!$C$14="〇",設定!$C$14="○"),COUNTIFS($A$7:$A$456,"&gt;="&amp;A17,$G$7:$G$456,G17),COUNTIF($G$7:$G$456,G17))&lt;=(INDEX(設定!$Q$8:$Q$27,MATCH(G17,設定!$P$8:$P$27,0))+N(INDEX(設定!$R$8:$R$27,MATCH(G17,設定!$P$8:$P$27,0)))),G17,"要調整"),"要調整")))</f>
        <v/>
      </c>
      <c r="K17" s="40" t="n"/>
      <c r="L17" s="52">
        <f>IF(P17="","",IF(K17&lt;&gt;"",K17,IF(OR(J17="",J17="要調整"),"",J17)))</f>
        <v/>
      </c>
      <c r="M17" s="44">
        <f>IF(P17="","",IF(AND(計算用!$B$1=1,T17=""),"転出",IF(L17&lt;&gt;"","決定",IF(Q17="","未提出","要調整"))))</f>
        <v/>
      </c>
      <c r="N17" s="44">
        <f>IF(OR(M17&lt;&gt;"要調整",H17=""),"",IFERROR((INDEX(設定!$Q$8:$Q$27,MATCH(H17,設定!$P$8:$P$27,0))+N(INDEX(設定!$R$8:$R$27,MATCH(H17,設定!$P$8:$P$27,0))))-INDEX(定員チェック!$F$7:$F$26,MATCH(H17,設定!$P$8:$P$27,0))-COUNTIFS($M$7:$M$456,"要調整",$G$7:$G$456,H17),""))</f>
        <v/>
      </c>
      <c r="O17" s="44">
        <f>IF(OR(M17&lt;&gt;"要調整",I17=""),"",IFERROR((INDEX(設定!$Q$8:$Q$27,MATCH(I17,設定!$P$8:$P$27,0))+N(INDEX(設定!$R$8:$R$27,MATCH(I17,設定!$P$8:$P$27,0))))-INDEX(定員チェック!$F$7:$F$26,MATCH(I17,設定!$P$8:$P$27,0))-COUNTIFS($M$7:$M$456,"要調整",$G$7:$G$456,I17),""))</f>
        <v/>
      </c>
      <c r="P17" s="8">
        <f>IFERROR(MATCH(SMALL(前年度名簿!$G$2:$G$451,11),前年度名簿!$G$2:$G$451,0),"")</f>
        <v/>
      </c>
      <c r="Q17" s="8">
        <f>IF(R17="","",IFERROR(MATCH(R17,希望入力!$M$2:$M$551,0),""))</f>
        <v/>
      </c>
      <c r="R17" s="8">
        <f>IF(P17="","",INDEX(前年度名簿!$F$2:$F$451,P17))</f>
        <v/>
      </c>
      <c r="S17" s="8">
        <f>IF(P17="","",INDEX(前年度名簿!$I$2:$I$451,P17))</f>
        <v/>
      </c>
      <c r="T17" s="8">
        <f>IF(OR(P17="",計算用!$B$1=0),"",IFERROR(MATCH(S17,新年度名簿!$H$2:$H$451,0),""))</f>
        <v/>
      </c>
      <c r="U17" s="8">
        <f>IF(OR(L17="",M17="転出"),"",IFERROR(MATCH(L17,設定!$P$8:$P$27,0),""))</f>
        <v/>
      </c>
      <c r="V17" s="8">
        <f>IF(U17="","",COUNTIF($U$7:U17,U17))</f>
        <v/>
      </c>
      <c r="W17" s="8">
        <f>IF(U17="","",U17*1000+V17)</f>
        <v/>
      </c>
    </row>
    <row r="18">
      <c r="A18" s="44">
        <f>IF(P18="","",INDEX(前年度名簿!$H$2:$H$451,P18))</f>
        <v/>
      </c>
      <c r="B18" s="44">
        <f>IF(P18="","",IFERROR(INDEX(設定!$G$8:$G$31,INT(INDEX(前年度名簿!$G$2:$G$451,P18)/1000)),INDEX(前年度名簿!$A$2:$A$451,P18)&amp;INDEX(前年度名簿!$B$2:$B$451,P18)))</f>
        <v/>
      </c>
      <c r="C18" s="44">
        <f>IF(P18="","",INDEX(前年度名簿!$C$2:$C$451,P18))</f>
        <v/>
      </c>
      <c r="D18" s="3">
        <f>IF(P18="","",INDEX(前年度名簿!$D$2:$D$451,P18))</f>
        <v/>
      </c>
      <c r="E18" s="44">
        <f>IF(T18="","",INDEX(新年度名簿!$K$2:$K$451,T18))</f>
        <v/>
      </c>
      <c r="F18" s="44">
        <f>IF(T18="","",INDEX(新年度名簿!$C$2:$C$451,T18))</f>
        <v/>
      </c>
      <c r="G18" s="44">
        <f>IF(Q18="","",INDEX(希望入力!$H$2:$H$551,Q18)&amp;"")</f>
        <v/>
      </c>
      <c r="H18" s="44">
        <f>IF(Q18="","",INDEX(希望入力!$I$2:$I$551,Q18)&amp;"")</f>
        <v/>
      </c>
      <c r="I18" s="44">
        <f>IF(Q18="","",INDEX(希望入力!$J$2:$J$551,Q18)&amp;"")</f>
        <v/>
      </c>
      <c r="J18" s="44">
        <f>IF(Q18="","",IF(G18="","要調整",IFERROR(IF(IF(OR(設定!$C$14="〇",設定!$C$14="○"),COUNTIFS($A$7:$A$456,"&gt;="&amp;A18,$G$7:$G$456,G18),COUNTIF($G$7:$G$456,G18))&lt;=(INDEX(設定!$Q$8:$Q$27,MATCH(G18,設定!$P$8:$P$27,0))+N(INDEX(設定!$R$8:$R$27,MATCH(G18,設定!$P$8:$P$27,0)))),G18,"要調整"),"要調整")))</f>
        <v/>
      </c>
      <c r="K18" s="40" t="n"/>
      <c r="L18" s="52">
        <f>IF(P18="","",IF(K18&lt;&gt;"",K18,IF(OR(J18="",J18="要調整"),"",J18)))</f>
        <v/>
      </c>
      <c r="M18" s="44">
        <f>IF(P18="","",IF(AND(計算用!$B$1=1,T18=""),"転出",IF(L18&lt;&gt;"","決定",IF(Q18="","未提出","要調整"))))</f>
        <v/>
      </c>
      <c r="N18" s="44">
        <f>IF(OR(M18&lt;&gt;"要調整",H18=""),"",IFERROR((INDEX(設定!$Q$8:$Q$27,MATCH(H18,設定!$P$8:$P$27,0))+N(INDEX(設定!$R$8:$R$27,MATCH(H18,設定!$P$8:$P$27,0))))-INDEX(定員チェック!$F$7:$F$26,MATCH(H18,設定!$P$8:$P$27,0))-COUNTIFS($M$7:$M$456,"要調整",$G$7:$G$456,H18),""))</f>
        <v/>
      </c>
      <c r="O18" s="44">
        <f>IF(OR(M18&lt;&gt;"要調整",I18=""),"",IFERROR((INDEX(設定!$Q$8:$Q$27,MATCH(I18,設定!$P$8:$P$27,0))+N(INDEX(設定!$R$8:$R$27,MATCH(I18,設定!$P$8:$P$27,0))))-INDEX(定員チェック!$F$7:$F$26,MATCH(I18,設定!$P$8:$P$27,0))-COUNTIFS($M$7:$M$456,"要調整",$G$7:$G$456,I18),""))</f>
        <v/>
      </c>
      <c r="P18" s="8">
        <f>IFERROR(MATCH(SMALL(前年度名簿!$G$2:$G$451,12),前年度名簿!$G$2:$G$451,0),"")</f>
        <v/>
      </c>
      <c r="Q18" s="8">
        <f>IF(R18="","",IFERROR(MATCH(R18,希望入力!$M$2:$M$551,0),""))</f>
        <v/>
      </c>
      <c r="R18" s="8">
        <f>IF(P18="","",INDEX(前年度名簿!$F$2:$F$451,P18))</f>
        <v/>
      </c>
      <c r="S18" s="8">
        <f>IF(P18="","",INDEX(前年度名簿!$I$2:$I$451,P18))</f>
        <v/>
      </c>
      <c r="T18" s="8">
        <f>IF(OR(P18="",計算用!$B$1=0),"",IFERROR(MATCH(S18,新年度名簿!$H$2:$H$451,0),""))</f>
        <v/>
      </c>
      <c r="U18" s="8">
        <f>IF(OR(L18="",M18="転出"),"",IFERROR(MATCH(L18,設定!$P$8:$P$27,0),""))</f>
        <v/>
      </c>
      <c r="V18" s="8">
        <f>IF(U18="","",COUNTIF($U$7:U18,U18))</f>
        <v/>
      </c>
      <c r="W18" s="8">
        <f>IF(U18="","",U18*1000+V18)</f>
        <v/>
      </c>
    </row>
    <row r="19">
      <c r="A19" s="44">
        <f>IF(P19="","",INDEX(前年度名簿!$H$2:$H$451,P19))</f>
        <v/>
      </c>
      <c r="B19" s="44">
        <f>IF(P19="","",IFERROR(INDEX(設定!$G$8:$G$31,INT(INDEX(前年度名簿!$G$2:$G$451,P19)/1000)),INDEX(前年度名簿!$A$2:$A$451,P19)&amp;INDEX(前年度名簿!$B$2:$B$451,P19)))</f>
        <v/>
      </c>
      <c r="C19" s="44">
        <f>IF(P19="","",INDEX(前年度名簿!$C$2:$C$451,P19))</f>
        <v/>
      </c>
      <c r="D19" s="3">
        <f>IF(P19="","",INDEX(前年度名簿!$D$2:$D$451,P19))</f>
        <v/>
      </c>
      <c r="E19" s="44">
        <f>IF(T19="","",INDEX(新年度名簿!$K$2:$K$451,T19))</f>
        <v/>
      </c>
      <c r="F19" s="44">
        <f>IF(T19="","",INDEX(新年度名簿!$C$2:$C$451,T19))</f>
        <v/>
      </c>
      <c r="G19" s="44">
        <f>IF(Q19="","",INDEX(希望入力!$H$2:$H$551,Q19)&amp;"")</f>
        <v/>
      </c>
      <c r="H19" s="44">
        <f>IF(Q19="","",INDEX(希望入力!$I$2:$I$551,Q19)&amp;"")</f>
        <v/>
      </c>
      <c r="I19" s="44">
        <f>IF(Q19="","",INDEX(希望入力!$J$2:$J$551,Q19)&amp;"")</f>
        <v/>
      </c>
      <c r="J19" s="44">
        <f>IF(Q19="","",IF(G19="","要調整",IFERROR(IF(IF(OR(設定!$C$14="〇",設定!$C$14="○"),COUNTIFS($A$7:$A$456,"&gt;="&amp;A19,$G$7:$G$456,G19),COUNTIF($G$7:$G$456,G19))&lt;=(INDEX(設定!$Q$8:$Q$27,MATCH(G19,設定!$P$8:$P$27,0))+N(INDEX(設定!$R$8:$R$27,MATCH(G19,設定!$P$8:$P$27,0)))),G19,"要調整"),"要調整")))</f>
        <v/>
      </c>
      <c r="K19" s="40" t="n"/>
      <c r="L19" s="52">
        <f>IF(P19="","",IF(K19&lt;&gt;"",K19,IF(OR(J19="",J19="要調整"),"",J19)))</f>
        <v/>
      </c>
      <c r="M19" s="44">
        <f>IF(P19="","",IF(AND(計算用!$B$1=1,T19=""),"転出",IF(L19&lt;&gt;"","決定",IF(Q19="","未提出","要調整"))))</f>
        <v/>
      </c>
      <c r="N19" s="44">
        <f>IF(OR(M19&lt;&gt;"要調整",H19=""),"",IFERROR((INDEX(設定!$Q$8:$Q$27,MATCH(H19,設定!$P$8:$P$27,0))+N(INDEX(設定!$R$8:$R$27,MATCH(H19,設定!$P$8:$P$27,0))))-INDEX(定員チェック!$F$7:$F$26,MATCH(H19,設定!$P$8:$P$27,0))-COUNTIFS($M$7:$M$456,"要調整",$G$7:$G$456,H19),""))</f>
        <v/>
      </c>
      <c r="O19" s="44">
        <f>IF(OR(M19&lt;&gt;"要調整",I19=""),"",IFERROR((INDEX(設定!$Q$8:$Q$27,MATCH(I19,設定!$P$8:$P$27,0))+N(INDEX(設定!$R$8:$R$27,MATCH(I19,設定!$P$8:$P$27,0))))-INDEX(定員チェック!$F$7:$F$26,MATCH(I19,設定!$P$8:$P$27,0))-COUNTIFS($M$7:$M$456,"要調整",$G$7:$G$456,I19),""))</f>
        <v/>
      </c>
      <c r="P19" s="8">
        <f>IFERROR(MATCH(SMALL(前年度名簿!$G$2:$G$451,13),前年度名簿!$G$2:$G$451,0),"")</f>
        <v/>
      </c>
      <c r="Q19" s="8">
        <f>IF(R19="","",IFERROR(MATCH(R19,希望入力!$M$2:$M$551,0),""))</f>
        <v/>
      </c>
      <c r="R19" s="8">
        <f>IF(P19="","",INDEX(前年度名簿!$F$2:$F$451,P19))</f>
        <v/>
      </c>
      <c r="S19" s="8">
        <f>IF(P19="","",INDEX(前年度名簿!$I$2:$I$451,P19))</f>
        <v/>
      </c>
      <c r="T19" s="8">
        <f>IF(OR(P19="",計算用!$B$1=0),"",IFERROR(MATCH(S19,新年度名簿!$H$2:$H$451,0),""))</f>
        <v/>
      </c>
      <c r="U19" s="8">
        <f>IF(OR(L19="",M19="転出"),"",IFERROR(MATCH(L19,設定!$P$8:$P$27,0),""))</f>
        <v/>
      </c>
      <c r="V19" s="8">
        <f>IF(U19="","",COUNTIF($U$7:U19,U19))</f>
        <v/>
      </c>
      <c r="W19" s="8">
        <f>IF(U19="","",U19*1000+V19)</f>
        <v/>
      </c>
    </row>
    <row r="20">
      <c r="A20" s="44">
        <f>IF(P20="","",INDEX(前年度名簿!$H$2:$H$451,P20))</f>
        <v/>
      </c>
      <c r="B20" s="44">
        <f>IF(P20="","",IFERROR(INDEX(設定!$G$8:$G$31,INT(INDEX(前年度名簿!$G$2:$G$451,P20)/1000)),INDEX(前年度名簿!$A$2:$A$451,P20)&amp;INDEX(前年度名簿!$B$2:$B$451,P20)))</f>
        <v/>
      </c>
      <c r="C20" s="44">
        <f>IF(P20="","",INDEX(前年度名簿!$C$2:$C$451,P20))</f>
        <v/>
      </c>
      <c r="D20" s="3">
        <f>IF(P20="","",INDEX(前年度名簿!$D$2:$D$451,P20))</f>
        <v/>
      </c>
      <c r="E20" s="44">
        <f>IF(T20="","",INDEX(新年度名簿!$K$2:$K$451,T20))</f>
        <v/>
      </c>
      <c r="F20" s="44">
        <f>IF(T20="","",INDEX(新年度名簿!$C$2:$C$451,T20))</f>
        <v/>
      </c>
      <c r="G20" s="44">
        <f>IF(Q20="","",INDEX(希望入力!$H$2:$H$551,Q20)&amp;"")</f>
        <v/>
      </c>
      <c r="H20" s="44">
        <f>IF(Q20="","",INDEX(希望入力!$I$2:$I$551,Q20)&amp;"")</f>
        <v/>
      </c>
      <c r="I20" s="44">
        <f>IF(Q20="","",INDEX(希望入力!$J$2:$J$551,Q20)&amp;"")</f>
        <v/>
      </c>
      <c r="J20" s="44">
        <f>IF(Q20="","",IF(G20="","要調整",IFERROR(IF(IF(OR(設定!$C$14="〇",設定!$C$14="○"),COUNTIFS($A$7:$A$456,"&gt;="&amp;A20,$G$7:$G$456,G20),COUNTIF($G$7:$G$456,G20))&lt;=(INDEX(設定!$Q$8:$Q$27,MATCH(G20,設定!$P$8:$P$27,0))+N(INDEX(設定!$R$8:$R$27,MATCH(G20,設定!$P$8:$P$27,0)))),G20,"要調整"),"要調整")))</f>
        <v/>
      </c>
      <c r="K20" s="40" t="n"/>
      <c r="L20" s="52">
        <f>IF(P20="","",IF(K20&lt;&gt;"",K20,IF(OR(J20="",J20="要調整"),"",J20)))</f>
        <v/>
      </c>
      <c r="M20" s="44">
        <f>IF(P20="","",IF(AND(計算用!$B$1=1,T20=""),"転出",IF(L20&lt;&gt;"","決定",IF(Q20="","未提出","要調整"))))</f>
        <v/>
      </c>
      <c r="N20" s="44">
        <f>IF(OR(M20&lt;&gt;"要調整",H20=""),"",IFERROR((INDEX(設定!$Q$8:$Q$27,MATCH(H20,設定!$P$8:$P$27,0))+N(INDEX(設定!$R$8:$R$27,MATCH(H20,設定!$P$8:$P$27,0))))-INDEX(定員チェック!$F$7:$F$26,MATCH(H20,設定!$P$8:$P$27,0))-COUNTIFS($M$7:$M$456,"要調整",$G$7:$G$456,H20),""))</f>
        <v/>
      </c>
      <c r="O20" s="44">
        <f>IF(OR(M20&lt;&gt;"要調整",I20=""),"",IFERROR((INDEX(設定!$Q$8:$Q$27,MATCH(I20,設定!$P$8:$P$27,0))+N(INDEX(設定!$R$8:$R$27,MATCH(I20,設定!$P$8:$P$27,0))))-INDEX(定員チェック!$F$7:$F$26,MATCH(I20,設定!$P$8:$P$27,0))-COUNTIFS($M$7:$M$456,"要調整",$G$7:$G$456,I20),""))</f>
        <v/>
      </c>
      <c r="P20" s="8">
        <f>IFERROR(MATCH(SMALL(前年度名簿!$G$2:$G$451,14),前年度名簿!$G$2:$G$451,0),"")</f>
        <v/>
      </c>
      <c r="Q20" s="8">
        <f>IF(R20="","",IFERROR(MATCH(R20,希望入力!$M$2:$M$551,0),""))</f>
        <v/>
      </c>
      <c r="R20" s="8">
        <f>IF(P20="","",INDEX(前年度名簿!$F$2:$F$451,P20))</f>
        <v/>
      </c>
      <c r="S20" s="8">
        <f>IF(P20="","",INDEX(前年度名簿!$I$2:$I$451,P20))</f>
        <v/>
      </c>
      <c r="T20" s="8">
        <f>IF(OR(P20="",計算用!$B$1=0),"",IFERROR(MATCH(S20,新年度名簿!$H$2:$H$451,0),""))</f>
        <v/>
      </c>
      <c r="U20" s="8">
        <f>IF(OR(L20="",M20="転出"),"",IFERROR(MATCH(L20,設定!$P$8:$P$27,0),""))</f>
        <v/>
      </c>
      <c r="V20" s="8">
        <f>IF(U20="","",COUNTIF($U$7:U20,U20))</f>
        <v/>
      </c>
      <c r="W20" s="8">
        <f>IF(U20="","",U20*1000+V20)</f>
        <v/>
      </c>
    </row>
    <row r="21">
      <c r="A21" s="44">
        <f>IF(P21="","",INDEX(前年度名簿!$H$2:$H$451,P21))</f>
        <v/>
      </c>
      <c r="B21" s="44">
        <f>IF(P21="","",IFERROR(INDEX(設定!$G$8:$G$31,INT(INDEX(前年度名簿!$G$2:$G$451,P21)/1000)),INDEX(前年度名簿!$A$2:$A$451,P21)&amp;INDEX(前年度名簿!$B$2:$B$451,P21)))</f>
        <v/>
      </c>
      <c r="C21" s="44">
        <f>IF(P21="","",INDEX(前年度名簿!$C$2:$C$451,P21))</f>
        <v/>
      </c>
      <c r="D21" s="3">
        <f>IF(P21="","",INDEX(前年度名簿!$D$2:$D$451,P21))</f>
        <v/>
      </c>
      <c r="E21" s="44">
        <f>IF(T21="","",INDEX(新年度名簿!$K$2:$K$451,T21))</f>
        <v/>
      </c>
      <c r="F21" s="44">
        <f>IF(T21="","",INDEX(新年度名簿!$C$2:$C$451,T21))</f>
        <v/>
      </c>
      <c r="G21" s="44">
        <f>IF(Q21="","",INDEX(希望入力!$H$2:$H$551,Q21)&amp;"")</f>
        <v/>
      </c>
      <c r="H21" s="44">
        <f>IF(Q21="","",INDEX(希望入力!$I$2:$I$551,Q21)&amp;"")</f>
        <v/>
      </c>
      <c r="I21" s="44">
        <f>IF(Q21="","",INDEX(希望入力!$J$2:$J$551,Q21)&amp;"")</f>
        <v/>
      </c>
      <c r="J21" s="44">
        <f>IF(Q21="","",IF(G21="","要調整",IFERROR(IF(IF(OR(設定!$C$14="〇",設定!$C$14="○"),COUNTIFS($A$7:$A$456,"&gt;="&amp;A21,$G$7:$G$456,G21),COUNTIF($G$7:$G$456,G21))&lt;=(INDEX(設定!$Q$8:$Q$27,MATCH(G21,設定!$P$8:$P$27,0))+N(INDEX(設定!$R$8:$R$27,MATCH(G21,設定!$P$8:$P$27,0)))),G21,"要調整"),"要調整")))</f>
        <v/>
      </c>
      <c r="K21" s="40" t="n"/>
      <c r="L21" s="52">
        <f>IF(P21="","",IF(K21&lt;&gt;"",K21,IF(OR(J21="",J21="要調整"),"",J21)))</f>
        <v/>
      </c>
      <c r="M21" s="44">
        <f>IF(P21="","",IF(AND(計算用!$B$1=1,T21=""),"転出",IF(L21&lt;&gt;"","決定",IF(Q21="","未提出","要調整"))))</f>
        <v/>
      </c>
      <c r="N21" s="44">
        <f>IF(OR(M21&lt;&gt;"要調整",H21=""),"",IFERROR((INDEX(設定!$Q$8:$Q$27,MATCH(H21,設定!$P$8:$P$27,0))+N(INDEX(設定!$R$8:$R$27,MATCH(H21,設定!$P$8:$P$27,0))))-INDEX(定員チェック!$F$7:$F$26,MATCH(H21,設定!$P$8:$P$27,0))-COUNTIFS($M$7:$M$456,"要調整",$G$7:$G$456,H21),""))</f>
        <v/>
      </c>
      <c r="O21" s="44">
        <f>IF(OR(M21&lt;&gt;"要調整",I21=""),"",IFERROR((INDEX(設定!$Q$8:$Q$27,MATCH(I21,設定!$P$8:$P$27,0))+N(INDEX(設定!$R$8:$R$27,MATCH(I21,設定!$P$8:$P$27,0))))-INDEX(定員チェック!$F$7:$F$26,MATCH(I21,設定!$P$8:$P$27,0))-COUNTIFS($M$7:$M$456,"要調整",$G$7:$G$456,I21),""))</f>
        <v/>
      </c>
      <c r="P21" s="8">
        <f>IFERROR(MATCH(SMALL(前年度名簿!$G$2:$G$451,15),前年度名簿!$G$2:$G$451,0),"")</f>
        <v/>
      </c>
      <c r="Q21" s="8">
        <f>IF(R21="","",IFERROR(MATCH(R21,希望入力!$M$2:$M$551,0),""))</f>
        <v/>
      </c>
      <c r="R21" s="8">
        <f>IF(P21="","",INDEX(前年度名簿!$F$2:$F$451,P21))</f>
        <v/>
      </c>
      <c r="S21" s="8">
        <f>IF(P21="","",INDEX(前年度名簿!$I$2:$I$451,P21))</f>
        <v/>
      </c>
      <c r="T21" s="8">
        <f>IF(OR(P21="",計算用!$B$1=0),"",IFERROR(MATCH(S21,新年度名簿!$H$2:$H$451,0),""))</f>
        <v/>
      </c>
      <c r="U21" s="8">
        <f>IF(OR(L21="",M21="転出"),"",IFERROR(MATCH(L21,設定!$P$8:$P$27,0),""))</f>
        <v/>
      </c>
      <c r="V21" s="8">
        <f>IF(U21="","",COUNTIF($U$7:U21,U21))</f>
        <v/>
      </c>
      <c r="W21" s="8">
        <f>IF(U21="","",U21*1000+V21)</f>
        <v/>
      </c>
    </row>
    <row r="22">
      <c r="A22" s="44">
        <f>IF(P22="","",INDEX(前年度名簿!$H$2:$H$451,P22))</f>
        <v/>
      </c>
      <c r="B22" s="44">
        <f>IF(P22="","",IFERROR(INDEX(設定!$G$8:$G$31,INT(INDEX(前年度名簿!$G$2:$G$451,P22)/1000)),INDEX(前年度名簿!$A$2:$A$451,P22)&amp;INDEX(前年度名簿!$B$2:$B$451,P22)))</f>
        <v/>
      </c>
      <c r="C22" s="44">
        <f>IF(P22="","",INDEX(前年度名簿!$C$2:$C$451,P22))</f>
        <v/>
      </c>
      <c r="D22" s="3">
        <f>IF(P22="","",INDEX(前年度名簿!$D$2:$D$451,P22))</f>
        <v/>
      </c>
      <c r="E22" s="44">
        <f>IF(T22="","",INDEX(新年度名簿!$K$2:$K$451,T22))</f>
        <v/>
      </c>
      <c r="F22" s="44">
        <f>IF(T22="","",INDEX(新年度名簿!$C$2:$C$451,T22))</f>
        <v/>
      </c>
      <c r="G22" s="44">
        <f>IF(Q22="","",INDEX(希望入力!$H$2:$H$551,Q22)&amp;"")</f>
        <v/>
      </c>
      <c r="H22" s="44">
        <f>IF(Q22="","",INDEX(希望入力!$I$2:$I$551,Q22)&amp;"")</f>
        <v/>
      </c>
      <c r="I22" s="44">
        <f>IF(Q22="","",INDEX(希望入力!$J$2:$J$551,Q22)&amp;"")</f>
        <v/>
      </c>
      <c r="J22" s="44">
        <f>IF(Q22="","",IF(G22="","要調整",IFERROR(IF(IF(OR(設定!$C$14="〇",設定!$C$14="○"),COUNTIFS($A$7:$A$456,"&gt;="&amp;A22,$G$7:$G$456,G22),COUNTIF($G$7:$G$456,G22))&lt;=(INDEX(設定!$Q$8:$Q$27,MATCH(G22,設定!$P$8:$P$27,0))+N(INDEX(設定!$R$8:$R$27,MATCH(G22,設定!$P$8:$P$27,0)))),G22,"要調整"),"要調整")))</f>
        <v/>
      </c>
      <c r="K22" s="40" t="n"/>
      <c r="L22" s="52">
        <f>IF(P22="","",IF(K22&lt;&gt;"",K22,IF(OR(J22="",J22="要調整"),"",J22)))</f>
        <v/>
      </c>
      <c r="M22" s="44">
        <f>IF(P22="","",IF(AND(計算用!$B$1=1,T22=""),"転出",IF(L22&lt;&gt;"","決定",IF(Q22="","未提出","要調整"))))</f>
        <v/>
      </c>
      <c r="N22" s="44">
        <f>IF(OR(M22&lt;&gt;"要調整",H22=""),"",IFERROR((INDEX(設定!$Q$8:$Q$27,MATCH(H22,設定!$P$8:$P$27,0))+N(INDEX(設定!$R$8:$R$27,MATCH(H22,設定!$P$8:$P$27,0))))-INDEX(定員チェック!$F$7:$F$26,MATCH(H22,設定!$P$8:$P$27,0))-COUNTIFS($M$7:$M$456,"要調整",$G$7:$G$456,H22),""))</f>
        <v/>
      </c>
      <c r="O22" s="44">
        <f>IF(OR(M22&lt;&gt;"要調整",I22=""),"",IFERROR((INDEX(設定!$Q$8:$Q$27,MATCH(I22,設定!$P$8:$P$27,0))+N(INDEX(設定!$R$8:$R$27,MATCH(I22,設定!$P$8:$P$27,0))))-INDEX(定員チェック!$F$7:$F$26,MATCH(I22,設定!$P$8:$P$27,0))-COUNTIFS($M$7:$M$456,"要調整",$G$7:$G$456,I22),""))</f>
        <v/>
      </c>
      <c r="P22" s="8">
        <f>IFERROR(MATCH(SMALL(前年度名簿!$G$2:$G$451,16),前年度名簿!$G$2:$G$451,0),"")</f>
        <v/>
      </c>
      <c r="Q22" s="8">
        <f>IF(R22="","",IFERROR(MATCH(R22,希望入力!$M$2:$M$551,0),""))</f>
        <v/>
      </c>
      <c r="R22" s="8">
        <f>IF(P22="","",INDEX(前年度名簿!$F$2:$F$451,P22))</f>
        <v/>
      </c>
      <c r="S22" s="8">
        <f>IF(P22="","",INDEX(前年度名簿!$I$2:$I$451,P22))</f>
        <v/>
      </c>
      <c r="T22" s="8">
        <f>IF(OR(P22="",計算用!$B$1=0),"",IFERROR(MATCH(S22,新年度名簿!$H$2:$H$451,0),""))</f>
        <v/>
      </c>
      <c r="U22" s="8">
        <f>IF(OR(L22="",M22="転出"),"",IFERROR(MATCH(L22,設定!$P$8:$P$27,0),""))</f>
        <v/>
      </c>
      <c r="V22" s="8">
        <f>IF(U22="","",COUNTIF($U$7:U22,U22))</f>
        <v/>
      </c>
      <c r="W22" s="8">
        <f>IF(U22="","",U22*1000+V22)</f>
        <v/>
      </c>
    </row>
    <row r="23">
      <c r="A23" s="44">
        <f>IF(P23="","",INDEX(前年度名簿!$H$2:$H$451,P23))</f>
        <v/>
      </c>
      <c r="B23" s="44">
        <f>IF(P23="","",IFERROR(INDEX(設定!$G$8:$G$31,INT(INDEX(前年度名簿!$G$2:$G$451,P23)/1000)),INDEX(前年度名簿!$A$2:$A$451,P23)&amp;INDEX(前年度名簿!$B$2:$B$451,P23)))</f>
        <v/>
      </c>
      <c r="C23" s="44">
        <f>IF(P23="","",INDEX(前年度名簿!$C$2:$C$451,P23))</f>
        <v/>
      </c>
      <c r="D23" s="3">
        <f>IF(P23="","",INDEX(前年度名簿!$D$2:$D$451,P23))</f>
        <v/>
      </c>
      <c r="E23" s="44">
        <f>IF(T23="","",INDEX(新年度名簿!$K$2:$K$451,T23))</f>
        <v/>
      </c>
      <c r="F23" s="44">
        <f>IF(T23="","",INDEX(新年度名簿!$C$2:$C$451,T23))</f>
        <v/>
      </c>
      <c r="G23" s="44">
        <f>IF(Q23="","",INDEX(希望入力!$H$2:$H$551,Q23)&amp;"")</f>
        <v/>
      </c>
      <c r="H23" s="44">
        <f>IF(Q23="","",INDEX(希望入力!$I$2:$I$551,Q23)&amp;"")</f>
        <v/>
      </c>
      <c r="I23" s="44">
        <f>IF(Q23="","",INDEX(希望入力!$J$2:$J$551,Q23)&amp;"")</f>
        <v/>
      </c>
      <c r="J23" s="44">
        <f>IF(Q23="","",IF(G23="","要調整",IFERROR(IF(IF(OR(設定!$C$14="〇",設定!$C$14="○"),COUNTIFS($A$7:$A$456,"&gt;="&amp;A23,$G$7:$G$456,G23),COUNTIF($G$7:$G$456,G23))&lt;=(INDEX(設定!$Q$8:$Q$27,MATCH(G23,設定!$P$8:$P$27,0))+N(INDEX(設定!$R$8:$R$27,MATCH(G23,設定!$P$8:$P$27,0)))),G23,"要調整"),"要調整")))</f>
        <v/>
      </c>
      <c r="K23" s="40" t="n"/>
      <c r="L23" s="52">
        <f>IF(P23="","",IF(K23&lt;&gt;"",K23,IF(OR(J23="",J23="要調整"),"",J23)))</f>
        <v/>
      </c>
      <c r="M23" s="44">
        <f>IF(P23="","",IF(AND(計算用!$B$1=1,T23=""),"転出",IF(L23&lt;&gt;"","決定",IF(Q23="","未提出","要調整"))))</f>
        <v/>
      </c>
      <c r="N23" s="44">
        <f>IF(OR(M23&lt;&gt;"要調整",H23=""),"",IFERROR((INDEX(設定!$Q$8:$Q$27,MATCH(H23,設定!$P$8:$P$27,0))+N(INDEX(設定!$R$8:$R$27,MATCH(H23,設定!$P$8:$P$27,0))))-INDEX(定員チェック!$F$7:$F$26,MATCH(H23,設定!$P$8:$P$27,0))-COUNTIFS($M$7:$M$456,"要調整",$G$7:$G$456,H23),""))</f>
        <v/>
      </c>
      <c r="O23" s="44">
        <f>IF(OR(M23&lt;&gt;"要調整",I23=""),"",IFERROR((INDEX(設定!$Q$8:$Q$27,MATCH(I23,設定!$P$8:$P$27,0))+N(INDEX(設定!$R$8:$R$27,MATCH(I23,設定!$P$8:$P$27,0))))-INDEX(定員チェック!$F$7:$F$26,MATCH(I23,設定!$P$8:$P$27,0))-COUNTIFS($M$7:$M$456,"要調整",$G$7:$G$456,I23),""))</f>
        <v/>
      </c>
      <c r="P23" s="8">
        <f>IFERROR(MATCH(SMALL(前年度名簿!$G$2:$G$451,17),前年度名簿!$G$2:$G$451,0),"")</f>
        <v/>
      </c>
      <c r="Q23" s="8">
        <f>IF(R23="","",IFERROR(MATCH(R23,希望入力!$M$2:$M$551,0),""))</f>
        <v/>
      </c>
      <c r="R23" s="8">
        <f>IF(P23="","",INDEX(前年度名簿!$F$2:$F$451,P23))</f>
        <v/>
      </c>
      <c r="S23" s="8">
        <f>IF(P23="","",INDEX(前年度名簿!$I$2:$I$451,P23))</f>
        <v/>
      </c>
      <c r="T23" s="8">
        <f>IF(OR(P23="",計算用!$B$1=0),"",IFERROR(MATCH(S23,新年度名簿!$H$2:$H$451,0),""))</f>
        <v/>
      </c>
      <c r="U23" s="8">
        <f>IF(OR(L23="",M23="転出"),"",IFERROR(MATCH(L23,設定!$P$8:$P$27,0),""))</f>
        <v/>
      </c>
      <c r="V23" s="8">
        <f>IF(U23="","",COUNTIF($U$7:U23,U23))</f>
        <v/>
      </c>
      <c r="W23" s="8">
        <f>IF(U23="","",U23*1000+V23)</f>
        <v/>
      </c>
    </row>
    <row r="24">
      <c r="A24" s="44">
        <f>IF(P24="","",INDEX(前年度名簿!$H$2:$H$451,P24))</f>
        <v/>
      </c>
      <c r="B24" s="44">
        <f>IF(P24="","",IFERROR(INDEX(設定!$G$8:$G$31,INT(INDEX(前年度名簿!$G$2:$G$451,P24)/1000)),INDEX(前年度名簿!$A$2:$A$451,P24)&amp;INDEX(前年度名簿!$B$2:$B$451,P24)))</f>
        <v/>
      </c>
      <c r="C24" s="44">
        <f>IF(P24="","",INDEX(前年度名簿!$C$2:$C$451,P24))</f>
        <v/>
      </c>
      <c r="D24" s="3">
        <f>IF(P24="","",INDEX(前年度名簿!$D$2:$D$451,P24))</f>
        <v/>
      </c>
      <c r="E24" s="44">
        <f>IF(T24="","",INDEX(新年度名簿!$K$2:$K$451,T24))</f>
        <v/>
      </c>
      <c r="F24" s="44">
        <f>IF(T24="","",INDEX(新年度名簿!$C$2:$C$451,T24))</f>
        <v/>
      </c>
      <c r="G24" s="44">
        <f>IF(Q24="","",INDEX(希望入力!$H$2:$H$551,Q24)&amp;"")</f>
        <v/>
      </c>
      <c r="H24" s="44">
        <f>IF(Q24="","",INDEX(希望入力!$I$2:$I$551,Q24)&amp;"")</f>
        <v/>
      </c>
      <c r="I24" s="44">
        <f>IF(Q24="","",INDEX(希望入力!$J$2:$J$551,Q24)&amp;"")</f>
        <v/>
      </c>
      <c r="J24" s="44">
        <f>IF(Q24="","",IF(G24="","要調整",IFERROR(IF(IF(OR(設定!$C$14="〇",設定!$C$14="○"),COUNTIFS($A$7:$A$456,"&gt;="&amp;A24,$G$7:$G$456,G24),COUNTIF($G$7:$G$456,G24))&lt;=(INDEX(設定!$Q$8:$Q$27,MATCH(G24,設定!$P$8:$P$27,0))+N(INDEX(設定!$R$8:$R$27,MATCH(G24,設定!$P$8:$P$27,0)))),G24,"要調整"),"要調整")))</f>
        <v/>
      </c>
      <c r="K24" s="40" t="n"/>
      <c r="L24" s="52">
        <f>IF(P24="","",IF(K24&lt;&gt;"",K24,IF(OR(J24="",J24="要調整"),"",J24)))</f>
        <v/>
      </c>
      <c r="M24" s="44">
        <f>IF(P24="","",IF(AND(計算用!$B$1=1,T24=""),"転出",IF(L24&lt;&gt;"","決定",IF(Q24="","未提出","要調整"))))</f>
        <v/>
      </c>
      <c r="N24" s="44">
        <f>IF(OR(M24&lt;&gt;"要調整",H24=""),"",IFERROR((INDEX(設定!$Q$8:$Q$27,MATCH(H24,設定!$P$8:$P$27,0))+N(INDEX(設定!$R$8:$R$27,MATCH(H24,設定!$P$8:$P$27,0))))-INDEX(定員チェック!$F$7:$F$26,MATCH(H24,設定!$P$8:$P$27,0))-COUNTIFS($M$7:$M$456,"要調整",$G$7:$G$456,H24),""))</f>
        <v/>
      </c>
      <c r="O24" s="44">
        <f>IF(OR(M24&lt;&gt;"要調整",I24=""),"",IFERROR((INDEX(設定!$Q$8:$Q$27,MATCH(I24,設定!$P$8:$P$27,0))+N(INDEX(設定!$R$8:$R$27,MATCH(I24,設定!$P$8:$P$27,0))))-INDEX(定員チェック!$F$7:$F$26,MATCH(I24,設定!$P$8:$P$27,0))-COUNTIFS($M$7:$M$456,"要調整",$G$7:$G$456,I24),""))</f>
        <v/>
      </c>
      <c r="P24" s="8">
        <f>IFERROR(MATCH(SMALL(前年度名簿!$G$2:$G$451,18),前年度名簿!$G$2:$G$451,0),"")</f>
        <v/>
      </c>
      <c r="Q24" s="8">
        <f>IF(R24="","",IFERROR(MATCH(R24,希望入力!$M$2:$M$551,0),""))</f>
        <v/>
      </c>
      <c r="R24" s="8">
        <f>IF(P24="","",INDEX(前年度名簿!$F$2:$F$451,P24))</f>
        <v/>
      </c>
      <c r="S24" s="8">
        <f>IF(P24="","",INDEX(前年度名簿!$I$2:$I$451,P24))</f>
        <v/>
      </c>
      <c r="T24" s="8">
        <f>IF(OR(P24="",計算用!$B$1=0),"",IFERROR(MATCH(S24,新年度名簿!$H$2:$H$451,0),""))</f>
        <v/>
      </c>
      <c r="U24" s="8">
        <f>IF(OR(L24="",M24="転出"),"",IFERROR(MATCH(L24,設定!$P$8:$P$27,0),""))</f>
        <v/>
      </c>
      <c r="V24" s="8">
        <f>IF(U24="","",COUNTIF($U$7:U24,U24))</f>
        <v/>
      </c>
      <c r="W24" s="8">
        <f>IF(U24="","",U24*1000+V24)</f>
        <v/>
      </c>
    </row>
    <row r="25">
      <c r="A25" s="44">
        <f>IF(P25="","",INDEX(前年度名簿!$H$2:$H$451,P25))</f>
        <v/>
      </c>
      <c r="B25" s="44">
        <f>IF(P25="","",IFERROR(INDEX(設定!$G$8:$G$31,INT(INDEX(前年度名簿!$G$2:$G$451,P25)/1000)),INDEX(前年度名簿!$A$2:$A$451,P25)&amp;INDEX(前年度名簿!$B$2:$B$451,P25)))</f>
        <v/>
      </c>
      <c r="C25" s="44">
        <f>IF(P25="","",INDEX(前年度名簿!$C$2:$C$451,P25))</f>
        <v/>
      </c>
      <c r="D25" s="3">
        <f>IF(P25="","",INDEX(前年度名簿!$D$2:$D$451,P25))</f>
        <v/>
      </c>
      <c r="E25" s="44">
        <f>IF(T25="","",INDEX(新年度名簿!$K$2:$K$451,T25))</f>
        <v/>
      </c>
      <c r="F25" s="44">
        <f>IF(T25="","",INDEX(新年度名簿!$C$2:$C$451,T25))</f>
        <v/>
      </c>
      <c r="G25" s="44">
        <f>IF(Q25="","",INDEX(希望入力!$H$2:$H$551,Q25)&amp;"")</f>
        <v/>
      </c>
      <c r="H25" s="44">
        <f>IF(Q25="","",INDEX(希望入力!$I$2:$I$551,Q25)&amp;"")</f>
        <v/>
      </c>
      <c r="I25" s="44">
        <f>IF(Q25="","",INDEX(希望入力!$J$2:$J$551,Q25)&amp;"")</f>
        <v/>
      </c>
      <c r="J25" s="44">
        <f>IF(Q25="","",IF(G25="","要調整",IFERROR(IF(IF(OR(設定!$C$14="〇",設定!$C$14="○"),COUNTIFS($A$7:$A$456,"&gt;="&amp;A25,$G$7:$G$456,G25),COUNTIF($G$7:$G$456,G25))&lt;=(INDEX(設定!$Q$8:$Q$27,MATCH(G25,設定!$P$8:$P$27,0))+N(INDEX(設定!$R$8:$R$27,MATCH(G25,設定!$P$8:$P$27,0)))),G25,"要調整"),"要調整")))</f>
        <v/>
      </c>
      <c r="K25" s="40" t="n"/>
      <c r="L25" s="52">
        <f>IF(P25="","",IF(K25&lt;&gt;"",K25,IF(OR(J25="",J25="要調整"),"",J25)))</f>
        <v/>
      </c>
      <c r="M25" s="44">
        <f>IF(P25="","",IF(AND(計算用!$B$1=1,T25=""),"転出",IF(L25&lt;&gt;"","決定",IF(Q25="","未提出","要調整"))))</f>
        <v/>
      </c>
      <c r="N25" s="44">
        <f>IF(OR(M25&lt;&gt;"要調整",H25=""),"",IFERROR((INDEX(設定!$Q$8:$Q$27,MATCH(H25,設定!$P$8:$P$27,0))+N(INDEX(設定!$R$8:$R$27,MATCH(H25,設定!$P$8:$P$27,0))))-INDEX(定員チェック!$F$7:$F$26,MATCH(H25,設定!$P$8:$P$27,0))-COUNTIFS($M$7:$M$456,"要調整",$G$7:$G$456,H25),""))</f>
        <v/>
      </c>
      <c r="O25" s="44">
        <f>IF(OR(M25&lt;&gt;"要調整",I25=""),"",IFERROR((INDEX(設定!$Q$8:$Q$27,MATCH(I25,設定!$P$8:$P$27,0))+N(INDEX(設定!$R$8:$R$27,MATCH(I25,設定!$P$8:$P$27,0))))-INDEX(定員チェック!$F$7:$F$26,MATCH(I25,設定!$P$8:$P$27,0))-COUNTIFS($M$7:$M$456,"要調整",$G$7:$G$456,I25),""))</f>
        <v/>
      </c>
      <c r="P25" s="8">
        <f>IFERROR(MATCH(SMALL(前年度名簿!$G$2:$G$451,19),前年度名簿!$G$2:$G$451,0),"")</f>
        <v/>
      </c>
      <c r="Q25" s="8">
        <f>IF(R25="","",IFERROR(MATCH(R25,希望入力!$M$2:$M$551,0),""))</f>
        <v/>
      </c>
      <c r="R25" s="8">
        <f>IF(P25="","",INDEX(前年度名簿!$F$2:$F$451,P25))</f>
        <v/>
      </c>
      <c r="S25" s="8">
        <f>IF(P25="","",INDEX(前年度名簿!$I$2:$I$451,P25))</f>
        <v/>
      </c>
      <c r="T25" s="8">
        <f>IF(OR(P25="",計算用!$B$1=0),"",IFERROR(MATCH(S25,新年度名簿!$H$2:$H$451,0),""))</f>
        <v/>
      </c>
      <c r="U25" s="8">
        <f>IF(OR(L25="",M25="転出"),"",IFERROR(MATCH(L25,設定!$P$8:$P$27,0),""))</f>
        <v/>
      </c>
      <c r="V25" s="8">
        <f>IF(U25="","",COUNTIF($U$7:U25,U25))</f>
        <v/>
      </c>
      <c r="W25" s="8">
        <f>IF(U25="","",U25*1000+V25)</f>
        <v/>
      </c>
    </row>
    <row r="26">
      <c r="A26" s="44">
        <f>IF(P26="","",INDEX(前年度名簿!$H$2:$H$451,P26))</f>
        <v/>
      </c>
      <c r="B26" s="44">
        <f>IF(P26="","",IFERROR(INDEX(設定!$G$8:$G$31,INT(INDEX(前年度名簿!$G$2:$G$451,P26)/1000)),INDEX(前年度名簿!$A$2:$A$451,P26)&amp;INDEX(前年度名簿!$B$2:$B$451,P26)))</f>
        <v/>
      </c>
      <c r="C26" s="44">
        <f>IF(P26="","",INDEX(前年度名簿!$C$2:$C$451,P26))</f>
        <v/>
      </c>
      <c r="D26" s="3">
        <f>IF(P26="","",INDEX(前年度名簿!$D$2:$D$451,P26))</f>
        <v/>
      </c>
      <c r="E26" s="44">
        <f>IF(T26="","",INDEX(新年度名簿!$K$2:$K$451,T26))</f>
        <v/>
      </c>
      <c r="F26" s="44">
        <f>IF(T26="","",INDEX(新年度名簿!$C$2:$C$451,T26))</f>
        <v/>
      </c>
      <c r="G26" s="44">
        <f>IF(Q26="","",INDEX(希望入力!$H$2:$H$551,Q26)&amp;"")</f>
        <v/>
      </c>
      <c r="H26" s="44">
        <f>IF(Q26="","",INDEX(希望入力!$I$2:$I$551,Q26)&amp;"")</f>
        <v/>
      </c>
      <c r="I26" s="44">
        <f>IF(Q26="","",INDEX(希望入力!$J$2:$J$551,Q26)&amp;"")</f>
        <v/>
      </c>
      <c r="J26" s="44">
        <f>IF(Q26="","",IF(G26="","要調整",IFERROR(IF(IF(OR(設定!$C$14="〇",設定!$C$14="○"),COUNTIFS($A$7:$A$456,"&gt;="&amp;A26,$G$7:$G$456,G26),COUNTIF($G$7:$G$456,G26))&lt;=(INDEX(設定!$Q$8:$Q$27,MATCH(G26,設定!$P$8:$P$27,0))+N(INDEX(設定!$R$8:$R$27,MATCH(G26,設定!$P$8:$P$27,0)))),G26,"要調整"),"要調整")))</f>
        <v/>
      </c>
      <c r="K26" s="40" t="n"/>
      <c r="L26" s="52">
        <f>IF(P26="","",IF(K26&lt;&gt;"",K26,IF(OR(J26="",J26="要調整"),"",J26)))</f>
        <v/>
      </c>
      <c r="M26" s="44">
        <f>IF(P26="","",IF(AND(計算用!$B$1=1,T26=""),"転出",IF(L26&lt;&gt;"","決定",IF(Q26="","未提出","要調整"))))</f>
        <v/>
      </c>
      <c r="N26" s="44">
        <f>IF(OR(M26&lt;&gt;"要調整",H26=""),"",IFERROR((INDEX(設定!$Q$8:$Q$27,MATCH(H26,設定!$P$8:$P$27,0))+N(INDEX(設定!$R$8:$R$27,MATCH(H26,設定!$P$8:$P$27,0))))-INDEX(定員チェック!$F$7:$F$26,MATCH(H26,設定!$P$8:$P$27,0))-COUNTIFS($M$7:$M$456,"要調整",$G$7:$G$456,H26),""))</f>
        <v/>
      </c>
      <c r="O26" s="44">
        <f>IF(OR(M26&lt;&gt;"要調整",I26=""),"",IFERROR((INDEX(設定!$Q$8:$Q$27,MATCH(I26,設定!$P$8:$P$27,0))+N(INDEX(設定!$R$8:$R$27,MATCH(I26,設定!$P$8:$P$27,0))))-INDEX(定員チェック!$F$7:$F$26,MATCH(I26,設定!$P$8:$P$27,0))-COUNTIFS($M$7:$M$456,"要調整",$G$7:$G$456,I26),""))</f>
        <v/>
      </c>
      <c r="P26" s="8">
        <f>IFERROR(MATCH(SMALL(前年度名簿!$G$2:$G$451,20),前年度名簿!$G$2:$G$451,0),"")</f>
        <v/>
      </c>
      <c r="Q26" s="8">
        <f>IF(R26="","",IFERROR(MATCH(R26,希望入力!$M$2:$M$551,0),""))</f>
        <v/>
      </c>
      <c r="R26" s="8">
        <f>IF(P26="","",INDEX(前年度名簿!$F$2:$F$451,P26))</f>
        <v/>
      </c>
      <c r="S26" s="8">
        <f>IF(P26="","",INDEX(前年度名簿!$I$2:$I$451,P26))</f>
        <v/>
      </c>
      <c r="T26" s="8">
        <f>IF(OR(P26="",計算用!$B$1=0),"",IFERROR(MATCH(S26,新年度名簿!$H$2:$H$451,0),""))</f>
        <v/>
      </c>
      <c r="U26" s="8">
        <f>IF(OR(L26="",M26="転出"),"",IFERROR(MATCH(L26,設定!$P$8:$P$27,0),""))</f>
        <v/>
      </c>
      <c r="V26" s="8">
        <f>IF(U26="","",COUNTIF($U$7:U26,U26))</f>
        <v/>
      </c>
      <c r="W26" s="8">
        <f>IF(U26="","",U26*1000+V26)</f>
        <v/>
      </c>
    </row>
    <row r="27">
      <c r="A27" s="44">
        <f>IF(P27="","",INDEX(前年度名簿!$H$2:$H$451,P27))</f>
        <v/>
      </c>
      <c r="B27" s="44">
        <f>IF(P27="","",IFERROR(INDEX(設定!$G$8:$G$31,INT(INDEX(前年度名簿!$G$2:$G$451,P27)/1000)),INDEX(前年度名簿!$A$2:$A$451,P27)&amp;INDEX(前年度名簿!$B$2:$B$451,P27)))</f>
        <v/>
      </c>
      <c r="C27" s="44">
        <f>IF(P27="","",INDEX(前年度名簿!$C$2:$C$451,P27))</f>
        <v/>
      </c>
      <c r="D27" s="3">
        <f>IF(P27="","",INDEX(前年度名簿!$D$2:$D$451,P27))</f>
        <v/>
      </c>
      <c r="E27" s="44">
        <f>IF(T27="","",INDEX(新年度名簿!$K$2:$K$451,T27))</f>
        <v/>
      </c>
      <c r="F27" s="44">
        <f>IF(T27="","",INDEX(新年度名簿!$C$2:$C$451,T27))</f>
        <v/>
      </c>
      <c r="G27" s="44">
        <f>IF(Q27="","",INDEX(希望入力!$H$2:$H$551,Q27)&amp;"")</f>
        <v/>
      </c>
      <c r="H27" s="44">
        <f>IF(Q27="","",INDEX(希望入力!$I$2:$I$551,Q27)&amp;"")</f>
        <v/>
      </c>
      <c r="I27" s="44">
        <f>IF(Q27="","",INDEX(希望入力!$J$2:$J$551,Q27)&amp;"")</f>
        <v/>
      </c>
      <c r="J27" s="44">
        <f>IF(Q27="","",IF(G27="","要調整",IFERROR(IF(IF(OR(設定!$C$14="〇",設定!$C$14="○"),COUNTIFS($A$7:$A$456,"&gt;="&amp;A27,$G$7:$G$456,G27),COUNTIF($G$7:$G$456,G27))&lt;=(INDEX(設定!$Q$8:$Q$27,MATCH(G27,設定!$P$8:$P$27,0))+N(INDEX(設定!$R$8:$R$27,MATCH(G27,設定!$P$8:$P$27,0)))),G27,"要調整"),"要調整")))</f>
        <v/>
      </c>
      <c r="K27" s="40" t="n"/>
      <c r="L27" s="52">
        <f>IF(P27="","",IF(K27&lt;&gt;"",K27,IF(OR(J27="",J27="要調整"),"",J27)))</f>
        <v/>
      </c>
      <c r="M27" s="44">
        <f>IF(P27="","",IF(AND(計算用!$B$1=1,T27=""),"転出",IF(L27&lt;&gt;"","決定",IF(Q27="","未提出","要調整"))))</f>
        <v/>
      </c>
      <c r="N27" s="44">
        <f>IF(OR(M27&lt;&gt;"要調整",H27=""),"",IFERROR((INDEX(設定!$Q$8:$Q$27,MATCH(H27,設定!$P$8:$P$27,0))+N(INDEX(設定!$R$8:$R$27,MATCH(H27,設定!$P$8:$P$27,0))))-INDEX(定員チェック!$F$7:$F$26,MATCH(H27,設定!$P$8:$P$27,0))-COUNTIFS($M$7:$M$456,"要調整",$G$7:$G$456,H27),""))</f>
        <v/>
      </c>
      <c r="O27" s="44">
        <f>IF(OR(M27&lt;&gt;"要調整",I27=""),"",IFERROR((INDEX(設定!$Q$8:$Q$27,MATCH(I27,設定!$P$8:$P$27,0))+N(INDEX(設定!$R$8:$R$27,MATCH(I27,設定!$P$8:$P$27,0))))-INDEX(定員チェック!$F$7:$F$26,MATCH(I27,設定!$P$8:$P$27,0))-COUNTIFS($M$7:$M$456,"要調整",$G$7:$G$456,I27),""))</f>
        <v/>
      </c>
      <c r="P27" s="8">
        <f>IFERROR(MATCH(SMALL(前年度名簿!$G$2:$G$451,21),前年度名簿!$G$2:$G$451,0),"")</f>
        <v/>
      </c>
      <c r="Q27" s="8">
        <f>IF(R27="","",IFERROR(MATCH(R27,希望入力!$M$2:$M$551,0),""))</f>
        <v/>
      </c>
      <c r="R27" s="8">
        <f>IF(P27="","",INDEX(前年度名簿!$F$2:$F$451,P27))</f>
        <v/>
      </c>
      <c r="S27" s="8">
        <f>IF(P27="","",INDEX(前年度名簿!$I$2:$I$451,P27))</f>
        <v/>
      </c>
      <c r="T27" s="8">
        <f>IF(OR(P27="",計算用!$B$1=0),"",IFERROR(MATCH(S27,新年度名簿!$H$2:$H$451,0),""))</f>
        <v/>
      </c>
      <c r="U27" s="8">
        <f>IF(OR(L27="",M27="転出"),"",IFERROR(MATCH(L27,設定!$P$8:$P$27,0),""))</f>
        <v/>
      </c>
      <c r="V27" s="8">
        <f>IF(U27="","",COUNTIF($U$7:U27,U27))</f>
        <v/>
      </c>
      <c r="W27" s="8">
        <f>IF(U27="","",U27*1000+V27)</f>
        <v/>
      </c>
    </row>
    <row r="28">
      <c r="A28" s="44">
        <f>IF(P28="","",INDEX(前年度名簿!$H$2:$H$451,P28))</f>
        <v/>
      </c>
      <c r="B28" s="44">
        <f>IF(P28="","",IFERROR(INDEX(設定!$G$8:$G$31,INT(INDEX(前年度名簿!$G$2:$G$451,P28)/1000)),INDEX(前年度名簿!$A$2:$A$451,P28)&amp;INDEX(前年度名簿!$B$2:$B$451,P28)))</f>
        <v/>
      </c>
      <c r="C28" s="44">
        <f>IF(P28="","",INDEX(前年度名簿!$C$2:$C$451,P28))</f>
        <v/>
      </c>
      <c r="D28" s="3">
        <f>IF(P28="","",INDEX(前年度名簿!$D$2:$D$451,P28))</f>
        <v/>
      </c>
      <c r="E28" s="44">
        <f>IF(T28="","",INDEX(新年度名簿!$K$2:$K$451,T28))</f>
        <v/>
      </c>
      <c r="F28" s="44">
        <f>IF(T28="","",INDEX(新年度名簿!$C$2:$C$451,T28))</f>
        <v/>
      </c>
      <c r="G28" s="44">
        <f>IF(Q28="","",INDEX(希望入力!$H$2:$H$551,Q28)&amp;"")</f>
        <v/>
      </c>
      <c r="H28" s="44">
        <f>IF(Q28="","",INDEX(希望入力!$I$2:$I$551,Q28)&amp;"")</f>
        <v/>
      </c>
      <c r="I28" s="44">
        <f>IF(Q28="","",INDEX(希望入力!$J$2:$J$551,Q28)&amp;"")</f>
        <v/>
      </c>
      <c r="J28" s="44">
        <f>IF(Q28="","",IF(G28="","要調整",IFERROR(IF(IF(OR(設定!$C$14="〇",設定!$C$14="○"),COUNTIFS($A$7:$A$456,"&gt;="&amp;A28,$G$7:$G$456,G28),COUNTIF($G$7:$G$456,G28))&lt;=(INDEX(設定!$Q$8:$Q$27,MATCH(G28,設定!$P$8:$P$27,0))+N(INDEX(設定!$R$8:$R$27,MATCH(G28,設定!$P$8:$P$27,0)))),G28,"要調整"),"要調整")))</f>
        <v/>
      </c>
      <c r="K28" s="40" t="n"/>
      <c r="L28" s="52">
        <f>IF(P28="","",IF(K28&lt;&gt;"",K28,IF(OR(J28="",J28="要調整"),"",J28)))</f>
        <v/>
      </c>
      <c r="M28" s="44">
        <f>IF(P28="","",IF(AND(計算用!$B$1=1,T28=""),"転出",IF(L28&lt;&gt;"","決定",IF(Q28="","未提出","要調整"))))</f>
        <v/>
      </c>
      <c r="N28" s="44">
        <f>IF(OR(M28&lt;&gt;"要調整",H28=""),"",IFERROR((INDEX(設定!$Q$8:$Q$27,MATCH(H28,設定!$P$8:$P$27,0))+N(INDEX(設定!$R$8:$R$27,MATCH(H28,設定!$P$8:$P$27,0))))-INDEX(定員チェック!$F$7:$F$26,MATCH(H28,設定!$P$8:$P$27,0))-COUNTIFS($M$7:$M$456,"要調整",$G$7:$G$456,H28),""))</f>
        <v/>
      </c>
      <c r="O28" s="44">
        <f>IF(OR(M28&lt;&gt;"要調整",I28=""),"",IFERROR((INDEX(設定!$Q$8:$Q$27,MATCH(I28,設定!$P$8:$P$27,0))+N(INDEX(設定!$R$8:$R$27,MATCH(I28,設定!$P$8:$P$27,0))))-INDEX(定員チェック!$F$7:$F$26,MATCH(I28,設定!$P$8:$P$27,0))-COUNTIFS($M$7:$M$456,"要調整",$G$7:$G$456,I28),""))</f>
        <v/>
      </c>
      <c r="P28" s="8">
        <f>IFERROR(MATCH(SMALL(前年度名簿!$G$2:$G$451,22),前年度名簿!$G$2:$G$451,0),"")</f>
        <v/>
      </c>
      <c r="Q28" s="8">
        <f>IF(R28="","",IFERROR(MATCH(R28,希望入力!$M$2:$M$551,0),""))</f>
        <v/>
      </c>
      <c r="R28" s="8">
        <f>IF(P28="","",INDEX(前年度名簿!$F$2:$F$451,P28))</f>
        <v/>
      </c>
      <c r="S28" s="8">
        <f>IF(P28="","",INDEX(前年度名簿!$I$2:$I$451,P28))</f>
        <v/>
      </c>
      <c r="T28" s="8">
        <f>IF(OR(P28="",計算用!$B$1=0),"",IFERROR(MATCH(S28,新年度名簿!$H$2:$H$451,0),""))</f>
        <v/>
      </c>
      <c r="U28" s="8">
        <f>IF(OR(L28="",M28="転出"),"",IFERROR(MATCH(L28,設定!$P$8:$P$27,0),""))</f>
        <v/>
      </c>
      <c r="V28" s="8">
        <f>IF(U28="","",COUNTIF($U$7:U28,U28))</f>
        <v/>
      </c>
      <c r="W28" s="8">
        <f>IF(U28="","",U28*1000+V28)</f>
        <v/>
      </c>
    </row>
    <row r="29">
      <c r="A29" s="44">
        <f>IF(P29="","",INDEX(前年度名簿!$H$2:$H$451,P29))</f>
        <v/>
      </c>
      <c r="B29" s="44">
        <f>IF(P29="","",IFERROR(INDEX(設定!$G$8:$G$31,INT(INDEX(前年度名簿!$G$2:$G$451,P29)/1000)),INDEX(前年度名簿!$A$2:$A$451,P29)&amp;INDEX(前年度名簿!$B$2:$B$451,P29)))</f>
        <v/>
      </c>
      <c r="C29" s="44">
        <f>IF(P29="","",INDEX(前年度名簿!$C$2:$C$451,P29))</f>
        <v/>
      </c>
      <c r="D29" s="3">
        <f>IF(P29="","",INDEX(前年度名簿!$D$2:$D$451,P29))</f>
        <v/>
      </c>
      <c r="E29" s="44">
        <f>IF(T29="","",INDEX(新年度名簿!$K$2:$K$451,T29))</f>
        <v/>
      </c>
      <c r="F29" s="44">
        <f>IF(T29="","",INDEX(新年度名簿!$C$2:$C$451,T29))</f>
        <v/>
      </c>
      <c r="G29" s="44">
        <f>IF(Q29="","",INDEX(希望入力!$H$2:$H$551,Q29)&amp;"")</f>
        <v/>
      </c>
      <c r="H29" s="44">
        <f>IF(Q29="","",INDEX(希望入力!$I$2:$I$551,Q29)&amp;"")</f>
        <v/>
      </c>
      <c r="I29" s="44">
        <f>IF(Q29="","",INDEX(希望入力!$J$2:$J$551,Q29)&amp;"")</f>
        <v/>
      </c>
      <c r="J29" s="44">
        <f>IF(Q29="","",IF(G29="","要調整",IFERROR(IF(IF(OR(設定!$C$14="〇",設定!$C$14="○"),COUNTIFS($A$7:$A$456,"&gt;="&amp;A29,$G$7:$G$456,G29),COUNTIF($G$7:$G$456,G29))&lt;=(INDEX(設定!$Q$8:$Q$27,MATCH(G29,設定!$P$8:$P$27,0))+N(INDEX(設定!$R$8:$R$27,MATCH(G29,設定!$P$8:$P$27,0)))),G29,"要調整"),"要調整")))</f>
        <v/>
      </c>
      <c r="K29" s="40" t="n"/>
      <c r="L29" s="52">
        <f>IF(P29="","",IF(K29&lt;&gt;"",K29,IF(OR(J29="",J29="要調整"),"",J29)))</f>
        <v/>
      </c>
      <c r="M29" s="44">
        <f>IF(P29="","",IF(AND(計算用!$B$1=1,T29=""),"転出",IF(L29&lt;&gt;"","決定",IF(Q29="","未提出","要調整"))))</f>
        <v/>
      </c>
      <c r="N29" s="44">
        <f>IF(OR(M29&lt;&gt;"要調整",H29=""),"",IFERROR((INDEX(設定!$Q$8:$Q$27,MATCH(H29,設定!$P$8:$P$27,0))+N(INDEX(設定!$R$8:$R$27,MATCH(H29,設定!$P$8:$P$27,0))))-INDEX(定員チェック!$F$7:$F$26,MATCH(H29,設定!$P$8:$P$27,0))-COUNTIFS($M$7:$M$456,"要調整",$G$7:$G$456,H29),""))</f>
        <v/>
      </c>
      <c r="O29" s="44">
        <f>IF(OR(M29&lt;&gt;"要調整",I29=""),"",IFERROR((INDEX(設定!$Q$8:$Q$27,MATCH(I29,設定!$P$8:$P$27,0))+N(INDEX(設定!$R$8:$R$27,MATCH(I29,設定!$P$8:$P$27,0))))-INDEX(定員チェック!$F$7:$F$26,MATCH(I29,設定!$P$8:$P$27,0))-COUNTIFS($M$7:$M$456,"要調整",$G$7:$G$456,I29),""))</f>
        <v/>
      </c>
      <c r="P29" s="8">
        <f>IFERROR(MATCH(SMALL(前年度名簿!$G$2:$G$451,23),前年度名簿!$G$2:$G$451,0),"")</f>
        <v/>
      </c>
      <c r="Q29" s="8">
        <f>IF(R29="","",IFERROR(MATCH(R29,希望入力!$M$2:$M$551,0),""))</f>
        <v/>
      </c>
      <c r="R29" s="8">
        <f>IF(P29="","",INDEX(前年度名簿!$F$2:$F$451,P29))</f>
        <v/>
      </c>
      <c r="S29" s="8">
        <f>IF(P29="","",INDEX(前年度名簿!$I$2:$I$451,P29))</f>
        <v/>
      </c>
      <c r="T29" s="8">
        <f>IF(OR(P29="",計算用!$B$1=0),"",IFERROR(MATCH(S29,新年度名簿!$H$2:$H$451,0),""))</f>
        <v/>
      </c>
      <c r="U29" s="8">
        <f>IF(OR(L29="",M29="転出"),"",IFERROR(MATCH(L29,設定!$P$8:$P$27,0),""))</f>
        <v/>
      </c>
      <c r="V29" s="8">
        <f>IF(U29="","",COUNTIF($U$7:U29,U29))</f>
        <v/>
      </c>
      <c r="W29" s="8">
        <f>IF(U29="","",U29*1000+V29)</f>
        <v/>
      </c>
    </row>
    <row r="30">
      <c r="A30" s="44">
        <f>IF(P30="","",INDEX(前年度名簿!$H$2:$H$451,P30))</f>
        <v/>
      </c>
      <c r="B30" s="44">
        <f>IF(P30="","",IFERROR(INDEX(設定!$G$8:$G$31,INT(INDEX(前年度名簿!$G$2:$G$451,P30)/1000)),INDEX(前年度名簿!$A$2:$A$451,P30)&amp;INDEX(前年度名簿!$B$2:$B$451,P30)))</f>
        <v/>
      </c>
      <c r="C30" s="44">
        <f>IF(P30="","",INDEX(前年度名簿!$C$2:$C$451,P30))</f>
        <v/>
      </c>
      <c r="D30" s="3">
        <f>IF(P30="","",INDEX(前年度名簿!$D$2:$D$451,P30))</f>
        <v/>
      </c>
      <c r="E30" s="44">
        <f>IF(T30="","",INDEX(新年度名簿!$K$2:$K$451,T30))</f>
        <v/>
      </c>
      <c r="F30" s="44">
        <f>IF(T30="","",INDEX(新年度名簿!$C$2:$C$451,T30))</f>
        <v/>
      </c>
      <c r="G30" s="44">
        <f>IF(Q30="","",INDEX(希望入力!$H$2:$H$551,Q30)&amp;"")</f>
        <v/>
      </c>
      <c r="H30" s="44">
        <f>IF(Q30="","",INDEX(希望入力!$I$2:$I$551,Q30)&amp;"")</f>
        <v/>
      </c>
      <c r="I30" s="44">
        <f>IF(Q30="","",INDEX(希望入力!$J$2:$J$551,Q30)&amp;"")</f>
        <v/>
      </c>
      <c r="J30" s="44">
        <f>IF(Q30="","",IF(G30="","要調整",IFERROR(IF(IF(OR(設定!$C$14="〇",設定!$C$14="○"),COUNTIFS($A$7:$A$456,"&gt;="&amp;A30,$G$7:$G$456,G30),COUNTIF($G$7:$G$456,G30))&lt;=(INDEX(設定!$Q$8:$Q$27,MATCH(G30,設定!$P$8:$P$27,0))+N(INDEX(設定!$R$8:$R$27,MATCH(G30,設定!$P$8:$P$27,0)))),G30,"要調整"),"要調整")))</f>
        <v/>
      </c>
      <c r="K30" s="40" t="n"/>
      <c r="L30" s="52">
        <f>IF(P30="","",IF(K30&lt;&gt;"",K30,IF(OR(J30="",J30="要調整"),"",J30)))</f>
        <v/>
      </c>
      <c r="M30" s="44">
        <f>IF(P30="","",IF(AND(計算用!$B$1=1,T30=""),"転出",IF(L30&lt;&gt;"","決定",IF(Q30="","未提出","要調整"))))</f>
        <v/>
      </c>
      <c r="N30" s="44">
        <f>IF(OR(M30&lt;&gt;"要調整",H30=""),"",IFERROR((INDEX(設定!$Q$8:$Q$27,MATCH(H30,設定!$P$8:$P$27,0))+N(INDEX(設定!$R$8:$R$27,MATCH(H30,設定!$P$8:$P$27,0))))-INDEX(定員チェック!$F$7:$F$26,MATCH(H30,設定!$P$8:$P$27,0))-COUNTIFS($M$7:$M$456,"要調整",$G$7:$G$456,H30),""))</f>
        <v/>
      </c>
      <c r="O30" s="44">
        <f>IF(OR(M30&lt;&gt;"要調整",I30=""),"",IFERROR((INDEX(設定!$Q$8:$Q$27,MATCH(I30,設定!$P$8:$P$27,0))+N(INDEX(設定!$R$8:$R$27,MATCH(I30,設定!$P$8:$P$27,0))))-INDEX(定員チェック!$F$7:$F$26,MATCH(I30,設定!$P$8:$P$27,0))-COUNTIFS($M$7:$M$456,"要調整",$G$7:$G$456,I30),""))</f>
        <v/>
      </c>
      <c r="P30" s="8">
        <f>IFERROR(MATCH(SMALL(前年度名簿!$G$2:$G$451,24),前年度名簿!$G$2:$G$451,0),"")</f>
        <v/>
      </c>
      <c r="Q30" s="8">
        <f>IF(R30="","",IFERROR(MATCH(R30,希望入力!$M$2:$M$551,0),""))</f>
        <v/>
      </c>
      <c r="R30" s="8">
        <f>IF(P30="","",INDEX(前年度名簿!$F$2:$F$451,P30))</f>
        <v/>
      </c>
      <c r="S30" s="8">
        <f>IF(P30="","",INDEX(前年度名簿!$I$2:$I$451,P30))</f>
        <v/>
      </c>
      <c r="T30" s="8">
        <f>IF(OR(P30="",計算用!$B$1=0),"",IFERROR(MATCH(S30,新年度名簿!$H$2:$H$451,0),""))</f>
        <v/>
      </c>
      <c r="U30" s="8">
        <f>IF(OR(L30="",M30="転出"),"",IFERROR(MATCH(L30,設定!$P$8:$P$27,0),""))</f>
        <v/>
      </c>
      <c r="V30" s="8">
        <f>IF(U30="","",COUNTIF($U$7:U30,U30))</f>
        <v/>
      </c>
      <c r="W30" s="8">
        <f>IF(U30="","",U30*1000+V30)</f>
        <v/>
      </c>
    </row>
    <row r="31">
      <c r="A31" s="44">
        <f>IF(P31="","",INDEX(前年度名簿!$H$2:$H$451,P31))</f>
        <v/>
      </c>
      <c r="B31" s="44">
        <f>IF(P31="","",IFERROR(INDEX(設定!$G$8:$G$31,INT(INDEX(前年度名簿!$G$2:$G$451,P31)/1000)),INDEX(前年度名簿!$A$2:$A$451,P31)&amp;INDEX(前年度名簿!$B$2:$B$451,P31)))</f>
        <v/>
      </c>
      <c r="C31" s="44">
        <f>IF(P31="","",INDEX(前年度名簿!$C$2:$C$451,P31))</f>
        <v/>
      </c>
      <c r="D31" s="3">
        <f>IF(P31="","",INDEX(前年度名簿!$D$2:$D$451,P31))</f>
        <v/>
      </c>
      <c r="E31" s="44">
        <f>IF(T31="","",INDEX(新年度名簿!$K$2:$K$451,T31))</f>
        <v/>
      </c>
      <c r="F31" s="44">
        <f>IF(T31="","",INDEX(新年度名簿!$C$2:$C$451,T31))</f>
        <v/>
      </c>
      <c r="G31" s="44">
        <f>IF(Q31="","",INDEX(希望入力!$H$2:$H$551,Q31)&amp;"")</f>
        <v/>
      </c>
      <c r="H31" s="44">
        <f>IF(Q31="","",INDEX(希望入力!$I$2:$I$551,Q31)&amp;"")</f>
        <v/>
      </c>
      <c r="I31" s="44">
        <f>IF(Q31="","",INDEX(希望入力!$J$2:$J$551,Q31)&amp;"")</f>
        <v/>
      </c>
      <c r="J31" s="44">
        <f>IF(Q31="","",IF(G31="","要調整",IFERROR(IF(IF(OR(設定!$C$14="〇",設定!$C$14="○"),COUNTIFS($A$7:$A$456,"&gt;="&amp;A31,$G$7:$G$456,G31),COUNTIF($G$7:$G$456,G31))&lt;=(INDEX(設定!$Q$8:$Q$27,MATCH(G31,設定!$P$8:$P$27,0))+N(INDEX(設定!$R$8:$R$27,MATCH(G31,設定!$P$8:$P$27,0)))),G31,"要調整"),"要調整")))</f>
        <v/>
      </c>
      <c r="K31" s="40" t="n"/>
      <c r="L31" s="52">
        <f>IF(P31="","",IF(K31&lt;&gt;"",K31,IF(OR(J31="",J31="要調整"),"",J31)))</f>
        <v/>
      </c>
      <c r="M31" s="44">
        <f>IF(P31="","",IF(AND(計算用!$B$1=1,T31=""),"転出",IF(L31&lt;&gt;"","決定",IF(Q31="","未提出","要調整"))))</f>
        <v/>
      </c>
      <c r="N31" s="44">
        <f>IF(OR(M31&lt;&gt;"要調整",H31=""),"",IFERROR((INDEX(設定!$Q$8:$Q$27,MATCH(H31,設定!$P$8:$P$27,0))+N(INDEX(設定!$R$8:$R$27,MATCH(H31,設定!$P$8:$P$27,0))))-INDEX(定員チェック!$F$7:$F$26,MATCH(H31,設定!$P$8:$P$27,0))-COUNTIFS($M$7:$M$456,"要調整",$G$7:$G$456,H31),""))</f>
        <v/>
      </c>
      <c r="O31" s="44">
        <f>IF(OR(M31&lt;&gt;"要調整",I31=""),"",IFERROR((INDEX(設定!$Q$8:$Q$27,MATCH(I31,設定!$P$8:$P$27,0))+N(INDEX(設定!$R$8:$R$27,MATCH(I31,設定!$P$8:$P$27,0))))-INDEX(定員チェック!$F$7:$F$26,MATCH(I31,設定!$P$8:$P$27,0))-COUNTIFS($M$7:$M$456,"要調整",$G$7:$G$456,I31),""))</f>
        <v/>
      </c>
      <c r="P31" s="8">
        <f>IFERROR(MATCH(SMALL(前年度名簿!$G$2:$G$451,25),前年度名簿!$G$2:$G$451,0),"")</f>
        <v/>
      </c>
      <c r="Q31" s="8">
        <f>IF(R31="","",IFERROR(MATCH(R31,希望入力!$M$2:$M$551,0),""))</f>
        <v/>
      </c>
      <c r="R31" s="8">
        <f>IF(P31="","",INDEX(前年度名簿!$F$2:$F$451,P31))</f>
        <v/>
      </c>
      <c r="S31" s="8">
        <f>IF(P31="","",INDEX(前年度名簿!$I$2:$I$451,P31))</f>
        <v/>
      </c>
      <c r="T31" s="8">
        <f>IF(OR(P31="",計算用!$B$1=0),"",IFERROR(MATCH(S31,新年度名簿!$H$2:$H$451,0),""))</f>
        <v/>
      </c>
      <c r="U31" s="8">
        <f>IF(OR(L31="",M31="転出"),"",IFERROR(MATCH(L31,設定!$P$8:$P$27,0),""))</f>
        <v/>
      </c>
      <c r="V31" s="8">
        <f>IF(U31="","",COUNTIF($U$7:U31,U31))</f>
        <v/>
      </c>
      <c r="W31" s="8">
        <f>IF(U31="","",U31*1000+V31)</f>
        <v/>
      </c>
    </row>
    <row r="32">
      <c r="A32" s="44">
        <f>IF(P32="","",INDEX(前年度名簿!$H$2:$H$451,P32))</f>
        <v/>
      </c>
      <c r="B32" s="44">
        <f>IF(P32="","",IFERROR(INDEX(設定!$G$8:$G$31,INT(INDEX(前年度名簿!$G$2:$G$451,P32)/1000)),INDEX(前年度名簿!$A$2:$A$451,P32)&amp;INDEX(前年度名簿!$B$2:$B$451,P32)))</f>
        <v/>
      </c>
      <c r="C32" s="44">
        <f>IF(P32="","",INDEX(前年度名簿!$C$2:$C$451,P32))</f>
        <v/>
      </c>
      <c r="D32" s="3">
        <f>IF(P32="","",INDEX(前年度名簿!$D$2:$D$451,P32))</f>
        <v/>
      </c>
      <c r="E32" s="44">
        <f>IF(T32="","",INDEX(新年度名簿!$K$2:$K$451,T32))</f>
        <v/>
      </c>
      <c r="F32" s="44">
        <f>IF(T32="","",INDEX(新年度名簿!$C$2:$C$451,T32))</f>
        <v/>
      </c>
      <c r="G32" s="44">
        <f>IF(Q32="","",INDEX(希望入力!$H$2:$H$551,Q32)&amp;"")</f>
        <v/>
      </c>
      <c r="H32" s="44">
        <f>IF(Q32="","",INDEX(希望入力!$I$2:$I$551,Q32)&amp;"")</f>
        <v/>
      </c>
      <c r="I32" s="44">
        <f>IF(Q32="","",INDEX(希望入力!$J$2:$J$551,Q32)&amp;"")</f>
        <v/>
      </c>
      <c r="J32" s="44">
        <f>IF(Q32="","",IF(G32="","要調整",IFERROR(IF(IF(OR(設定!$C$14="〇",設定!$C$14="○"),COUNTIFS($A$7:$A$456,"&gt;="&amp;A32,$G$7:$G$456,G32),COUNTIF($G$7:$G$456,G32))&lt;=(INDEX(設定!$Q$8:$Q$27,MATCH(G32,設定!$P$8:$P$27,0))+N(INDEX(設定!$R$8:$R$27,MATCH(G32,設定!$P$8:$P$27,0)))),G32,"要調整"),"要調整")))</f>
        <v/>
      </c>
      <c r="K32" s="40" t="n"/>
      <c r="L32" s="52">
        <f>IF(P32="","",IF(K32&lt;&gt;"",K32,IF(OR(J32="",J32="要調整"),"",J32)))</f>
        <v/>
      </c>
      <c r="M32" s="44">
        <f>IF(P32="","",IF(AND(計算用!$B$1=1,T32=""),"転出",IF(L32&lt;&gt;"","決定",IF(Q32="","未提出","要調整"))))</f>
        <v/>
      </c>
      <c r="N32" s="44">
        <f>IF(OR(M32&lt;&gt;"要調整",H32=""),"",IFERROR((INDEX(設定!$Q$8:$Q$27,MATCH(H32,設定!$P$8:$P$27,0))+N(INDEX(設定!$R$8:$R$27,MATCH(H32,設定!$P$8:$P$27,0))))-INDEX(定員チェック!$F$7:$F$26,MATCH(H32,設定!$P$8:$P$27,0))-COUNTIFS($M$7:$M$456,"要調整",$G$7:$G$456,H32),""))</f>
        <v/>
      </c>
      <c r="O32" s="44">
        <f>IF(OR(M32&lt;&gt;"要調整",I32=""),"",IFERROR((INDEX(設定!$Q$8:$Q$27,MATCH(I32,設定!$P$8:$P$27,0))+N(INDEX(設定!$R$8:$R$27,MATCH(I32,設定!$P$8:$P$27,0))))-INDEX(定員チェック!$F$7:$F$26,MATCH(I32,設定!$P$8:$P$27,0))-COUNTIFS($M$7:$M$456,"要調整",$G$7:$G$456,I32),""))</f>
        <v/>
      </c>
      <c r="P32" s="8">
        <f>IFERROR(MATCH(SMALL(前年度名簿!$G$2:$G$451,26),前年度名簿!$G$2:$G$451,0),"")</f>
        <v/>
      </c>
      <c r="Q32" s="8">
        <f>IF(R32="","",IFERROR(MATCH(R32,希望入力!$M$2:$M$551,0),""))</f>
        <v/>
      </c>
      <c r="R32" s="8">
        <f>IF(P32="","",INDEX(前年度名簿!$F$2:$F$451,P32))</f>
        <v/>
      </c>
      <c r="S32" s="8">
        <f>IF(P32="","",INDEX(前年度名簿!$I$2:$I$451,P32))</f>
        <v/>
      </c>
      <c r="T32" s="8">
        <f>IF(OR(P32="",計算用!$B$1=0),"",IFERROR(MATCH(S32,新年度名簿!$H$2:$H$451,0),""))</f>
        <v/>
      </c>
      <c r="U32" s="8">
        <f>IF(OR(L32="",M32="転出"),"",IFERROR(MATCH(L32,設定!$P$8:$P$27,0),""))</f>
        <v/>
      </c>
      <c r="V32" s="8">
        <f>IF(U32="","",COUNTIF($U$7:U32,U32))</f>
        <v/>
      </c>
      <c r="W32" s="8">
        <f>IF(U32="","",U32*1000+V32)</f>
        <v/>
      </c>
    </row>
    <row r="33">
      <c r="A33" s="44">
        <f>IF(P33="","",INDEX(前年度名簿!$H$2:$H$451,P33))</f>
        <v/>
      </c>
      <c r="B33" s="44">
        <f>IF(P33="","",IFERROR(INDEX(設定!$G$8:$G$31,INT(INDEX(前年度名簿!$G$2:$G$451,P33)/1000)),INDEX(前年度名簿!$A$2:$A$451,P33)&amp;INDEX(前年度名簿!$B$2:$B$451,P33)))</f>
        <v/>
      </c>
      <c r="C33" s="44">
        <f>IF(P33="","",INDEX(前年度名簿!$C$2:$C$451,P33))</f>
        <v/>
      </c>
      <c r="D33" s="3">
        <f>IF(P33="","",INDEX(前年度名簿!$D$2:$D$451,P33))</f>
        <v/>
      </c>
      <c r="E33" s="44">
        <f>IF(T33="","",INDEX(新年度名簿!$K$2:$K$451,T33))</f>
        <v/>
      </c>
      <c r="F33" s="44">
        <f>IF(T33="","",INDEX(新年度名簿!$C$2:$C$451,T33))</f>
        <v/>
      </c>
      <c r="G33" s="44">
        <f>IF(Q33="","",INDEX(希望入力!$H$2:$H$551,Q33)&amp;"")</f>
        <v/>
      </c>
      <c r="H33" s="44">
        <f>IF(Q33="","",INDEX(希望入力!$I$2:$I$551,Q33)&amp;"")</f>
        <v/>
      </c>
      <c r="I33" s="44">
        <f>IF(Q33="","",INDEX(希望入力!$J$2:$J$551,Q33)&amp;"")</f>
        <v/>
      </c>
      <c r="J33" s="44">
        <f>IF(Q33="","",IF(G33="","要調整",IFERROR(IF(IF(OR(設定!$C$14="〇",設定!$C$14="○"),COUNTIFS($A$7:$A$456,"&gt;="&amp;A33,$G$7:$G$456,G33),COUNTIF($G$7:$G$456,G33))&lt;=(INDEX(設定!$Q$8:$Q$27,MATCH(G33,設定!$P$8:$P$27,0))+N(INDEX(設定!$R$8:$R$27,MATCH(G33,設定!$P$8:$P$27,0)))),G33,"要調整"),"要調整")))</f>
        <v/>
      </c>
      <c r="K33" s="40" t="n"/>
      <c r="L33" s="52">
        <f>IF(P33="","",IF(K33&lt;&gt;"",K33,IF(OR(J33="",J33="要調整"),"",J33)))</f>
        <v/>
      </c>
      <c r="M33" s="44">
        <f>IF(P33="","",IF(AND(計算用!$B$1=1,T33=""),"転出",IF(L33&lt;&gt;"","決定",IF(Q33="","未提出","要調整"))))</f>
        <v/>
      </c>
      <c r="N33" s="44">
        <f>IF(OR(M33&lt;&gt;"要調整",H33=""),"",IFERROR((INDEX(設定!$Q$8:$Q$27,MATCH(H33,設定!$P$8:$P$27,0))+N(INDEX(設定!$R$8:$R$27,MATCH(H33,設定!$P$8:$P$27,0))))-INDEX(定員チェック!$F$7:$F$26,MATCH(H33,設定!$P$8:$P$27,0))-COUNTIFS($M$7:$M$456,"要調整",$G$7:$G$456,H33),""))</f>
        <v/>
      </c>
      <c r="O33" s="44">
        <f>IF(OR(M33&lt;&gt;"要調整",I33=""),"",IFERROR((INDEX(設定!$Q$8:$Q$27,MATCH(I33,設定!$P$8:$P$27,0))+N(INDEX(設定!$R$8:$R$27,MATCH(I33,設定!$P$8:$P$27,0))))-INDEX(定員チェック!$F$7:$F$26,MATCH(I33,設定!$P$8:$P$27,0))-COUNTIFS($M$7:$M$456,"要調整",$G$7:$G$456,I33),""))</f>
        <v/>
      </c>
      <c r="P33" s="8">
        <f>IFERROR(MATCH(SMALL(前年度名簿!$G$2:$G$451,27),前年度名簿!$G$2:$G$451,0),"")</f>
        <v/>
      </c>
      <c r="Q33" s="8">
        <f>IF(R33="","",IFERROR(MATCH(R33,希望入力!$M$2:$M$551,0),""))</f>
        <v/>
      </c>
      <c r="R33" s="8">
        <f>IF(P33="","",INDEX(前年度名簿!$F$2:$F$451,P33))</f>
        <v/>
      </c>
      <c r="S33" s="8">
        <f>IF(P33="","",INDEX(前年度名簿!$I$2:$I$451,P33))</f>
        <v/>
      </c>
      <c r="T33" s="8">
        <f>IF(OR(P33="",計算用!$B$1=0),"",IFERROR(MATCH(S33,新年度名簿!$H$2:$H$451,0),""))</f>
        <v/>
      </c>
      <c r="U33" s="8">
        <f>IF(OR(L33="",M33="転出"),"",IFERROR(MATCH(L33,設定!$P$8:$P$27,0),""))</f>
        <v/>
      </c>
      <c r="V33" s="8">
        <f>IF(U33="","",COUNTIF($U$7:U33,U33))</f>
        <v/>
      </c>
      <c r="W33" s="8">
        <f>IF(U33="","",U33*1000+V33)</f>
        <v/>
      </c>
    </row>
    <row r="34">
      <c r="A34" s="44">
        <f>IF(P34="","",INDEX(前年度名簿!$H$2:$H$451,P34))</f>
        <v/>
      </c>
      <c r="B34" s="44">
        <f>IF(P34="","",IFERROR(INDEX(設定!$G$8:$G$31,INT(INDEX(前年度名簿!$G$2:$G$451,P34)/1000)),INDEX(前年度名簿!$A$2:$A$451,P34)&amp;INDEX(前年度名簿!$B$2:$B$451,P34)))</f>
        <v/>
      </c>
      <c r="C34" s="44">
        <f>IF(P34="","",INDEX(前年度名簿!$C$2:$C$451,P34))</f>
        <v/>
      </c>
      <c r="D34" s="3">
        <f>IF(P34="","",INDEX(前年度名簿!$D$2:$D$451,P34))</f>
        <v/>
      </c>
      <c r="E34" s="44">
        <f>IF(T34="","",INDEX(新年度名簿!$K$2:$K$451,T34))</f>
        <v/>
      </c>
      <c r="F34" s="44">
        <f>IF(T34="","",INDEX(新年度名簿!$C$2:$C$451,T34))</f>
        <v/>
      </c>
      <c r="G34" s="44">
        <f>IF(Q34="","",INDEX(希望入力!$H$2:$H$551,Q34)&amp;"")</f>
        <v/>
      </c>
      <c r="H34" s="44">
        <f>IF(Q34="","",INDEX(希望入力!$I$2:$I$551,Q34)&amp;"")</f>
        <v/>
      </c>
      <c r="I34" s="44">
        <f>IF(Q34="","",INDEX(希望入力!$J$2:$J$551,Q34)&amp;"")</f>
        <v/>
      </c>
      <c r="J34" s="44">
        <f>IF(Q34="","",IF(G34="","要調整",IFERROR(IF(IF(OR(設定!$C$14="〇",設定!$C$14="○"),COUNTIFS($A$7:$A$456,"&gt;="&amp;A34,$G$7:$G$456,G34),COUNTIF($G$7:$G$456,G34))&lt;=(INDEX(設定!$Q$8:$Q$27,MATCH(G34,設定!$P$8:$P$27,0))+N(INDEX(設定!$R$8:$R$27,MATCH(G34,設定!$P$8:$P$27,0)))),G34,"要調整"),"要調整")))</f>
        <v/>
      </c>
      <c r="K34" s="40" t="n"/>
      <c r="L34" s="52">
        <f>IF(P34="","",IF(K34&lt;&gt;"",K34,IF(OR(J34="",J34="要調整"),"",J34)))</f>
        <v/>
      </c>
      <c r="M34" s="44">
        <f>IF(P34="","",IF(AND(計算用!$B$1=1,T34=""),"転出",IF(L34&lt;&gt;"","決定",IF(Q34="","未提出","要調整"))))</f>
        <v/>
      </c>
      <c r="N34" s="44">
        <f>IF(OR(M34&lt;&gt;"要調整",H34=""),"",IFERROR((INDEX(設定!$Q$8:$Q$27,MATCH(H34,設定!$P$8:$P$27,0))+N(INDEX(設定!$R$8:$R$27,MATCH(H34,設定!$P$8:$P$27,0))))-INDEX(定員チェック!$F$7:$F$26,MATCH(H34,設定!$P$8:$P$27,0))-COUNTIFS($M$7:$M$456,"要調整",$G$7:$G$456,H34),""))</f>
        <v/>
      </c>
      <c r="O34" s="44">
        <f>IF(OR(M34&lt;&gt;"要調整",I34=""),"",IFERROR((INDEX(設定!$Q$8:$Q$27,MATCH(I34,設定!$P$8:$P$27,0))+N(INDEX(設定!$R$8:$R$27,MATCH(I34,設定!$P$8:$P$27,0))))-INDEX(定員チェック!$F$7:$F$26,MATCH(I34,設定!$P$8:$P$27,0))-COUNTIFS($M$7:$M$456,"要調整",$G$7:$G$456,I34),""))</f>
        <v/>
      </c>
      <c r="P34" s="8">
        <f>IFERROR(MATCH(SMALL(前年度名簿!$G$2:$G$451,28),前年度名簿!$G$2:$G$451,0),"")</f>
        <v/>
      </c>
      <c r="Q34" s="8">
        <f>IF(R34="","",IFERROR(MATCH(R34,希望入力!$M$2:$M$551,0),""))</f>
        <v/>
      </c>
      <c r="R34" s="8">
        <f>IF(P34="","",INDEX(前年度名簿!$F$2:$F$451,P34))</f>
        <v/>
      </c>
      <c r="S34" s="8">
        <f>IF(P34="","",INDEX(前年度名簿!$I$2:$I$451,P34))</f>
        <v/>
      </c>
      <c r="T34" s="8">
        <f>IF(OR(P34="",計算用!$B$1=0),"",IFERROR(MATCH(S34,新年度名簿!$H$2:$H$451,0),""))</f>
        <v/>
      </c>
      <c r="U34" s="8">
        <f>IF(OR(L34="",M34="転出"),"",IFERROR(MATCH(L34,設定!$P$8:$P$27,0),""))</f>
        <v/>
      </c>
      <c r="V34" s="8">
        <f>IF(U34="","",COUNTIF($U$7:U34,U34))</f>
        <v/>
      </c>
      <c r="W34" s="8">
        <f>IF(U34="","",U34*1000+V34)</f>
        <v/>
      </c>
    </row>
    <row r="35">
      <c r="A35" s="44">
        <f>IF(P35="","",INDEX(前年度名簿!$H$2:$H$451,P35))</f>
        <v/>
      </c>
      <c r="B35" s="44">
        <f>IF(P35="","",IFERROR(INDEX(設定!$G$8:$G$31,INT(INDEX(前年度名簿!$G$2:$G$451,P35)/1000)),INDEX(前年度名簿!$A$2:$A$451,P35)&amp;INDEX(前年度名簿!$B$2:$B$451,P35)))</f>
        <v/>
      </c>
      <c r="C35" s="44">
        <f>IF(P35="","",INDEX(前年度名簿!$C$2:$C$451,P35))</f>
        <v/>
      </c>
      <c r="D35" s="3">
        <f>IF(P35="","",INDEX(前年度名簿!$D$2:$D$451,P35))</f>
        <v/>
      </c>
      <c r="E35" s="44">
        <f>IF(T35="","",INDEX(新年度名簿!$K$2:$K$451,T35))</f>
        <v/>
      </c>
      <c r="F35" s="44">
        <f>IF(T35="","",INDEX(新年度名簿!$C$2:$C$451,T35))</f>
        <v/>
      </c>
      <c r="G35" s="44">
        <f>IF(Q35="","",INDEX(希望入力!$H$2:$H$551,Q35)&amp;"")</f>
        <v/>
      </c>
      <c r="H35" s="44">
        <f>IF(Q35="","",INDEX(希望入力!$I$2:$I$551,Q35)&amp;"")</f>
        <v/>
      </c>
      <c r="I35" s="44">
        <f>IF(Q35="","",INDEX(希望入力!$J$2:$J$551,Q35)&amp;"")</f>
        <v/>
      </c>
      <c r="J35" s="44">
        <f>IF(Q35="","",IF(G35="","要調整",IFERROR(IF(IF(OR(設定!$C$14="〇",設定!$C$14="○"),COUNTIFS($A$7:$A$456,"&gt;="&amp;A35,$G$7:$G$456,G35),COUNTIF($G$7:$G$456,G35))&lt;=(INDEX(設定!$Q$8:$Q$27,MATCH(G35,設定!$P$8:$P$27,0))+N(INDEX(設定!$R$8:$R$27,MATCH(G35,設定!$P$8:$P$27,0)))),G35,"要調整"),"要調整")))</f>
        <v/>
      </c>
      <c r="K35" s="40" t="n"/>
      <c r="L35" s="52">
        <f>IF(P35="","",IF(K35&lt;&gt;"",K35,IF(OR(J35="",J35="要調整"),"",J35)))</f>
        <v/>
      </c>
      <c r="M35" s="44">
        <f>IF(P35="","",IF(AND(計算用!$B$1=1,T35=""),"転出",IF(L35&lt;&gt;"","決定",IF(Q35="","未提出","要調整"))))</f>
        <v/>
      </c>
      <c r="N35" s="44">
        <f>IF(OR(M35&lt;&gt;"要調整",H35=""),"",IFERROR((INDEX(設定!$Q$8:$Q$27,MATCH(H35,設定!$P$8:$P$27,0))+N(INDEX(設定!$R$8:$R$27,MATCH(H35,設定!$P$8:$P$27,0))))-INDEX(定員チェック!$F$7:$F$26,MATCH(H35,設定!$P$8:$P$27,0))-COUNTIFS($M$7:$M$456,"要調整",$G$7:$G$456,H35),""))</f>
        <v/>
      </c>
      <c r="O35" s="44">
        <f>IF(OR(M35&lt;&gt;"要調整",I35=""),"",IFERROR((INDEX(設定!$Q$8:$Q$27,MATCH(I35,設定!$P$8:$P$27,0))+N(INDEX(設定!$R$8:$R$27,MATCH(I35,設定!$P$8:$P$27,0))))-INDEX(定員チェック!$F$7:$F$26,MATCH(I35,設定!$P$8:$P$27,0))-COUNTIFS($M$7:$M$456,"要調整",$G$7:$G$456,I35),""))</f>
        <v/>
      </c>
      <c r="P35" s="8">
        <f>IFERROR(MATCH(SMALL(前年度名簿!$G$2:$G$451,29),前年度名簿!$G$2:$G$451,0),"")</f>
        <v/>
      </c>
      <c r="Q35" s="8">
        <f>IF(R35="","",IFERROR(MATCH(R35,希望入力!$M$2:$M$551,0),""))</f>
        <v/>
      </c>
      <c r="R35" s="8">
        <f>IF(P35="","",INDEX(前年度名簿!$F$2:$F$451,P35))</f>
        <v/>
      </c>
      <c r="S35" s="8">
        <f>IF(P35="","",INDEX(前年度名簿!$I$2:$I$451,P35))</f>
        <v/>
      </c>
      <c r="T35" s="8">
        <f>IF(OR(P35="",計算用!$B$1=0),"",IFERROR(MATCH(S35,新年度名簿!$H$2:$H$451,0),""))</f>
        <v/>
      </c>
      <c r="U35" s="8">
        <f>IF(OR(L35="",M35="転出"),"",IFERROR(MATCH(L35,設定!$P$8:$P$27,0),""))</f>
        <v/>
      </c>
      <c r="V35" s="8">
        <f>IF(U35="","",COUNTIF($U$7:U35,U35))</f>
        <v/>
      </c>
      <c r="W35" s="8">
        <f>IF(U35="","",U35*1000+V35)</f>
        <v/>
      </c>
    </row>
    <row r="36">
      <c r="A36" s="44">
        <f>IF(P36="","",INDEX(前年度名簿!$H$2:$H$451,P36))</f>
        <v/>
      </c>
      <c r="B36" s="44">
        <f>IF(P36="","",IFERROR(INDEX(設定!$G$8:$G$31,INT(INDEX(前年度名簿!$G$2:$G$451,P36)/1000)),INDEX(前年度名簿!$A$2:$A$451,P36)&amp;INDEX(前年度名簿!$B$2:$B$451,P36)))</f>
        <v/>
      </c>
      <c r="C36" s="44">
        <f>IF(P36="","",INDEX(前年度名簿!$C$2:$C$451,P36))</f>
        <v/>
      </c>
      <c r="D36" s="3">
        <f>IF(P36="","",INDEX(前年度名簿!$D$2:$D$451,P36))</f>
        <v/>
      </c>
      <c r="E36" s="44">
        <f>IF(T36="","",INDEX(新年度名簿!$K$2:$K$451,T36))</f>
        <v/>
      </c>
      <c r="F36" s="44">
        <f>IF(T36="","",INDEX(新年度名簿!$C$2:$C$451,T36))</f>
        <v/>
      </c>
      <c r="G36" s="44">
        <f>IF(Q36="","",INDEX(希望入力!$H$2:$H$551,Q36)&amp;"")</f>
        <v/>
      </c>
      <c r="H36" s="44">
        <f>IF(Q36="","",INDEX(希望入力!$I$2:$I$551,Q36)&amp;"")</f>
        <v/>
      </c>
      <c r="I36" s="44">
        <f>IF(Q36="","",INDEX(希望入力!$J$2:$J$551,Q36)&amp;"")</f>
        <v/>
      </c>
      <c r="J36" s="44">
        <f>IF(Q36="","",IF(G36="","要調整",IFERROR(IF(IF(OR(設定!$C$14="〇",設定!$C$14="○"),COUNTIFS($A$7:$A$456,"&gt;="&amp;A36,$G$7:$G$456,G36),COUNTIF($G$7:$G$456,G36))&lt;=(INDEX(設定!$Q$8:$Q$27,MATCH(G36,設定!$P$8:$P$27,0))+N(INDEX(設定!$R$8:$R$27,MATCH(G36,設定!$P$8:$P$27,0)))),G36,"要調整"),"要調整")))</f>
        <v/>
      </c>
      <c r="K36" s="40" t="n"/>
      <c r="L36" s="52">
        <f>IF(P36="","",IF(K36&lt;&gt;"",K36,IF(OR(J36="",J36="要調整"),"",J36)))</f>
        <v/>
      </c>
      <c r="M36" s="44">
        <f>IF(P36="","",IF(AND(計算用!$B$1=1,T36=""),"転出",IF(L36&lt;&gt;"","決定",IF(Q36="","未提出","要調整"))))</f>
        <v/>
      </c>
      <c r="N36" s="44">
        <f>IF(OR(M36&lt;&gt;"要調整",H36=""),"",IFERROR((INDEX(設定!$Q$8:$Q$27,MATCH(H36,設定!$P$8:$P$27,0))+N(INDEX(設定!$R$8:$R$27,MATCH(H36,設定!$P$8:$P$27,0))))-INDEX(定員チェック!$F$7:$F$26,MATCH(H36,設定!$P$8:$P$27,0))-COUNTIFS($M$7:$M$456,"要調整",$G$7:$G$456,H36),""))</f>
        <v/>
      </c>
      <c r="O36" s="44">
        <f>IF(OR(M36&lt;&gt;"要調整",I36=""),"",IFERROR((INDEX(設定!$Q$8:$Q$27,MATCH(I36,設定!$P$8:$P$27,0))+N(INDEX(設定!$R$8:$R$27,MATCH(I36,設定!$P$8:$P$27,0))))-INDEX(定員チェック!$F$7:$F$26,MATCH(I36,設定!$P$8:$P$27,0))-COUNTIFS($M$7:$M$456,"要調整",$G$7:$G$456,I36),""))</f>
        <v/>
      </c>
      <c r="P36" s="8">
        <f>IFERROR(MATCH(SMALL(前年度名簿!$G$2:$G$451,30),前年度名簿!$G$2:$G$451,0),"")</f>
        <v/>
      </c>
      <c r="Q36" s="8">
        <f>IF(R36="","",IFERROR(MATCH(R36,希望入力!$M$2:$M$551,0),""))</f>
        <v/>
      </c>
      <c r="R36" s="8">
        <f>IF(P36="","",INDEX(前年度名簿!$F$2:$F$451,P36))</f>
        <v/>
      </c>
      <c r="S36" s="8">
        <f>IF(P36="","",INDEX(前年度名簿!$I$2:$I$451,P36))</f>
        <v/>
      </c>
      <c r="T36" s="8">
        <f>IF(OR(P36="",計算用!$B$1=0),"",IFERROR(MATCH(S36,新年度名簿!$H$2:$H$451,0),""))</f>
        <v/>
      </c>
      <c r="U36" s="8">
        <f>IF(OR(L36="",M36="転出"),"",IFERROR(MATCH(L36,設定!$P$8:$P$27,0),""))</f>
        <v/>
      </c>
      <c r="V36" s="8">
        <f>IF(U36="","",COUNTIF($U$7:U36,U36))</f>
        <v/>
      </c>
      <c r="W36" s="8">
        <f>IF(U36="","",U36*1000+V36)</f>
        <v/>
      </c>
    </row>
    <row r="37">
      <c r="A37" s="44">
        <f>IF(P37="","",INDEX(前年度名簿!$H$2:$H$451,P37))</f>
        <v/>
      </c>
      <c r="B37" s="44">
        <f>IF(P37="","",IFERROR(INDEX(設定!$G$8:$G$31,INT(INDEX(前年度名簿!$G$2:$G$451,P37)/1000)),INDEX(前年度名簿!$A$2:$A$451,P37)&amp;INDEX(前年度名簿!$B$2:$B$451,P37)))</f>
        <v/>
      </c>
      <c r="C37" s="44">
        <f>IF(P37="","",INDEX(前年度名簿!$C$2:$C$451,P37))</f>
        <v/>
      </c>
      <c r="D37" s="3">
        <f>IF(P37="","",INDEX(前年度名簿!$D$2:$D$451,P37))</f>
        <v/>
      </c>
      <c r="E37" s="44">
        <f>IF(T37="","",INDEX(新年度名簿!$K$2:$K$451,T37))</f>
        <v/>
      </c>
      <c r="F37" s="44">
        <f>IF(T37="","",INDEX(新年度名簿!$C$2:$C$451,T37))</f>
        <v/>
      </c>
      <c r="G37" s="44">
        <f>IF(Q37="","",INDEX(希望入力!$H$2:$H$551,Q37)&amp;"")</f>
        <v/>
      </c>
      <c r="H37" s="44">
        <f>IF(Q37="","",INDEX(希望入力!$I$2:$I$551,Q37)&amp;"")</f>
        <v/>
      </c>
      <c r="I37" s="44">
        <f>IF(Q37="","",INDEX(希望入力!$J$2:$J$551,Q37)&amp;"")</f>
        <v/>
      </c>
      <c r="J37" s="44">
        <f>IF(Q37="","",IF(G37="","要調整",IFERROR(IF(IF(OR(設定!$C$14="〇",設定!$C$14="○"),COUNTIFS($A$7:$A$456,"&gt;="&amp;A37,$G$7:$G$456,G37),COUNTIF($G$7:$G$456,G37))&lt;=(INDEX(設定!$Q$8:$Q$27,MATCH(G37,設定!$P$8:$P$27,0))+N(INDEX(設定!$R$8:$R$27,MATCH(G37,設定!$P$8:$P$27,0)))),G37,"要調整"),"要調整")))</f>
        <v/>
      </c>
      <c r="K37" s="40" t="n"/>
      <c r="L37" s="52">
        <f>IF(P37="","",IF(K37&lt;&gt;"",K37,IF(OR(J37="",J37="要調整"),"",J37)))</f>
        <v/>
      </c>
      <c r="M37" s="44">
        <f>IF(P37="","",IF(AND(計算用!$B$1=1,T37=""),"転出",IF(L37&lt;&gt;"","決定",IF(Q37="","未提出","要調整"))))</f>
        <v/>
      </c>
      <c r="N37" s="44">
        <f>IF(OR(M37&lt;&gt;"要調整",H37=""),"",IFERROR((INDEX(設定!$Q$8:$Q$27,MATCH(H37,設定!$P$8:$P$27,0))+N(INDEX(設定!$R$8:$R$27,MATCH(H37,設定!$P$8:$P$27,0))))-INDEX(定員チェック!$F$7:$F$26,MATCH(H37,設定!$P$8:$P$27,0))-COUNTIFS($M$7:$M$456,"要調整",$G$7:$G$456,H37),""))</f>
        <v/>
      </c>
      <c r="O37" s="44">
        <f>IF(OR(M37&lt;&gt;"要調整",I37=""),"",IFERROR((INDEX(設定!$Q$8:$Q$27,MATCH(I37,設定!$P$8:$P$27,0))+N(INDEX(設定!$R$8:$R$27,MATCH(I37,設定!$P$8:$P$27,0))))-INDEX(定員チェック!$F$7:$F$26,MATCH(I37,設定!$P$8:$P$27,0))-COUNTIFS($M$7:$M$456,"要調整",$G$7:$G$456,I37),""))</f>
        <v/>
      </c>
      <c r="P37" s="8">
        <f>IFERROR(MATCH(SMALL(前年度名簿!$G$2:$G$451,31),前年度名簿!$G$2:$G$451,0),"")</f>
        <v/>
      </c>
      <c r="Q37" s="8">
        <f>IF(R37="","",IFERROR(MATCH(R37,希望入力!$M$2:$M$551,0),""))</f>
        <v/>
      </c>
      <c r="R37" s="8">
        <f>IF(P37="","",INDEX(前年度名簿!$F$2:$F$451,P37))</f>
        <v/>
      </c>
      <c r="S37" s="8">
        <f>IF(P37="","",INDEX(前年度名簿!$I$2:$I$451,P37))</f>
        <v/>
      </c>
      <c r="T37" s="8">
        <f>IF(OR(P37="",計算用!$B$1=0),"",IFERROR(MATCH(S37,新年度名簿!$H$2:$H$451,0),""))</f>
        <v/>
      </c>
      <c r="U37" s="8">
        <f>IF(OR(L37="",M37="転出"),"",IFERROR(MATCH(L37,設定!$P$8:$P$27,0),""))</f>
        <v/>
      </c>
      <c r="V37" s="8">
        <f>IF(U37="","",COUNTIF($U$7:U37,U37))</f>
        <v/>
      </c>
      <c r="W37" s="8">
        <f>IF(U37="","",U37*1000+V37)</f>
        <v/>
      </c>
    </row>
    <row r="38">
      <c r="A38" s="44">
        <f>IF(P38="","",INDEX(前年度名簿!$H$2:$H$451,P38))</f>
        <v/>
      </c>
      <c r="B38" s="44">
        <f>IF(P38="","",IFERROR(INDEX(設定!$G$8:$G$31,INT(INDEX(前年度名簿!$G$2:$G$451,P38)/1000)),INDEX(前年度名簿!$A$2:$A$451,P38)&amp;INDEX(前年度名簿!$B$2:$B$451,P38)))</f>
        <v/>
      </c>
      <c r="C38" s="44">
        <f>IF(P38="","",INDEX(前年度名簿!$C$2:$C$451,P38))</f>
        <v/>
      </c>
      <c r="D38" s="3">
        <f>IF(P38="","",INDEX(前年度名簿!$D$2:$D$451,P38))</f>
        <v/>
      </c>
      <c r="E38" s="44">
        <f>IF(T38="","",INDEX(新年度名簿!$K$2:$K$451,T38))</f>
        <v/>
      </c>
      <c r="F38" s="44">
        <f>IF(T38="","",INDEX(新年度名簿!$C$2:$C$451,T38))</f>
        <v/>
      </c>
      <c r="G38" s="44">
        <f>IF(Q38="","",INDEX(希望入力!$H$2:$H$551,Q38)&amp;"")</f>
        <v/>
      </c>
      <c r="H38" s="44">
        <f>IF(Q38="","",INDEX(希望入力!$I$2:$I$551,Q38)&amp;"")</f>
        <v/>
      </c>
      <c r="I38" s="44">
        <f>IF(Q38="","",INDEX(希望入力!$J$2:$J$551,Q38)&amp;"")</f>
        <v/>
      </c>
      <c r="J38" s="44">
        <f>IF(Q38="","",IF(G38="","要調整",IFERROR(IF(IF(OR(設定!$C$14="〇",設定!$C$14="○"),COUNTIFS($A$7:$A$456,"&gt;="&amp;A38,$G$7:$G$456,G38),COUNTIF($G$7:$G$456,G38))&lt;=(INDEX(設定!$Q$8:$Q$27,MATCH(G38,設定!$P$8:$P$27,0))+N(INDEX(設定!$R$8:$R$27,MATCH(G38,設定!$P$8:$P$27,0)))),G38,"要調整"),"要調整")))</f>
        <v/>
      </c>
      <c r="K38" s="40" t="n"/>
      <c r="L38" s="52">
        <f>IF(P38="","",IF(K38&lt;&gt;"",K38,IF(OR(J38="",J38="要調整"),"",J38)))</f>
        <v/>
      </c>
      <c r="M38" s="44">
        <f>IF(P38="","",IF(AND(計算用!$B$1=1,T38=""),"転出",IF(L38&lt;&gt;"","決定",IF(Q38="","未提出","要調整"))))</f>
        <v/>
      </c>
      <c r="N38" s="44">
        <f>IF(OR(M38&lt;&gt;"要調整",H38=""),"",IFERROR((INDEX(設定!$Q$8:$Q$27,MATCH(H38,設定!$P$8:$P$27,0))+N(INDEX(設定!$R$8:$R$27,MATCH(H38,設定!$P$8:$P$27,0))))-INDEX(定員チェック!$F$7:$F$26,MATCH(H38,設定!$P$8:$P$27,0))-COUNTIFS($M$7:$M$456,"要調整",$G$7:$G$456,H38),""))</f>
        <v/>
      </c>
      <c r="O38" s="44">
        <f>IF(OR(M38&lt;&gt;"要調整",I38=""),"",IFERROR((INDEX(設定!$Q$8:$Q$27,MATCH(I38,設定!$P$8:$P$27,0))+N(INDEX(設定!$R$8:$R$27,MATCH(I38,設定!$P$8:$P$27,0))))-INDEX(定員チェック!$F$7:$F$26,MATCH(I38,設定!$P$8:$P$27,0))-COUNTIFS($M$7:$M$456,"要調整",$G$7:$G$456,I38),""))</f>
        <v/>
      </c>
      <c r="P38" s="8">
        <f>IFERROR(MATCH(SMALL(前年度名簿!$G$2:$G$451,32),前年度名簿!$G$2:$G$451,0),"")</f>
        <v/>
      </c>
      <c r="Q38" s="8">
        <f>IF(R38="","",IFERROR(MATCH(R38,希望入力!$M$2:$M$551,0),""))</f>
        <v/>
      </c>
      <c r="R38" s="8">
        <f>IF(P38="","",INDEX(前年度名簿!$F$2:$F$451,P38))</f>
        <v/>
      </c>
      <c r="S38" s="8">
        <f>IF(P38="","",INDEX(前年度名簿!$I$2:$I$451,P38))</f>
        <v/>
      </c>
      <c r="T38" s="8">
        <f>IF(OR(P38="",計算用!$B$1=0),"",IFERROR(MATCH(S38,新年度名簿!$H$2:$H$451,0),""))</f>
        <v/>
      </c>
      <c r="U38" s="8">
        <f>IF(OR(L38="",M38="転出"),"",IFERROR(MATCH(L38,設定!$P$8:$P$27,0),""))</f>
        <v/>
      </c>
      <c r="V38" s="8">
        <f>IF(U38="","",COUNTIF($U$7:U38,U38))</f>
        <v/>
      </c>
      <c r="W38" s="8">
        <f>IF(U38="","",U38*1000+V38)</f>
        <v/>
      </c>
    </row>
    <row r="39">
      <c r="A39" s="44">
        <f>IF(P39="","",INDEX(前年度名簿!$H$2:$H$451,P39))</f>
        <v/>
      </c>
      <c r="B39" s="44">
        <f>IF(P39="","",IFERROR(INDEX(設定!$G$8:$G$31,INT(INDEX(前年度名簿!$G$2:$G$451,P39)/1000)),INDEX(前年度名簿!$A$2:$A$451,P39)&amp;INDEX(前年度名簿!$B$2:$B$451,P39)))</f>
        <v/>
      </c>
      <c r="C39" s="44">
        <f>IF(P39="","",INDEX(前年度名簿!$C$2:$C$451,P39))</f>
        <v/>
      </c>
      <c r="D39" s="3">
        <f>IF(P39="","",INDEX(前年度名簿!$D$2:$D$451,P39))</f>
        <v/>
      </c>
      <c r="E39" s="44">
        <f>IF(T39="","",INDEX(新年度名簿!$K$2:$K$451,T39))</f>
        <v/>
      </c>
      <c r="F39" s="44">
        <f>IF(T39="","",INDEX(新年度名簿!$C$2:$C$451,T39))</f>
        <v/>
      </c>
      <c r="G39" s="44">
        <f>IF(Q39="","",INDEX(希望入力!$H$2:$H$551,Q39)&amp;"")</f>
        <v/>
      </c>
      <c r="H39" s="44">
        <f>IF(Q39="","",INDEX(希望入力!$I$2:$I$551,Q39)&amp;"")</f>
        <v/>
      </c>
      <c r="I39" s="44">
        <f>IF(Q39="","",INDEX(希望入力!$J$2:$J$551,Q39)&amp;"")</f>
        <v/>
      </c>
      <c r="J39" s="44">
        <f>IF(Q39="","",IF(G39="","要調整",IFERROR(IF(IF(OR(設定!$C$14="〇",設定!$C$14="○"),COUNTIFS($A$7:$A$456,"&gt;="&amp;A39,$G$7:$G$456,G39),COUNTIF($G$7:$G$456,G39))&lt;=(INDEX(設定!$Q$8:$Q$27,MATCH(G39,設定!$P$8:$P$27,0))+N(INDEX(設定!$R$8:$R$27,MATCH(G39,設定!$P$8:$P$27,0)))),G39,"要調整"),"要調整")))</f>
        <v/>
      </c>
      <c r="K39" s="40" t="n"/>
      <c r="L39" s="52">
        <f>IF(P39="","",IF(K39&lt;&gt;"",K39,IF(OR(J39="",J39="要調整"),"",J39)))</f>
        <v/>
      </c>
      <c r="M39" s="44">
        <f>IF(P39="","",IF(AND(計算用!$B$1=1,T39=""),"転出",IF(L39&lt;&gt;"","決定",IF(Q39="","未提出","要調整"))))</f>
        <v/>
      </c>
      <c r="N39" s="44">
        <f>IF(OR(M39&lt;&gt;"要調整",H39=""),"",IFERROR((INDEX(設定!$Q$8:$Q$27,MATCH(H39,設定!$P$8:$P$27,0))+N(INDEX(設定!$R$8:$R$27,MATCH(H39,設定!$P$8:$P$27,0))))-INDEX(定員チェック!$F$7:$F$26,MATCH(H39,設定!$P$8:$P$27,0))-COUNTIFS($M$7:$M$456,"要調整",$G$7:$G$456,H39),""))</f>
        <v/>
      </c>
      <c r="O39" s="44">
        <f>IF(OR(M39&lt;&gt;"要調整",I39=""),"",IFERROR((INDEX(設定!$Q$8:$Q$27,MATCH(I39,設定!$P$8:$P$27,0))+N(INDEX(設定!$R$8:$R$27,MATCH(I39,設定!$P$8:$P$27,0))))-INDEX(定員チェック!$F$7:$F$26,MATCH(I39,設定!$P$8:$P$27,0))-COUNTIFS($M$7:$M$456,"要調整",$G$7:$G$456,I39),""))</f>
        <v/>
      </c>
      <c r="P39" s="8">
        <f>IFERROR(MATCH(SMALL(前年度名簿!$G$2:$G$451,33),前年度名簿!$G$2:$G$451,0),"")</f>
        <v/>
      </c>
      <c r="Q39" s="8">
        <f>IF(R39="","",IFERROR(MATCH(R39,希望入力!$M$2:$M$551,0),""))</f>
        <v/>
      </c>
      <c r="R39" s="8">
        <f>IF(P39="","",INDEX(前年度名簿!$F$2:$F$451,P39))</f>
        <v/>
      </c>
      <c r="S39" s="8">
        <f>IF(P39="","",INDEX(前年度名簿!$I$2:$I$451,P39))</f>
        <v/>
      </c>
      <c r="T39" s="8">
        <f>IF(OR(P39="",計算用!$B$1=0),"",IFERROR(MATCH(S39,新年度名簿!$H$2:$H$451,0),""))</f>
        <v/>
      </c>
      <c r="U39" s="8">
        <f>IF(OR(L39="",M39="転出"),"",IFERROR(MATCH(L39,設定!$P$8:$P$27,0),""))</f>
        <v/>
      </c>
      <c r="V39" s="8">
        <f>IF(U39="","",COUNTIF($U$7:U39,U39))</f>
        <v/>
      </c>
      <c r="W39" s="8">
        <f>IF(U39="","",U39*1000+V39)</f>
        <v/>
      </c>
    </row>
    <row r="40">
      <c r="A40" s="44">
        <f>IF(P40="","",INDEX(前年度名簿!$H$2:$H$451,P40))</f>
        <v/>
      </c>
      <c r="B40" s="44">
        <f>IF(P40="","",IFERROR(INDEX(設定!$G$8:$G$31,INT(INDEX(前年度名簿!$G$2:$G$451,P40)/1000)),INDEX(前年度名簿!$A$2:$A$451,P40)&amp;INDEX(前年度名簿!$B$2:$B$451,P40)))</f>
        <v/>
      </c>
      <c r="C40" s="44">
        <f>IF(P40="","",INDEX(前年度名簿!$C$2:$C$451,P40))</f>
        <v/>
      </c>
      <c r="D40" s="3">
        <f>IF(P40="","",INDEX(前年度名簿!$D$2:$D$451,P40))</f>
        <v/>
      </c>
      <c r="E40" s="44">
        <f>IF(T40="","",INDEX(新年度名簿!$K$2:$K$451,T40))</f>
        <v/>
      </c>
      <c r="F40" s="44">
        <f>IF(T40="","",INDEX(新年度名簿!$C$2:$C$451,T40))</f>
        <v/>
      </c>
      <c r="G40" s="44">
        <f>IF(Q40="","",INDEX(希望入力!$H$2:$H$551,Q40)&amp;"")</f>
        <v/>
      </c>
      <c r="H40" s="44">
        <f>IF(Q40="","",INDEX(希望入力!$I$2:$I$551,Q40)&amp;"")</f>
        <v/>
      </c>
      <c r="I40" s="44">
        <f>IF(Q40="","",INDEX(希望入力!$J$2:$J$551,Q40)&amp;"")</f>
        <v/>
      </c>
      <c r="J40" s="44">
        <f>IF(Q40="","",IF(G40="","要調整",IFERROR(IF(IF(OR(設定!$C$14="〇",設定!$C$14="○"),COUNTIFS($A$7:$A$456,"&gt;="&amp;A40,$G$7:$G$456,G40),COUNTIF($G$7:$G$456,G40))&lt;=(INDEX(設定!$Q$8:$Q$27,MATCH(G40,設定!$P$8:$P$27,0))+N(INDEX(設定!$R$8:$R$27,MATCH(G40,設定!$P$8:$P$27,0)))),G40,"要調整"),"要調整")))</f>
        <v/>
      </c>
      <c r="K40" s="40" t="n"/>
      <c r="L40" s="52">
        <f>IF(P40="","",IF(K40&lt;&gt;"",K40,IF(OR(J40="",J40="要調整"),"",J40)))</f>
        <v/>
      </c>
      <c r="M40" s="44">
        <f>IF(P40="","",IF(AND(計算用!$B$1=1,T40=""),"転出",IF(L40&lt;&gt;"","決定",IF(Q40="","未提出","要調整"))))</f>
        <v/>
      </c>
      <c r="N40" s="44">
        <f>IF(OR(M40&lt;&gt;"要調整",H40=""),"",IFERROR((INDEX(設定!$Q$8:$Q$27,MATCH(H40,設定!$P$8:$P$27,0))+N(INDEX(設定!$R$8:$R$27,MATCH(H40,設定!$P$8:$P$27,0))))-INDEX(定員チェック!$F$7:$F$26,MATCH(H40,設定!$P$8:$P$27,0))-COUNTIFS($M$7:$M$456,"要調整",$G$7:$G$456,H40),""))</f>
        <v/>
      </c>
      <c r="O40" s="44">
        <f>IF(OR(M40&lt;&gt;"要調整",I40=""),"",IFERROR((INDEX(設定!$Q$8:$Q$27,MATCH(I40,設定!$P$8:$P$27,0))+N(INDEX(設定!$R$8:$R$27,MATCH(I40,設定!$P$8:$P$27,0))))-INDEX(定員チェック!$F$7:$F$26,MATCH(I40,設定!$P$8:$P$27,0))-COUNTIFS($M$7:$M$456,"要調整",$G$7:$G$456,I40),""))</f>
        <v/>
      </c>
      <c r="P40" s="8">
        <f>IFERROR(MATCH(SMALL(前年度名簿!$G$2:$G$451,34),前年度名簿!$G$2:$G$451,0),"")</f>
        <v/>
      </c>
      <c r="Q40" s="8">
        <f>IF(R40="","",IFERROR(MATCH(R40,希望入力!$M$2:$M$551,0),""))</f>
        <v/>
      </c>
      <c r="R40" s="8">
        <f>IF(P40="","",INDEX(前年度名簿!$F$2:$F$451,P40))</f>
        <v/>
      </c>
      <c r="S40" s="8">
        <f>IF(P40="","",INDEX(前年度名簿!$I$2:$I$451,P40))</f>
        <v/>
      </c>
      <c r="T40" s="8">
        <f>IF(OR(P40="",計算用!$B$1=0),"",IFERROR(MATCH(S40,新年度名簿!$H$2:$H$451,0),""))</f>
        <v/>
      </c>
      <c r="U40" s="8">
        <f>IF(OR(L40="",M40="転出"),"",IFERROR(MATCH(L40,設定!$P$8:$P$27,0),""))</f>
        <v/>
      </c>
      <c r="V40" s="8">
        <f>IF(U40="","",COUNTIF($U$7:U40,U40))</f>
        <v/>
      </c>
      <c r="W40" s="8">
        <f>IF(U40="","",U40*1000+V40)</f>
        <v/>
      </c>
    </row>
    <row r="41">
      <c r="A41" s="44">
        <f>IF(P41="","",INDEX(前年度名簿!$H$2:$H$451,P41))</f>
        <v/>
      </c>
      <c r="B41" s="44">
        <f>IF(P41="","",IFERROR(INDEX(設定!$G$8:$G$31,INT(INDEX(前年度名簿!$G$2:$G$451,P41)/1000)),INDEX(前年度名簿!$A$2:$A$451,P41)&amp;INDEX(前年度名簿!$B$2:$B$451,P41)))</f>
        <v/>
      </c>
      <c r="C41" s="44">
        <f>IF(P41="","",INDEX(前年度名簿!$C$2:$C$451,P41))</f>
        <v/>
      </c>
      <c r="D41" s="3">
        <f>IF(P41="","",INDEX(前年度名簿!$D$2:$D$451,P41))</f>
        <v/>
      </c>
      <c r="E41" s="44">
        <f>IF(T41="","",INDEX(新年度名簿!$K$2:$K$451,T41))</f>
        <v/>
      </c>
      <c r="F41" s="44">
        <f>IF(T41="","",INDEX(新年度名簿!$C$2:$C$451,T41))</f>
        <v/>
      </c>
      <c r="G41" s="44">
        <f>IF(Q41="","",INDEX(希望入力!$H$2:$H$551,Q41)&amp;"")</f>
        <v/>
      </c>
      <c r="H41" s="44">
        <f>IF(Q41="","",INDEX(希望入力!$I$2:$I$551,Q41)&amp;"")</f>
        <v/>
      </c>
      <c r="I41" s="44">
        <f>IF(Q41="","",INDEX(希望入力!$J$2:$J$551,Q41)&amp;"")</f>
        <v/>
      </c>
      <c r="J41" s="44">
        <f>IF(Q41="","",IF(G41="","要調整",IFERROR(IF(IF(OR(設定!$C$14="〇",設定!$C$14="○"),COUNTIFS($A$7:$A$456,"&gt;="&amp;A41,$G$7:$G$456,G41),COUNTIF($G$7:$G$456,G41))&lt;=(INDEX(設定!$Q$8:$Q$27,MATCH(G41,設定!$P$8:$P$27,0))+N(INDEX(設定!$R$8:$R$27,MATCH(G41,設定!$P$8:$P$27,0)))),G41,"要調整"),"要調整")))</f>
        <v/>
      </c>
      <c r="K41" s="40" t="n"/>
      <c r="L41" s="52">
        <f>IF(P41="","",IF(K41&lt;&gt;"",K41,IF(OR(J41="",J41="要調整"),"",J41)))</f>
        <v/>
      </c>
      <c r="M41" s="44">
        <f>IF(P41="","",IF(AND(計算用!$B$1=1,T41=""),"転出",IF(L41&lt;&gt;"","決定",IF(Q41="","未提出","要調整"))))</f>
        <v/>
      </c>
      <c r="N41" s="44">
        <f>IF(OR(M41&lt;&gt;"要調整",H41=""),"",IFERROR((INDEX(設定!$Q$8:$Q$27,MATCH(H41,設定!$P$8:$P$27,0))+N(INDEX(設定!$R$8:$R$27,MATCH(H41,設定!$P$8:$P$27,0))))-INDEX(定員チェック!$F$7:$F$26,MATCH(H41,設定!$P$8:$P$27,0))-COUNTIFS($M$7:$M$456,"要調整",$G$7:$G$456,H41),""))</f>
        <v/>
      </c>
      <c r="O41" s="44">
        <f>IF(OR(M41&lt;&gt;"要調整",I41=""),"",IFERROR((INDEX(設定!$Q$8:$Q$27,MATCH(I41,設定!$P$8:$P$27,0))+N(INDEX(設定!$R$8:$R$27,MATCH(I41,設定!$P$8:$P$27,0))))-INDEX(定員チェック!$F$7:$F$26,MATCH(I41,設定!$P$8:$P$27,0))-COUNTIFS($M$7:$M$456,"要調整",$G$7:$G$456,I41),""))</f>
        <v/>
      </c>
      <c r="P41" s="8">
        <f>IFERROR(MATCH(SMALL(前年度名簿!$G$2:$G$451,35),前年度名簿!$G$2:$G$451,0),"")</f>
        <v/>
      </c>
      <c r="Q41" s="8">
        <f>IF(R41="","",IFERROR(MATCH(R41,希望入力!$M$2:$M$551,0),""))</f>
        <v/>
      </c>
      <c r="R41" s="8">
        <f>IF(P41="","",INDEX(前年度名簿!$F$2:$F$451,P41))</f>
        <v/>
      </c>
      <c r="S41" s="8">
        <f>IF(P41="","",INDEX(前年度名簿!$I$2:$I$451,P41))</f>
        <v/>
      </c>
      <c r="T41" s="8">
        <f>IF(OR(P41="",計算用!$B$1=0),"",IFERROR(MATCH(S41,新年度名簿!$H$2:$H$451,0),""))</f>
        <v/>
      </c>
      <c r="U41" s="8">
        <f>IF(OR(L41="",M41="転出"),"",IFERROR(MATCH(L41,設定!$P$8:$P$27,0),""))</f>
        <v/>
      </c>
      <c r="V41" s="8">
        <f>IF(U41="","",COUNTIF($U$7:U41,U41))</f>
        <v/>
      </c>
      <c r="W41" s="8">
        <f>IF(U41="","",U41*1000+V41)</f>
        <v/>
      </c>
    </row>
    <row r="42">
      <c r="A42" s="44">
        <f>IF(P42="","",INDEX(前年度名簿!$H$2:$H$451,P42))</f>
        <v/>
      </c>
      <c r="B42" s="44">
        <f>IF(P42="","",IFERROR(INDEX(設定!$G$8:$G$31,INT(INDEX(前年度名簿!$G$2:$G$451,P42)/1000)),INDEX(前年度名簿!$A$2:$A$451,P42)&amp;INDEX(前年度名簿!$B$2:$B$451,P42)))</f>
        <v/>
      </c>
      <c r="C42" s="44">
        <f>IF(P42="","",INDEX(前年度名簿!$C$2:$C$451,P42))</f>
        <v/>
      </c>
      <c r="D42" s="3">
        <f>IF(P42="","",INDEX(前年度名簿!$D$2:$D$451,P42))</f>
        <v/>
      </c>
      <c r="E42" s="44">
        <f>IF(T42="","",INDEX(新年度名簿!$K$2:$K$451,T42))</f>
        <v/>
      </c>
      <c r="F42" s="44">
        <f>IF(T42="","",INDEX(新年度名簿!$C$2:$C$451,T42))</f>
        <v/>
      </c>
      <c r="G42" s="44">
        <f>IF(Q42="","",INDEX(希望入力!$H$2:$H$551,Q42)&amp;"")</f>
        <v/>
      </c>
      <c r="H42" s="44">
        <f>IF(Q42="","",INDEX(希望入力!$I$2:$I$551,Q42)&amp;"")</f>
        <v/>
      </c>
      <c r="I42" s="44">
        <f>IF(Q42="","",INDEX(希望入力!$J$2:$J$551,Q42)&amp;"")</f>
        <v/>
      </c>
      <c r="J42" s="44">
        <f>IF(Q42="","",IF(G42="","要調整",IFERROR(IF(IF(OR(設定!$C$14="〇",設定!$C$14="○"),COUNTIFS($A$7:$A$456,"&gt;="&amp;A42,$G$7:$G$456,G42),COUNTIF($G$7:$G$456,G42))&lt;=(INDEX(設定!$Q$8:$Q$27,MATCH(G42,設定!$P$8:$P$27,0))+N(INDEX(設定!$R$8:$R$27,MATCH(G42,設定!$P$8:$P$27,0)))),G42,"要調整"),"要調整")))</f>
        <v/>
      </c>
      <c r="K42" s="40" t="n"/>
      <c r="L42" s="52">
        <f>IF(P42="","",IF(K42&lt;&gt;"",K42,IF(OR(J42="",J42="要調整"),"",J42)))</f>
        <v/>
      </c>
      <c r="M42" s="44">
        <f>IF(P42="","",IF(AND(計算用!$B$1=1,T42=""),"転出",IF(L42&lt;&gt;"","決定",IF(Q42="","未提出","要調整"))))</f>
        <v/>
      </c>
      <c r="N42" s="44">
        <f>IF(OR(M42&lt;&gt;"要調整",H42=""),"",IFERROR((INDEX(設定!$Q$8:$Q$27,MATCH(H42,設定!$P$8:$P$27,0))+N(INDEX(設定!$R$8:$R$27,MATCH(H42,設定!$P$8:$P$27,0))))-INDEX(定員チェック!$F$7:$F$26,MATCH(H42,設定!$P$8:$P$27,0))-COUNTIFS($M$7:$M$456,"要調整",$G$7:$G$456,H42),""))</f>
        <v/>
      </c>
      <c r="O42" s="44">
        <f>IF(OR(M42&lt;&gt;"要調整",I42=""),"",IFERROR((INDEX(設定!$Q$8:$Q$27,MATCH(I42,設定!$P$8:$P$27,0))+N(INDEX(設定!$R$8:$R$27,MATCH(I42,設定!$P$8:$P$27,0))))-INDEX(定員チェック!$F$7:$F$26,MATCH(I42,設定!$P$8:$P$27,0))-COUNTIFS($M$7:$M$456,"要調整",$G$7:$G$456,I42),""))</f>
        <v/>
      </c>
      <c r="P42" s="8">
        <f>IFERROR(MATCH(SMALL(前年度名簿!$G$2:$G$451,36),前年度名簿!$G$2:$G$451,0),"")</f>
        <v/>
      </c>
      <c r="Q42" s="8">
        <f>IF(R42="","",IFERROR(MATCH(R42,希望入力!$M$2:$M$551,0),""))</f>
        <v/>
      </c>
      <c r="R42" s="8">
        <f>IF(P42="","",INDEX(前年度名簿!$F$2:$F$451,P42))</f>
        <v/>
      </c>
      <c r="S42" s="8">
        <f>IF(P42="","",INDEX(前年度名簿!$I$2:$I$451,P42))</f>
        <v/>
      </c>
      <c r="T42" s="8">
        <f>IF(OR(P42="",計算用!$B$1=0),"",IFERROR(MATCH(S42,新年度名簿!$H$2:$H$451,0),""))</f>
        <v/>
      </c>
      <c r="U42" s="8">
        <f>IF(OR(L42="",M42="転出"),"",IFERROR(MATCH(L42,設定!$P$8:$P$27,0),""))</f>
        <v/>
      </c>
      <c r="V42" s="8">
        <f>IF(U42="","",COUNTIF($U$7:U42,U42))</f>
        <v/>
      </c>
      <c r="W42" s="8">
        <f>IF(U42="","",U42*1000+V42)</f>
        <v/>
      </c>
    </row>
    <row r="43">
      <c r="A43" s="44">
        <f>IF(P43="","",INDEX(前年度名簿!$H$2:$H$451,P43))</f>
        <v/>
      </c>
      <c r="B43" s="44">
        <f>IF(P43="","",IFERROR(INDEX(設定!$G$8:$G$31,INT(INDEX(前年度名簿!$G$2:$G$451,P43)/1000)),INDEX(前年度名簿!$A$2:$A$451,P43)&amp;INDEX(前年度名簿!$B$2:$B$451,P43)))</f>
        <v/>
      </c>
      <c r="C43" s="44">
        <f>IF(P43="","",INDEX(前年度名簿!$C$2:$C$451,P43))</f>
        <v/>
      </c>
      <c r="D43" s="3">
        <f>IF(P43="","",INDEX(前年度名簿!$D$2:$D$451,P43))</f>
        <v/>
      </c>
      <c r="E43" s="44">
        <f>IF(T43="","",INDEX(新年度名簿!$K$2:$K$451,T43))</f>
        <v/>
      </c>
      <c r="F43" s="44">
        <f>IF(T43="","",INDEX(新年度名簿!$C$2:$C$451,T43))</f>
        <v/>
      </c>
      <c r="G43" s="44">
        <f>IF(Q43="","",INDEX(希望入力!$H$2:$H$551,Q43)&amp;"")</f>
        <v/>
      </c>
      <c r="H43" s="44">
        <f>IF(Q43="","",INDEX(希望入力!$I$2:$I$551,Q43)&amp;"")</f>
        <v/>
      </c>
      <c r="I43" s="44">
        <f>IF(Q43="","",INDEX(希望入力!$J$2:$J$551,Q43)&amp;"")</f>
        <v/>
      </c>
      <c r="J43" s="44">
        <f>IF(Q43="","",IF(G43="","要調整",IFERROR(IF(IF(OR(設定!$C$14="〇",設定!$C$14="○"),COUNTIFS($A$7:$A$456,"&gt;="&amp;A43,$G$7:$G$456,G43),COUNTIF($G$7:$G$456,G43))&lt;=(INDEX(設定!$Q$8:$Q$27,MATCH(G43,設定!$P$8:$P$27,0))+N(INDEX(設定!$R$8:$R$27,MATCH(G43,設定!$P$8:$P$27,0)))),G43,"要調整"),"要調整")))</f>
        <v/>
      </c>
      <c r="K43" s="40" t="n"/>
      <c r="L43" s="52">
        <f>IF(P43="","",IF(K43&lt;&gt;"",K43,IF(OR(J43="",J43="要調整"),"",J43)))</f>
        <v/>
      </c>
      <c r="M43" s="44">
        <f>IF(P43="","",IF(AND(計算用!$B$1=1,T43=""),"転出",IF(L43&lt;&gt;"","決定",IF(Q43="","未提出","要調整"))))</f>
        <v/>
      </c>
      <c r="N43" s="44">
        <f>IF(OR(M43&lt;&gt;"要調整",H43=""),"",IFERROR((INDEX(設定!$Q$8:$Q$27,MATCH(H43,設定!$P$8:$P$27,0))+N(INDEX(設定!$R$8:$R$27,MATCH(H43,設定!$P$8:$P$27,0))))-INDEX(定員チェック!$F$7:$F$26,MATCH(H43,設定!$P$8:$P$27,0))-COUNTIFS($M$7:$M$456,"要調整",$G$7:$G$456,H43),""))</f>
        <v/>
      </c>
      <c r="O43" s="44">
        <f>IF(OR(M43&lt;&gt;"要調整",I43=""),"",IFERROR((INDEX(設定!$Q$8:$Q$27,MATCH(I43,設定!$P$8:$P$27,0))+N(INDEX(設定!$R$8:$R$27,MATCH(I43,設定!$P$8:$P$27,0))))-INDEX(定員チェック!$F$7:$F$26,MATCH(I43,設定!$P$8:$P$27,0))-COUNTIFS($M$7:$M$456,"要調整",$G$7:$G$456,I43),""))</f>
        <v/>
      </c>
      <c r="P43" s="8">
        <f>IFERROR(MATCH(SMALL(前年度名簿!$G$2:$G$451,37),前年度名簿!$G$2:$G$451,0),"")</f>
        <v/>
      </c>
      <c r="Q43" s="8">
        <f>IF(R43="","",IFERROR(MATCH(R43,希望入力!$M$2:$M$551,0),""))</f>
        <v/>
      </c>
      <c r="R43" s="8">
        <f>IF(P43="","",INDEX(前年度名簿!$F$2:$F$451,P43))</f>
        <v/>
      </c>
      <c r="S43" s="8">
        <f>IF(P43="","",INDEX(前年度名簿!$I$2:$I$451,P43))</f>
        <v/>
      </c>
      <c r="T43" s="8">
        <f>IF(OR(P43="",計算用!$B$1=0),"",IFERROR(MATCH(S43,新年度名簿!$H$2:$H$451,0),""))</f>
        <v/>
      </c>
      <c r="U43" s="8">
        <f>IF(OR(L43="",M43="転出"),"",IFERROR(MATCH(L43,設定!$P$8:$P$27,0),""))</f>
        <v/>
      </c>
      <c r="V43" s="8">
        <f>IF(U43="","",COUNTIF($U$7:U43,U43))</f>
        <v/>
      </c>
      <c r="W43" s="8">
        <f>IF(U43="","",U43*1000+V43)</f>
        <v/>
      </c>
    </row>
    <row r="44">
      <c r="A44" s="44">
        <f>IF(P44="","",INDEX(前年度名簿!$H$2:$H$451,P44))</f>
        <v/>
      </c>
      <c r="B44" s="44">
        <f>IF(P44="","",IFERROR(INDEX(設定!$G$8:$G$31,INT(INDEX(前年度名簿!$G$2:$G$451,P44)/1000)),INDEX(前年度名簿!$A$2:$A$451,P44)&amp;INDEX(前年度名簿!$B$2:$B$451,P44)))</f>
        <v/>
      </c>
      <c r="C44" s="44">
        <f>IF(P44="","",INDEX(前年度名簿!$C$2:$C$451,P44))</f>
        <v/>
      </c>
      <c r="D44" s="3">
        <f>IF(P44="","",INDEX(前年度名簿!$D$2:$D$451,P44))</f>
        <v/>
      </c>
      <c r="E44" s="44">
        <f>IF(T44="","",INDEX(新年度名簿!$K$2:$K$451,T44))</f>
        <v/>
      </c>
      <c r="F44" s="44">
        <f>IF(T44="","",INDEX(新年度名簿!$C$2:$C$451,T44))</f>
        <v/>
      </c>
      <c r="G44" s="44">
        <f>IF(Q44="","",INDEX(希望入力!$H$2:$H$551,Q44)&amp;"")</f>
        <v/>
      </c>
      <c r="H44" s="44">
        <f>IF(Q44="","",INDEX(希望入力!$I$2:$I$551,Q44)&amp;"")</f>
        <v/>
      </c>
      <c r="I44" s="44">
        <f>IF(Q44="","",INDEX(希望入力!$J$2:$J$551,Q44)&amp;"")</f>
        <v/>
      </c>
      <c r="J44" s="44">
        <f>IF(Q44="","",IF(G44="","要調整",IFERROR(IF(IF(OR(設定!$C$14="〇",設定!$C$14="○"),COUNTIFS($A$7:$A$456,"&gt;="&amp;A44,$G$7:$G$456,G44),COUNTIF($G$7:$G$456,G44))&lt;=(INDEX(設定!$Q$8:$Q$27,MATCH(G44,設定!$P$8:$P$27,0))+N(INDEX(設定!$R$8:$R$27,MATCH(G44,設定!$P$8:$P$27,0)))),G44,"要調整"),"要調整")))</f>
        <v/>
      </c>
      <c r="K44" s="40" t="n"/>
      <c r="L44" s="52">
        <f>IF(P44="","",IF(K44&lt;&gt;"",K44,IF(OR(J44="",J44="要調整"),"",J44)))</f>
        <v/>
      </c>
      <c r="M44" s="44">
        <f>IF(P44="","",IF(AND(計算用!$B$1=1,T44=""),"転出",IF(L44&lt;&gt;"","決定",IF(Q44="","未提出","要調整"))))</f>
        <v/>
      </c>
      <c r="N44" s="44">
        <f>IF(OR(M44&lt;&gt;"要調整",H44=""),"",IFERROR((INDEX(設定!$Q$8:$Q$27,MATCH(H44,設定!$P$8:$P$27,0))+N(INDEX(設定!$R$8:$R$27,MATCH(H44,設定!$P$8:$P$27,0))))-INDEX(定員チェック!$F$7:$F$26,MATCH(H44,設定!$P$8:$P$27,0))-COUNTIFS($M$7:$M$456,"要調整",$G$7:$G$456,H44),""))</f>
        <v/>
      </c>
      <c r="O44" s="44">
        <f>IF(OR(M44&lt;&gt;"要調整",I44=""),"",IFERROR((INDEX(設定!$Q$8:$Q$27,MATCH(I44,設定!$P$8:$P$27,0))+N(INDEX(設定!$R$8:$R$27,MATCH(I44,設定!$P$8:$P$27,0))))-INDEX(定員チェック!$F$7:$F$26,MATCH(I44,設定!$P$8:$P$27,0))-COUNTIFS($M$7:$M$456,"要調整",$G$7:$G$456,I44),""))</f>
        <v/>
      </c>
      <c r="P44" s="8">
        <f>IFERROR(MATCH(SMALL(前年度名簿!$G$2:$G$451,38),前年度名簿!$G$2:$G$451,0),"")</f>
        <v/>
      </c>
      <c r="Q44" s="8">
        <f>IF(R44="","",IFERROR(MATCH(R44,希望入力!$M$2:$M$551,0),""))</f>
        <v/>
      </c>
      <c r="R44" s="8">
        <f>IF(P44="","",INDEX(前年度名簿!$F$2:$F$451,P44))</f>
        <v/>
      </c>
      <c r="S44" s="8">
        <f>IF(P44="","",INDEX(前年度名簿!$I$2:$I$451,P44))</f>
        <v/>
      </c>
      <c r="T44" s="8">
        <f>IF(OR(P44="",計算用!$B$1=0),"",IFERROR(MATCH(S44,新年度名簿!$H$2:$H$451,0),""))</f>
        <v/>
      </c>
      <c r="U44" s="8">
        <f>IF(OR(L44="",M44="転出"),"",IFERROR(MATCH(L44,設定!$P$8:$P$27,0),""))</f>
        <v/>
      </c>
      <c r="V44" s="8">
        <f>IF(U44="","",COUNTIF($U$7:U44,U44))</f>
        <v/>
      </c>
      <c r="W44" s="8">
        <f>IF(U44="","",U44*1000+V44)</f>
        <v/>
      </c>
    </row>
    <row r="45">
      <c r="A45" s="44">
        <f>IF(P45="","",INDEX(前年度名簿!$H$2:$H$451,P45))</f>
        <v/>
      </c>
      <c r="B45" s="44">
        <f>IF(P45="","",IFERROR(INDEX(設定!$G$8:$G$31,INT(INDEX(前年度名簿!$G$2:$G$451,P45)/1000)),INDEX(前年度名簿!$A$2:$A$451,P45)&amp;INDEX(前年度名簿!$B$2:$B$451,P45)))</f>
        <v/>
      </c>
      <c r="C45" s="44">
        <f>IF(P45="","",INDEX(前年度名簿!$C$2:$C$451,P45))</f>
        <v/>
      </c>
      <c r="D45" s="3">
        <f>IF(P45="","",INDEX(前年度名簿!$D$2:$D$451,P45))</f>
        <v/>
      </c>
      <c r="E45" s="44">
        <f>IF(T45="","",INDEX(新年度名簿!$K$2:$K$451,T45))</f>
        <v/>
      </c>
      <c r="F45" s="44">
        <f>IF(T45="","",INDEX(新年度名簿!$C$2:$C$451,T45))</f>
        <v/>
      </c>
      <c r="G45" s="44">
        <f>IF(Q45="","",INDEX(希望入力!$H$2:$H$551,Q45)&amp;"")</f>
        <v/>
      </c>
      <c r="H45" s="44">
        <f>IF(Q45="","",INDEX(希望入力!$I$2:$I$551,Q45)&amp;"")</f>
        <v/>
      </c>
      <c r="I45" s="44">
        <f>IF(Q45="","",INDEX(希望入力!$J$2:$J$551,Q45)&amp;"")</f>
        <v/>
      </c>
      <c r="J45" s="44">
        <f>IF(Q45="","",IF(G45="","要調整",IFERROR(IF(IF(OR(設定!$C$14="〇",設定!$C$14="○"),COUNTIFS($A$7:$A$456,"&gt;="&amp;A45,$G$7:$G$456,G45),COUNTIF($G$7:$G$456,G45))&lt;=(INDEX(設定!$Q$8:$Q$27,MATCH(G45,設定!$P$8:$P$27,0))+N(INDEX(設定!$R$8:$R$27,MATCH(G45,設定!$P$8:$P$27,0)))),G45,"要調整"),"要調整")))</f>
        <v/>
      </c>
      <c r="K45" s="40" t="n"/>
      <c r="L45" s="52">
        <f>IF(P45="","",IF(K45&lt;&gt;"",K45,IF(OR(J45="",J45="要調整"),"",J45)))</f>
        <v/>
      </c>
      <c r="M45" s="44">
        <f>IF(P45="","",IF(AND(計算用!$B$1=1,T45=""),"転出",IF(L45&lt;&gt;"","決定",IF(Q45="","未提出","要調整"))))</f>
        <v/>
      </c>
      <c r="N45" s="44">
        <f>IF(OR(M45&lt;&gt;"要調整",H45=""),"",IFERROR((INDEX(設定!$Q$8:$Q$27,MATCH(H45,設定!$P$8:$P$27,0))+N(INDEX(設定!$R$8:$R$27,MATCH(H45,設定!$P$8:$P$27,0))))-INDEX(定員チェック!$F$7:$F$26,MATCH(H45,設定!$P$8:$P$27,0))-COUNTIFS($M$7:$M$456,"要調整",$G$7:$G$456,H45),""))</f>
        <v/>
      </c>
      <c r="O45" s="44">
        <f>IF(OR(M45&lt;&gt;"要調整",I45=""),"",IFERROR((INDEX(設定!$Q$8:$Q$27,MATCH(I45,設定!$P$8:$P$27,0))+N(INDEX(設定!$R$8:$R$27,MATCH(I45,設定!$P$8:$P$27,0))))-INDEX(定員チェック!$F$7:$F$26,MATCH(I45,設定!$P$8:$P$27,0))-COUNTIFS($M$7:$M$456,"要調整",$G$7:$G$456,I45),""))</f>
        <v/>
      </c>
      <c r="P45" s="8">
        <f>IFERROR(MATCH(SMALL(前年度名簿!$G$2:$G$451,39),前年度名簿!$G$2:$G$451,0),"")</f>
        <v/>
      </c>
      <c r="Q45" s="8">
        <f>IF(R45="","",IFERROR(MATCH(R45,希望入力!$M$2:$M$551,0),""))</f>
        <v/>
      </c>
      <c r="R45" s="8">
        <f>IF(P45="","",INDEX(前年度名簿!$F$2:$F$451,P45))</f>
        <v/>
      </c>
      <c r="S45" s="8">
        <f>IF(P45="","",INDEX(前年度名簿!$I$2:$I$451,P45))</f>
        <v/>
      </c>
      <c r="T45" s="8">
        <f>IF(OR(P45="",計算用!$B$1=0),"",IFERROR(MATCH(S45,新年度名簿!$H$2:$H$451,0),""))</f>
        <v/>
      </c>
      <c r="U45" s="8">
        <f>IF(OR(L45="",M45="転出"),"",IFERROR(MATCH(L45,設定!$P$8:$P$27,0),""))</f>
        <v/>
      </c>
      <c r="V45" s="8">
        <f>IF(U45="","",COUNTIF($U$7:U45,U45))</f>
        <v/>
      </c>
      <c r="W45" s="8">
        <f>IF(U45="","",U45*1000+V45)</f>
        <v/>
      </c>
    </row>
    <row r="46">
      <c r="A46" s="44">
        <f>IF(P46="","",INDEX(前年度名簿!$H$2:$H$451,P46))</f>
        <v/>
      </c>
      <c r="B46" s="44">
        <f>IF(P46="","",IFERROR(INDEX(設定!$G$8:$G$31,INT(INDEX(前年度名簿!$G$2:$G$451,P46)/1000)),INDEX(前年度名簿!$A$2:$A$451,P46)&amp;INDEX(前年度名簿!$B$2:$B$451,P46)))</f>
        <v/>
      </c>
      <c r="C46" s="44">
        <f>IF(P46="","",INDEX(前年度名簿!$C$2:$C$451,P46))</f>
        <v/>
      </c>
      <c r="D46" s="3">
        <f>IF(P46="","",INDEX(前年度名簿!$D$2:$D$451,P46))</f>
        <v/>
      </c>
      <c r="E46" s="44">
        <f>IF(T46="","",INDEX(新年度名簿!$K$2:$K$451,T46))</f>
        <v/>
      </c>
      <c r="F46" s="44">
        <f>IF(T46="","",INDEX(新年度名簿!$C$2:$C$451,T46))</f>
        <v/>
      </c>
      <c r="G46" s="44">
        <f>IF(Q46="","",INDEX(希望入力!$H$2:$H$551,Q46)&amp;"")</f>
        <v/>
      </c>
      <c r="H46" s="44">
        <f>IF(Q46="","",INDEX(希望入力!$I$2:$I$551,Q46)&amp;"")</f>
        <v/>
      </c>
      <c r="I46" s="44">
        <f>IF(Q46="","",INDEX(希望入力!$J$2:$J$551,Q46)&amp;"")</f>
        <v/>
      </c>
      <c r="J46" s="44">
        <f>IF(Q46="","",IF(G46="","要調整",IFERROR(IF(IF(OR(設定!$C$14="〇",設定!$C$14="○"),COUNTIFS($A$7:$A$456,"&gt;="&amp;A46,$G$7:$G$456,G46),COUNTIF($G$7:$G$456,G46))&lt;=(INDEX(設定!$Q$8:$Q$27,MATCH(G46,設定!$P$8:$P$27,0))+N(INDEX(設定!$R$8:$R$27,MATCH(G46,設定!$P$8:$P$27,0)))),G46,"要調整"),"要調整")))</f>
        <v/>
      </c>
      <c r="K46" s="40" t="n"/>
      <c r="L46" s="52">
        <f>IF(P46="","",IF(K46&lt;&gt;"",K46,IF(OR(J46="",J46="要調整"),"",J46)))</f>
        <v/>
      </c>
      <c r="M46" s="44">
        <f>IF(P46="","",IF(AND(計算用!$B$1=1,T46=""),"転出",IF(L46&lt;&gt;"","決定",IF(Q46="","未提出","要調整"))))</f>
        <v/>
      </c>
      <c r="N46" s="44">
        <f>IF(OR(M46&lt;&gt;"要調整",H46=""),"",IFERROR((INDEX(設定!$Q$8:$Q$27,MATCH(H46,設定!$P$8:$P$27,0))+N(INDEX(設定!$R$8:$R$27,MATCH(H46,設定!$P$8:$P$27,0))))-INDEX(定員チェック!$F$7:$F$26,MATCH(H46,設定!$P$8:$P$27,0))-COUNTIFS($M$7:$M$456,"要調整",$G$7:$G$456,H46),""))</f>
        <v/>
      </c>
      <c r="O46" s="44">
        <f>IF(OR(M46&lt;&gt;"要調整",I46=""),"",IFERROR((INDEX(設定!$Q$8:$Q$27,MATCH(I46,設定!$P$8:$P$27,0))+N(INDEX(設定!$R$8:$R$27,MATCH(I46,設定!$P$8:$P$27,0))))-INDEX(定員チェック!$F$7:$F$26,MATCH(I46,設定!$P$8:$P$27,0))-COUNTIFS($M$7:$M$456,"要調整",$G$7:$G$456,I46),""))</f>
        <v/>
      </c>
      <c r="P46" s="8">
        <f>IFERROR(MATCH(SMALL(前年度名簿!$G$2:$G$451,40),前年度名簿!$G$2:$G$451,0),"")</f>
        <v/>
      </c>
      <c r="Q46" s="8">
        <f>IF(R46="","",IFERROR(MATCH(R46,希望入力!$M$2:$M$551,0),""))</f>
        <v/>
      </c>
      <c r="R46" s="8">
        <f>IF(P46="","",INDEX(前年度名簿!$F$2:$F$451,P46))</f>
        <v/>
      </c>
      <c r="S46" s="8">
        <f>IF(P46="","",INDEX(前年度名簿!$I$2:$I$451,P46))</f>
        <v/>
      </c>
      <c r="T46" s="8">
        <f>IF(OR(P46="",計算用!$B$1=0),"",IFERROR(MATCH(S46,新年度名簿!$H$2:$H$451,0),""))</f>
        <v/>
      </c>
      <c r="U46" s="8">
        <f>IF(OR(L46="",M46="転出"),"",IFERROR(MATCH(L46,設定!$P$8:$P$27,0),""))</f>
        <v/>
      </c>
      <c r="V46" s="8">
        <f>IF(U46="","",COUNTIF($U$7:U46,U46))</f>
        <v/>
      </c>
      <c r="W46" s="8">
        <f>IF(U46="","",U46*1000+V46)</f>
        <v/>
      </c>
    </row>
    <row r="47">
      <c r="A47" s="44">
        <f>IF(P47="","",INDEX(前年度名簿!$H$2:$H$451,P47))</f>
        <v/>
      </c>
      <c r="B47" s="44">
        <f>IF(P47="","",IFERROR(INDEX(設定!$G$8:$G$31,INT(INDEX(前年度名簿!$G$2:$G$451,P47)/1000)),INDEX(前年度名簿!$A$2:$A$451,P47)&amp;INDEX(前年度名簿!$B$2:$B$451,P47)))</f>
        <v/>
      </c>
      <c r="C47" s="44">
        <f>IF(P47="","",INDEX(前年度名簿!$C$2:$C$451,P47))</f>
        <v/>
      </c>
      <c r="D47" s="3">
        <f>IF(P47="","",INDEX(前年度名簿!$D$2:$D$451,P47))</f>
        <v/>
      </c>
      <c r="E47" s="44">
        <f>IF(T47="","",INDEX(新年度名簿!$K$2:$K$451,T47))</f>
        <v/>
      </c>
      <c r="F47" s="44">
        <f>IF(T47="","",INDEX(新年度名簿!$C$2:$C$451,T47))</f>
        <v/>
      </c>
      <c r="G47" s="44">
        <f>IF(Q47="","",INDEX(希望入力!$H$2:$H$551,Q47)&amp;"")</f>
        <v/>
      </c>
      <c r="H47" s="44">
        <f>IF(Q47="","",INDEX(希望入力!$I$2:$I$551,Q47)&amp;"")</f>
        <v/>
      </c>
      <c r="I47" s="44">
        <f>IF(Q47="","",INDEX(希望入力!$J$2:$J$551,Q47)&amp;"")</f>
        <v/>
      </c>
      <c r="J47" s="44">
        <f>IF(Q47="","",IF(G47="","要調整",IFERROR(IF(IF(OR(設定!$C$14="〇",設定!$C$14="○"),COUNTIFS($A$7:$A$456,"&gt;="&amp;A47,$G$7:$G$456,G47),COUNTIF($G$7:$G$456,G47))&lt;=(INDEX(設定!$Q$8:$Q$27,MATCH(G47,設定!$P$8:$P$27,0))+N(INDEX(設定!$R$8:$R$27,MATCH(G47,設定!$P$8:$P$27,0)))),G47,"要調整"),"要調整")))</f>
        <v/>
      </c>
      <c r="K47" s="40" t="n"/>
      <c r="L47" s="52">
        <f>IF(P47="","",IF(K47&lt;&gt;"",K47,IF(OR(J47="",J47="要調整"),"",J47)))</f>
        <v/>
      </c>
      <c r="M47" s="44">
        <f>IF(P47="","",IF(AND(計算用!$B$1=1,T47=""),"転出",IF(L47&lt;&gt;"","決定",IF(Q47="","未提出","要調整"))))</f>
        <v/>
      </c>
      <c r="N47" s="44">
        <f>IF(OR(M47&lt;&gt;"要調整",H47=""),"",IFERROR((INDEX(設定!$Q$8:$Q$27,MATCH(H47,設定!$P$8:$P$27,0))+N(INDEX(設定!$R$8:$R$27,MATCH(H47,設定!$P$8:$P$27,0))))-INDEX(定員チェック!$F$7:$F$26,MATCH(H47,設定!$P$8:$P$27,0))-COUNTIFS($M$7:$M$456,"要調整",$G$7:$G$456,H47),""))</f>
        <v/>
      </c>
      <c r="O47" s="44">
        <f>IF(OR(M47&lt;&gt;"要調整",I47=""),"",IFERROR((INDEX(設定!$Q$8:$Q$27,MATCH(I47,設定!$P$8:$P$27,0))+N(INDEX(設定!$R$8:$R$27,MATCH(I47,設定!$P$8:$P$27,0))))-INDEX(定員チェック!$F$7:$F$26,MATCH(I47,設定!$P$8:$P$27,0))-COUNTIFS($M$7:$M$456,"要調整",$G$7:$G$456,I47),""))</f>
        <v/>
      </c>
      <c r="P47" s="8">
        <f>IFERROR(MATCH(SMALL(前年度名簿!$G$2:$G$451,41),前年度名簿!$G$2:$G$451,0),"")</f>
        <v/>
      </c>
      <c r="Q47" s="8">
        <f>IF(R47="","",IFERROR(MATCH(R47,希望入力!$M$2:$M$551,0),""))</f>
        <v/>
      </c>
      <c r="R47" s="8">
        <f>IF(P47="","",INDEX(前年度名簿!$F$2:$F$451,P47))</f>
        <v/>
      </c>
      <c r="S47" s="8">
        <f>IF(P47="","",INDEX(前年度名簿!$I$2:$I$451,P47))</f>
        <v/>
      </c>
      <c r="T47" s="8">
        <f>IF(OR(P47="",計算用!$B$1=0),"",IFERROR(MATCH(S47,新年度名簿!$H$2:$H$451,0),""))</f>
        <v/>
      </c>
      <c r="U47" s="8">
        <f>IF(OR(L47="",M47="転出"),"",IFERROR(MATCH(L47,設定!$P$8:$P$27,0),""))</f>
        <v/>
      </c>
      <c r="V47" s="8">
        <f>IF(U47="","",COUNTIF($U$7:U47,U47))</f>
        <v/>
      </c>
      <c r="W47" s="8">
        <f>IF(U47="","",U47*1000+V47)</f>
        <v/>
      </c>
    </row>
    <row r="48">
      <c r="A48" s="44">
        <f>IF(P48="","",INDEX(前年度名簿!$H$2:$H$451,P48))</f>
        <v/>
      </c>
      <c r="B48" s="44">
        <f>IF(P48="","",IFERROR(INDEX(設定!$G$8:$G$31,INT(INDEX(前年度名簿!$G$2:$G$451,P48)/1000)),INDEX(前年度名簿!$A$2:$A$451,P48)&amp;INDEX(前年度名簿!$B$2:$B$451,P48)))</f>
        <v/>
      </c>
      <c r="C48" s="44">
        <f>IF(P48="","",INDEX(前年度名簿!$C$2:$C$451,P48))</f>
        <v/>
      </c>
      <c r="D48" s="3">
        <f>IF(P48="","",INDEX(前年度名簿!$D$2:$D$451,P48))</f>
        <v/>
      </c>
      <c r="E48" s="44">
        <f>IF(T48="","",INDEX(新年度名簿!$K$2:$K$451,T48))</f>
        <v/>
      </c>
      <c r="F48" s="44">
        <f>IF(T48="","",INDEX(新年度名簿!$C$2:$C$451,T48))</f>
        <v/>
      </c>
      <c r="G48" s="44">
        <f>IF(Q48="","",INDEX(希望入力!$H$2:$H$551,Q48)&amp;"")</f>
        <v/>
      </c>
      <c r="H48" s="44">
        <f>IF(Q48="","",INDEX(希望入力!$I$2:$I$551,Q48)&amp;"")</f>
        <v/>
      </c>
      <c r="I48" s="44">
        <f>IF(Q48="","",INDEX(希望入力!$J$2:$J$551,Q48)&amp;"")</f>
        <v/>
      </c>
      <c r="J48" s="44">
        <f>IF(Q48="","",IF(G48="","要調整",IFERROR(IF(IF(OR(設定!$C$14="〇",設定!$C$14="○"),COUNTIFS($A$7:$A$456,"&gt;="&amp;A48,$G$7:$G$456,G48),COUNTIF($G$7:$G$456,G48))&lt;=(INDEX(設定!$Q$8:$Q$27,MATCH(G48,設定!$P$8:$P$27,0))+N(INDEX(設定!$R$8:$R$27,MATCH(G48,設定!$P$8:$P$27,0)))),G48,"要調整"),"要調整")))</f>
        <v/>
      </c>
      <c r="K48" s="40" t="n"/>
      <c r="L48" s="52">
        <f>IF(P48="","",IF(K48&lt;&gt;"",K48,IF(OR(J48="",J48="要調整"),"",J48)))</f>
        <v/>
      </c>
      <c r="M48" s="44">
        <f>IF(P48="","",IF(AND(計算用!$B$1=1,T48=""),"転出",IF(L48&lt;&gt;"","決定",IF(Q48="","未提出","要調整"))))</f>
        <v/>
      </c>
      <c r="N48" s="44">
        <f>IF(OR(M48&lt;&gt;"要調整",H48=""),"",IFERROR((INDEX(設定!$Q$8:$Q$27,MATCH(H48,設定!$P$8:$P$27,0))+N(INDEX(設定!$R$8:$R$27,MATCH(H48,設定!$P$8:$P$27,0))))-INDEX(定員チェック!$F$7:$F$26,MATCH(H48,設定!$P$8:$P$27,0))-COUNTIFS($M$7:$M$456,"要調整",$G$7:$G$456,H48),""))</f>
        <v/>
      </c>
      <c r="O48" s="44">
        <f>IF(OR(M48&lt;&gt;"要調整",I48=""),"",IFERROR((INDEX(設定!$Q$8:$Q$27,MATCH(I48,設定!$P$8:$P$27,0))+N(INDEX(設定!$R$8:$R$27,MATCH(I48,設定!$P$8:$P$27,0))))-INDEX(定員チェック!$F$7:$F$26,MATCH(I48,設定!$P$8:$P$27,0))-COUNTIFS($M$7:$M$456,"要調整",$G$7:$G$456,I48),""))</f>
        <v/>
      </c>
      <c r="P48" s="8">
        <f>IFERROR(MATCH(SMALL(前年度名簿!$G$2:$G$451,42),前年度名簿!$G$2:$G$451,0),"")</f>
        <v/>
      </c>
      <c r="Q48" s="8">
        <f>IF(R48="","",IFERROR(MATCH(R48,希望入力!$M$2:$M$551,0),""))</f>
        <v/>
      </c>
      <c r="R48" s="8">
        <f>IF(P48="","",INDEX(前年度名簿!$F$2:$F$451,P48))</f>
        <v/>
      </c>
      <c r="S48" s="8">
        <f>IF(P48="","",INDEX(前年度名簿!$I$2:$I$451,P48))</f>
        <v/>
      </c>
      <c r="T48" s="8">
        <f>IF(OR(P48="",計算用!$B$1=0),"",IFERROR(MATCH(S48,新年度名簿!$H$2:$H$451,0),""))</f>
        <v/>
      </c>
      <c r="U48" s="8">
        <f>IF(OR(L48="",M48="転出"),"",IFERROR(MATCH(L48,設定!$P$8:$P$27,0),""))</f>
        <v/>
      </c>
      <c r="V48" s="8">
        <f>IF(U48="","",COUNTIF($U$7:U48,U48))</f>
        <v/>
      </c>
      <c r="W48" s="8">
        <f>IF(U48="","",U48*1000+V48)</f>
        <v/>
      </c>
    </row>
    <row r="49">
      <c r="A49" s="44">
        <f>IF(P49="","",INDEX(前年度名簿!$H$2:$H$451,P49))</f>
        <v/>
      </c>
      <c r="B49" s="44">
        <f>IF(P49="","",IFERROR(INDEX(設定!$G$8:$G$31,INT(INDEX(前年度名簿!$G$2:$G$451,P49)/1000)),INDEX(前年度名簿!$A$2:$A$451,P49)&amp;INDEX(前年度名簿!$B$2:$B$451,P49)))</f>
        <v/>
      </c>
      <c r="C49" s="44">
        <f>IF(P49="","",INDEX(前年度名簿!$C$2:$C$451,P49))</f>
        <v/>
      </c>
      <c r="D49" s="3">
        <f>IF(P49="","",INDEX(前年度名簿!$D$2:$D$451,P49))</f>
        <v/>
      </c>
      <c r="E49" s="44">
        <f>IF(T49="","",INDEX(新年度名簿!$K$2:$K$451,T49))</f>
        <v/>
      </c>
      <c r="F49" s="44">
        <f>IF(T49="","",INDEX(新年度名簿!$C$2:$C$451,T49))</f>
        <v/>
      </c>
      <c r="G49" s="44">
        <f>IF(Q49="","",INDEX(希望入力!$H$2:$H$551,Q49)&amp;"")</f>
        <v/>
      </c>
      <c r="H49" s="44">
        <f>IF(Q49="","",INDEX(希望入力!$I$2:$I$551,Q49)&amp;"")</f>
        <v/>
      </c>
      <c r="I49" s="44">
        <f>IF(Q49="","",INDEX(希望入力!$J$2:$J$551,Q49)&amp;"")</f>
        <v/>
      </c>
      <c r="J49" s="44">
        <f>IF(Q49="","",IF(G49="","要調整",IFERROR(IF(IF(OR(設定!$C$14="〇",設定!$C$14="○"),COUNTIFS($A$7:$A$456,"&gt;="&amp;A49,$G$7:$G$456,G49),COUNTIF($G$7:$G$456,G49))&lt;=(INDEX(設定!$Q$8:$Q$27,MATCH(G49,設定!$P$8:$P$27,0))+N(INDEX(設定!$R$8:$R$27,MATCH(G49,設定!$P$8:$P$27,0)))),G49,"要調整"),"要調整")))</f>
        <v/>
      </c>
      <c r="K49" s="40" t="n"/>
      <c r="L49" s="52">
        <f>IF(P49="","",IF(K49&lt;&gt;"",K49,IF(OR(J49="",J49="要調整"),"",J49)))</f>
        <v/>
      </c>
      <c r="M49" s="44">
        <f>IF(P49="","",IF(AND(計算用!$B$1=1,T49=""),"転出",IF(L49&lt;&gt;"","決定",IF(Q49="","未提出","要調整"))))</f>
        <v/>
      </c>
      <c r="N49" s="44">
        <f>IF(OR(M49&lt;&gt;"要調整",H49=""),"",IFERROR((INDEX(設定!$Q$8:$Q$27,MATCH(H49,設定!$P$8:$P$27,0))+N(INDEX(設定!$R$8:$R$27,MATCH(H49,設定!$P$8:$P$27,0))))-INDEX(定員チェック!$F$7:$F$26,MATCH(H49,設定!$P$8:$P$27,0))-COUNTIFS($M$7:$M$456,"要調整",$G$7:$G$456,H49),""))</f>
        <v/>
      </c>
      <c r="O49" s="44">
        <f>IF(OR(M49&lt;&gt;"要調整",I49=""),"",IFERROR((INDEX(設定!$Q$8:$Q$27,MATCH(I49,設定!$P$8:$P$27,0))+N(INDEX(設定!$R$8:$R$27,MATCH(I49,設定!$P$8:$P$27,0))))-INDEX(定員チェック!$F$7:$F$26,MATCH(I49,設定!$P$8:$P$27,0))-COUNTIFS($M$7:$M$456,"要調整",$G$7:$G$456,I49),""))</f>
        <v/>
      </c>
      <c r="P49" s="8">
        <f>IFERROR(MATCH(SMALL(前年度名簿!$G$2:$G$451,43),前年度名簿!$G$2:$G$451,0),"")</f>
        <v/>
      </c>
      <c r="Q49" s="8">
        <f>IF(R49="","",IFERROR(MATCH(R49,希望入力!$M$2:$M$551,0),""))</f>
        <v/>
      </c>
      <c r="R49" s="8">
        <f>IF(P49="","",INDEX(前年度名簿!$F$2:$F$451,P49))</f>
        <v/>
      </c>
      <c r="S49" s="8">
        <f>IF(P49="","",INDEX(前年度名簿!$I$2:$I$451,P49))</f>
        <v/>
      </c>
      <c r="T49" s="8">
        <f>IF(OR(P49="",計算用!$B$1=0),"",IFERROR(MATCH(S49,新年度名簿!$H$2:$H$451,0),""))</f>
        <v/>
      </c>
      <c r="U49" s="8">
        <f>IF(OR(L49="",M49="転出"),"",IFERROR(MATCH(L49,設定!$P$8:$P$27,0),""))</f>
        <v/>
      </c>
      <c r="V49" s="8">
        <f>IF(U49="","",COUNTIF($U$7:U49,U49))</f>
        <v/>
      </c>
      <c r="W49" s="8">
        <f>IF(U49="","",U49*1000+V49)</f>
        <v/>
      </c>
    </row>
    <row r="50">
      <c r="A50" s="44">
        <f>IF(P50="","",INDEX(前年度名簿!$H$2:$H$451,P50))</f>
        <v/>
      </c>
      <c r="B50" s="44">
        <f>IF(P50="","",IFERROR(INDEX(設定!$G$8:$G$31,INT(INDEX(前年度名簿!$G$2:$G$451,P50)/1000)),INDEX(前年度名簿!$A$2:$A$451,P50)&amp;INDEX(前年度名簿!$B$2:$B$451,P50)))</f>
        <v/>
      </c>
      <c r="C50" s="44">
        <f>IF(P50="","",INDEX(前年度名簿!$C$2:$C$451,P50))</f>
        <v/>
      </c>
      <c r="D50" s="3">
        <f>IF(P50="","",INDEX(前年度名簿!$D$2:$D$451,P50))</f>
        <v/>
      </c>
      <c r="E50" s="44">
        <f>IF(T50="","",INDEX(新年度名簿!$K$2:$K$451,T50))</f>
        <v/>
      </c>
      <c r="F50" s="44">
        <f>IF(T50="","",INDEX(新年度名簿!$C$2:$C$451,T50))</f>
        <v/>
      </c>
      <c r="G50" s="44">
        <f>IF(Q50="","",INDEX(希望入力!$H$2:$H$551,Q50)&amp;"")</f>
        <v/>
      </c>
      <c r="H50" s="44">
        <f>IF(Q50="","",INDEX(希望入力!$I$2:$I$551,Q50)&amp;"")</f>
        <v/>
      </c>
      <c r="I50" s="44">
        <f>IF(Q50="","",INDEX(希望入力!$J$2:$J$551,Q50)&amp;"")</f>
        <v/>
      </c>
      <c r="J50" s="44">
        <f>IF(Q50="","",IF(G50="","要調整",IFERROR(IF(IF(OR(設定!$C$14="〇",設定!$C$14="○"),COUNTIFS($A$7:$A$456,"&gt;="&amp;A50,$G$7:$G$456,G50),COUNTIF($G$7:$G$456,G50))&lt;=(INDEX(設定!$Q$8:$Q$27,MATCH(G50,設定!$P$8:$P$27,0))+N(INDEX(設定!$R$8:$R$27,MATCH(G50,設定!$P$8:$P$27,0)))),G50,"要調整"),"要調整")))</f>
        <v/>
      </c>
      <c r="K50" s="40" t="n"/>
      <c r="L50" s="52">
        <f>IF(P50="","",IF(K50&lt;&gt;"",K50,IF(OR(J50="",J50="要調整"),"",J50)))</f>
        <v/>
      </c>
      <c r="M50" s="44">
        <f>IF(P50="","",IF(AND(計算用!$B$1=1,T50=""),"転出",IF(L50&lt;&gt;"","決定",IF(Q50="","未提出","要調整"))))</f>
        <v/>
      </c>
      <c r="N50" s="44">
        <f>IF(OR(M50&lt;&gt;"要調整",H50=""),"",IFERROR((INDEX(設定!$Q$8:$Q$27,MATCH(H50,設定!$P$8:$P$27,0))+N(INDEX(設定!$R$8:$R$27,MATCH(H50,設定!$P$8:$P$27,0))))-INDEX(定員チェック!$F$7:$F$26,MATCH(H50,設定!$P$8:$P$27,0))-COUNTIFS($M$7:$M$456,"要調整",$G$7:$G$456,H50),""))</f>
        <v/>
      </c>
      <c r="O50" s="44">
        <f>IF(OR(M50&lt;&gt;"要調整",I50=""),"",IFERROR((INDEX(設定!$Q$8:$Q$27,MATCH(I50,設定!$P$8:$P$27,0))+N(INDEX(設定!$R$8:$R$27,MATCH(I50,設定!$P$8:$P$27,0))))-INDEX(定員チェック!$F$7:$F$26,MATCH(I50,設定!$P$8:$P$27,0))-COUNTIFS($M$7:$M$456,"要調整",$G$7:$G$456,I50),""))</f>
        <v/>
      </c>
      <c r="P50" s="8">
        <f>IFERROR(MATCH(SMALL(前年度名簿!$G$2:$G$451,44),前年度名簿!$G$2:$G$451,0),"")</f>
        <v/>
      </c>
      <c r="Q50" s="8">
        <f>IF(R50="","",IFERROR(MATCH(R50,希望入力!$M$2:$M$551,0),""))</f>
        <v/>
      </c>
      <c r="R50" s="8">
        <f>IF(P50="","",INDEX(前年度名簿!$F$2:$F$451,P50))</f>
        <v/>
      </c>
      <c r="S50" s="8">
        <f>IF(P50="","",INDEX(前年度名簿!$I$2:$I$451,P50))</f>
        <v/>
      </c>
      <c r="T50" s="8">
        <f>IF(OR(P50="",計算用!$B$1=0),"",IFERROR(MATCH(S50,新年度名簿!$H$2:$H$451,0),""))</f>
        <v/>
      </c>
      <c r="U50" s="8">
        <f>IF(OR(L50="",M50="転出"),"",IFERROR(MATCH(L50,設定!$P$8:$P$27,0),""))</f>
        <v/>
      </c>
      <c r="V50" s="8">
        <f>IF(U50="","",COUNTIF($U$7:U50,U50))</f>
        <v/>
      </c>
      <c r="W50" s="8">
        <f>IF(U50="","",U50*1000+V50)</f>
        <v/>
      </c>
    </row>
    <row r="51">
      <c r="A51" s="44">
        <f>IF(P51="","",INDEX(前年度名簿!$H$2:$H$451,P51))</f>
        <v/>
      </c>
      <c r="B51" s="44">
        <f>IF(P51="","",IFERROR(INDEX(設定!$G$8:$G$31,INT(INDEX(前年度名簿!$G$2:$G$451,P51)/1000)),INDEX(前年度名簿!$A$2:$A$451,P51)&amp;INDEX(前年度名簿!$B$2:$B$451,P51)))</f>
        <v/>
      </c>
      <c r="C51" s="44">
        <f>IF(P51="","",INDEX(前年度名簿!$C$2:$C$451,P51))</f>
        <v/>
      </c>
      <c r="D51" s="3">
        <f>IF(P51="","",INDEX(前年度名簿!$D$2:$D$451,P51))</f>
        <v/>
      </c>
      <c r="E51" s="44">
        <f>IF(T51="","",INDEX(新年度名簿!$K$2:$K$451,T51))</f>
        <v/>
      </c>
      <c r="F51" s="44">
        <f>IF(T51="","",INDEX(新年度名簿!$C$2:$C$451,T51))</f>
        <v/>
      </c>
      <c r="G51" s="44">
        <f>IF(Q51="","",INDEX(希望入力!$H$2:$H$551,Q51)&amp;"")</f>
        <v/>
      </c>
      <c r="H51" s="44">
        <f>IF(Q51="","",INDEX(希望入力!$I$2:$I$551,Q51)&amp;"")</f>
        <v/>
      </c>
      <c r="I51" s="44">
        <f>IF(Q51="","",INDEX(希望入力!$J$2:$J$551,Q51)&amp;"")</f>
        <v/>
      </c>
      <c r="J51" s="44">
        <f>IF(Q51="","",IF(G51="","要調整",IFERROR(IF(IF(OR(設定!$C$14="〇",設定!$C$14="○"),COUNTIFS($A$7:$A$456,"&gt;="&amp;A51,$G$7:$G$456,G51),COUNTIF($G$7:$G$456,G51))&lt;=(INDEX(設定!$Q$8:$Q$27,MATCH(G51,設定!$P$8:$P$27,0))+N(INDEX(設定!$R$8:$R$27,MATCH(G51,設定!$P$8:$P$27,0)))),G51,"要調整"),"要調整")))</f>
        <v/>
      </c>
      <c r="K51" s="40" t="n"/>
      <c r="L51" s="52">
        <f>IF(P51="","",IF(K51&lt;&gt;"",K51,IF(OR(J51="",J51="要調整"),"",J51)))</f>
        <v/>
      </c>
      <c r="M51" s="44">
        <f>IF(P51="","",IF(AND(計算用!$B$1=1,T51=""),"転出",IF(L51&lt;&gt;"","決定",IF(Q51="","未提出","要調整"))))</f>
        <v/>
      </c>
      <c r="N51" s="44">
        <f>IF(OR(M51&lt;&gt;"要調整",H51=""),"",IFERROR((INDEX(設定!$Q$8:$Q$27,MATCH(H51,設定!$P$8:$P$27,0))+N(INDEX(設定!$R$8:$R$27,MATCH(H51,設定!$P$8:$P$27,0))))-INDEX(定員チェック!$F$7:$F$26,MATCH(H51,設定!$P$8:$P$27,0))-COUNTIFS($M$7:$M$456,"要調整",$G$7:$G$456,H51),""))</f>
        <v/>
      </c>
      <c r="O51" s="44">
        <f>IF(OR(M51&lt;&gt;"要調整",I51=""),"",IFERROR((INDEX(設定!$Q$8:$Q$27,MATCH(I51,設定!$P$8:$P$27,0))+N(INDEX(設定!$R$8:$R$27,MATCH(I51,設定!$P$8:$P$27,0))))-INDEX(定員チェック!$F$7:$F$26,MATCH(I51,設定!$P$8:$P$27,0))-COUNTIFS($M$7:$M$456,"要調整",$G$7:$G$456,I51),""))</f>
        <v/>
      </c>
      <c r="P51" s="8">
        <f>IFERROR(MATCH(SMALL(前年度名簿!$G$2:$G$451,45),前年度名簿!$G$2:$G$451,0),"")</f>
        <v/>
      </c>
      <c r="Q51" s="8">
        <f>IF(R51="","",IFERROR(MATCH(R51,希望入力!$M$2:$M$551,0),""))</f>
        <v/>
      </c>
      <c r="R51" s="8">
        <f>IF(P51="","",INDEX(前年度名簿!$F$2:$F$451,P51))</f>
        <v/>
      </c>
      <c r="S51" s="8">
        <f>IF(P51="","",INDEX(前年度名簿!$I$2:$I$451,P51))</f>
        <v/>
      </c>
      <c r="T51" s="8">
        <f>IF(OR(P51="",計算用!$B$1=0),"",IFERROR(MATCH(S51,新年度名簿!$H$2:$H$451,0),""))</f>
        <v/>
      </c>
      <c r="U51" s="8">
        <f>IF(OR(L51="",M51="転出"),"",IFERROR(MATCH(L51,設定!$P$8:$P$27,0),""))</f>
        <v/>
      </c>
      <c r="V51" s="8">
        <f>IF(U51="","",COUNTIF($U$7:U51,U51))</f>
        <v/>
      </c>
      <c r="W51" s="8">
        <f>IF(U51="","",U51*1000+V51)</f>
        <v/>
      </c>
    </row>
    <row r="52">
      <c r="A52" s="44">
        <f>IF(P52="","",INDEX(前年度名簿!$H$2:$H$451,P52))</f>
        <v/>
      </c>
      <c r="B52" s="44">
        <f>IF(P52="","",IFERROR(INDEX(設定!$G$8:$G$31,INT(INDEX(前年度名簿!$G$2:$G$451,P52)/1000)),INDEX(前年度名簿!$A$2:$A$451,P52)&amp;INDEX(前年度名簿!$B$2:$B$451,P52)))</f>
        <v/>
      </c>
      <c r="C52" s="44">
        <f>IF(P52="","",INDEX(前年度名簿!$C$2:$C$451,P52))</f>
        <v/>
      </c>
      <c r="D52" s="3">
        <f>IF(P52="","",INDEX(前年度名簿!$D$2:$D$451,P52))</f>
        <v/>
      </c>
      <c r="E52" s="44">
        <f>IF(T52="","",INDEX(新年度名簿!$K$2:$K$451,T52))</f>
        <v/>
      </c>
      <c r="F52" s="44">
        <f>IF(T52="","",INDEX(新年度名簿!$C$2:$C$451,T52))</f>
        <v/>
      </c>
      <c r="G52" s="44">
        <f>IF(Q52="","",INDEX(希望入力!$H$2:$H$551,Q52)&amp;"")</f>
        <v/>
      </c>
      <c r="H52" s="44">
        <f>IF(Q52="","",INDEX(希望入力!$I$2:$I$551,Q52)&amp;"")</f>
        <v/>
      </c>
      <c r="I52" s="44">
        <f>IF(Q52="","",INDEX(希望入力!$J$2:$J$551,Q52)&amp;"")</f>
        <v/>
      </c>
      <c r="J52" s="44">
        <f>IF(Q52="","",IF(G52="","要調整",IFERROR(IF(IF(OR(設定!$C$14="〇",設定!$C$14="○"),COUNTIFS($A$7:$A$456,"&gt;="&amp;A52,$G$7:$G$456,G52),COUNTIF($G$7:$G$456,G52))&lt;=(INDEX(設定!$Q$8:$Q$27,MATCH(G52,設定!$P$8:$P$27,0))+N(INDEX(設定!$R$8:$R$27,MATCH(G52,設定!$P$8:$P$27,0)))),G52,"要調整"),"要調整")))</f>
        <v/>
      </c>
      <c r="K52" s="40" t="n"/>
      <c r="L52" s="52">
        <f>IF(P52="","",IF(K52&lt;&gt;"",K52,IF(OR(J52="",J52="要調整"),"",J52)))</f>
        <v/>
      </c>
      <c r="M52" s="44">
        <f>IF(P52="","",IF(AND(計算用!$B$1=1,T52=""),"転出",IF(L52&lt;&gt;"","決定",IF(Q52="","未提出","要調整"))))</f>
        <v/>
      </c>
      <c r="N52" s="44">
        <f>IF(OR(M52&lt;&gt;"要調整",H52=""),"",IFERROR((INDEX(設定!$Q$8:$Q$27,MATCH(H52,設定!$P$8:$P$27,0))+N(INDEX(設定!$R$8:$R$27,MATCH(H52,設定!$P$8:$P$27,0))))-INDEX(定員チェック!$F$7:$F$26,MATCH(H52,設定!$P$8:$P$27,0))-COUNTIFS($M$7:$M$456,"要調整",$G$7:$G$456,H52),""))</f>
        <v/>
      </c>
      <c r="O52" s="44">
        <f>IF(OR(M52&lt;&gt;"要調整",I52=""),"",IFERROR((INDEX(設定!$Q$8:$Q$27,MATCH(I52,設定!$P$8:$P$27,0))+N(INDEX(設定!$R$8:$R$27,MATCH(I52,設定!$P$8:$P$27,0))))-INDEX(定員チェック!$F$7:$F$26,MATCH(I52,設定!$P$8:$P$27,0))-COUNTIFS($M$7:$M$456,"要調整",$G$7:$G$456,I52),""))</f>
        <v/>
      </c>
      <c r="P52" s="8">
        <f>IFERROR(MATCH(SMALL(前年度名簿!$G$2:$G$451,46),前年度名簿!$G$2:$G$451,0),"")</f>
        <v/>
      </c>
      <c r="Q52" s="8">
        <f>IF(R52="","",IFERROR(MATCH(R52,希望入力!$M$2:$M$551,0),""))</f>
        <v/>
      </c>
      <c r="R52" s="8">
        <f>IF(P52="","",INDEX(前年度名簿!$F$2:$F$451,P52))</f>
        <v/>
      </c>
      <c r="S52" s="8">
        <f>IF(P52="","",INDEX(前年度名簿!$I$2:$I$451,P52))</f>
        <v/>
      </c>
      <c r="T52" s="8">
        <f>IF(OR(P52="",計算用!$B$1=0),"",IFERROR(MATCH(S52,新年度名簿!$H$2:$H$451,0),""))</f>
        <v/>
      </c>
      <c r="U52" s="8">
        <f>IF(OR(L52="",M52="転出"),"",IFERROR(MATCH(L52,設定!$P$8:$P$27,0),""))</f>
        <v/>
      </c>
      <c r="V52" s="8">
        <f>IF(U52="","",COUNTIF($U$7:U52,U52))</f>
        <v/>
      </c>
      <c r="W52" s="8">
        <f>IF(U52="","",U52*1000+V52)</f>
        <v/>
      </c>
    </row>
    <row r="53">
      <c r="A53" s="44">
        <f>IF(P53="","",INDEX(前年度名簿!$H$2:$H$451,P53))</f>
        <v/>
      </c>
      <c r="B53" s="44">
        <f>IF(P53="","",IFERROR(INDEX(設定!$G$8:$G$31,INT(INDEX(前年度名簿!$G$2:$G$451,P53)/1000)),INDEX(前年度名簿!$A$2:$A$451,P53)&amp;INDEX(前年度名簿!$B$2:$B$451,P53)))</f>
        <v/>
      </c>
      <c r="C53" s="44">
        <f>IF(P53="","",INDEX(前年度名簿!$C$2:$C$451,P53))</f>
        <v/>
      </c>
      <c r="D53" s="3">
        <f>IF(P53="","",INDEX(前年度名簿!$D$2:$D$451,P53))</f>
        <v/>
      </c>
      <c r="E53" s="44">
        <f>IF(T53="","",INDEX(新年度名簿!$K$2:$K$451,T53))</f>
        <v/>
      </c>
      <c r="F53" s="44">
        <f>IF(T53="","",INDEX(新年度名簿!$C$2:$C$451,T53))</f>
        <v/>
      </c>
      <c r="G53" s="44">
        <f>IF(Q53="","",INDEX(希望入力!$H$2:$H$551,Q53)&amp;"")</f>
        <v/>
      </c>
      <c r="H53" s="44">
        <f>IF(Q53="","",INDEX(希望入力!$I$2:$I$551,Q53)&amp;"")</f>
        <v/>
      </c>
      <c r="I53" s="44">
        <f>IF(Q53="","",INDEX(希望入力!$J$2:$J$551,Q53)&amp;"")</f>
        <v/>
      </c>
      <c r="J53" s="44">
        <f>IF(Q53="","",IF(G53="","要調整",IFERROR(IF(IF(OR(設定!$C$14="〇",設定!$C$14="○"),COUNTIFS($A$7:$A$456,"&gt;="&amp;A53,$G$7:$G$456,G53),COUNTIF($G$7:$G$456,G53))&lt;=(INDEX(設定!$Q$8:$Q$27,MATCH(G53,設定!$P$8:$P$27,0))+N(INDEX(設定!$R$8:$R$27,MATCH(G53,設定!$P$8:$P$27,0)))),G53,"要調整"),"要調整")))</f>
        <v/>
      </c>
      <c r="K53" s="40" t="n"/>
      <c r="L53" s="52">
        <f>IF(P53="","",IF(K53&lt;&gt;"",K53,IF(OR(J53="",J53="要調整"),"",J53)))</f>
        <v/>
      </c>
      <c r="M53" s="44">
        <f>IF(P53="","",IF(AND(計算用!$B$1=1,T53=""),"転出",IF(L53&lt;&gt;"","決定",IF(Q53="","未提出","要調整"))))</f>
        <v/>
      </c>
      <c r="N53" s="44">
        <f>IF(OR(M53&lt;&gt;"要調整",H53=""),"",IFERROR((INDEX(設定!$Q$8:$Q$27,MATCH(H53,設定!$P$8:$P$27,0))+N(INDEX(設定!$R$8:$R$27,MATCH(H53,設定!$P$8:$P$27,0))))-INDEX(定員チェック!$F$7:$F$26,MATCH(H53,設定!$P$8:$P$27,0))-COUNTIFS($M$7:$M$456,"要調整",$G$7:$G$456,H53),""))</f>
        <v/>
      </c>
      <c r="O53" s="44">
        <f>IF(OR(M53&lt;&gt;"要調整",I53=""),"",IFERROR((INDEX(設定!$Q$8:$Q$27,MATCH(I53,設定!$P$8:$P$27,0))+N(INDEX(設定!$R$8:$R$27,MATCH(I53,設定!$P$8:$P$27,0))))-INDEX(定員チェック!$F$7:$F$26,MATCH(I53,設定!$P$8:$P$27,0))-COUNTIFS($M$7:$M$456,"要調整",$G$7:$G$456,I53),""))</f>
        <v/>
      </c>
      <c r="P53" s="8">
        <f>IFERROR(MATCH(SMALL(前年度名簿!$G$2:$G$451,47),前年度名簿!$G$2:$G$451,0),"")</f>
        <v/>
      </c>
      <c r="Q53" s="8">
        <f>IF(R53="","",IFERROR(MATCH(R53,希望入力!$M$2:$M$551,0),""))</f>
        <v/>
      </c>
      <c r="R53" s="8">
        <f>IF(P53="","",INDEX(前年度名簿!$F$2:$F$451,P53))</f>
        <v/>
      </c>
      <c r="S53" s="8">
        <f>IF(P53="","",INDEX(前年度名簿!$I$2:$I$451,P53))</f>
        <v/>
      </c>
      <c r="T53" s="8">
        <f>IF(OR(P53="",計算用!$B$1=0),"",IFERROR(MATCH(S53,新年度名簿!$H$2:$H$451,0),""))</f>
        <v/>
      </c>
      <c r="U53" s="8">
        <f>IF(OR(L53="",M53="転出"),"",IFERROR(MATCH(L53,設定!$P$8:$P$27,0),""))</f>
        <v/>
      </c>
      <c r="V53" s="8">
        <f>IF(U53="","",COUNTIF($U$7:U53,U53))</f>
        <v/>
      </c>
      <c r="W53" s="8">
        <f>IF(U53="","",U53*1000+V53)</f>
        <v/>
      </c>
    </row>
    <row r="54">
      <c r="A54" s="44">
        <f>IF(P54="","",INDEX(前年度名簿!$H$2:$H$451,P54))</f>
        <v/>
      </c>
      <c r="B54" s="44">
        <f>IF(P54="","",IFERROR(INDEX(設定!$G$8:$G$31,INT(INDEX(前年度名簿!$G$2:$G$451,P54)/1000)),INDEX(前年度名簿!$A$2:$A$451,P54)&amp;INDEX(前年度名簿!$B$2:$B$451,P54)))</f>
        <v/>
      </c>
      <c r="C54" s="44">
        <f>IF(P54="","",INDEX(前年度名簿!$C$2:$C$451,P54))</f>
        <v/>
      </c>
      <c r="D54" s="3">
        <f>IF(P54="","",INDEX(前年度名簿!$D$2:$D$451,P54))</f>
        <v/>
      </c>
      <c r="E54" s="44">
        <f>IF(T54="","",INDEX(新年度名簿!$K$2:$K$451,T54))</f>
        <v/>
      </c>
      <c r="F54" s="44">
        <f>IF(T54="","",INDEX(新年度名簿!$C$2:$C$451,T54))</f>
        <v/>
      </c>
      <c r="G54" s="44">
        <f>IF(Q54="","",INDEX(希望入力!$H$2:$H$551,Q54)&amp;"")</f>
        <v/>
      </c>
      <c r="H54" s="44">
        <f>IF(Q54="","",INDEX(希望入力!$I$2:$I$551,Q54)&amp;"")</f>
        <v/>
      </c>
      <c r="I54" s="44">
        <f>IF(Q54="","",INDEX(希望入力!$J$2:$J$551,Q54)&amp;"")</f>
        <v/>
      </c>
      <c r="J54" s="44">
        <f>IF(Q54="","",IF(G54="","要調整",IFERROR(IF(IF(OR(設定!$C$14="〇",設定!$C$14="○"),COUNTIFS($A$7:$A$456,"&gt;="&amp;A54,$G$7:$G$456,G54),COUNTIF($G$7:$G$456,G54))&lt;=(INDEX(設定!$Q$8:$Q$27,MATCH(G54,設定!$P$8:$P$27,0))+N(INDEX(設定!$R$8:$R$27,MATCH(G54,設定!$P$8:$P$27,0)))),G54,"要調整"),"要調整")))</f>
        <v/>
      </c>
      <c r="K54" s="40" t="n"/>
      <c r="L54" s="52">
        <f>IF(P54="","",IF(K54&lt;&gt;"",K54,IF(OR(J54="",J54="要調整"),"",J54)))</f>
        <v/>
      </c>
      <c r="M54" s="44">
        <f>IF(P54="","",IF(AND(計算用!$B$1=1,T54=""),"転出",IF(L54&lt;&gt;"","決定",IF(Q54="","未提出","要調整"))))</f>
        <v/>
      </c>
      <c r="N54" s="44">
        <f>IF(OR(M54&lt;&gt;"要調整",H54=""),"",IFERROR((INDEX(設定!$Q$8:$Q$27,MATCH(H54,設定!$P$8:$P$27,0))+N(INDEX(設定!$R$8:$R$27,MATCH(H54,設定!$P$8:$P$27,0))))-INDEX(定員チェック!$F$7:$F$26,MATCH(H54,設定!$P$8:$P$27,0))-COUNTIFS($M$7:$M$456,"要調整",$G$7:$G$456,H54),""))</f>
        <v/>
      </c>
      <c r="O54" s="44">
        <f>IF(OR(M54&lt;&gt;"要調整",I54=""),"",IFERROR((INDEX(設定!$Q$8:$Q$27,MATCH(I54,設定!$P$8:$P$27,0))+N(INDEX(設定!$R$8:$R$27,MATCH(I54,設定!$P$8:$P$27,0))))-INDEX(定員チェック!$F$7:$F$26,MATCH(I54,設定!$P$8:$P$27,0))-COUNTIFS($M$7:$M$456,"要調整",$G$7:$G$456,I54),""))</f>
        <v/>
      </c>
      <c r="P54" s="8">
        <f>IFERROR(MATCH(SMALL(前年度名簿!$G$2:$G$451,48),前年度名簿!$G$2:$G$451,0),"")</f>
        <v/>
      </c>
      <c r="Q54" s="8">
        <f>IF(R54="","",IFERROR(MATCH(R54,希望入力!$M$2:$M$551,0),""))</f>
        <v/>
      </c>
      <c r="R54" s="8">
        <f>IF(P54="","",INDEX(前年度名簿!$F$2:$F$451,P54))</f>
        <v/>
      </c>
      <c r="S54" s="8">
        <f>IF(P54="","",INDEX(前年度名簿!$I$2:$I$451,P54))</f>
        <v/>
      </c>
      <c r="T54" s="8">
        <f>IF(OR(P54="",計算用!$B$1=0),"",IFERROR(MATCH(S54,新年度名簿!$H$2:$H$451,0),""))</f>
        <v/>
      </c>
      <c r="U54" s="8">
        <f>IF(OR(L54="",M54="転出"),"",IFERROR(MATCH(L54,設定!$P$8:$P$27,0),""))</f>
        <v/>
      </c>
      <c r="V54" s="8">
        <f>IF(U54="","",COUNTIF($U$7:U54,U54))</f>
        <v/>
      </c>
      <c r="W54" s="8">
        <f>IF(U54="","",U54*1000+V54)</f>
        <v/>
      </c>
    </row>
    <row r="55">
      <c r="A55" s="44">
        <f>IF(P55="","",INDEX(前年度名簿!$H$2:$H$451,P55))</f>
        <v/>
      </c>
      <c r="B55" s="44">
        <f>IF(P55="","",IFERROR(INDEX(設定!$G$8:$G$31,INT(INDEX(前年度名簿!$G$2:$G$451,P55)/1000)),INDEX(前年度名簿!$A$2:$A$451,P55)&amp;INDEX(前年度名簿!$B$2:$B$451,P55)))</f>
        <v/>
      </c>
      <c r="C55" s="44">
        <f>IF(P55="","",INDEX(前年度名簿!$C$2:$C$451,P55))</f>
        <v/>
      </c>
      <c r="D55" s="3">
        <f>IF(P55="","",INDEX(前年度名簿!$D$2:$D$451,P55))</f>
        <v/>
      </c>
      <c r="E55" s="44">
        <f>IF(T55="","",INDEX(新年度名簿!$K$2:$K$451,T55))</f>
        <v/>
      </c>
      <c r="F55" s="44">
        <f>IF(T55="","",INDEX(新年度名簿!$C$2:$C$451,T55))</f>
        <v/>
      </c>
      <c r="G55" s="44">
        <f>IF(Q55="","",INDEX(希望入力!$H$2:$H$551,Q55)&amp;"")</f>
        <v/>
      </c>
      <c r="H55" s="44">
        <f>IF(Q55="","",INDEX(希望入力!$I$2:$I$551,Q55)&amp;"")</f>
        <v/>
      </c>
      <c r="I55" s="44">
        <f>IF(Q55="","",INDEX(希望入力!$J$2:$J$551,Q55)&amp;"")</f>
        <v/>
      </c>
      <c r="J55" s="44">
        <f>IF(Q55="","",IF(G55="","要調整",IFERROR(IF(IF(OR(設定!$C$14="〇",設定!$C$14="○"),COUNTIFS($A$7:$A$456,"&gt;="&amp;A55,$G$7:$G$456,G55),COUNTIF($G$7:$G$456,G55))&lt;=(INDEX(設定!$Q$8:$Q$27,MATCH(G55,設定!$P$8:$P$27,0))+N(INDEX(設定!$R$8:$R$27,MATCH(G55,設定!$P$8:$P$27,0)))),G55,"要調整"),"要調整")))</f>
        <v/>
      </c>
      <c r="K55" s="40" t="n"/>
      <c r="L55" s="52">
        <f>IF(P55="","",IF(K55&lt;&gt;"",K55,IF(OR(J55="",J55="要調整"),"",J55)))</f>
        <v/>
      </c>
      <c r="M55" s="44">
        <f>IF(P55="","",IF(AND(計算用!$B$1=1,T55=""),"転出",IF(L55&lt;&gt;"","決定",IF(Q55="","未提出","要調整"))))</f>
        <v/>
      </c>
      <c r="N55" s="44">
        <f>IF(OR(M55&lt;&gt;"要調整",H55=""),"",IFERROR((INDEX(設定!$Q$8:$Q$27,MATCH(H55,設定!$P$8:$P$27,0))+N(INDEX(設定!$R$8:$R$27,MATCH(H55,設定!$P$8:$P$27,0))))-INDEX(定員チェック!$F$7:$F$26,MATCH(H55,設定!$P$8:$P$27,0))-COUNTIFS($M$7:$M$456,"要調整",$G$7:$G$456,H55),""))</f>
        <v/>
      </c>
      <c r="O55" s="44">
        <f>IF(OR(M55&lt;&gt;"要調整",I55=""),"",IFERROR((INDEX(設定!$Q$8:$Q$27,MATCH(I55,設定!$P$8:$P$27,0))+N(INDEX(設定!$R$8:$R$27,MATCH(I55,設定!$P$8:$P$27,0))))-INDEX(定員チェック!$F$7:$F$26,MATCH(I55,設定!$P$8:$P$27,0))-COUNTIFS($M$7:$M$456,"要調整",$G$7:$G$456,I55),""))</f>
        <v/>
      </c>
      <c r="P55" s="8">
        <f>IFERROR(MATCH(SMALL(前年度名簿!$G$2:$G$451,49),前年度名簿!$G$2:$G$451,0),"")</f>
        <v/>
      </c>
      <c r="Q55" s="8">
        <f>IF(R55="","",IFERROR(MATCH(R55,希望入力!$M$2:$M$551,0),""))</f>
        <v/>
      </c>
      <c r="R55" s="8">
        <f>IF(P55="","",INDEX(前年度名簿!$F$2:$F$451,P55))</f>
        <v/>
      </c>
      <c r="S55" s="8">
        <f>IF(P55="","",INDEX(前年度名簿!$I$2:$I$451,P55))</f>
        <v/>
      </c>
      <c r="T55" s="8">
        <f>IF(OR(P55="",計算用!$B$1=0),"",IFERROR(MATCH(S55,新年度名簿!$H$2:$H$451,0),""))</f>
        <v/>
      </c>
      <c r="U55" s="8">
        <f>IF(OR(L55="",M55="転出"),"",IFERROR(MATCH(L55,設定!$P$8:$P$27,0),""))</f>
        <v/>
      </c>
      <c r="V55" s="8">
        <f>IF(U55="","",COUNTIF($U$7:U55,U55))</f>
        <v/>
      </c>
      <c r="W55" s="8">
        <f>IF(U55="","",U55*1000+V55)</f>
        <v/>
      </c>
    </row>
    <row r="56">
      <c r="A56" s="44">
        <f>IF(P56="","",INDEX(前年度名簿!$H$2:$H$451,P56))</f>
        <v/>
      </c>
      <c r="B56" s="44">
        <f>IF(P56="","",IFERROR(INDEX(設定!$G$8:$G$31,INT(INDEX(前年度名簿!$G$2:$G$451,P56)/1000)),INDEX(前年度名簿!$A$2:$A$451,P56)&amp;INDEX(前年度名簿!$B$2:$B$451,P56)))</f>
        <v/>
      </c>
      <c r="C56" s="44">
        <f>IF(P56="","",INDEX(前年度名簿!$C$2:$C$451,P56))</f>
        <v/>
      </c>
      <c r="D56" s="3">
        <f>IF(P56="","",INDEX(前年度名簿!$D$2:$D$451,P56))</f>
        <v/>
      </c>
      <c r="E56" s="44">
        <f>IF(T56="","",INDEX(新年度名簿!$K$2:$K$451,T56))</f>
        <v/>
      </c>
      <c r="F56" s="44">
        <f>IF(T56="","",INDEX(新年度名簿!$C$2:$C$451,T56))</f>
        <v/>
      </c>
      <c r="G56" s="44">
        <f>IF(Q56="","",INDEX(希望入力!$H$2:$H$551,Q56)&amp;"")</f>
        <v/>
      </c>
      <c r="H56" s="44">
        <f>IF(Q56="","",INDEX(希望入力!$I$2:$I$551,Q56)&amp;"")</f>
        <v/>
      </c>
      <c r="I56" s="44">
        <f>IF(Q56="","",INDEX(希望入力!$J$2:$J$551,Q56)&amp;"")</f>
        <v/>
      </c>
      <c r="J56" s="44">
        <f>IF(Q56="","",IF(G56="","要調整",IFERROR(IF(IF(OR(設定!$C$14="〇",設定!$C$14="○"),COUNTIFS($A$7:$A$456,"&gt;="&amp;A56,$G$7:$G$456,G56),COUNTIF($G$7:$G$456,G56))&lt;=(INDEX(設定!$Q$8:$Q$27,MATCH(G56,設定!$P$8:$P$27,0))+N(INDEX(設定!$R$8:$R$27,MATCH(G56,設定!$P$8:$P$27,0)))),G56,"要調整"),"要調整")))</f>
        <v/>
      </c>
      <c r="K56" s="40" t="n"/>
      <c r="L56" s="52">
        <f>IF(P56="","",IF(K56&lt;&gt;"",K56,IF(OR(J56="",J56="要調整"),"",J56)))</f>
        <v/>
      </c>
      <c r="M56" s="44">
        <f>IF(P56="","",IF(AND(計算用!$B$1=1,T56=""),"転出",IF(L56&lt;&gt;"","決定",IF(Q56="","未提出","要調整"))))</f>
        <v/>
      </c>
      <c r="N56" s="44">
        <f>IF(OR(M56&lt;&gt;"要調整",H56=""),"",IFERROR((INDEX(設定!$Q$8:$Q$27,MATCH(H56,設定!$P$8:$P$27,0))+N(INDEX(設定!$R$8:$R$27,MATCH(H56,設定!$P$8:$P$27,0))))-INDEX(定員チェック!$F$7:$F$26,MATCH(H56,設定!$P$8:$P$27,0))-COUNTIFS($M$7:$M$456,"要調整",$G$7:$G$456,H56),""))</f>
        <v/>
      </c>
      <c r="O56" s="44">
        <f>IF(OR(M56&lt;&gt;"要調整",I56=""),"",IFERROR((INDEX(設定!$Q$8:$Q$27,MATCH(I56,設定!$P$8:$P$27,0))+N(INDEX(設定!$R$8:$R$27,MATCH(I56,設定!$P$8:$P$27,0))))-INDEX(定員チェック!$F$7:$F$26,MATCH(I56,設定!$P$8:$P$27,0))-COUNTIFS($M$7:$M$456,"要調整",$G$7:$G$456,I56),""))</f>
        <v/>
      </c>
      <c r="P56" s="8">
        <f>IFERROR(MATCH(SMALL(前年度名簿!$G$2:$G$451,50),前年度名簿!$G$2:$G$451,0),"")</f>
        <v/>
      </c>
      <c r="Q56" s="8">
        <f>IF(R56="","",IFERROR(MATCH(R56,希望入力!$M$2:$M$551,0),""))</f>
        <v/>
      </c>
      <c r="R56" s="8">
        <f>IF(P56="","",INDEX(前年度名簿!$F$2:$F$451,P56))</f>
        <v/>
      </c>
      <c r="S56" s="8">
        <f>IF(P56="","",INDEX(前年度名簿!$I$2:$I$451,P56))</f>
        <v/>
      </c>
      <c r="T56" s="8">
        <f>IF(OR(P56="",計算用!$B$1=0),"",IFERROR(MATCH(S56,新年度名簿!$H$2:$H$451,0),""))</f>
        <v/>
      </c>
      <c r="U56" s="8">
        <f>IF(OR(L56="",M56="転出"),"",IFERROR(MATCH(L56,設定!$P$8:$P$27,0),""))</f>
        <v/>
      </c>
      <c r="V56" s="8">
        <f>IF(U56="","",COUNTIF($U$7:U56,U56))</f>
        <v/>
      </c>
      <c r="W56" s="8">
        <f>IF(U56="","",U56*1000+V56)</f>
        <v/>
      </c>
    </row>
    <row r="57">
      <c r="A57" s="44">
        <f>IF(P57="","",INDEX(前年度名簿!$H$2:$H$451,P57))</f>
        <v/>
      </c>
      <c r="B57" s="44">
        <f>IF(P57="","",IFERROR(INDEX(設定!$G$8:$G$31,INT(INDEX(前年度名簿!$G$2:$G$451,P57)/1000)),INDEX(前年度名簿!$A$2:$A$451,P57)&amp;INDEX(前年度名簿!$B$2:$B$451,P57)))</f>
        <v/>
      </c>
      <c r="C57" s="44">
        <f>IF(P57="","",INDEX(前年度名簿!$C$2:$C$451,P57))</f>
        <v/>
      </c>
      <c r="D57" s="3">
        <f>IF(P57="","",INDEX(前年度名簿!$D$2:$D$451,P57))</f>
        <v/>
      </c>
      <c r="E57" s="44">
        <f>IF(T57="","",INDEX(新年度名簿!$K$2:$K$451,T57))</f>
        <v/>
      </c>
      <c r="F57" s="44">
        <f>IF(T57="","",INDEX(新年度名簿!$C$2:$C$451,T57))</f>
        <v/>
      </c>
      <c r="G57" s="44">
        <f>IF(Q57="","",INDEX(希望入力!$H$2:$H$551,Q57)&amp;"")</f>
        <v/>
      </c>
      <c r="H57" s="44">
        <f>IF(Q57="","",INDEX(希望入力!$I$2:$I$551,Q57)&amp;"")</f>
        <v/>
      </c>
      <c r="I57" s="44">
        <f>IF(Q57="","",INDEX(希望入力!$J$2:$J$551,Q57)&amp;"")</f>
        <v/>
      </c>
      <c r="J57" s="44">
        <f>IF(Q57="","",IF(G57="","要調整",IFERROR(IF(IF(OR(設定!$C$14="〇",設定!$C$14="○"),COUNTIFS($A$7:$A$456,"&gt;="&amp;A57,$G$7:$G$456,G57),COUNTIF($G$7:$G$456,G57))&lt;=(INDEX(設定!$Q$8:$Q$27,MATCH(G57,設定!$P$8:$P$27,0))+N(INDEX(設定!$R$8:$R$27,MATCH(G57,設定!$P$8:$P$27,0)))),G57,"要調整"),"要調整")))</f>
        <v/>
      </c>
      <c r="K57" s="40" t="n"/>
      <c r="L57" s="52">
        <f>IF(P57="","",IF(K57&lt;&gt;"",K57,IF(OR(J57="",J57="要調整"),"",J57)))</f>
        <v/>
      </c>
      <c r="M57" s="44">
        <f>IF(P57="","",IF(AND(計算用!$B$1=1,T57=""),"転出",IF(L57&lt;&gt;"","決定",IF(Q57="","未提出","要調整"))))</f>
        <v/>
      </c>
      <c r="N57" s="44">
        <f>IF(OR(M57&lt;&gt;"要調整",H57=""),"",IFERROR((INDEX(設定!$Q$8:$Q$27,MATCH(H57,設定!$P$8:$P$27,0))+N(INDEX(設定!$R$8:$R$27,MATCH(H57,設定!$P$8:$P$27,0))))-INDEX(定員チェック!$F$7:$F$26,MATCH(H57,設定!$P$8:$P$27,0))-COUNTIFS($M$7:$M$456,"要調整",$G$7:$G$456,H57),""))</f>
        <v/>
      </c>
      <c r="O57" s="44">
        <f>IF(OR(M57&lt;&gt;"要調整",I57=""),"",IFERROR((INDEX(設定!$Q$8:$Q$27,MATCH(I57,設定!$P$8:$P$27,0))+N(INDEX(設定!$R$8:$R$27,MATCH(I57,設定!$P$8:$P$27,0))))-INDEX(定員チェック!$F$7:$F$26,MATCH(I57,設定!$P$8:$P$27,0))-COUNTIFS($M$7:$M$456,"要調整",$G$7:$G$456,I57),""))</f>
        <v/>
      </c>
      <c r="P57" s="8">
        <f>IFERROR(MATCH(SMALL(前年度名簿!$G$2:$G$451,51),前年度名簿!$G$2:$G$451,0),"")</f>
        <v/>
      </c>
      <c r="Q57" s="8">
        <f>IF(R57="","",IFERROR(MATCH(R57,希望入力!$M$2:$M$551,0),""))</f>
        <v/>
      </c>
      <c r="R57" s="8">
        <f>IF(P57="","",INDEX(前年度名簿!$F$2:$F$451,P57))</f>
        <v/>
      </c>
      <c r="S57" s="8">
        <f>IF(P57="","",INDEX(前年度名簿!$I$2:$I$451,P57))</f>
        <v/>
      </c>
      <c r="T57" s="8">
        <f>IF(OR(P57="",計算用!$B$1=0),"",IFERROR(MATCH(S57,新年度名簿!$H$2:$H$451,0),""))</f>
        <v/>
      </c>
      <c r="U57" s="8">
        <f>IF(OR(L57="",M57="転出"),"",IFERROR(MATCH(L57,設定!$P$8:$P$27,0),""))</f>
        <v/>
      </c>
      <c r="V57" s="8">
        <f>IF(U57="","",COUNTIF($U$7:U57,U57))</f>
        <v/>
      </c>
      <c r="W57" s="8">
        <f>IF(U57="","",U57*1000+V57)</f>
        <v/>
      </c>
    </row>
    <row r="58">
      <c r="A58" s="44">
        <f>IF(P58="","",INDEX(前年度名簿!$H$2:$H$451,P58))</f>
        <v/>
      </c>
      <c r="B58" s="44">
        <f>IF(P58="","",IFERROR(INDEX(設定!$G$8:$G$31,INT(INDEX(前年度名簿!$G$2:$G$451,P58)/1000)),INDEX(前年度名簿!$A$2:$A$451,P58)&amp;INDEX(前年度名簿!$B$2:$B$451,P58)))</f>
        <v/>
      </c>
      <c r="C58" s="44">
        <f>IF(P58="","",INDEX(前年度名簿!$C$2:$C$451,P58))</f>
        <v/>
      </c>
      <c r="D58" s="3">
        <f>IF(P58="","",INDEX(前年度名簿!$D$2:$D$451,P58))</f>
        <v/>
      </c>
      <c r="E58" s="44">
        <f>IF(T58="","",INDEX(新年度名簿!$K$2:$K$451,T58))</f>
        <v/>
      </c>
      <c r="F58" s="44">
        <f>IF(T58="","",INDEX(新年度名簿!$C$2:$C$451,T58))</f>
        <v/>
      </c>
      <c r="G58" s="44">
        <f>IF(Q58="","",INDEX(希望入力!$H$2:$H$551,Q58)&amp;"")</f>
        <v/>
      </c>
      <c r="H58" s="44">
        <f>IF(Q58="","",INDEX(希望入力!$I$2:$I$551,Q58)&amp;"")</f>
        <v/>
      </c>
      <c r="I58" s="44">
        <f>IF(Q58="","",INDEX(希望入力!$J$2:$J$551,Q58)&amp;"")</f>
        <v/>
      </c>
      <c r="J58" s="44">
        <f>IF(Q58="","",IF(G58="","要調整",IFERROR(IF(IF(OR(設定!$C$14="〇",設定!$C$14="○"),COUNTIFS($A$7:$A$456,"&gt;="&amp;A58,$G$7:$G$456,G58),COUNTIF($G$7:$G$456,G58))&lt;=(INDEX(設定!$Q$8:$Q$27,MATCH(G58,設定!$P$8:$P$27,0))+N(INDEX(設定!$R$8:$R$27,MATCH(G58,設定!$P$8:$P$27,0)))),G58,"要調整"),"要調整")))</f>
        <v/>
      </c>
      <c r="K58" s="40" t="n"/>
      <c r="L58" s="52">
        <f>IF(P58="","",IF(K58&lt;&gt;"",K58,IF(OR(J58="",J58="要調整"),"",J58)))</f>
        <v/>
      </c>
      <c r="M58" s="44">
        <f>IF(P58="","",IF(AND(計算用!$B$1=1,T58=""),"転出",IF(L58&lt;&gt;"","決定",IF(Q58="","未提出","要調整"))))</f>
        <v/>
      </c>
      <c r="N58" s="44">
        <f>IF(OR(M58&lt;&gt;"要調整",H58=""),"",IFERROR((INDEX(設定!$Q$8:$Q$27,MATCH(H58,設定!$P$8:$P$27,0))+N(INDEX(設定!$R$8:$R$27,MATCH(H58,設定!$P$8:$P$27,0))))-INDEX(定員チェック!$F$7:$F$26,MATCH(H58,設定!$P$8:$P$27,0))-COUNTIFS($M$7:$M$456,"要調整",$G$7:$G$456,H58),""))</f>
        <v/>
      </c>
      <c r="O58" s="44">
        <f>IF(OR(M58&lt;&gt;"要調整",I58=""),"",IFERROR((INDEX(設定!$Q$8:$Q$27,MATCH(I58,設定!$P$8:$P$27,0))+N(INDEX(設定!$R$8:$R$27,MATCH(I58,設定!$P$8:$P$27,0))))-INDEX(定員チェック!$F$7:$F$26,MATCH(I58,設定!$P$8:$P$27,0))-COUNTIFS($M$7:$M$456,"要調整",$G$7:$G$456,I58),""))</f>
        <v/>
      </c>
      <c r="P58" s="8">
        <f>IFERROR(MATCH(SMALL(前年度名簿!$G$2:$G$451,52),前年度名簿!$G$2:$G$451,0),"")</f>
        <v/>
      </c>
      <c r="Q58" s="8">
        <f>IF(R58="","",IFERROR(MATCH(R58,希望入力!$M$2:$M$551,0),""))</f>
        <v/>
      </c>
      <c r="R58" s="8">
        <f>IF(P58="","",INDEX(前年度名簿!$F$2:$F$451,P58))</f>
        <v/>
      </c>
      <c r="S58" s="8">
        <f>IF(P58="","",INDEX(前年度名簿!$I$2:$I$451,P58))</f>
        <v/>
      </c>
      <c r="T58" s="8">
        <f>IF(OR(P58="",計算用!$B$1=0),"",IFERROR(MATCH(S58,新年度名簿!$H$2:$H$451,0),""))</f>
        <v/>
      </c>
      <c r="U58" s="8">
        <f>IF(OR(L58="",M58="転出"),"",IFERROR(MATCH(L58,設定!$P$8:$P$27,0),""))</f>
        <v/>
      </c>
      <c r="V58" s="8">
        <f>IF(U58="","",COUNTIF($U$7:U58,U58))</f>
        <v/>
      </c>
      <c r="W58" s="8">
        <f>IF(U58="","",U58*1000+V58)</f>
        <v/>
      </c>
    </row>
    <row r="59">
      <c r="A59" s="44">
        <f>IF(P59="","",INDEX(前年度名簿!$H$2:$H$451,P59))</f>
        <v/>
      </c>
      <c r="B59" s="44">
        <f>IF(P59="","",IFERROR(INDEX(設定!$G$8:$G$31,INT(INDEX(前年度名簿!$G$2:$G$451,P59)/1000)),INDEX(前年度名簿!$A$2:$A$451,P59)&amp;INDEX(前年度名簿!$B$2:$B$451,P59)))</f>
        <v/>
      </c>
      <c r="C59" s="44">
        <f>IF(P59="","",INDEX(前年度名簿!$C$2:$C$451,P59))</f>
        <v/>
      </c>
      <c r="D59" s="3">
        <f>IF(P59="","",INDEX(前年度名簿!$D$2:$D$451,P59))</f>
        <v/>
      </c>
      <c r="E59" s="44">
        <f>IF(T59="","",INDEX(新年度名簿!$K$2:$K$451,T59))</f>
        <v/>
      </c>
      <c r="F59" s="44">
        <f>IF(T59="","",INDEX(新年度名簿!$C$2:$C$451,T59))</f>
        <v/>
      </c>
      <c r="G59" s="44">
        <f>IF(Q59="","",INDEX(希望入力!$H$2:$H$551,Q59)&amp;"")</f>
        <v/>
      </c>
      <c r="H59" s="44">
        <f>IF(Q59="","",INDEX(希望入力!$I$2:$I$551,Q59)&amp;"")</f>
        <v/>
      </c>
      <c r="I59" s="44">
        <f>IF(Q59="","",INDEX(希望入力!$J$2:$J$551,Q59)&amp;"")</f>
        <v/>
      </c>
      <c r="J59" s="44">
        <f>IF(Q59="","",IF(G59="","要調整",IFERROR(IF(IF(OR(設定!$C$14="〇",設定!$C$14="○"),COUNTIFS($A$7:$A$456,"&gt;="&amp;A59,$G$7:$G$456,G59),COUNTIF($G$7:$G$456,G59))&lt;=(INDEX(設定!$Q$8:$Q$27,MATCH(G59,設定!$P$8:$P$27,0))+N(INDEX(設定!$R$8:$R$27,MATCH(G59,設定!$P$8:$P$27,0)))),G59,"要調整"),"要調整")))</f>
        <v/>
      </c>
      <c r="K59" s="40" t="n"/>
      <c r="L59" s="52">
        <f>IF(P59="","",IF(K59&lt;&gt;"",K59,IF(OR(J59="",J59="要調整"),"",J59)))</f>
        <v/>
      </c>
      <c r="M59" s="44">
        <f>IF(P59="","",IF(AND(計算用!$B$1=1,T59=""),"転出",IF(L59&lt;&gt;"","決定",IF(Q59="","未提出","要調整"))))</f>
        <v/>
      </c>
      <c r="N59" s="44">
        <f>IF(OR(M59&lt;&gt;"要調整",H59=""),"",IFERROR((INDEX(設定!$Q$8:$Q$27,MATCH(H59,設定!$P$8:$P$27,0))+N(INDEX(設定!$R$8:$R$27,MATCH(H59,設定!$P$8:$P$27,0))))-INDEX(定員チェック!$F$7:$F$26,MATCH(H59,設定!$P$8:$P$27,0))-COUNTIFS($M$7:$M$456,"要調整",$G$7:$G$456,H59),""))</f>
        <v/>
      </c>
      <c r="O59" s="44">
        <f>IF(OR(M59&lt;&gt;"要調整",I59=""),"",IFERROR((INDEX(設定!$Q$8:$Q$27,MATCH(I59,設定!$P$8:$P$27,0))+N(INDEX(設定!$R$8:$R$27,MATCH(I59,設定!$P$8:$P$27,0))))-INDEX(定員チェック!$F$7:$F$26,MATCH(I59,設定!$P$8:$P$27,0))-COUNTIFS($M$7:$M$456,"要調整",$G$7:$G$456,I59),""))</f>
        <v/>
      </c>
      <c r="P59" s="8">
        <f>IFERROR(MATCH(SMALL(前年度名簿!$G$2:$G$451,53),前年度名簿!$G$2:$G$451,0),"")</f>
        <v/>
      </c>
      <c r="Q59" s="8">
        <f>IF(R59="","",IFERROR(MATCH(R59,希望入力!$M$2:$M$551,0),""))</f>
        <v/>
      </c>
      <c r="R59" s="8">
        <f>IF(P59="","",INDEX(前年度名簿!$F$2:$F$451,P59))</f>
        <v/>
      </c>
      <c r="S59" s="8">
        <f>IF(P59="","",INDEX(前年度名簿!$I$2:$I$451,P59))</f>
        <v/>
      </c>
      <c r="T59" s="8">
        <f>IF(OR(P59="",計算用!$B$1=0),"",IFERROR(MATCH(S59,新年度名簿!$H$2:$H$451,0),""))</f>
        <v/>
      </c>
      <c r="U59" s="8">
        <f>IF(OR(L59="",M59="転出"),"",IFERROR(MATCH(L59,設定!$P$8:$P$27,0),""))</f>
        <v/>
      </c>
      <c r="V59" s="8">
        <f>IF(U59="","",COUNTIF($U$7:U59,U59))</f>
        <v/>
      </c>
      <c r="W59" s="8">
        <f>IF(U59="","",U59*1000+V59)</f>
        <v/>
      </c>
    </row>
    <row r="60">
      <c r="A60" s="44">
        <f>IF(P60="","",INDEX(前年度名簿!$H$2:$H$451,P60))</f>
        <v/>
      </c>
      <c r="B60" s="44">
        <f>IF(P60="","",IFERROR(INDEX(設定!$G$8:$G$31,INT(INDEX(前年度名簿!$G$2:$G$451,P60)/1000)),INDEX(前年度名簿!$A$2:$A$451,P60)&amp;INDEX(前年度名簿!$B$2:$B$451,P60)))</f>
        <v/>
      </c>
      <c r="C60" s="44">
        <f>IF(P60="","",INDEX(前年度名簿!$C$2:$C$451,P60))</f>
        <v/>
      </c>
      <c r="D60" s="3">
        <f>IF(P60="","",INDEX(前年度名簿!$D$2:$D$451,P60))</f>
        <v/>
      </c>
      <c r="E60" s="44">
        <f>IF(T60="","",INDEX(新年度名簿!$K$2:$K$451,T60))</f>
        <v/>
      </c>
      <c r="F60" s="44">
        <f>IF(T60="","",INDEX(新年度名簿!$C$2:$C$451,T60))</f>
        <v/>
      </c>
      <c r="G60" s="44">
        <f>IF(Q60="","",INDEX(希望入力!$H$2:$H$551,Q60)&amp;"")</f>
        <v/>
      </c>
      <c r="H60" s="44">
        <f>IF(Q60="","",INDEX(希望入力!$I$2:$I$551,Q60)&amp;"")</f>
        <v/>
      </c>
      <c r="I60" s="44">
        <f>IF(Q60="","",INDEX(希望入力!$J$2:$J$551,Q60)&amp;"")</f>
        <v/>
      </c>
      <c r="J60" s="44">
        <f>IF(Q60="","",IF(G60="","要調整",IFERROR(IF(IF(OR(設定!$C$14="〇",設定!$C$14="○"),COUNTIFS($A$7:$A$456,"&gt;="&amp;A60,$G$7:$G$456,G60),COUNTIF($G$7:$G$456,G60))&lt;=(INDEX(設定!$Q$8:$Q$27,MATCH(G60,設定!$P$8:$P$27,0))+N(INDEX(設定!$R$8:$R$27,MATCH(G60,設定!$P$8:$P$27,0)))),G60,"要調整"),"要調整")))</f>
        <v/>
      </c>
      <c r="K60" s="40" t="n"/>
      <c r="L60" s="52">
        <f>IF(P60="","",IF(K60&lt;&gt;"",K60,IF(OR(J60="",J60="要調整"),"",J60)))</f>
        <v/>
      </c>
      <c r="M60" s="44">
        <f>IF(P60="","",IF(AND(計算用!$B$1=1,T60=""),"転出",IF(L60&lt;&gt;"","決定",IF(Q60="","未提出","要調整"))))</f>
        <v/>
      </c>
      <c r="N60" s="44">
        <f>IF(OR(M60&lt;&gt;"要調整",H60=""),"",IFERROR((INDEX(設定!$Q$8:$Q$27,MATCH(H60,設定!$P$8:$P$27,0))+N(INDEX(設定!$R$8:$R$27,MATCH(H60,設定!$P$8:$P$27,0))))-INDEX(定員チェック!$F$7:$F$26,MATCH(H60,設定!$P$8:$P$27,0))-COUNTIFS($M$7:$M$456,"要調整",$G$7:$G$456,H60),""))</f>
        <v/>
      </c>
      <c r="O60" s="44">
        <f>IF(OR(M60&lt;&gt;"要調整",I60=""),"",IFERROR((INDEX(設定!$Q$8:$Q$27,MATCH(I60,設定!$P$8:$P$27,0))+N(INDEX(設定!$R$8:$R$27,MATCH(I60,設定!$P$8:$P$27,0))))-INDEX(定員チェック!$F$7:$F$26,MATCH(I60,設定!$P$8:$P$27,0))-COUNTIFS($M$7:$M$456,"要調整",$G$7:$G$456,I60),""))</f>
        <v/>
      </c>
      <c r="P60" s="8">
        <f>IFERROR(MATCH(SMALL(前年度名簿!$G$2:$G$451,54),前年度名簿!$G$2:$G$451,0),"")</f>
        <v/>
      </c>
      <c r="Q60" s="8">
        <f>IF(R60="","",IFERROR(MATCH(R60,希望入力!$M$2:$M$551,0),""))</f>
        <v/>
      </c>
      <c r="R60" s="8">
        <f>IF(P60="","",INDEX(前年度名簿!$F$2:$F$451,P60))</f>
        <v/>
      </c>
      <c r="S60" s="8">
        <f>IF(P60="","",INDEX(前年度名簿!$I$2:$I$451,P60))</f>
        <v/>
      </c>
      <c r="T60" s="8">
        <f>IF(OR(P60="",計算用!$B$1=0),"",IFERROR(MATCH(S60,新年度名簿!$H$2:$H$451,0),""))</f>
        <v/>
      </c>
      <c r="U60" s="8">
        <f>IF(OR(L60="",M60="転出"),"",IFERROR(MATCH(L60,設定!$P$8:$P$27,0),""))</f>
        <v/>
      </c>
      <c r="V60" s="8">
        <f>IF(U60="","",COUNTIF($U$7:U60,U60))</f>
        <v/>
      </c>
      <c r="W60" s="8">
        <f>IF(U60="","",U60*1000+V60)</f>
        <v/>
      </c>
    </row>
    <row r="61">
      <c r="A61" s="44">
        <f>IF(P61="","",INDEX(前年度名簿!$H$2:$H$451,P61))</f>
        <v/>
      </c>
      <c r="B61" s="44">
        <f>IF(P61="","",IFERROR(INDEX(設定!$G$8:$G$31,INT(INDEX(前年度名簿!$G$2:$G$451,P61)/1000)),INDEX(前年度名簿!$A$2:$A$451,P61)&amp;INDEX(前年度名簿!$B$2:$B$451,P61)))</f>
        <v/>
      </c>
      <c r="C61" s="44">
        <f>IF(P61="","",INDEX(前年度名簿!$C$2:$C$451,P61))</f>
        <v/>
      </c>
      <c r="D61" s="3">
        <f>IF(P61="","",INDEX(前年度名簿!$D$2:$D$451,P61))</f>
        <v/>
      </c>
      <c r="E61" s="44">
        <f>IF(T61="","",INDEX(新年度名簿!$K$2:$K$451,T61))</f>
        <v/>
      </c>
      <c r="F61" s="44">
        <f>IF(T61="","",INDEX(新年度名簿!$C$2:$C$451,T61))</f>
        <v/>
      </c>
      <c r="G61" s="44">
        <f>IF(Q61="","",INDEX(希望入力!$H$2:$H$551,Q61)&amp;"")</f>
        <v/>
      </c>
      <c r="H61" s="44">
        <f>IF(Q61="","",INDEX(希望入力!$I$2:$I$551,Q61)&amp;"")</f>
        <v/>
      </c>
      <c r="I61" s="44">
        <f>IF(Q61="","",INDEX(希望入力!$J$2:$J$551,Q61)&amp;"")</f>
        <v/>
      </c>
      <c r="J61" s="44">
        <f>IF(Q61="","",IF(G61="","要調整",IFERROR(IF(IF(OR(設定!$C$14="〇",設定!$C$14="○"),COUNTIFS($A$7:$A$456,"&gt;="&amp;A61,$G$7:$G$456,G61),COUNTIF($G$7:$G$456,G61))&lt;=(INDEX(設定!$Q$8:$Q$27,MATCH(G61,設定!$P$8:$P$27,0))+N(INDEX(設定!$R$8:$R$27,MATCH(G61,設定!$P$8:$P$27,0)))),G61,"要調整"),"要調整")))</f>
        <v/>
      </c>
      <c r="K61" s="40" t="n"/>
      <c r="L61" s="52">
        <f>IF(P61="","",IF(K61&lt;&gt;"",K61,IF(OR(J61="",J61="要調整"),"",J61)))</f>
        <v/>
      </c>
      <c r="M61" s="44">
        <f>IF(P61="","",IF(AND(計算用!$B$1=1,T61=""),"転出",IF(L61&lt;&gt;"","決定",IF(Q61="","未提出","要調整"))))</f>
        <v/>
      </c>
      <c r="N61" s="44">
        <f>IF(OR(M61&lt;&gt;"要調整",H61=""),"",IFERROR((INDEX(設定!$Q$8:$Q$27,MATCH(H61,設定!$P$8:$P$27,0))+N(INDEX(設定!$R$8:$R$27,MATCH(H61,設定!$P$8:$P$27,0))))-INDEX(定員チェック!$F$7:$F$26,MATCH(H61,設定!$P$8:$P$27,0))-COUNTIFS($M$7:$M$456,"要調整",$G$7:$G$456,H61),""))</f>
        <v/>
      </c>
      <c r="O61" s="44">
        <f>IF(OR(M61&lt;&gt;"要調整",I61=""),"",IFERROR((INDEX(設定!$Q$8:$Q$27,MATCH(I61,設定!$P$8:$P$27,0))+N(INDEX(設定!$R$8:$R$27,MATCH(I61,設定!$P$8:$P$27,0))))-INDEX(定員チェック!$F$7:$F$26,MATCH(I61,設定!$P$8:$P$27,0))-COUNTIFS($M$7:$M$456,"要調整",$G$7:$G$456,I61),""))</f>
        <v/>
      </c>
      <c r="P61" s="8">
        <f>IFERROR(MATCH(SMALL(前年度名簿!$G$2:$G$451,55),前年度名簿!$G$2:$G$451,0),"")</f>
        <v/>
      </c>
      <c r="Q61" s="8">
        <f>IF(R61="","",IFERROR(MATCH(R61,希望入力!$M$2:$M$551,0),""))</f>
        <v/>
      </c>
      <c r="R61" s="8">
        <f>IF(P61="","",INDEX(前年度名簿!$F$2:$F$451,P61))</f>
        <v/>
      </c>
      <c r="S61" s="8">
        <f>IF(P61="","",INDEX(前年度名簿!$I$2:$I$451,P61))</f>
        <v/>
      </c>
      <c r="T61" s="8">
        <f>IF(OR(P61="",計算用!$B$1=0),"",IFERROR(MATCH(S61,新年度名簿!$H$2:$H$451,0),""))</f>
        <v/>
      </c>
      <c r="U61" s="8">
        <f>IF(OR(L61="",M61="転出"),"",IFERROR(MATCH(L61,設定!$P$8:$P$27,0),""))</f>
        <v/>
      </c>
      <c r="V61" s="8">
        <f>IF(U61="","",COUNTIF($U$7:U61,U61))</f>
        <v/>
      </c>
      <c r="W61" s="8">
        <f>IF(U61="","",U61*1000+V61)</f>
        <v/>
      </c>
    </row>
    <row r="62">
      <c r="A62" s="44">
        <f>IF(P62="","",INDEX(前年度名簿!$H$2:$H$451,P62))</f>
        <v/>
      </c>
      <c r="B62" s="44">
        <f>IF(P62="","",IFERROR(INDEX(設定!$G$8:$G$31,INT(INDEX(前年度名簿!$G$2:$G$451,P62)/1000)),INDEX(前年度名簿!$A$2:$A$451,P62)&amp;INDEX(前年度名簿!$B$2:$B$451,P62)))</f>
        <v/>
      </c>
      <c r="C62" s="44">
        <f>IF(P62="","",INDEX(前年度名簿!$C$2:$C$451,P62))</f>
        <v/>
      </c>
      <c r="D62" s="3">
        <f>IF(P62="","",INDEX(前年度名簿!$D$2:$D$451,P62))</f>
        <v/>
      </c>
      <c r="E62" s="44">
        <f>IF(T62="","",INDEX(新年度名簿!$K$2:$K$451,T62))</f>
        <v/>
      </c>
      <c r="F62" s="44">
        <f>IF(T62="","",INDEX(新年度名簿!$C$2:$C$451,T62))</f>
        <v/>
      </c>
      <c r="G62" s="44">
        <f>IF(Q62="","",INDEX(希望入力!$H$2:$H$551,Q62)&amp;"")</f>
        <v/>
      </c>
      <c r="H62" s="44">
        <f>IF(Q62="","",INDEX(希望入力!$I$2:$I$551,Q62)&amp;"")</f>
        <v/>
      </c>
      <c r="I62" s="44">
        <f>IF(Q62="","",INDEX(希望入力!$J$2:$J$551,Q62)&amp;"")</f>
        <v/>
      </c>
      <c r="J62" s="44">
        <f>IF(Q62="","",IF(G62="","要調整",IFERROR(IF(IF(OR(設定!$C$14="〇",設定!$C$14="○"),COUNTIFS($A$7:$A$456,"&gt;="&amp;A62,$G$7:$G$456,G62),COUNTIF($G$7:$G$456,G62))&lt;=(INDEX(設定!$Q$8:$Q$27,MATCH(G62,設定!$P$8:$P$27,0))+N(INDEX(設定!$R$8:$R$27,MATCH(G62,設定!$P$8:$P$27,0)))),G62,"要調整"),"要調整")))</f>
        <v/>
      </c>
      <c r="K62" s="40" t="n"/>
      <c r="L62" s="52">
        <f>IF(P62="","",IF(K62&lt;&gt;"",K62,IF(OR(J62="",J62="要調整"),"",J62)))</f>
        <v/>
      </c>
      <c r="M62" s="44">
        <f>IF(P62="","",IF(AND(計算用!$B$1=1,T62=""),"転出",IF(L62&lt;&gt;"","決定",IF(Q62="","未提出","要調整"))))</f>
        <v/>
      </c>
      <c r="N62" s="44">
        <f>IF(OR(M62&lt;&gt;"要調整",H62=""),"",IFERROR((INDEX(設定!$Q$8:$Q$27,MATCH(H62,設定!$P$8:$P$27,0))+N(INDEX(設定!$R$8:$R$27,MATCH(H62,設定!$P$8:$P$27,0))))-INDEX(定員チェック!$F$7:$F$26,MATCH(H62,設定!$P$8:$P$27,0))-COUNTIFS($M$7:$M$456,"要調整",$G$7:$G$456,H62),""))</f>
        <v/>
      </c>
      <c r="O62" s="44">
        <f>IF(OR(M62&lt;&gt;"要調整",I62=""),"",IFERROR((INDEX(設定!$Q$8:$Q$27,MATCH(I62,設定!$P$8:$P$27,0))+N(INDEX(設定!$R$8:$R$27,MATCH(I62,設定!$P$8:$P$27,0))))-INDEX(定員チェック!$F$7:$F$26,MATCH(I62,設定!$P$8:$P$27,0))-COUNTIFS($M$7:$M$456,"要調整",$G$7:$G$456,I62),""))</f>
        <v/>
      </c>
      <c r="P62" s="8">
        <f>IFERROR(MATCH(SMALL(前年度名簿!$G$2:$G$451,56),前年度名簿!$G$2:$G$451,0),"")</f>
        <v/>
      </c>
      <c r="Q62" s="8">
        <f>IF(R62="","",IFERROR(MATCH(R62,希望入力!$M$2:$M$551,0),""))</f>
        <v/>
      </c>
      <c r="R62" s="8">
        <f>IF(P62="","",INDEX(前年度名簿!$F$2:$F$451,P62))</f>
        <v/>
      </c>
      <c r="S62" s="8">
        <f>IF(P62="","",INDEX(前年度名簿!$I$2:$I$451,P62))</f>
        <v/>
      </c>
      <c r="T62" s="8">
        <f>IF(OR(P62="",計算用!$B$1=0),"",IFERROR(MATCH(S62,新年度名簿!$H$2:$H$451,0),""))</f>
        <v/>
      </c>
      <c r="U62" s="8">
        <f>IF(OR(L62="",M62="転出"),"",IFERROR(MATCH(L62,設定!$P$8:$P$27,0),""))</f>
        <v/>
      </c>
      <c r="V62" s="8">
        <f>IF(U62="","",COUNTIF($U$7:U62,U62))</f>
        <v/>
      </c>
      <c r="W62" s="8">
        <f>IF(U62="","",U62*1000+V62)</f>
        <v/>
      </c>
    </row>
    <row r="63">
      <c r="A63" s="44">
        <f>IF(P63="","",INDEX(前年度名簿!$H$2:$H$451,P63))</f>
        <v/>
      </c>
      <c r="B63" s="44">
        <f>IF(P63="","",IFERROR(INDEX(設定!$G$8:$G$31,INT(INDEX(前年度名簿!$G$2:$G$451,P63)/1000)),INDEX(前年度名簿!$A$2:$A$451,P63)&amp;INDEX(前年度名簿!$B$2:$B$451,P63)))</f>
        <v/>
      </c>
      <c r="C63" s="44">
        <f>IF(P63="","",INDEX(前年度名簿!$C$2:$C$451,P63))</f>
        <v/>
      </c>
      <c r="D63" s="3">
        <f>IF(P63="","",INDEX(前年度名簿!$D$2:$D$451,P63))</f>
        <v/>
      </c>
      <c r="E63" s="44">
        <f>IF(T63="","",INDEX(新年度名簿!$K$2:$K$451,T63))</f>
        <v/>
      </c>
      <c r="F63" s="44">
        <f>IF(T63="","",INDEX(新年度名簿!$C$2:$C$451,T63))</f>
        <v/>
      </c>
      <c r="G63" s="44">
        <f>IF(Q63="","",INDEX(希望入力!$H$2:$H$551,Q63)&amp;"")</f>
        <v/>
      </c>
      <c r="H63" s="44">
        <f>IF(Q63="","",INDEX(希望入力!$I$2:$I$551,Q63)&amp;"")</f>
        <v/>
      </c>
      <c r="I63" s="44">
        <f>IF(Q63="","",INDEX(希望入力!$J$2:$J$551,Q63)&amp;"")</f>
        <v/>
      </c>
      <c r="J63" s="44">
        <f>IF(Q63="","",IF(G63="","要調整",IFERROR(IF(IF(OR(設定!$C$14="〇",設定!$C$14="○"),COUNTIFS($A$7:$A$456,"&gt;="&amp;A63,$G$7:$G$456,G63),COUNTIF($G$7:$G$456,G63))&lt;=(INDEX(設定!$Q$8:$Q$27,MATCH(G63,設定!$P$8:$P$27,0))+N(INDEX(設定!$R$8:$R$27,MATCH(G63,設定!$P$8:$P$27,0)))),G63,"要調整"),"要調整")))</f>
        <v/>
      </c>
      <c r="K63" s="40" t="n"/>
      <c r="L63" s="52">
        <f>IF(P63="","",IF(K63&lt;&gt;"",K63,IF(OR(J63="",J63="要調整"),"",J63)))</f>
        <v/>
      </c>
      <c r="M63" s="44">
        <f>IF(P63="","",IF(AND(計算用!$B$1=1,T63=""),"転出",IF(L63&lt;&gt;"","決定",IF(Q63="","未提出","要調整"))))</f>
        <v/>
      </c>
      <c r="N63" s="44">
        <f>IF(OR(M63&lt;&gt;"要調整",H63=""),"",IFERROR((INDEX(設定!$Q$8:$Q$27,MATCH(H63,設定!$P$8:$P$27,0))+N(INDEX(設定!$R$8:$R$27,MATCH(H63,設定!$P$8:$P$27,0))))-INDEX(定員チェック!$F$7:$F$26,MATCH(H63,設定!$P$8:$P$27,0))-COUNTIFS($M$7:$M$456,"要調整",$G$7:$G$456,H63),""))</f>
        <v/>
      </c>
      <c r="O63" s="44">
        <f>IF(OR(M63&lt;&gt;"要調整",I63=""),"",IFERROR((INDEX(設定!$Q$8:$Q$27,MATCH(I63,設定!$P$8:$P$27,0))+N(INDEX(設定!$R$8:$R$27,MATCH(I63,設定!$P$8:$P$27,0))))-INDEX(定員チェック!$F$7:$F$26,MATCH(I63,設定!$P$8:$P$27,0))-COUNTIFS($M$7:$M$456,"要調整",$G$7:$G$456,I63),""))</f>
        <v/>
      </c>
      <c r="P63" s="8">
        <f>IFERROR(MATCH(SMALL(前年度名簿!$G$2:$G$451,57),前年度名簿!$G$2:$G$451,0),"")</f>
        <v/>
      </c>
      <c r="Q63" s="8">
        <f>IF(R63="","",IFERROR(MATCH(R63,希望入力!$M$2:$M$551,0),""))</f>
        <v/>
      </c>
      <c r="R63" s="8">
        <f>IF(P63="","",INDEX(前年度名簿!$F$2:$F$451,P63))</f>
        <v/>
      </c>
      <c r="S63" s="8">
        <f>IF(P63="","",INDEX(前年度名簿!$I$2:$I$451,P63))</f>
        <v/>
      </c>
      <c r="T63" s="8">
        <f>IF(OR(P63="",計算用!$B$1=0),"",IFERROR(MATCH(S63,新年度名簿!$H$2:$H$451,0),""))</f>
        <v/>
      </c>
      <c r="U63" s="8">
        <f>IF(OR(L63="",M63="転出"),"",IFERROR(MATCH(L63,設定!$P$8:$P$27,0),""))</f>
        <v/>
      </c>
      <c r="V63" s="8">
        <f>IF(U63="","",COUNTIF($U$7:U63,U63))</f>
        <v/>
      </c>
      <c r="W63" s="8">
        <f>IF(U63="","",U63*1000+V63)</f>
        <v/>
      </c>
    </row>
    <row r="64">
      <c r="A64" s="44">
        <f>IF(P64="","",INDEX(前年度名簿!$H$2:$H$451,P64))</f>
        <v/>
      </c>
      <c r="B64" s="44">
        <f>IF(P64="","",IFERROR(INDEX(設定!$G$8:$G$31,INT(INDEX(前年度名簿!$G$2:$G$451,P64)/1000)),INDEX(前年度名簿!$A$2:$A$451,P64)&amp;INDEX(前年度名簿!$B$2:$B$451,P64)))</f>
        <v/>
      </c>
      <c r="C64" s="44">
        <f>IF(P64="","",INDEX(前年度名簿!$C$2:$C$451,P64))</f>
        <v/>
      </c>
      <c r="D64" s="3">
        <f>IF(P64="","",INDEX(前年度名簿!$D$2:$D$451,P64))</f>
        <v/>
      </c>
      <c r="E64" s="44">
        <f>IF(T64="","",INDEX(新年度名簿!$K$2:$K$451,T64))</f>
        <v/>
      </c>
      <c r="F64" s="44">
        <f>IF(T64="","",INDEX(新年度名簿!$C$2:$C$451,T64))</f>
        <v/>
      </c>
      <c r="G64" s="44">
        <f>IF(Q64="","",INDEX(希望入力!$H$2:$H$551,Q64)&amp;"")</f>
        <v/>
      </c>
      <c r="H64" s="44">
        <f>IF(Q64="","",INDEX(希望入力!$I$2:$I$551,Q64)&amp;"")</f>
        <v/>
      </c>
      <c r="I64" s="44">
        <f>IF(Q64="","",INDEX(希望入力!$J$2:$J$551,Q64)&amp;"")</f>
        <v/>
      </c>
      <c r="J64" s="44">
        <f>IF(Q64="","",IF(G64="","要調整",IFERROR(IF(IF(OR(設定!$C$14="〇",設定!$C$14="○"),COUNTIFS($A$7:$A$456,"&gt;="&amp;A64,$G$7:$G$456,G64),COUNTIF($G$7:$G$456,G64))&lt;=(INDEX(設定!$Q$8:$Q$27,MATCH(G64,設定!$P$8:$P$27,0))+N(INDEX(設定!$R$8:$R$27,MATCH(G64,設定!$P$8:$P$27,0)))),G64,"要調整"),"要調整")))</f>
        <v/>
      </c>
      <c r="K64" s="40" t="n"/>
      <c r="L64" s="52">
        <f>IF(P64="","",IF(K64&lt;&gt;"",K64,IF(OR(J64="",J64="要調整"),"",J64)))</f>
        <v/>
      </c>
      <c r="M64" s="44">
        <f>IF(P64="","",IF(AND(計算用!$B$1=1,T64=""),"転出",IF(L64&lt;&gt;"","決定",IF(Q64="","未提出","要調整"))))</f>
        <v/>
      </c>
      <c r="N64" s="44">
        <f>IF(OR(M64&lt;&gt;"要調整",H64=""),"",IFERROR((INDEX(設定!$Q$8:$Q$27,MATCH(H64,設定!$P$8:$P$27,0))+N(INDEX(設定!$R$8:$R$27,MATCH(H64,設定!$P$8:$P$27,0))))-INDEX(定員チェック!$F$7:$F$26,MATCH(H64,設定!$P$8:$P$27,0))-COUNTIFS($M$7:$M$456,"要調整",$G$7:$G$456,H64),""))</f>
        <v/>
      </c>
      <c r="O64" s="44">
        <f>IF(OR(M64&lt;&gt;"要調整",I64=""),"",IFERROR((INDEX(設定!$Q$8:$Q$27,MATCH(I64,設定!$P$8:$P$27,0))+N(INDEX(設定!$R$8:$R$27,MATCH(I64,設定!$P$8:$P$27,0))))-INDEX(定員チェック!$F$7:$F$26,MATCH(I64,設定!$P$8:$P$27,0))-COUNTIFS($M$7:$M$456,"要調整",$G$7:$G$456,I64),""))</f>
        <v/>
      </c>
      <c r="P64" s="8">
        <f>IFERROR(MATCH(SMALL(前年度名簿!$G$2:$G$451,58),前年度名簿!$G$2:$G$451,0),"")</f>
        <v/>
      </c>
      <c r="Q64" s="8">
        <f>IF(R64="","",IFERROR(MATCH(R64,希望入力!$M$2:$M$551,0),""))</f>
        <v/>
      </c>
      <c r="R64" s="8">
        <f>IF(P64="","",INDEX(前年度名簿!$F$2:$F$451,P64))</f>
        <v/>
      </c>
      <c r="S64" s="8">
        <f>IF(P64="","",INDEX(前年度名簿!$I$2:$I$451,P64))</f>
        <v/>
      </c>
      <c r="T64" s="8">
        <f>IF(OR(P64="",計算用!$B$1=0),"",IFERROR(MATCH(S64,新年度名簿!$H$2:$H$451,0),""))</f>
        <v/>
      </c>
      <c r="U64" s="8">
        <f>IF(OR(L64="",M64="転出"),"",IFERROR(MATCH(L64,設定!$P$8:$P$27,0),""))</f>
        <v/>
      </c>
      <c r="V64" s="8">
        <f>IF(U64="","",COUNTIF($U$7:U64,U64))</f>
        <v/>
      </c>
      <c r="W64" s="8">
        <f>IF(U64="","",U64*1000+V64)</f>
        <v/>
      </c>
    </row>
    <row r="65">
      <c r="A65" s="44">
        <f>IF(P65="","",INDEX(前年度名簿!$H$2:$H$451,P65))</f>
        <v/>
      </c>
      <c r="B65" s="44">
        <f>IF(P65="","",IFERROR(INDEX(設定!$G$8:$G$31,INT(INDEX(前年度名簿!$G$2:$G$451,P65)/1000)),INDEX(前年度名簿!$A$2:$A$451,P65)&amp;INDEX(前年度名簿!$B$2:$B$451,P65)))</f>
        <v/>
      </c>
      <c r="C65" s="44">
        <f>IF(P65="","",INDEX(前年度名簿!$C$2:$C$451,P65))</f>
        <v/>
      </c>
      <c r="D65" s="3">
        <f>IF(P65="","",INDEX(前年度名簿!$D$2:$D$451,P65))</f>
        <v/>
      </c>
      <c r="E65" s="44">
        <f>IF(T65="","",INDEX(新年度名簿!$K$2:$K$451,T65))</f>
        <v/>
      </c>
      <c r="F65" s="44">
        <f>IF(T65="","",INDEX(新年度名簿!$C$2:$C$451,T65))</f>
        <v/>
      </c>
      <c r="G65" s="44">
        <f>IF(Q65="","",INDEX(希望入力!$H$2:$H$551,Q65)&amp;"")</f>
        <v/>
      </c>
      <c r="H65" s="44">
        <f>IF(Q65="","",INDEX(希望入力!$I$2:$I$551,Q65)&amp;"")</f>
        <v/>
      </c>
      <c r="I65" s="44">
        <f>IF(Q65="","",INDEX(希望入力!$J$2:$J$551,Q65)&amp;"")</f>
        <v/>
      </c>
      <c r="J65" s="44">
        <f>IF(Q65="","",IF(G65="","要調整",IFERROR(IF(IF(OR(設定!$C$14="〇",設定!$C$14="○"),COUNTIFS($A$7:$A$456,"&gt;="&amp;A65,$G$7:$G$456,G65),COUNTIF($G$7:$G$456,G65))&lt;=(INDEX(設定!$Q$8:$Q$27,MATCH(G65,設定!$P$8:$P$27,0))+N(INDEX(設定!$R$8:$R$27,MATCH(G65,設定!$P$8:$P$27,0)))),G65,"要調整"),"要調整")))</f>
        <v/>
      </c>
      <c r="K65" s="40" t="n"/>
      <c r="L65" s="52">
        <f>IF(P65="","",IF(K65&lt;&gt;"",K65,IF(OR(J65="",J65="要調整"),"",J65)))</f>
        <v/>
      </c>
      <c r="M65" s="44">
        <f>IF(P65="","",IF(AND(計算用!$B$1=1,T65=""),"転出",IF(L65&lt;&gt;"","決定",IF(Q65="","未提出","要調整"))))</f>
        <v/>
      </c>
      <c r="N65" s="44">
        <f>IF(OR(M65&lt;&gt;"要調整",H65=""),"",IFERROR((INDEX(設定!$Q$8:$Q$27,MATCH(H65,設定!$P$8:$P$27,0))+N(INDEX(設定!$R$8:$R$27,MATCH(H65,設定!$P$8:$P$27,0))))-INDEX(定員チェック!$F$7:$F$26,MATCH(H65,設定!$P$8:$P$27,0))-COUNTIFS($M$7:$M$456,"要調整",$G$7:$G$456,H65),""))</f>
        <v/>
      </c>
      <c r="O65" s="44">
        <f>IF(OR(M65&lt;&gt;"要調整",I65=""),"",IFERROR((INDEX(設定!$Q$8:$Q$27,MATCH(I65,設定!$P$8:$P$27,0))+N(INDEX(設定!$R$8:$R$27,MATCH(I65,設定!$P$8:$P$27,0))))-INDEX(定員チェック!$F$7:$F$26,MATCH(I65,設定!$P$8:$P$27,0))-COUNTIFS($M$7:$M$456,"要調整",$G$7:$G$456,I65),""))</f>
        <v/>
      </c>
      <c r="P65" s="8">
        <f>IFERROR(MATCH(SMALL(前年度名簿!$G$2:$G$451,59),前年度名簿!$G$2:$G$451,0),"")</f>
        <v/>
      </c>
      <c r="Q65" s="8">
        <f>IF(R65="","",IFERROR(MATCH(R65,希望入力!$M$2:$M$551,0),""))</f>
        <v/>
      </c>
      <c r="R65" s="8">
        <f>IF(P65="","",INDEX(前年度名簿!$F$2:$F$451,P65))</f>
        <v/>
      </c>
      <c r="S65" s="8">
        <f>IF(P65="","",INDEX(前年度名簿!$I$2:$I$451,P65))</f>
        <v/>
      </c>
      <c r="T65" s="8">
        <f>IF(OR(P65="",計算用!$B$1=0),"",IFERROR(MATCH(S65,新年度名簿!$H$2:$H$451,0),""))</f>
        <v/>
      </c>
      <c r="U65" s="8">
        <f>IF(OR(L65="",M65="転出"),"",IFERROR(MATCH(L65,設定!$P$8:$P$27,0),""))</f>
        <v/>
      </c>
      <c r="V65" s="8">
        <f>IF(U65="","",COUNTIF($U$7:U65,U65))</f>
        <v/>
      </c>
      <c r="W65" s="8">
        <f>IF(U65="","",U65*1000+V65)</f>
        <v/>
      </c>
    </row>
    <row r="66">
      <c r="A66" s="44">
        <f>IF(P66="","",INDEX(前年度名簿!$H$2:$H$451,P66))</f>
        <v/>
      </c>
      <c r="B66" s="44">
        <f>IF(P66="","",IFERROR(INDEX(設定!$G$8:$G$31,INT(INDEX(前年度名簿!$G$2:$G$451,P66)/1000)),INDEX(前年度名簿!$A$2:$A$451,P66)&amp;INDEX(前年度名簿!$B$2:$B$451,P66)))</f>
        <v/>
      </c>
      <c r="C66" s="44">
        <f>IF(P66="","",INDEX(前年度名簿!$C$2:$C$451,P66))</f>
        <v/>
      </c>
      <c r="D66" s="3">
        <f>IF(P66="","",INDEX(前年度名簿!$D$2:$D$451,P66))</f>
        <v/>
      </c>
      <c r="E66" s="44">
        <f>IF(T66="","",INDEX(新年度名簿!$K$2:$K$451,T66))</f>
        <v/>
      </c>
      <c r="F66" s="44">
        <f>IF(T66="","",INDEX(新年度名簿!$C$2:$C$451,T66))</f>
        <v/>
      </c>
      <c r="G66" s="44">
        <f>IF(Q66="","",INDEX(希望入力!$H$2:$H$551,Q66)&amp;"")</f>
        <v/>
      </c>
      <c r="H66" s="44">
        <f>IF(Q66="","",INDEX(希望入力!$I$2:$I$551,Q66)&amp;"")</f>
        <v/>
      </c>
      <c r="I66" s="44">
        <f>IF(Q66="","",INDEX(希望入力!$J$2:$J$551,Q66)&amp;"")</f>
        <v/>
      </c>
      <c r="J66" s="44">
        <f>IF(Q66="","",IF(G66="","要調整",IFERROR(IF(IF(OR(設定!$C$14="〇",設定!$C$14="○"),COUNTIFS($A$7:$A$456,"&gt;="&amp;A66,$G$7:$G$456,G66),COUNTIF($G$7:$G$456,G66))&lt;=(INDEX(設定!$Q$8:$Q$27,MATCH(G66,設定!$P$8:$P$27,0))+N(INDEX(設定!$R$8:$R$27,MATCH(G66,設定!$P$8:$P$27,0)))),G66,"要調整"),"要調整")))</f>
        <v/>
      </c>
      <c r="K66" s="40" t="n"/>
      <c r="L66" s="52">
        <f>IF(P66="","",IF(K66&lt;&gt;"",K66,IF(OR(J66="",J66="要調整"),"",J66)))</f>
        <v/>
      </c>
      <c r="M66" s="44">
        <f>IF(P66="","",IF(AND(計算用!$B$1=1,T66=""),"転出",IF(L66&lt;&gt;"","決定",IF(Q66="","未提出","要調整"))))</f>
        <v/>
      </c>
      <c r="N66" s="44">
        <f>IF(OR(M66&lt;&gt;"要調整",H66=""),"",IFERROR((INDEX(設定!$Q$8:$Q$27,MATCH(H66,設定!$P$8:$P$27,0))+N(INDEX(設定!$R$8:$R$27,MATCH(H66,設定!$P$8:$P$27,0))))-INDEX(定員チェック!$F$7:$F$26,MATCH(H66,設定!$P$8:$P$27,0))-COUNTIFS($M$7:$M$456,"要調整",$G$7:$G$456,H66),""))</f>
        <v/>
      </c>
      <c r="O66" s="44">
        <f>IF(OR(M66&lt;&gt;"要調整",I66=""),"",IFERROR((INDEX(設定!$Q$8:$Q$27,MATCH(I66,設定!$P$8:$P$27,0))+N(INDEX(設定!$R$8:$R$27,MATCH(I66,設定!$P$8:$P$27,0))))-INDEX(定員チェック!$F$7:$F$26,MATCH(I66,設定!$P$8:$P$27,0))-COUNTIFS($M$7:$M$456,"要調整",$G$7:$G$456,I66),""))</f>
        <v/>
      </c>
      <c r="P66" s="8">
        <f>IFERROR(MATCH(SMALL(前年度名簿!$G$2:$G$451,60),前年度名簿!$G$2:$G$451,0),"")</f>
        <v/>
      </c>
      <c r="Q66" s="8">
        <f>IF(R66="","",IFERROR(MATCH(R66,希望入力!$M$2:$M$551,0),""))</f>
        <v/>
      </c>
      <c r="R66" s="8">
        <f>IF(P66="","",INDEX(前年度名簿!$F$2:$F$451,P66))</f>
        <v/>
      </c>
      <c r="S66" s="8">
        <f>IF(P66="","",INDEX(前年度名簿!$I$2:$I$451,P66))</f>
        <v/>
      </c>
      <c r="T66" s="8">
        <f>IF(OR(P66="",計算用!$B$1=0),"",IFERROR(MATCH(S66,新年度名簿!$H$2:$H$451,0),""))</f>
        <v/>
      </c>
      <c r="U66" s="8">
        <f>IF(OR(L66="",M66="転出"),"",IFERROR(MATCH(L66,設定!$P$8:$P$27,0),""))</f>
        <v/>
      </c>
      <c r="V66" s="8">
        <f>IF(U66="","",COUNTIF($U$7:U66,U66))</f>
        <v/>
      </c>
      <c r="W66" s="8">
        <f>IF(U66="","",U66*1000+V66)</f>
        <v/>
      </c>
    </row>
    <row r="67">
      <c r="A67" s="44">
        <f>IF(P67="","",INDEX(前年度名簿!$H$2:$H$451,P67))</f>
        <v/>
      </c>
      <c r="B67" s="44">
        <f>IF(P67="","",IFERROR(INDEX(設定!$G$8:$G$31,INT(INDEX(前年度名簿!$G$2:$G$451,P67)/1000)),INDEX(前年度名簿!$A$2:$A$451,P67)&amp;INDEX(前年度名簿!$B$2:$B$451,P67)))</f>
        <v/>
      </c>
      <c r="C67" s="44">
        <f>IF(P67="","",INDEX(前年度名簿!$C$2:$C$451,P67))</f>
        <v/>
      </c>
      <c r="D67" s="3">
        <f>IF(P67="","",INDEX(前年度名簿!$D$2:$D$451,P67))</f>
        <v/>
      </c>
      <c r="E67" s="44">
        <f>IF(T67="","",INDEX(新年度名簿!$K$2:$K$451,T67))</f>
        <v/>
      </c>
      <c r="F67" s="44">
        <f>IF(T67="","",INDEX(新年度名簿!$C$2:$C$451,T67))</f>
        <v/>
      </c>
      <c r="G67" s="44">
        <f>IF(Q67="","",INDEX(希望入力!$H$2:$H$551,Q67)&amp;"")</f>
        <v/>
      </c>
      <c r="H67" s="44">
        <f>IF(Q67="","",INDEX(希望入力!$I$2:$I$551,Q67)&amp;"")</f>
        <v/>
      </c>
      <c r="I67" s="44">
        <f>IF(Q67="","",INDEX(希望入力!$J$2:$J$551,Q67)&amp;"")</f>
        <v/>
      </c>
      <c r="J67" s="44">
        <f>IF(Q67="","",IF(G67="","要調整",IFERROR(IF(IF(OR(設定!$C$14="〇",設定!$C$14="○"),COUNTIFS($A$7:$A$456,"&gt;="&amp;A67,$G$7:$G$456,G67),COUNTIF($G$7:$G$456,G67))&lt;=(INDEX(設定!$Q$8:$Q$27,MATCH(G67,設定!$P$8:$P$27,0))+N(INDEX(設定!$R$8:$R$27,MATCH(G67,設定!$P$8:$P$27,0)))),G67,"要調整"),"要調整")))</f>
        <v/>
      </c>
      <c r="K67" s="40" t="n"/>
      <c r="L67" s="52">
        <f>IF(P67="","",IF(K67&lt;&gt;"",K67,IF(OR(J67="",J67="要調整"),"",J67)))</f>
        <v/>
      </c>
      <c r="M67" s="44">
        <f>IF(P67="","",IF(AND(計算用!$B$1=1,T67=""),"転出",IF(L67&lt;&gt;"","決定",IF(Q67="","未提出","要調整"))))</f>
        <v/>
      </c>
      <c r="N67" s="44">
        <f>IF(OR(M67&lt;&gt;"要調整",H67=""),"",IFERROR((INDEX(設定!$Q$8:$Q$27,MATCH(H67,設定!$P$8:$P$27,0))+N(INDEX(設定!$R$8:$R$27,MATCH(H67,設定!$P$8:$P$27,0))))-INDEX(定員チェック!$F$7:$F$26,MATCH(H67,設定!$P$8:$P$27,0))-COUNTIFS($M$7:$M$456,"要調整",$G$7:$G$456,H67),""))</f>
        <v/>
      </c>
      <c r="O67" s="44">
        <f>IF(OR(M67&lt;&gt;"要調整",I67=""),"",IFERROR((INDEX(設定!$Q$8:$Q$27,MATCH(I67,設定!$P$8:$P$27,0))+N(INDEX(設定!$R$8:$R$27,MATCH(I67,設定!$P$8:$P$27,0))))-INDEX(定員チェック!$F$7:$F$26,MATCH(I67,設定!$P$8:$P$27,0))-COUNTIFS($M$7:$M$456,"要調整",$G$7:$G$456,I67),""))</f>
        <v/>
      </c>
      <c r="P67" s="8">
        <f>IFERROR(MATCH(SMALL(前年度名簿!$G$2:$G$451,61),前年度名簿!$G$2:$G$451,0),"")</f>
        <v/>
      </c>
      <c r="Q67" s="8">
        <f>IF(R67="","",IFERROR(MATCH(R67,希望入力!$M$2:$M$551,0),""))</f>
        <v/>
      </c>
      <c r="R67" s="8">
        <f>IF(P67="","",INDEX(前年度名簿!$F$2:$F$451,P67))</f>
        <v/>
      </c>
      <c r="S67" s="8">
        <f>IF(P67="","",INDEX(前年度名簿!$I$2:$I$451,P67))</f>
        <v/>
      </c>
      <c r="T67" s="8">
        <f>IF(OR(P67="",計算用!$B$1=0),"",IFERROR(MATCH(S67,新年度名簿!$H$2:$H$451,0),""))</f>
        <v/>
      </c>
      <c r="U67" s="8">
        <f>IF(OR(L67="",M67="転出"),"",IFERROR(MATCH(L67,設定!$P$8:$P$27,0),""))</f>
        <v/>
      </c>
      <c r="V67" s="8">
        <f>IF(U67="","",COUNTIF($U$7:U67,U67))</f>
        <v/>
      </c>
      <c r="W67" s="8">
        <f>IF(U67="","",U67*1000+V67)</f>
        <v/>
      </c>
    </row>
    <row r="68">
      <c r="A68" s="44">
        <f>IF(P68="","",INDEX(前年度名簿!$H$2:$H$451,P68))</f>
        <v/>
      </c>
      <c r="B68" s="44">
        <f>IF(P68="","",IFERROR(INDEX(設定!$G$8:$G$31,INT(INDEX(前年度名簿!$G$2:$G$451,P68)/1000)),INDEX(前年度名簿!$A$2:$A$451,P68)&amp;INDEX(前年度名簿!$B$2:$B$451,P68)))</f>
        <v/>
      </c>
      <c r="C68" s="44">
        <f>IF(P68="","",INDEX(前年度名簿!$C$2:$C$451,P68))</f>
        <v/>
      </c>
      <c r="D68" s="3">
        <f>IF(P68="","",INDEX(前年度名簿!$D$2:$D$451,P68))</f>
        <v/>
      </c>
      <c r="E68" s="44">
        <f>IF(T68="","",INDEX(新年度名簿!$K$2:$K$451,T68))</f>
        <v/>
      </c>
      <c r="F68" s="44">
        <f>IF(T68="","",INDEX(新年度名簿!$C$2:$C$451,T68))</f>
        <v/>
      </c>
      <c r="G68" s="44">
        <f>IF(Q68="","",INDEX(希望入力!$H$2:$H$551,Q68)&amp;"")</f>
        <v/>
      </c>
      <c r="H68" s="44">
        <f>IF(Q68="","",INDEX(希望入力!$I$2:$I$551,Q68)&amp;"")</f>
        <v/>
      </c>
      <c r="I68" s="44">
        <f>IF(Q68="","",INDEX(希望入力!$J$2:$J$551,Q68)&amp;"")</f>
        <v/>
      </c>
      <c r="J68" s="44">
        <f>IF(Q68="","",IF(G68="","要調整",IFERROR(IF(IF(OR(設定!$C$14="〇",設定!$C$14="○"),COUNTIFS($A$7:$A$456,"&gt;="&amp;A68,$G$7:$G$456,G68),COUNTIF($G$7:$G$456,G68))&lt;=(INDEX(設定!$Q$8:$Q$27,MATCH(G68,設定!$P$8:$P$27,0))+N(INDEX(設定!$R$8:$R$27,MATCH(G68,設定!$P$8:$P$27,0)))),G68,"要調整"),"要調整")))</f>
        <v/>
      </c>
      <c r="K68" s="40" t="n"/>
      <c r="L68" s="52">
        <f>IF(P68="","",IF(K68&lt;&gt;"",K68,IF(OR(J68="",J68="要調整"),"",J68)))</f>
        <v/>
      </c>
      <c r="M68" s="44">
        <f>IF(P68="","",IF(AND(計算用!$B$1=1,T68=""),"転出",IF(L68&lt;&gt;"","決定",IF(Q68="","未提出","要調整"))))</f>
        <v/>
      </c>
      <c r="N68" s="44">
        <f>IF(OR(M68&lt;&gt;"要調整",H68=""),"",IFERROR((INDEX(設定!$Q$8:$Q$27,MATCH(H68,設定!$P$8:$P$27,0))+N(INDEX(設定!$R$8:$R$27,MATCH(H68,設定!$P$8:$P$27,0))))-INDEX(定員チェック!$F$7:$F$26,MATCH(H68,設定!$P$8:$P$27,0))-COUNTIFS($M$7:$M$456,"要調整",$G$7:$G$456,H68),""))</f>
        <v/>
      </c>
      <c r="O68" s="44">
        <f>IF(OR(M68&lt;&gt;"要調整",I68=""),"",IFERROR((INDEX(設定!$Q$8:$Q$27,MATCH(I68,設定!$P$8:$P$27,0))+N(INDEX(設定!$R$8:$R$27,MATCH(I68,設定!$P$8:$P$27,0))))-INDEX(定員チェック!$F$7:$F$26,MATCH(I68,設定!$P$8:$P$27,0))-COUNTIFS($M$7:$M$456,"要調整",$G$7:$G$456,I68),""))</f>
        <v/>
      </c>
      <c r="P68" s="8">
        <f>IFERROR(MATCH(SMALL(前年度名簿!$G$2:$G$451,62),前年度名簿!$G$2:$G$451,0),"")</f>
        <v/>
      </c>
      <c r="Q68" s="8">
        <f>IF(R68="","",IFERROR(MATCH(R68,希望入力!$M$2:$M$551,0),""))</f>
        <v/>
      </c>
      <c r="R68" s="8">
        <f>IF(P68="","",INDEX(前年度名簿!$F$2:$F$451,P68))</f>
        <v/>
      </c>
      <c r="S68" s="8">
        <f>IF(P68="","",INDEX(前年度名簿!$I$2:$I$451,P68))</f>
        <v/>
      </c>
      <c r="T68" s="8">
        <f>IF(OR(P68="",計算用!$B$1=0),"",IFERROR(MATCH(S68,新年度名簿!$H$2:$H$451,0),""))</f>
        <v/>
      </c>
      <c r="U68" s="8">
        <f>IF(OR(L68="",M68="転出"),"",IFERROR(MATCH(L68,設定!$P$8:$P$27,0),""))</f>
        <v/>
      </c>
      <c r="V68" s="8">
        <f>IF(U68="","",COUNTIF($U$7:U68,U68))</f>
        <v/>
      </c>
      <c r="W68" s="8">
        <f>IF(U68="","",U68*1000+V68)</f>
        <v/>
      </c>
    </row>
    <row r="69">
      <c r="A69" s="44">
        <f>IF(P69="","",INDEX(前年度名簿!$H$2:$H$451,P69))</f>
        <v/>
      </c>
      <c r="B69" s="44">
        <f>IF(P69="","",IFERROR(INDEX(設定!$G$8:$G$31,INT(INDEX(前年度名簿!$G$2:$G$451,P69)/1000)),INDEX(前年度名簿!$A$2:$A$451,P69)&amp;INDEX(前年度名簿!$B$2:$B$451,P69)))</f>
        <v/>
      </c>
      <c r="C69" s="44">
        <f>IF(P69="","",INDEX(前年度名簿!$C$2:$C$451,P69))</f>
        <v/>
      </c>
      <c r="D69" s="3">
        <f>IF(P69="","",INDEX(前年度名簿!$D$2:$D$451,P69))</f>
        <v/>
      </c>
      <c r="E69" s="44">
        <f>IF(T69="","",INDEX(新年度名簿!$K$2:$K$451,T69))</f>
        <v/>
      </c>
      <c r="F69" s="44">
        <f>IF(T69="","",INDEX(新年度名簿!$C$2:$C$451,T69))</f>
        <v/>
      </c>
      <c r="G69" s="44">
        <f>IF(Q69="","",INDEX(希望入力!$H$2:$H$551,Q69)&amp;"")</f>
        <v/>
      </c>
      <c r="H69" s="44">
        <f>IF(Q69="","",INDEX(希望入力!$I$2:$I$551,Q69)&amp;"")</f>
        <v/>
      </c>
      <c r="I69" s="44">
        <f>IF(Q69="","",INDEX(希望入力!$J$2:$J$551,Q69)&amp;"")</f>
        <v/>
      </c>
      <c r="J69" s="44">
        <f>IF(Q69="","",IF(G69="","要調整",IFERROR(IF(IF(OR(設定!$C$14="〇",設定!$C$14="○"),COUNTIFS($A$7:$A$456,"&gt;="&amp;A69,$G$7:$G$456,G69),COUNTIF($G$7:$G$456,G69))&lt;=(INDEX(設定!$Q$8:$Q$27,MATCH(G69,設定!$P$8:$P$27,0))+N(INDEX(設定!$R$8:$R$27,MATCH(G69,設定!$P$8:$P$27,0)))),G69,"要調整"),"要調整")))</f>
        <v/>
      </c>
      <c r="K69" s="40" t="n"/>
      <c r="L69" s="52">
        <f>IF(P69="","",IF(K69&lt;&gt;"",K69,IF(OR(J69="",J69="要調整"),"",J69)))</f>
        <v/>
      </c>
      <c r="M69" s="44">
        <f>IF(P69="","",IF(AND(計算用!$B$1=1,T69=""),"転出",IF(L69&lt;&gt;"","決定",IF(Q69="","未提出","要調整"))))</f>
        <v/>
      </c>
      <c r="N69" s="44">
        <f>IF(OR(M69&lt;&gt;"要調整",H69=""),"",IFERROR((INDEX(設定!$Q$8:$Q$27,MATCH(H69,設定!$P$8:$P$27,0))+N(INDEX(設定!$R$8:$R$27,MATCH(H69,設定!$P$8:$P$27,0))))-INDEX(定員チェック!$F$7:$F$26,MATCH(H69,設定!$P$8:$P$27,0))-COUNTIFS($M$7:$M$456,"要調整",$G$7:$G$456,H69),""))</f>
        <v/>
      </c>
      <c r="O69" s="44">
        <f>IF(OR(M69&lt;&gt;"要調整",I69=""),"",IFERROR((INDEX(設定!$Q$8:$Q$27,MATCH(I69,設定!$P$8:$P$27,0))+N(INDEX(設定!$R$8:$R$27,MATCH(I69,設定!$P$8:$P$27,0))))-INDEX(定員チェック!$F$7:$F$26,MATCH(I69,設定!$P$8:$P$27,0))-COUNTIFS($M$7:$M$456,"要調整",$G$7:$G$456,I69),""))</f>
        <v/>
      </c>
      <c r="P69" s="8">
        <f>IFERROR(MATCH(SMALL(前年度名簿!$G$2:$G$451,63),前年度名簿!$G$2:$G$451,0),"")</f>
        <v/>
      </c>
      <c r="Q69" s="8">
        <f>IF(R69="","",IFERROR(MATCH(R69,希望入力!$M$2:$M$551,0),""))</f>
        <v/>
      </c>
      <c r="R69" s="8">
        <f>IF(P69="","",INDEX(前年度名簿!$F$2:$F$451,P69))</f>
        <v/>
      </c>
      <c r="S69" s="8">
        <f>IF(P69="","",INDEX(前年度名簿!$I$2:$I$451,P69))</f>
        <v/>
      </c>
      <c r="T69" s="8">
        <f>IF(OR(P69="",計算用!$B$1=0),"",IFERROR(MATCH(S69,新年度名簿!$H$2:$H$451,0),""))</f>
        <v/>
      </c>
      <c r="U69" s="8">
        <f>IF(OR(L69="",M69="転出"),"",IFERROR(MATCH(L69,設定!$P$8:$P$27,0),""))</f>
        <v/>
      </c>
      <c r="V69" s="8">
        <f>IF(U69="","",COUNTIF($U$7:U69,U69))</f>
        <v/>
      </c>
      <c r="W69" s="8">
        <f>IF(U69="","",U69*1000+V69)</f>
        <v/>
      </c>
    </row>
    <row r="70">
      <c r="A70" s="44">
        <f>IF(P70="","",INDEX(前年度名簿!$H$2:$H$451,P70))</f>
        <v/>
      </c>
      <c r="B70" s="44">
        <f>IF(P70="","",IFERROR(INDEX(設定!$G$8:$G$31,INT(INDEX(前年度名簿!$G$2:$G$451,P70)/1000)),INDEX(前年度名簿!$A$2:$A$451,P70)&amp;INDEX(前年度名簿!$B$2:$B$451,P70)))</f>
        <v/>
      </c>
      <c r="C70" s="44">
        <f>IF(P70="","",INDEX(前年度名簿!$C$2:$C$451,P70))</f>
        <v/>
      </c>
      <c r="D70" s="3">
        <f>IF(P70="","",INDEX(前年度名簿!$D$2:$D$451,P70))</f>
        <v/>
      </c>
      <c r="E70" s="44">
        <f>IF(T70="","",INDEX(新年度名簿!$K$2:$K$451,T70))</f>
        <v/>
      </c>
      <c r="F70" s="44">
        <f>IF(T70="","",INDEX(新年度名簿!$C$2:$C$451,T70))</f>
        <v/>
      </c>
      <c r="G70" s="44">
        <f>IF(Q70="","",INDEX(希望入力!$H$2:$H$551,Q70)&amp;"")</f>
        <v/>
      </c>
      <c r="H70" s="44">
        <f>IF(Q70="","",INDEX(希望入力!$I$2:$I$551,Q70)&amp;"")</f>
        <v/>
      </c>
      <c r="I70" s="44">
        <f>IF(Q70="","",INDEX(希望入力!$J$2:$J$551,Q70)&amp;"")</f>
        <v/>
      </c>
      <c r="J70" s="44">
        <f>IF(Q70="","",IF(G70="","要調整",IFERROR(IF(IF(OR(設定!$C$14="〇",設定!$C$14="○"),COUNTIFS($A$7:$A$456,"&gt;="&amp;A70,$G$7:$G$456,G70),COUNTIF($G$7:$G$456,G70))&lt;=(INDEX(設定!$Q$8:$Q$27,MATCH(G70,設定!$P$8:$P$27,0))+N(INDEX(設定!$R$8:$R$27,MATCH(G70,設定!$P$8:$P$27,0)))),G70,"要調整"),"要調整")))</f>
        <v/>
      </c>
      <c r="K70" s="40" t="n"/>
      <c r="L70" s="52">
        <f>IF(P70="","",IF(K70&lt;&gt;"",K70,IF(OR(J70="",J70="要調整"),"",J70)))</f>
        <v/>
      </c>
      <c r="M70" s="44">
        <f>IF(P70="","",IF(AND(計算用!$B$1=1,T70=""),"転出",IF(L70&lt;&gt;"","決定",IF(Q70="","未提出","要調整"))))</f>
        <v/>
      </c>
      <c r="N70" s="44">
        <f>IF(OR(M70&lt;&gt;"要調整",H70=""),"",IFERROR((INDEX(設定!$Q$8:$Q$27,MATCH(H70,設定!$P$8:$P$27,0))+N(INDEX(設定!$R$8:$R$27,MATCH(H70,設定!$P$8:$P$27,0))))-INDEX(定員チェック!$F$7:$F$26,MATCH(H70,設定!$P$8:$P$27,0))-COUNTIFS($M$7:$M$456,"要調整",$G$7:$G$456,H70),""))</f>
        <v/>
      </c>
      <c r="O70" s="44">
        <f>IF(OR(M70&lt;&gt;"要調整",I70=""),"",IFERROR((INDEX(設定!$Q$8:$Q$27,MATCH(I70,設定!$P$8:$P$27,0))+N(INDEX(設定!$R$8:$R$27,MATCH(I70,設定!$P$8:$P$27,0))))-INDEX(定員チェック!$F$7:$F$26,MATCH(I70,設定!$P$8:$P$27,0))-COUNTIFS($M$7:$M$456,"要調整",$G$7:$G$456,I70),""))</f>
        <v/>
      </c>
      <c r="P70" s="8">
        <f>IFERROR(MATCH(SMALL(前年度名簿!$G$2:$G$451,64),前年度名簿!$G$2:$G$451,0),"")</f>
        <v/>
      </c>
      <c r="Q70" s="8">
        <f>IF(R70="","",IFERROR(MATCH(R70,希望入力!$M$2:$M$551,0),""))</f>
        <v/>
      </c>
      <c r="R70" s="8">
        <f>IF(P70="","",INDEX(前年度名簿!$F$2:$F$451,P70))</f>
        <v/>
      </c>
      <c r="S70" s="8">
        <f>IF(P70="","",INDEX(前年度名簿!$I$2:$I$451,P70))</f>
        <v/>
      </c>
      <c r="T70" s="8">
        <f>IF(OR(P70="",計算用!$B$1=0),"",IFERROR(MATCH(S70,新年度名簿!$H$2:$H$451,0),""))</f>
        <v/>
      </c>
      <c r="U70" s="8">
        <f>IF(OR(L70="",M70="転出"),"",IFERROR(MATCH(L70,設定!$P$8:$P$27,0),""))</f>
        <v/>
      </c>
      <c r="V70" s="8">
        <f>IF(U70="","",COUNTIF($U$7:U70,U70))</f>
        <v/>
      </c>
      <c r="W70" s="8">
        <f>IF(U70="","",U70*1000+V70)</f>
        <v/>
      </c>
    </row>
    <row r="71">
      <c r="A71" s="44">
        <f>IF(P71="","",INDEX(前年度名簿!$H$2:$H$451,P71))</f>
        <v/>
      </c>
      <c r="B71" s="44">
        <f>IF(P71="","",IFERROR(INDEX(設定!$G$8:$G$31,INT(INDEX(前年度名簿!$G$2:$G$451,P71)/1000)),INDEX(前年度名簿!$A$2:$A$451,P71)&amp;INDEX(前年度名簿!$B$2:$B$451,P71)))</f>
        <v/>
      </c>
      <c r="C71" s="44">
        <f>IF(P71="","",INDEX(前年度名簿!$C$2:$C$451,P71))</f>
        <v/>
      </c>
      <c r="D71" s="3">
        <f>IF(P71="","",INDEX(前年度名簿!$D$2:$D$451,P71))</f>
        <v/>
      </c>
      <c r="E71" s="44">
        <f>IF(T71="","",INDEX(新年度名簿!$K$2:$K$451,T71))</f>
        <v/>
      </c>
      <c r="F71" s="44">
        <f>IF(T71="","",INDEX(新年度名簿!$C$2:$C$451,T71))</f>
        <v/>
      </c>
      <c r="G71" s="44">
        <f>IF(Q71="","",INDEX(希望入力!$H$2:$H$551,Q71)&amp;"")</f>
        <v/>
      </c>
      <c r="H71" s="44">
        <f>IF(Q71="","",INDEX(希望入力!$I$2:$I$551,Q71)&amp;"")</f>
        <v/>
      </c>
      <c r="I71" s="44">
        <f>IF(Q71="","",INDEX(希望入力!$J$2:$J$551,Q71)&amp;"")</f>
        <v/>
      </c>
      <c r="J71" s="44">
        <f>IF(Q71="","",IF(G71="","要調整",IFERROR(IF(IF(OR(設定!$C$14="〇",設定!$C$14="○"),COUNTIFS($A$7:$A$456,"&gt;="&amp;A71,$G$7:$G$456,G71),COUNTIF($G$7:$G$456,G71))&lt;=(INDEX(設定!$Q$8:$Q$27,MATCH(G71,設定!$P$8:$P$27,0))+N(INDEX(設定!$R$8:$R$27,MATCH(G71,設定!$P$8:$P$27,0)))),G71,"要調整"),"要調整")))</f>
        <v/>
      </c>
      <c r="K71" s="40" t="n"/>
      <c r="L71" s="52">
        <f>IF(P71="","",IF(K71&lt;&gt;"",K71,IF(OR(J71="",J71="要調整"),"",J71)))</f>
        <v/>
      </c>
      <c r="M71" s="44">
        <f>IF(P71="","",IF(AND(計算用!$B$1=1,T71=""),"転出",IF(L71&lt;&gt;"","決定",IF(Q71="","未提出","要調整"))))</f>
        <v/>
      </c>
      <c r="N71" s="44">
        <f>IF(OR(M71&lt;&gt;"要調整",H71=""),"",IFERROR((INDEX(設定!$Q$8:$Q$27,MATCH(H71,設定!$P$8:$P$27,0))+N(INDEX(設定!$R$8:$R$27,MATCH(H71,設定!$P$8:$P$27,0))))-INDEX(定員チェック!$F$7:$F$26,MATCH(H71,設定!$P$8:$P$27,0))-COUNTIFS($M$7:$M$456,"要調整",$G$7:$G$456,H71),""))</f>
        <v/>
      </c>
      <c r="O71" s="44">
        <f>IF(OR(M71&lt;&gt;"要調整",I71=""),"",IFERROR((INDEX(設定!$Q$8:$Q$27,MATCH(I71,設定!$P$8:$P$27,0))+N(INDEX(設定!$R$8:$R$27,MATCH(I71,設定!$P$8:$P$27,0))))-INDEX(定員チェック!$F$7:$F$26,MATCH(I71,設定!$P$8:$P$27,0))-COUNTIFS($M$7:$M$456,"要調整",$G$7:$G$456,I71),""))</f>
        <v/>
      </c>
      <c r="P71" s="8">
        <f>IFERROR(MATCH(SMALL(前年度名簿!$G$2:$G$451,65),前年度名簿!$G$2:$G$451,0),"")</f>
        <v/>
      </c>
      <c r="Q71" s="8">
        <f>IF(R71="","",IFERROR(MATCH(R71,希望入力!$M$2:$M$551,0),""))</f>
        <v/>
      </c>
      <c r="R71" s="8">
        <f>IF(P71="","",INDEX(前年度名簿!$F$2:$F$451,P71))</f>
        <v/>
      </c>
      <c r="S71" s="8">
        <f>IF(P71="","",INDEX(前年度名簿!$I$2:$I$451,P71))</f>
        <v/>
      </c>
      <c r="T71" s="8">
        <f>IF(OR(P71="",計算用!$B$1=0),"",IFERROR(MATCH(S71,新年度名簿!$H$2:$H$451,0),""))</f>
        <v/>
      </c>
      <c r="U71" s="8">
        <f>IF(OR(L71="",M71="転出"),"",IFERROR(MATCH(L71,設定!$P$8:$P$27,0),""))</f>
        <v/>
      </c>
      <c r="V71" s="8">
        <f>IF(U71="","",COUNTIF($U$7:U71,U71))</f>
        <v/>
      </c>
      <c r="W71" s="8">
        <f>IF(U71="","",U71*1000+V71)</f>
        <v/>
      </c>
    </row>
    <row r="72">
      <c r="A72" s="44">
        <f>IF(P72="","",INDEX(前年度名簿!$H$2:$H$451,P72))</f>
        <v/>
      </c>
      <c r="B72" s="44">
        <f>IF(P72="","",IFERROR(INDEX(設定!$G$8:$G$31,INT(INDEX(前年度名簿!$G$2:$G$451,P72)/1000)),INDEX(前年度名簿!$A$2:$A$451,P72)&amp;INDEX(前年度名簿!$B$2:$B$451,P72)))</f>
        <v/>
      </c>
      <c r="C72" s="44">
        <f>IF(P72="","",INDEX(前年度名簿!$C$2:$C$451,P72))</f>
        <v/>
      </c>
      <c r="D72" s="3">
        <f>IF(P72="","",INDEX(前年度名簿!$D$2:$D$451,P72))</f>
        <v/>
      </c>
      <c r="E72" s="44">
        <f>IF(T72="","",INDEX(新年度名簿!$K$2:$K$451,T72))</f>
        <v/>
      </c>
      <c r="F72" s="44">
        <f>IF(T72="","",INDEX(新年度名簿!$C$2:$C$451,T72))</f>
        <v/>
      </c>
      <c r="G72" s="44">
        <f>IF(Q72="","",INDEX(希望入力!$H$2:$H$551,Q72)&amp;"")</f>
        <v/>
      </c>
      <c r="H72" s="44">
        <f>IF(Q72="","",INDEX(希望入力!$I$2:$I$551,Q72)&amp;"")</f>
        <v/>
      </c>
      <c r="I72" s="44">
        <f>IF(Q72="","",INDEX(希望入力!$J$2:$J$551,Q72)&amp;"")</f>
        <v/>
      </c>
      <c r="J72" s="44">
        <f>IF(Q72="","",IF(G72="","要調整",IFERROR(IF(IF(OR(設定!$C$14="〇",設定!$C$14="○"),COUNTIFS($A$7:$A$456,"&gt;="&amp;A72,$G$7:$G$456,G72),COUNTIF($G$7:$G$456,G72))&lt;=(INDEX(設定!$Q$8:$Q$27,MATCH(G72,設定!$P$8:$P$27,0))+N(INDEX(設定!$R$8:$R$27,MATCH(G72,設定!$P$8:$P$27,0)))),G72,"要調整"),"要調整")))</f>
        <v/>
      </c>
      <c r="K72" s="40" t="n"/>
      <c r="L72" s="52">
        <f>IF(P72="","",IF(K72&lt;&gt;"",K72,IF(OR(J72="",J72="要調整"),"",J72)))</f>
        <v/>
      </c>
      <c r="M72" s="44">
        <f>IF(P72="","",IF(AND(計算用!$B$1=1,T72=""),"転出",IF(L72&lt;&gt;"","決定",IF(Q72="","未提出","要調整"))))</f>
        <v/>
      </c>
      <c r="N72" s="44">
        <f>IF(OR(M72&lt;&gt;"要調整",H72=""),"",IFERROR((INDEX(設定!$Q$8:$Q$27,MATCH(H72,設定!$P$8:$P$27,0))+N(INDEX(設定!$R$8:$R$27,MATCH(H72,設定!$P$8:$P$27,0))))-INDEX(定員チェック!$F$7:$F$26,MATCH(H72,設定!$P$8:$P$27,0))-COUNTIFS($M$7:$M$456,"要調整",$G$7:$G$456,H72),""))</f>
        <v/>
      </c>
      <c r="O72" s="44">
        <f>IF(OR(M72&lt;&gt;"要調整",I72=""),"",IFERROR((INDEX(設定!$Q$8:$Q$27,MATCH(I72,設定!$P$8:$P$27,0))+N(INDEX(設定!$R$8:$R$27,MATCH(I72,設定!$P$8:$P$27,0))))-INDEX(定員チェック!$F$7:$F$26,MATCH(I72,設定!$P$8:$P$27,0))-COUNTIFS($M$7:$M$456,"要調整",$G$7:$G$456,I72),""))</f>
        <v/>
      </c>
      <c r="P72" s="8">
        <f>IFERROR(MATCH(SMALL(前年度名簿!$G$2:$G$451,66),前年度名簿!$G$2:$G$451,0),"")</f>
        <v/>
      </c>
      <c r="Q72" s="8">
        <f>IF(R72="","",IFERROR(MATCH(R72,希望入力!$M$2:$M$551,0),""))</f>
        <v/>
      </c>
      <c r="R72" s="8">
        <f>IF(P72="","",INDEX(前年度名簿!$F$2:$F$451,P72))</f>
        <v/>
      </c>
      <c r="S72" s="8">
        <f>IF(P72="","",INDEX(前年度名簿!$I$2:$I$451,P72))</f>
        <v/>
      </c>
      <c r="T72" s="8">
        <f>IF(OR(P72="",計算用!$B$1=0),"",IFERROR(MATCH(S72,新年度名簿!$H$2:$H$451,0),""))</f>
        <v/>
      </c>
      <c r="U72" s="8">
        <f>IF(OR(L72="",M72="転出"),"",IFERROR(MATCH(L72,設定!$P$8:$P$27,0),""))</f>
        <v/>
      </c>
      <c r="V72" s="8">
        <f>IF(U72="","",COUNTIF($U$7:U72,U72))</f>
        <v/>
      </c>
      <c r="W72" s="8">
        <f>IF(U72="","",U72*1000+V72)</f>
        <v/>
      </c>
    </row>
    <row r="73">
      <c r="A73" s="44">
        <f>IF(P73="","",INDEX(前年度名簿!$H$2:$H$451,P73))</f>
        <v/>
      </c>
      <c r="B73" s="44">
        <f>IF(P73="","",IFERROR(INDEX(設定!$G$8:$G$31,INT(INDEX(前年度名簿!$G$2:$G$451,P73)/1000)),INDEX(前年度名簿!$A$2:$A$451,P73)&amp;INDEX(前年度名簿!$B$2:$B$451,P73)))</f>
        <v/>
      </c>
      <c r="C73" s="44">
        <f>IF(P73="","",INDEX(前年度名簿!$C$2:$C$451,P73))</f>
        <v/>
      </c>
      <c r="D73" s="3">
        <f>IF(P73="","",INDEX(前年度名簿!$D$2:$D$451,P73))</f>
        <v/>
      </c>
      <c r="E73" s="44">
        <f>IF(T73="","",INDEX(新年度名簿!$K$2:$K$451,T73))</f>
        <v/>
      </c>
      <c r="F73" s="44">
        <f>IF(T73="","",INDEX(新年度名簿!$C$2:$C$451,T73))</f>
        <v/>
      </c>
      <c r="G73" s="44">
        <f>IF(Q73="","",INDEX(希望入力!$H$2:$H$551,Q73)&amp;"")</f>
        <v/>
      </c>
      <c r="H73" s="44">
        <f>IF(Q73="","",INDEX(希望入力!$I$2:$I$551,Q73)&amp;"")</f>
        <v/>
      </c>
      <c r="I73" s="44">
        <f>IF(Q73="","",INDEX(希望入力!$J$2:$J$551,Q73)&amp;"")</f>
        <v/>
      </c>
      <c r="J73" s="44">
        <f>IF(Q73="","",IF(G73="","要調整",IFERROR(IF(IF(OR(設定!$C$14="〇",設定!$C$14="○"),COUNTIFS($A$7:$A$456,"&gt;="&amp;A73,$G$7:$G$456,G73),COUNTIF($G$7:$G$456,G73))&lt;=(INDEX(設定!$Q$8:$Q$27,MATCH(G73,設定!$P$8:$P$27,0))+N(INDEX(設定!$R$8:$R$27,MATCH(G73,設定!$P$8:$P$27,0)))),G73,"要調整"),"要調整")))</f>
        <v/>
      </c>
      <c r="K73" s="40" t="n"/>
      <c r="L73" s="52">
        <f>IF(P73="","",IF(K73&lt;&gt;"",K73,IF(OR(J73="",J73="要調整"),"",J73)))</f>
        <v/>
      </c>
      <c r="M73" s="44">
        <f>IF(P73="","",IF(AND(計算用!$B$1=1,T73=""),"転出",IF(L73&lt;&gt;"","決定",IF(Q73="","未提出","要調整"))))</f>
        <v/>
      </c>
      <c r="N73" s="44">
        <f>IF(OR(M73&lt;&gt;"要調整",H73=""),"",IFERROR((INDEX(設定!$Q$8:$Q$27,MATCH(H73,設定!$P$8:$P$27,0))+N(INDEX(設定!$R$8:$R$27,MATCH(H73,設定!$P$8:$P$27,0))))-INDEX(定員チェック!$F$7:$F$26,MATCH(H73,設定!$P$8:$P$27,0))-COUNTIFS($M$7:$M$456,"要調整",$G$7:$G$456,H73),""))</f>
        <v/>
      </c>
      <c r="O73" s="44">
        <f>IF(OR(M73&lt;&gt;"要調整",I73=""),"",IFERROR((INDEX(設定!$Q$8:$Q$27,MATCH(I73,設定!$P$8:$P$27,0))+N(INDEX(設定!$R$8:$R$27,MATCH(I73,設定!$P$8:$P$27,0))))-INDEX(定員チェック!$F$7:$F$26,MATCH(I73,設定!$P$8:$P$27,0))-COUNTIFS($M$7:$M$456,"要調整",$G$7:$G$456,I73),""))</f>
        <v/>
      </c>
      <c r="P73" s="8">
        <f>IFERROR(MATCH(SMALL(前年度名簿!$G$2:$G$451,67),前年度名簿!$G$2:$G$451,0),"")</f>
        <v/>
      </c>
      <c r="Q73" s="8">
        <f>IF(R73="","",IFERROR(MATCH(R73,希望入力!$M$2:$M$551,0),""))</f>
        <v/>
      </c>
      <c r="R73" s="8">
        <f>IF(P73="","",INDEX(前年度名簿!$F$2:$F$451,P73))</f>
        <v/>
      </c>
      <c r="S73" s="8">
        <f>IF(P73="","",INDEX(前年度名簿!$I$2:$I$451,P73))</f>
        <v/>
      </c>
      <c r="T73" s="8">
        <f>IF(OR(P73="",計算用!$B$1=0),"",IFERROR(MATCH(S73,新年度名簿!$H$2:$H$451,0),""))</f>
        <v/>
      </c>
      <c r="U73" s="8">
        <f>IF(OR(L73="",M73="転出"),"",IFERROR(MATCH(L73,設定!$P$8:$P$27,0),""))</f>
        <v/>
      </c>
      <c r="V73" s="8">
        <f>IF(U73="","",COUNTIF($U$7:U73,U73))</f>
        <v/>
      </c>
      <c r="W73" s="8">
        <f>IF(U73="","",U73*1000+V73)</f>
        <v/>
      </c>
    </row>
    <row r="74">
      <c r="A74" s="44">
        <f>IF(P74="","",INDEX(前年度名簿!$H$2:$H$451,P74))</f>
        <v/>
      </c>
      <c r="B74" s="44">
        <f>IF(P74="","",IFERROR(INDEX(設定!$G$8:$G$31,INT(INDEX(前年度名簿!$G$2:$G$451,P74)/1000)),INDEX(前年度名簿!$A$2:$A$451,P74)&amp;INDEX(前年度名簿!$B$2:$B$451,P74)))</f>
        <v/>
      </c>
      <c r="C74" s="44">
        <f>IF(P74="","",INDEX(前年度名簿!$C$2:$C$451,P74))</f>
        <v/>
      </c>
      <c r="D74" s="3">
        <f>IF(P74="","",INDEX(前年度名簿!$D$2:$D$451,P74))</f>
        <v/>
      </c>
      <c r="E74" s="44">
        <f>IF(T74="","",INDEX(新年度名簿!$K$2:$K$451,T74))</f>
        <v/>
      </c>
      <c r="F74" s="44">
        <f>IF(T74="","",INDEX(新年度名簿!$C$2:$C$451,T74))</f>
        <v/>
      </c>
      <c r="G74" s="44">
        <f>IF(Q74="","",INDEX(希望入力!$H$2:$H$551,Q74)&amp;"")</f>
        <v/>
      </c>
      <c r="H74" s="44">
        <f>IF(Q74="","",INDEX(希望入力!$I$2:$I$551,Q74)&amp;"")</f>
        <v/>
      </c>
      <c r="I74" s="44">
        <f>IF(Q74="","",INDEX(希望入力!$J$2:$J$551,Q74)&amp;"")</f>
        <v/>
      </c>
      <c r="J74" s="44">
        <f>IF(Q74="","",IF(G74="","要調整",IFERROR(IF(IF(OR(設定!$C$14="〇",設定!$C$14="○"),COUNTIFS($A$7:$A$456,"&gt;="&amp;A74,$G$7:$G$456,G74),COUNTIF($G$7:$G$456,G74))&lt;=(INDEX(設定!$Q$8:$Q$27,MATCH(G74,設定!$P$8:$P$27,0))+N(INDEX(設定!$R$8:$R$27,MATCH(G74,設定!$P$8:$P$27,0)))),G74,"要調整"),"要調整")))</f>
        <v/>
      </c>
      <c r="K74" s="40" t="n"/>
      <c r="L74" s="52">
        <f>IF(P74="","",IF(K74&lt;&gt;"",K74,IF(OR(J74="",J74="要調整"),"",J74)))</f>
        <v/>
      </c>
      <c r="M74" s="44">
        <f>IF(P74="","",IF(AND(計算用!$B$1=1,T74=""),"転出",IF(L74&lt;&gt;"","決定",IF(Q74="","未提出","要調整"))))</f>
        <v/>
      </c>
      <c r="N74" s="44">
        <f>IF(OR(M74&lt;&gt;"要調整",H74=""),"",IFERROR((INDEX(設定!$Q$8:$Q$27,MATCH(H74,設定!$P$8:$P$27,0))+N(INDEX(設定!$R$8:$R$27,MATCH(H74,設定!$P$8:$P$27,0))))-INDEX(定員チェック!$F$7:$F$26,MATCH(H74,設定!$P$8:$P$27,0))-COUNTIFS($M$7:$M$456,"要調整",$G$7:$G$456,H74),""))</f>
        <v/>
      </c>
      <c r="O74" s="44">
        <f>IF(OR(M74&lt;&gt;"要調整",I74=""),"",IFERROR((INDEX(設定!$Q$8:$Q$27,MATCH(I74,設定!$P$8:$P$27,0))+N(INDEX(設定!$R$8:$R$27,MATCH(I74,設定!$P$8:$P$27,0))))-INDEX(定員チェック!$F$7:$F$26,MATCH(I74,設定!$P$8:$P$27,0))-COUNTIFS($M$7:$M$456,"要調整",$G$7:$G$456,I74),""))</f>
        <v/>
      </c>
      <c r="P74" s="8">
        <f>IFERROR(MATCH(SMALL(前年度名簿!$G$2:$G$451,68),前年度名簿!$G$2:$G$451,0),"")</f>
        <v/>
      </c>
      <c r="Q74" s="8">
        <f>IF(R74="","",IFERROR(MATCH(R74,希望入力!$M$2:$M$551,0),""))</f>
        <v/>
      </c>
      <c r="R74" s="8">
        <f>IF(P74="","",INDEX(前年度名簿!$F$2:$F$451,P74))</f>
        <v/>
      </c>
      <c r="S74" s="8">
        <f>IF(P74="","",INDEX(前年度名簿!$I$2:$I$451,P74))</f>
        <v/>
      </c>
      <c r="T74" s="8">
        <f>IF(OR(P74="",計算用!$B$1=0),"",IFERROR(MATCH(S74,新年度名簿!$H$2:$H$451,0),""))</f>
        <v/>
      </c>
      <c r="U74" s="8">
        <f>IF(OR(L74="",M74="転出"),"",IFERROR(MATCH(L74,設定!$P$8:$P$27,0),""))</f>
        <v/>
      </c>
      <c r="V74" s="8">
        <f>IF(U74="","",COUNTIF($U$7:U74,U74))</f>
        <v/>
      </c>
      <c r="W74" s="8">
        <f>IF(U74="","",U74*1000+V74)</f>
        <v/>
      </c>
    </row>
    <row r="75">
      <c r="A75" s="44">
        <f>IF(P75="","",INDEX(前年度名簿!$H$2:$H$451,P75))</f>
        <v/>
      </c>
      <c r="B75" s="44">
        <f>IF(P75="","",IFERROR(INDEX(設定!$G$8:$G$31,INT(INDEX(前年度名簿!$G$2:$G$451,P75)/1000)),INDEX(前年度名簿!$A$2:$A$451,P75)&amp;INDEX(前年度名簿!$B$2:$B$451,P75)))</f>
        <v/>
      </c>
      <c r="C75" s="44">
        <f>IF(P75="","",INDEX(前年度名簿!$C$2:$C$451,P75))</f>
        <v/>
      </c>
      <c r="D75" s="3">
        <f>IF(P75="","",INDEX(前年度名簿!$D$2:$D$451,P75))</f>
        <v/>
      </c>
      <c r="E75" s="44">
        <f>IF(T75="","",INDEX(新年度名簿!$K$2:$K$451,T75))</f>
        <v/>
      </c>
      <c r="F75" s="44">
        <f>IF(T75="","",INDEX(新年度名簿!$C$2:$C$451,T75))</f>
        <v/>
      </c>
      <c r="G75" s="44">
        <f>IF(Q75="","",INDEX(希望入力!$H$2:$H$551,Q75)&amp;"")</f>
        <v/>
      </c>
      <c r="H75" s="44">
        <f>IF(Q75="","",INDEX(希望入力!$I$2:$I$551,Q75)&amp;"")</f>
        <v/>
      </c>
      <c r="I75" s="44">
        <f>IF(Q75="","",INDEX(希望入力!$J$2:$J$551,Q75)&amp;"")</f>
        <v/>
      </c>
      <c r="J75" s="44">
        <f>IF(Q75="","",IF(G75="","要調整",IFERROR(IF(IF(OR(設定!$C$14="〇",設定!$C$14="○"),COUNTIFS($A$7:$A$456,"&gt;="&amp;A75,$G$7:$G$456,G75),COUNTIF($G$7:$G$456,G75))&lt;=(INDEX(設定!$Q$8:$Q$27,MATCH(G75,設定!$P$8:$P$27,0))+N(INDEX(設定!$R$8:$R$27,MATCH(G75,設定!$P$8:$P$27,0)))),G75,"要調整"),"要調整")))</f>
        <v/>
      </c>
      <c r="K75" s="40" t="n"/>
      <c r="L75" s="52">
        <f>IF(P75="","",IF(K75&lt;&gt;"",K75,IF(OR(J75="",J75="要調整"),"",J75)))</f>
        <v/>
      </c>
      <c r="M75" s="44">
        <f>IF(P75="","",IF(AND(計算用!$B$1=1,T75=""),"転出",IF(L75&lt;&gt;"","決定",IF(Q75="","未提出","要調整"))))</f>
        <v/>
      </c>
      <c r="N75" s="44">
        <f>IF(OR(M75&lt;&gt;"要調整",H75=""),"",IFERROR((INDEX(設定!$Q$8:$Q$27,MATCH(H75,設定!$P$8:$P$27,0))+N(INDEX(設定!$R$8:$R$27,MATCH(H75,設定!$P$8:$P$27,0))))-INDEX(定員チェック!$F$7:$F$26,MATCH(H75,設定!$P$8:$P$27,0))-COUNTIFS($M$7:$M$456,"要調整",$G$7:$G$456,H75),""))</f>
        <v/>
      </c>
      <c r="O75" s="44">
        <f>IF(OR(M75&lt;&gt;"要調整",I75=""),"",IFERROR((INDEX(設定!$Q$8:$Q$27,MATCH(I75,設定!$P$8:$P$27,0))+N(INDEX(設定!$R$8:$R$27,MATCH(I75,設定!$P$8:$P$27,0))))-INDEX(定員チェック!$F$7:$F$26,MATCH(I75,設定!$P$8:$P$27,0))-COUNTIFS($M$7:$M$456,"要調整",$G$7:$G$456,I75),""))</f>
        <v/>
      </c>
      <c r="P75" s="8">
        <f>IFERROR(MATCH(SMALL(前年度名簿!$G$2:$G$451,69),前年度名簿!$G$2:$G$451,0),"")</f>
        <v/>
      </c>
      <c r="Q75" s="8">
        <f>IF(R75="","",IFERROR(MATCH(R75,希望入力!$M$2:$M$551,0),""))</f>
        <v/>
      </c>
      <c r="R75" s="8">
        <f>IF(P75="","",INDEX(前年度名簿!$F$2:$F$451,P75))</f>
        <v/>
      </c>
      <c r="S75" s="8">
        <f>IF(P75="","",INDEX(前年度名簿!$I$2:$I$451,P75))</f>
        <v/>
      </c>
      <c r="T75" s="8">
        <f>IF(OR(P75="",計算用!$B$1=0),"",IFERROR(MATCH(S75,新年度名簿!$H$2:$H$451,0),""))</f>
        <v/>
      </c>
      <c r="U75" s="8">
        <f>IF(OR(L75="",M75="転出"),"",IFERROR(MATCH(L75,設定!$P$8:$P$27,0),""))</f>
        <v/>
      </c>
      <c r="V75" s="8">
        <f>IF(U75="","",COUNTIF($U$7:U75,U75))</f>
        <v/>
      </c>
      <c r="W75" s="8">
        <f>IF(U75="","",U75*1000+V75)</f>
        <v/>
      </c>
    </row>
    <row r="76">
      <c r="A76" s="44">
        <f>IF(P76="","",INDEX(前年度名簿!$H$2:$H$451,P76))</f>
        <v/>
      </c>
      <c r="B76" s="44">
        <f>IF(P76="","",IFERROR(INDEX(設定!$G$8:$G$31,INT(INDEX(前年度名簿!$G$2:$G$451,P76)/1000)),INDEX(前年度名簿!$A$2:$A$451,P76)&amp;INDEX(前年度名簿!$B$2:$B$451,P76)))</f>
        <v/>
      </c>
      <c r="C76" s="44">
        <f>IF(P76="","",INDEX(前年度名簿!$C$2:$C$451,P76))</f>
        <v/>
      </c>
      <c r="D76" s="3">
        <f>IF(P76="","",INDEX(前年度名簿!$D$2:$D$451,P76))</f>
        <v/>
      </c>
      <c r="E76" s="44">
        <f>IF(T76="","",INDEX(新年度名簿!$K$2:$K$451,T76))</f>
        <v/>
      </c>
      <c r="F76" s="44">
        <f>IF(T76="","",INDEX(新年度名簿!$C$2:$C$451,T76))</f>
        <v/>
      </c>
      <c r="G76" s="44">
        <f>IF(Q76="","",INDEX(希望入力!$H$2:$H$551,Q76)&amp;"")</f>
        <v/>
      </c>
      <c r="H76" s="44">
        <f>IF(Q76="","",INDEX(希望入力!$I$2:$I$551,Q76)&amp;"")</f>
        <v/>
      </c>
      <c r="I76" s="44">
        <f>IF(Q76="","",INDEX(希望入力!$J$2:$J$551,Q76)&amp;"")</f>
        <v/>
      </c>
      <c r="J76" s="44">
        <f>IF(Q76="","",IF(G76="","要調整",IFERROR(IF(IF(OR(設定!$C$14="〇",設定!$C$14="○"),COUNTIFS($A$7:$A$456,"&gt;="&amp;A76,$G$7:$G$456,G76),COUNTIF($G$7:$G$456,G76))&lt;=(INDEX(設定!$Q$8:$Q$27,MATCH(G76,設定!$P$8:$P$27,0))+N(INDEX(設定!$R$8:$R$27,MATCH(G76,設定!$P$8:$P$27,0)))),G76,"要調整"),"要調整")))</f>
        <v/>
      </c>
      <c r="K76" s="40" t="n"/>
      <c r="L76" s="52">
        <f>IF(P76="","",IF(K76&lt;&gt;"",K76,IF(OR(J76="",J76="要調整"),"",J76)))</f>
        <v/>
      </c>
      <c r="M76" s="44">
        <f>IF(P76="","",IF(AND(計算用!$B$1=1,T76=""),"転出",IF(L76&lt;&gt;"","決定",IF(Q76="","未提出","要調整"))))</f>
        <v/>
      </c>
      <c r="N76" s="44">
        <f>IF(OR(M76&lt;&gt;"要調整",H76=""),"",IFERROR((INDEX(設定!$Q$8:$Q$27,MATCH(H76,設定!$P$8:$P$27,0))+N(INDEX(設定!$R$8:$R$27,MATCH(H76,設定!$P$8:$P$27,0))))-INDEX(定員チェック!$F$7:$F$26,MATCH(H76,設定!$P$8:$P$27,0))-COUNTIFS($M$7:$M$456,"要調整",$G$7:$G$456,H76),""))</f>
        <v/>
      </c>
      <c r="O76" s="44">
        <f>IF(OR(M76&lt;&gt;"要調整",I76=""),"",IFERROR((INDEX(設定!$Q$8:$Q$27,MATCH(I76,設定!$P$8:$P$27,0))+N(INDEX(設定!$R$8:$R$27,MATCH(I76,設定!$P$8:$P$27,0))))-INDEX(定員チェック!$F$7:$F$26,MATCH(I76,設定!$P$8:$P$27,0))-COUNTIFS($M$7:$M$456,"要調整",$G$7:$G$456,I76),""))</f>
        <v/>
      </c>
      <c r="P76" s="8">
        <f>IFERROR(MATCH(SMALL(前年度名簿!$G$2:$G$451,70),前年度名簿!$G$2:$G$451,0),"")</f>
        <v/>
      </c>
      <c r="Q76" s="8">
        <f>IF(R76="","",IFERROR(MATCH(R76,希望入力!$M$2:$M$551,0),""))</f>
        <v/>
      </c>
      <c r="R76" s="8">
        <f>IF(P76="","",INDEX(前年度名簿!$F$2:$F$451,P76))</f>
        <v/>
      </c>
      <c r="S76" s="8">
        <f>IF(P76="","",INDEX(前年度名簿!$I$2:$I$451,P76))</f>
        <v/>
      </c>
      <c r="T76" s="8">
        <f>IF(OR(P76="",計算用!$B$1=0),"",IFERROR(MATCH(S76,新年度名簿!$H$2:$H$451,0),""))</f>
        <v/>
      </c>
      <c r="U76" s="8">
        <f>IF(OR(L76="",M76="転出"),"",IFERROR(MATCH(L76,設定!$P$8:$P$27,0),""))</f>
        <v/>
      </c>
      <c r="V76" s="8">
        <f>IF(U76="","",COUNTIF($U$7:U76,U76))</f>
        <v/>
      </c>
      <c r="W76" s="8">
        <f>IF(U76="","",U76*1000+V76)</f>
        <v/>
      </c>
    </row>
    <row r="77">
      <c r="A77" s="44">
        <f>IF(P77="","",INDEX(前年度名簿!$H$2:$H$451,P77))</f>
        <v/>
      </c>
      <c r="B77" s="44">
        <f>IF(P77="","",IFERROR(INDEX(設定!$G$8:$G$31,INT(INDEX(前年度名簿!$G$2:$G$451,P77)/1000)),INDEX(前年度名簿!$A$2:$A$451,P77)&amp;INDEX(前年度名簿!$B$2:$B$451,P77)))</f>
        <v/>
      </c>
      <c r="C77" s="44">
        <f>IF(P77="","",INDEX(前年度名簿!$C$2:$C$451,P77))</f>
        <v/>
      </c>
      <c r="D77" s="3">
        <f>IF(P77="","",INDEX(前年度名簿!$D$2:$D$451,P77))</f>
        <v/>
      </c>
      <c r="E77" s="44">
        <f>IF(T77="","",INDEX(新年度名簿!$K$2:$K$451,T77))</f>
        <v/>
      </c>
      <c r="F77" s="44">
        <f>IF(T77="","",INDEX(新年度名簿!$C$2:$C$451,T77))</f>
        <v/>
      </c>
      <c r="G77" s="44">
        <f>IF(Q77="","",INDEX(希望入力!$H$2:$H$551,Q77)&amp;"")</f>
        <v/>
      </c>
      <c r="H77" s="44">
        <f>IF(Q77="","",INDEX(希望入力!$I$2:$I$551,Q77)&amp;"")</f>
        <v/>
      </c>
      <c r="I77" s="44">
        <f>IF(Q77="","",INDEX(希望入力!$J$2:$J$551,Q77)&amp;"")</f>
        <v/>
      </c>
      <c r="J77" s="44">
        <f>IF(Q77="","",IF(G77="","要調整",IFERROR(IF(IF(OR(設定!$C$14="〇",設定!$C$14="○"),COUNTIFS($A$7:$A$456,"&gt;="&amp;A77,$G$7:$G$456,G77),COUNTIF($G$7:$G$456,G77))&lt;=(INDEX(設定!$Q$8:$Q$27,MATCH(G77,設定!$P$8:$P$27,0))+N(INDEX(設定!$R$8:$R$27,MATCH(G77,設定!$P$8:$P$27,0)))),G77,"要調整"),"要調整")))</f>
        <v/>
      </c>
      <c r="K77" s="40" t="n"/>
      <c r="L77" s="52">
        <f>IF(P77="","",IF(K77&lt;&gt;"",K77,IF(OR(J77="",J77="要調整"),"",J77)))</f>
        <v/>
      </c>
      <c r="M77" s="44">
        <f>IF(P77="","",IF(AND(計算用!$B$1=1,T77=""),"転出",IF(L77&lt;&gt;"","決定",IF(Q77="","未提出","要調整"))))</f>
        <v/>
      </c>
      <c r="N77" s="44">
        <f>IF(OR(M77&lt;&gt;"要調整",H77=""),"",IFERROR((INDEX(設定!$Q$8:$Q$27,MATCH(H77,設定!$P$8:$P$27,0))+N(INDEX(設定!$R$8:$R$27,MATCH(H77,設定!$P$8:$P$27,0))))-INDEX(定員チェック!$F$7:$F$26,MATCH(H77,設定!$P$8:$P$27,0))-COUNTIFS($M$7:$M$456,"要調整",$G$7:$G$456,H77),""))</f>
        <v/>
      </c>
      <c r="O77" s="44">
        <f>IF(OR(M77&lt;&gt;"要調整",I77=""),"",IFERROR((INDEX(設定!$Q$8:$Q$27,MATCH(I77,設定!$P$8:$P$27,0))+N(INDEX(設定!$R$8:$R$27,MATCH(I77,設定!$P$8:$P$27,0))))-INDEX(定員チェック!$F$7:$F$26,MATCH(I77,設定!$P$8:$P$27,0))-COUNTIFS($M$7:$M$456,"要調整",$G$7:$G$456,I77),""))</f>
        <v/>
      </c>
      <c r="P77" s="8">
        <f>IFERROR(MATCH(SMALL(前年度名簿!$G$2:$G$451,71),前年度名簿!$G$2:$G$451,0),"")</f>
        <v/>
      </c>
      <c r="Q77" s="8">
        <f>IF(R77="","",IFERROR(MATCH(R77,希望入力!$M$2:$M$551,0),""))</f>
        <v/>
      </c>
      <c r="R77" s="8">
        <f>IF(P77="","",INDEX(前年度名簿!$F$2:$F$451,P77))</f>
        <v/>
      </c>
      <c r="S77" s="8">
        <f>IF(P77="","",INDEX(前年度名簿!$I$2:$I$451,P77))</f>
        <v/>
      </c>
      <c r="T77" s="8">
        <f>IF(OR(P77="",計算用!$B$1=0),"",IFERROR(MATCH(S77,新年度名簿!$H$2:$H$451,0),""))</f>
        <v/>
      </c>
      <c r="U77" s="8">
        <f>IF(OR(L77="",M77="転出"),"",IFERROR(MATCH(L77,設定!$P$8:$P$27,0),""))</f>
        <v/>
      </c>
      <c r="V77" s="8">
        <f>IF(U77="","",COUNTIF($U$7:U77,U77))</f>
        <v/>
      </c>
      <c r="W77" s="8">
        <f>IF(U77="","",U77*1000+V77)</f>
        <v/>
      </c>
    </row>
    <row r="78">
      <c r="A78" s="44">
        <f>IF(P78="","",INDEX(前年度名簿!$H$2:$H$451,P78))</f>
        <v/>
      </c>
      <c r="B78" s="44">
        <f>IF(P78="","",IFERROR(INDEX(設定!$G$8:$G$31,INT(INDEX(前年度名簿!$G$2:$G$451,P78)/1000)),INDEX(前年度名簿!$A$2:$A$451,P78)&amp;INDEX(前年度名簿!$B$2:$B$451,P78)))</f>
        <v/>
      </c>
      <c r="C78" s="44">
        <f>IF(P78="","",INDEX(前年度名簿!$C$2:$C$451,P78))</f>
        <v/>
      </c>
      <c r="D78" s="3">
        <f>IF(P78="","",INDEX(前年度名簿!$D$2:$D$451,P78))</f>
        <v/>
      </c>
      <c r="E78" s="44">
        <f>IF(T78="","",INDEX(新年度名簿!$K$2:$K$451,T78))</f>
        <v/>
      </c>
      <c r="F78" s="44">
        <f>IF(T78="","",INDEX(新年度名簿!$C$2:$C$451,T78))</f>
        <v/>
      </c>
      <c r="G78" s="44">
        <f>IF(Q78="","",INDEX(希望入力!$H$2:$H$551,Q78)&amp;"")</f>
        <v/>
      </c>
      <c r="H78" s="44">
        <f>IF(Q78="","",INDEX(希望入力!$I$2:$I$551,Q78)&amp;"")</f>
        <v/>
      </c>
      <c r="I78" s="44">
        <f>IF(Q78="","",INDEX(希望入力!$J$2:$J$551,Q78)&amp;"")</f>
        <v/>
      </c>
      <c r="J78" s="44">
        <f>IF(Q78="","",IF(G78="","要調整",IFERROR(IF(IF(OR(設定!$C$14="〇",設定!$C$14="○"),COUNTIFS($A$7:$A$456,"&gt;="&amp;A78,$G$7:$G$456,G78),COUNTIF($G$7:$G$456,G78))&lt;=(INDEX(設定!$Q$8:$Q$27,MATCH(G78,設定!$P$8:$P$27,0))+N(INDEX(設定!$R$8:$R$27,MATCH(G78,設定!$P$8:$P$27,0)))),G78,"要調整"),"要調整")))</f>
        <v/>
      </c>
      <c r="K78" s="40" t="n"/>
      <c r="L78" s="52">
        <f>IF(P78="","",IF(K78&lt;&gt;"",K78,IF(OR(J78="",J78="要調整"),"",J78)))</f>
        <v/>
      </c>
      <c r="M78" s="44">
        <f>IF(P78="","",IF(AND(計算用!$B$1=1,T78=""),"転出",IF(L78&lt;&gt;"","決定",IF(Q78="","未提出","要調整"))))</f>
        <v/>
      </c>
      <c r="N78" s="44">
        <f>IF(OR(M78&lt;&gt;"要調整",H78=""),"",IFERROR((INDEX(設定!$Q$8:$Q$27,MATCH(H78,設定!$P$8:$P$27,0))+N(INDEX(設定!$R$8:$R$27,MATCH(H78,設定!$P$8:$P$27,0))))-INDEX(定員チェック!$F$7:$F$26,MATCH(H78,設定!$P$8:$P$27,0))-COUNTIFS($M$7:$M$456,"要調整",$G$7:$G$456,H78),""))</f>
        <v/>
      </c>
      <c r="O78" s="44">
        <f>IF(OR(M78&lt;&gt;"要調整",I78=""),"",IFERROR((INDEX(設定!$Q$8:$Q$27,MATCH(I78,設定!$P$8:$P$27,0))+N(INDEX(設定!$R$8:$R$27,MATCH(I78,設定!$P$8:$P$27,0))))-INDEX(定員チェック!$F$7:$F$26,MATCH(I78,設定!$P$8:$P$27,0))-COUNTIFS($M$7:$M$456,"要調整",$G$7:$G$456,I78),""))</f>
        <v/>
      </c>
      <c r="P78" s="8">
        <f>IFERROR(MATCH(SMALL(前年度名簿!$G$2:$G$451,72),前年度名簿!$G$2:$G$451,0),"")</f>
        <v/>
      </c>
      <c r="Q78" s="8">
        <f>IF(R78="","",IFERROR(MATCH(R78,希望入力!$M$2:$M$551,0),""))</f>
        <v/>
      </c>
      <c r="R78" s="8">
        <f>IF(P78="","",INDEX(前年度名簿!$F$2:$F$451,P78))</f>
        <v/>
      </c>
      <c r="S78" s="8">
        <f>IF(P78="","",INDEX(前年度名簿!$I$2:$I$451,P78))</f>
        <v/>
      </c>
      <c r="T78" s="8">
        <f>IF(OR(P78="",計算用!$B$1=0),"",IFERROR(MATCH(S78,新年度名簿!$H$2:$H$451,0),""))</f>
        <v/>
      </c>
      <c r="U78" s="8">
        <f>IF(OR(L78="",M78="転出"),"",IFERROR(MATCH(L78,設定!$P$8:$P$27,0),""))</f>
        <v/>
      </c>
      <c r="V78" s="8">
        <f>IF(U78="","",COUNTIF($U$7:U78,U78))</f>
        <v/>
      </c>
      <c r="W78" s="8">
        <f>IF(U78="","",U78*1000+V78)</f>
        <v/>
      </c>
    </row>
    <row r="79">
      <c r="A79" s="44">
        <f>IF(P79="","",INDEX(前年度名簿!$H$2:$H$451,P79))</f>
        <v/>
      </c>
      <c r="B79" s="44">
        <f>IF(P79="","",IFERROR(INDEX(設定!$G$8:$G$31,INT(INDEX(前年度名簿!$G$2:$G$451,P79)/1000)),INDEX(前年度名簿!$A$2:$A$451,P79)&amp;INDEX(前年度名簿!$B$2:$B$451,P79)))</f>
        <v/>
      </c>
      <c r="C79" s="44">
        <f>IF(P79="","",INDEX(前年度名簿!$C$2:$C$451,P79))</f>
        <v/>
      </c>
      <c r="D79" s="3">
        <f>IF(P79="","",INDEX(前年度名簿!$D$2:$D$451,P79))</f>
        <v/>
      </c>
      <c r="E79" s="44">
        <f>IF(T79="","",INDEX(新年度名簿!$K$2:$K$451,T79))</f>
        <v/>
      </c>
      <c r="F79" s="44">
        <f>IF(T79="","",INDEX(新年度名簿!$C$2:$C$451,T79))</f>
        <v/>
      </c>
      <c r="G79" s="44">
        <f>IF(Q79="","",INDEX(希望入力!$H$2:$H$551,Q79)&amp;"")</f>
        <v/>
      </c>
      <c r="H79" s="44">
        <f>IF(Q79="","",INDEX(希望入力!$I$2:$I$551,Q79)&amp;"")</f>
        <v/>
      </c>
      <c r="I79" s="44">
        <f>IF(Q79="","",INDEX(希望入力!$J$2:$J$551,Q79)&amp;"")</f>
        <v/>
      </c>
      <c r="J79" s="44">
        <f>IF(Q79="","",IF(G79="","要調整",IFERROR(IF(IF(OR(設定!$C$14="〇",設定!$C$14="○"),COUNTIFS($A$7:$A$456,"&gt;="&amp;A79,$G$7:$G$456,G79),COUNTIF($G$7:$G$456,G79))&lt;=(INDEX(設定!$Q$8:$Q$27,MATCH(G79,設定!$P$8:$P$27,0))+N(INDEX(設定!$R$8:$R$27,MATCH(G79,設定!$P$8:$P$27,0)))),G79,"要調整"),"要調整")))</f>
        <v/>
      </c>
      <c r="K79" s="40" t="n"/>
      <c r="L79" s="52">
        <f>IF(P79="","",IF(K79&lt;&gt;"",K79,IF(OR(J79="",J79="要調整"),"",J79)))</f>
        <v/>
      </c>
      <c r="M79" s="44">
        <f>IF(P79="","",IF(AND(計算用!$B$1=1,T79=""),"転出",IF(L79&lt;&gt;"","決定",IF(Q79="","未提出","要調整"))))</f>
        <v/>
      </c>
      <c r="N79" s="44">
        <f>IF(OR(M79&lt;&gt;"要調整",H79=""),"",IFERROR((INDEX(設定!$Q$8:$Q$27,MATCH(H79,設定!$P$8:$P$27,0))+N(INDEX(設定!$R$8:$R$27,MATCH(H79,設定!$P$8:$P$27,0))))-INDEX(定員チェック!$F$7:$F$26,MATCH(H79,設定!$P$8:$P$27,0))-COUNTIFS($M$7:$M$456,"要調整",$G$7:$G$456,H79),""))</f>
        <v/>
      </c>
      <c r="O79" s="44">
        <f>IF(OR(M79&lt;&gt;"要調整",I79=""),"",IFERROR((INDEX(設定!$Q$8:$Q$27,MATCH(I79,設定!$P$8:$P$27,0))+N(INDEX(設定!$R$8:$R$27,MATCH(I79,設定!$P$8:$P$27,0))))-INDEX(定員チェック!$F$7:$F$26,MATCH(I79,設定!$P$8:$P$27,0))-COUNTIFS($M$7:$M$456,"要調整",$G$7:$G$456,I79),""))</f>
        <v/>
      </c>
      <c r="P79" s="8">
        <f>IFERROR(MATCH(SMALL(前年度名簿!$G$2:$G$451,73),前年度名簿!$G$2:$G$451,0),"")</f>
        <v/>
      </c>
      <c r="Q79" s="8">
        <f>IF(R79="","",IFERROR(MATCH(R79,希望入力!$M$2:$M$551,0),""))</f>
        <v/>
      </c>
      <c r="R79" s="8">
        <f>IF(P79="","",INDEX(前年度名簿!$F$2:$F$451,P79))</f>
        <v/>
      </c>
      <c r="S79" s="8">
        <f>IF(P79="","",INDEX(前年度名簿!$I$2:$I$451,P79))</f>
        <v/>
      </c>
      <c r="T79" s="8">
        <f>IF(OR(P79="",計算用!$B$1=0),"",IFERROR(MATCH(S79,新年度名簿!$H$2:$H$451,0),""))</f>
        <v/>
      </c>
      <c r="U79" s="8">
        <f>IF(OR(L79="",M79="転出"),"",IFERROR(MATCH(L79,設定!$P$8:$P$27,0),""))</f>
        <v/>
      </c>
      <c r="V79" s="8">
        <f>IF(U79="","",COUNTIF($U$7:U79,U79))</f>
        <v/>
      </c>
      <c r="W79" s="8">
        <f>IF(U79="","",U79*1000+V79)</f>
        <v/>
      </c>
    </row>
    <row r="80">
      <c r="A80" s="44">
        <f>IF(P80="","",INDEX(前年度名簿!$H$2:$H$451,P80))</f>
        <v/>
      </c>
      <c r="B80" s="44">
        <f>IF(P80="","",IFERROR(INDEX(設定!$G$8:$G$31,INT(INDEX(前年度名簿!$G$2:$G$451,P80)/1000)),INDEX(前年度名簿!$A$2:$A$451,P80)&amp;INDEX(前年度名簿!$B$2:$B$451,P80)))</f>
        <v/>
      </c>
      <c r="C80" s="44">
        <f>IF(P80="","",INDEX(前年度名簿!$C$2:$C$451,P80))</f>
        <v/>
      </c>
      <c r="D80" s="3">
        <f>IF(P80="","",INDEX(前年度名簿!$D$2:$D$451,P80))</f>
        <v/>
      </c>
      <c r="E80" s="44">
        <f>IF(T80="","",INDEX(新年度名簿!$K$2:$K$451,T80))</f>
        <v/>
      </c>
      <c r="F80" s="44">
        <f>IF(T80="","",INDEX(新年度名簿!$C$2:$C$451,T80))</f>
        <v/>
      </c>
      <c r="G80" s="44">
        <f>IF(Q80="","",INDEX(希望入力!$H$2:$H$551,Q80)&amp;"")</f>
        <v/>
      </c>
      <c r="H80" s="44">
        <f>IF(Q80="","",INDEX(希望入力!$I$2:$I$551,Q80)&amp;"")</f>
        <v/>
      </c>
      <c r="I80" s="44">
        <f>IF(Q80="","",INDEX(希望入力!$J$2:$J$551,Q80)&amp;"")</f>
        <v/>
      </c>
      <c r="J80" s="44">
        <f>IF(Q80="","",IF(G80="","要調整",IFERROR(IF(IF(OR(設定!$C$14="〇",設定!$C$14="○"),COUNTIFS($A$7:$A$456,"&gt;="&amp;A80,$G$7:$G$456,G80),COUNTIF($G$7:$G$456,G80))&lt;=(INDEX(設定!$Q$8:$Q$27,MATCH(G80,設定!$P$8:$P$27,0))+N(INDEX(設定!$R$8:$R$27,MATCH(G80,設定!$P$8:$P$27,0)))),G80,"要調整"),"要調整")))</f>
        <v/>
      </c>
      <c r="K80" s="40" t="n"/>
      <c r="L80" s="52">
        <f>IF(P80="","",IF(K80&lt;&gt;"",K80,IF(OR(J80="",J80="要調整"),"",J80)))</f>
        <v/>
      </c>
      <c r="M80" s="44">
        <f>IF(P80="","",IF(AND(計算用!$B$1=1,T80=""),"転出",IF(L80&lt;&gt;"","決定",IF(Q80="","未提出","要調整"))))</f>
        <v/>
      </c>
      <c r="N80" s="44">
        <f>IF(OR(M80&lt;&gt;"要調整",H80=""),"",IFERROR((INDEX(設定!$Q$8:$Q$27,MATCH(H80,設定!$P$8:$P$27,0))+N(INDEX(設定!$R$8:$R$27,MATCH(H80,設定!$P$8:$P$27,0))))-INDEX(定員チェック!$F$7:$F$26,MATCH(H80,設定!$P$8:$P$27,0))-COUNTIFS($M$7:$M$456,"要調整",$G$7:$G$456,H80),""))</f>
        <v/>
      </c>
      <c r="O80" s="44">
        <f>IF(OR(M80&lt;&gt;"要調整",I80=""),"",IFERROR((INDEX(設定!$Q$8:$Q$27,MATCH(I80,設定!$P$8:$P$27,0))+N(INDEX(設定!$R$8:$R$27,MATCH(I80,設定!$P$8:$P$27,0))))-INDEX(定員チェック!$F$7:$F$26,MATCH(I80,設定!$P$8:$P$27,0))-COUNTIFS($M$7:$M$456,"要調整",$G$7:$G$456,I80),""))</f>
        <v/>
      </c>
      <c r="P80" s="8">
        <f>IFERROR(MATCH(SMALL(前年度名簿!$G$2:$G$451,74),前年度名簿!$G$2:$G$451,0),"")</f>
        <v/>
      </c>
      <c r="Q80" s="8">
        <f>IF(R80="","",IFERROR(MATCH(R80,希望入力!$M$2:$M$551,0),""))</f>
        <v/>
      </c>
      <c r="R80" s="8">
        <f>IF(P80="","",INDEX(前年度名簿!$F$2:$F$451,P80))</f>
        <v/>
      </c>
      <c r="S80" s="8">
        <f>IF(P80="","",INDEX(前年度名簿!$I$2:$I$451,P80))</f>
        <v/>
      </c>
      <c r="T80" s="8">
        <f>IF(OR(P80="",計算用!$B$1=0),"",IFERROR(MATCH(S80,新年度名簿!$H$2:$H$451,0),""))</f>
        <v/>
      </c>
      <c r="U80" s="8">
        <f>IF(OR(L80="",M80="転出"),"",IFERROR(MATCH(L80,設定!$P$8:$P$27,0),""))</f>
        <v/>
      </c>
      <c r="V80" s="8">
        <f>IF(U80="","",COUNTIF($U$7:U80,U80))</f>
        <v/>
      </c>
      <c r="W80" s="8">
        <f>IF(U80="","",U80*1000+V80)</f>
        <v/>
      </c>
    </row>
    <row r="81">
      <c r="A81" s="44">
        <f>IF(P81="","",INDEX(前年度名簿!$H$2:$H$451,P81))</f>
        <v/>
      </c>
      <c r="B81" s="44">
        <f>IF(P81="","",IFERROR(INDEX(設定!$G$8:$G$31,INT(INDEX(前年度名簿!$G$2:$G$451,P81)/1000)),INDEX(前年度名簿!$A$2:$A$451,P81)&amp;INDEX(前年度名簿!$B$2:$B$451,P81)))</f>
        <v/>
      </c>
      <c r="C81" s="44">
        <f>IF(P81="","",INDEX(前年度名簿!$C$2:$C$451,P81))</f>
        <v/>
      </c>
      <c r="D81" s="3">
        <f>IF(P81="","",INDEX(前年度名簿!$D$2:$D$451,P81))</f>
        <v/>
      </c>
      <c r="E81" s="44">
        <f>IF(T81="","",INDEX(新年度名簿!$K$2:$K$451,T81))</f>
        <v/>
      </c>
      <c r="F81" s="44">
        <f>IF(T81="","",INDEX(新年度名簿!$C$2:$C$451,T81))</f>
        <v/>
      </c>
      <c r="G81" s="44">
        <f>IF(Q81="","",INDEX(希望入力!$H$2:$H$551,Q81)&amp;"")</f>
        <v/>
      </c>
      <c r="H81" s="44">
        <f>IF(Q81="","",INDEX(希望入力!$I$2:$I$551,Q81)&amp;"")</f>
        <v/>
      </c>
      <c r="I81" s="44">
        <f>IF(Q81="","",INDEX(希望入力!$J$2:$J$551,Q81)&amp;"")</f>
        <v/>
      </c>
      <c r="J81" s="44">
        <f>IF(Q81="","",IF(G81="","要調整",IFERROR(IF(IF(OR(設定!$C$14="〇",設定!$C$14="○"),COUNTIFS($A$7:$A$456,"&gt;="&amp;A81,$G$7:$G$456,G81),COUNTIF($G$7:$G$456,G81))&lt;=(INDEX(設定!$Q$8:$Q$27,MATCH(G81,設定!$P$8:$P$27,0))+N(INDEX(設定!$R$8:$R$27,MATCH(G81,設定!$P$8:$P$27,0)))),G81,"要調整"),"要調整")))</f>
        <v/>
      </c>
      <c r="K81" s="40" t="n"/>
      <c r="L81" s="52">
        <f>IF(P81="","",IF(K81&lt;&gt;"",K81,IF(OR(J81="",J81="要調整"),"",J81)))</f>
        <v/>
      </c>
      <c r="M81" s="44">
        <f>IF(P81="","",IF(AND(計算用!$B$1=1,T81=""),"転出",IF(L81&lt;&gt;"","決定",IF(Q81="","未提出","要調整"))))</f>
        <v/>
      </c>
      <c r="N81" s="44">
        <f>IF(OR(M81&lt;&gt;"要調整",H81=""),"",IFERROR((INDEX(設定!$Q$8:$Q$27,MATCH(H81,設定!$P$8:$P$27,0))+N(INDEX(設定!$R$8:$R$27,MATCH(H81,設定!$P$8:$P$27,0))))-INDEX(定員チェック!$F$7:$F$26,MATCH(H81,設定!$P$8:$P$27,0))-COUNTIFS($M$7:$M$456,"要調整",$G$7:$G$456,H81),""))</f>
        <v/>
      </c>
      <c r="O81" s="44">
        <f>IF(OR(M81&lt;&gt;"要調整",I81=""),"",IFERROR((INDEX(設定!$Q$8:$Q$27,MATCH(I81,設定!$P$8:$P$27,0))+N(INDEX(設定!$R$8:$R$27,MATCH(I81,設定!$P$8:$P$27,0))))-INDEX(定員チェック!$F$7:$F$26,MATCH(I81,設定!$P$8:$P$27,0))-COUNTIFS($M$7:$M$456,"要調整",$G$7:$G$456,I81),""))</f>
        <v/>
      </c>
      <c r="P81" s="8">
        <f>IFERROR(MATCH(SMALL(前年度名簿!$G$2:$G$451,75),前年度名簿!$G$2:$G$451,0),"")</f>
        <v/>
      </c>
      <c r="Q81" s="8">
        <f>IF(R81="","",IFERROR(MATCH(R81,希望入力!$M$2:$M$551,0),""))</f>
        <v/>
      </c>
      <c r="R81" s="8">
        <f>IF(P81="","",INDEX(前年度名簿!$F$2:$F$451,P81))</f>
        <v/>
      </c>
      <c r="S81" s="8">
        <f>IF(P81="","",INDEX(前年度名簿!$I$2:$I$451,P81))</f>
        <v/>
      </c>
      <c r="T81" s="8">
        <f>IF(OR(P81="",計算用!$B$1=0),"",IFERROR(MATCH(S81,新年度名簿!$H$2:$H$451,0),""))</f>
        <v/>
      </c>
      <c r="U81" s="8">
        <f>IF(OR(L81="",M81="転出"),"",IFERROR(MATCH(L81,設定!$P$8:$P$27,0),""))</f>
        <v/>
      </c>
      <c r="V81" s="8">
        <f>IF(U81="","",COUNTIF($U$7:U81,U81))</f>
        <v/>
      </c>
      <c r="W81" s="8">
        <f>IF(U81="","",U81*1000+V81)</f>
        <v/>
      </c>
    </row>
    <row r="82">
      <c r="A82" s="44">
        <f>IF(P82="","",INDEX(前年度名簿!$H$2:$H$451,P82))</f>
        <v/>
      </c>
      <c r="B82" s="44">
        <f>IF(P82="","",IFERROR(INDEX(設定!$G$8:$G$31,INT(INDEX(前年度名簿!$G$2:$G$451,P82)/1000)),INDEX(前年度名簿!$A$2:$A$451,P82)&amp;INDEX(前年度名簿!$B$2:$B$451,P82)))</f>
        <v/>
      </c>
      <c r="C82" s="44">
        <f>IF(P82="","",INDEX(前年度名簿!$C$2:$C$451,P82))</f>
        <v/>
      </c>
      <c r="D82" s="3">
        <f>IF(P82="","",INDEX(前年度名簿!$D$2:$D$451,P82))</f>
        <v/>
      </c>
      <c r="E82" s="44">
        <f>IF(T82="","",INDEX(新年度名簿!$K$2:$K$451,T82))</f>
        <v/>
      </c>
      <c r="F82" s="44">
        <f>IF(T82="","",INDEX(新年度名簿!$C$2:$C$451,T82))</f>
        <v/>
      </c>
      <c r="G82" s="44">
        <f>IF(Q82="","",INDEX(希望入力!$H$2:$H$551,Q82)&amp;"")</f>
        <v/>
      </c>
      <c r="H82" s="44">
        <f>IF(Q82="","",INDEX(希望入力!$I$2:$I$551,Q82)&amp;"")</f>
        <v/>
      </c>
      <c r="I82" s="44">
        <f>IF(Q82="","",INDEX(希望入力!$J$2:$J$551,Q82)&amp;"")</f>
        <v/>
      </c>
      <c r="J82" s="44">
        <f>IF(Q82="","",IF(G82="","要調整",IFERROR(IF(IF(OR(設定!$C$14="〇",設定!$C$14="○"),COUNTIFS($A$7:$A$456,"&gt;="&amp;A82,$G$7:$G$456,G82),COUNTIF($G$7:$G$456,G82))&lt;=(INDEX(設定!$Q$8:$Q$27,MATCH(G82,設定!$P$8:$P$27,0))+N(INDEX(設定!$R$8:$R$27,MATCH(G82,設定!$P$8:$P$27,0)))),G82,"要調整"),"要調整")))</f>
        <v/>
      </c>
      <c r="K82" s="40" t="n"/>
      <c r="L82" s="52">
        <f>IF(P82="","",IF(K82&lt;&gt;"",K82,IF(OR(J82="",J82="要調整"),"",J82)))</f>
        <v/>
      </c>
      <c r="M82" s="44">
        <f>IF(P82="","",IF(AND(計算用!$B$1=1,T82=""),"転出",IF(L82&lt;&gt;"","決定",IF(Q82="","未提出","要調整"))))</f>
        <v/>
      </c>
      <c r="N82" s="44">
        <f>IF(OR(M82&lt;&gt;"要調整",H82=""),"",IFERROR((INDEX(設定!$Q$8:$Q$27,MATCH(H82,設定!$P$8:$P$27,0))+N(INDEX(設定!$R$8:$R$27,MATCH(H82,設定!$P$8:$P$27,0))))-INDEX(定員チェック!$F$7:$F$26,MATCH(H82,設定!$P$8:$P$27,0))-COUNTIFS($M$7:$M$456,"要調整",$G$7:$G$456,H82),""))</f>
        <v/>
      </c>
      <c r="O82" s="44">
        <f>IF(OR(M82&lt;&gt;"要調整",I82=""),"",IFERROR((INDEX(設定!$Q$8:$Q$27,MATCH(I82,設定!$P$8:$P$27,0))+N(INDEX(設定!$R$8:$R$27,MATCH(I82,設定!$P$8:$P$27,0))))-INDEX(定員チェック!$F$7:$F$26,MATCH(I82,設定!$P$8:$P$27,0))-COUNTIFS($M$7:$M$456,"要調整",$G$7:$G$456,I82),""))</f>
        <v/>
      </c>
      <c r="P82" s="8">
        <f>IFERROR(MATCH(SMALL(前年度名簿!$G$2:$G$451,76),前年度名簿!$G$2:$G$451,0),"")</f>
        <v/>
      </c>
      <c r="Q82" s="8">
        <f>IF(R82="","",IFERROR(MATCH(R82,希望入力!$M$2:$M$551,0),""))</f>
        <v/>
      </c>
      <c r="R82" s="8">
        <f>IF(P82="","",INDEX(前年度名簿!$F$2:$F$451,P82))</f>
        <v/>
      </c>
      <c r="S82" s="8">
        <f>IF(P82="","",INDEX(前年度名簿!$I$2:$I$451,P82))</f>
        <v/>
      </c>
      <c r="T82" s="8">
        <f>IF(OR(P82="",計算用!$B$1=0),"",IFERROR(MATCH(S82,新年度名簿!$H$2:$H$451,0),""))</f>
        <v/>
      </c>
      <c r="U82" s="8">
        <f>IF(OR(L82="",M82="転出"),"",IFERROR(MATCH(L82,設定!$P$8:$P$27,0),""))</f>
        <v/>
      </c>
      <c r="V82" s="8">
        <f>IF(U82="","",COUNTIF($U$7:U82,U82))</f>
        <v/>
      </c>
      <c r="W82" s="8">
        <f>IF(U82="","",U82*1000+V82)</f>
        <v/>
      </c>
    </row>
    <row r="83">
      <c r="A83" s="44">
        <f>IF(P83="","",INDEX(前年度名簿!$H$2:$H$451,P83))</f>
        <v/>
      </c>
      <c r="B83" s="44">
        <f>IF(P83="","",IFERROR(INDEX(設定!$G$8:$G$31,INT(INDEX(前年度名簿!$G$2:$G$451,P83)/1000)),INDEX(前年度名簿!$A$2:$A$451,P83)&amp;INDEX(前年度名簿!$B$2:$B$451,P83)))</f>
        <v/>
      </c>
      <c r="C83" s="44">
        <f>IF(P83="","",INDEX(前年度名簿!$C$2:$C$451,P83))</f>
        <v/>
      </c>
      <c r="D83" s="3">
        <f>IF(P83="","",INDEX(前年度名簿!$D$2:$D$451,P83))</f>
        <v/>
      </c>
      <c r="E83" s="44">
        <f>IF(T83="","",INDEX(新年度名簿!$K$2:$K$451,T83))</f>
        <v/>
      </c>
      <c r="F83" s="44">
        <f>IF(T83="","",INDEX(新年度名簿!$C$2:$C$451,T83))</f>
        <v/>
      </c>
      <c r="G83" s="44">
        <f>IF(Q83="","",INDEX(希望入力!$H$2:$H$551,Q83)&amp;"")</f>
        <v/>
      </c>
      <c r="H83" s="44">
        <f>IF(Q83="","",INDEX(希望入力!$I$2:$I$551,Q83)&amp;"")</f>
        <v/>
      </c>
      <c r="I83" s="44">
        <f>IF(Q83="","",INDEX(希望入力!$J$2:$J$551,Q83)&amp;"")</f>
        <v/>
      </c>
      <c r="J83" s="44">
        <f>IF(Q83="","",IF(G83="","要調整",IFERROR(IF(IF(OR(設定!$C$14="〇",設定!$C$14="○"),COUNTIFS($A$7:$A$456,"&gt;="&amp;A83,$G$7:$G$456,G83),COUNTIF($G$7:$G$456,G83))&lt;=(INDEX(設定!$Q$8:$Q$27,MATCH(G83,設定!$P$8:$P$27,0))+N(INDEX(設定!$R$8:$R$27,MATCH(G83,設定!$P$8:$P$27,0)))),G83,"要調整"),"要調整")))</f>
        <v/>
      </c>
      <c r="K83" s="40" t="n"/>
      <c r="L83" s="52">
        <f>IF(P83="","",IF(K83&lt;&gt;"",K83,IF(OR(J83="",J83="要調整"),"",J83)))</f>
        <v/>
      </c>
      <c r="M83" s="44">
        <f>IF(P83="","",IF(AND(計算用!$B$1=1,T83=""),"転出",IF(L83&lt;&gt;"","決定",IF(Q83="","未提出","要調整"))))</f>
        <v/>
      </c>
      <c r="N83" s="44">
        <f>IF(OR(M83&lt;&gt;"要調整",H83=""),"",IFERROR((INDEX(設定!$Q$8:$Q$27,MATCH(H83,設定!$P$8:$P$27,0))+N(INDEX(設定!$R$8:$R$27,MATCH(H83,設定!$P$8:$P$27,0))))-INDEX(定員チェック!$F$7:$F$26,MATCH(H83,設定!$P$8:$P$27,0))-COUNTIFS($M$7:$M$456,"要調整",$G$7:$G$456,H83),""))</f>
        <v/>
      </c>
      <c r="O83" s="44">
        <f>IF(OR(M83&lt;&gt;"要調整",I83=""),"",IFERROR((INDEX(設定!$Q$8:$Q$27,MATCH(I83,設定!$P$8:$P$27,0))+N(INDEX(設定!$R$8:$R$27,MATCH(I83,設定!$P$8:$P$27,0))))-INDEX(定員チェック!$F$7:$F$26,MATCH(I83,設定!$P$8:$P$27,0))-COUNTIFS($M$7:$M$456,"要調整",$G$7:$G$456,I83),""))</f>
        <v/>
      </c>
      <c r="P83" s="8">
        <f>IFERROR(MATCH(SMALL(前年度名簿!$G$2:$G$451,77),前年度名簿!$G$2:$G$451,0),"")</f>
        <v/>
      </c>
      <c r="Q83" s="8">
        <f>IF(R83="","",IFERROR(MATCH(R83,希望入力!$M$2:$M$551,0),""))</f>
        <v/>
      </c>
      <c r="R83" s="8">
        <f>IF(P83="","",INDEX(前年度名簿!$F$2:$F$451,P83))</f>
        <v/>
      </c>
      <c r="S83" s="8">
        <f>IF(P83="","",INDEX(前年度名簿!$I$2:$I$451,P83))</f>
        <v/>
      </c>
      <c r="T83" s="8">
        <f>IF(OR(P83="",計算用!$B$1=0),"",IFERROR(MATCH(S83,新年度名簿!$H$2:$H$451,0),""))</f>
        <v/>
      </c>
      <c r="U83" s="8">
        <f>IF(OR(L83="",M83="転出"),"",IFERROR(MATCH(L83,設定!$P$8:$P$27,0),""))</f>
        <v/>
      </c>
      <c r="V83" s="8">
        <f>IF(U83="","",COUNTIF($U$7:U83,U83))</f>
        <v/>
      </c>
      <c r="W83" s="8">
        <f>IF(U83="","",U83*1000+V83)</f>
        <v/>
      </c>
    </row>
    <row r="84">
      <c r="A84" s="44">
        <f>IF(P84="","",INDEX(前年度名簿!$H$2:$H$451,P84))</f>
        <v/>
      </c>
      <c r="B84" s="44">
        <f>IF(P84="","",IFERROR(INDEX(設定!$G$8:$G$31,INT(INDEX(前年度名簿!$G$2:$G$451,P84)/1000)),INDEX(前年度名簿!$A$2:$A$451,P84)&amp;INDEX(前年度名簿!$B$2:$B$451,P84)))</f>
        <v/>
      </c>
      <c r="C84" s="44">
        <f>IF(P84="","",INDEX(前年度名簿!$C$2:$C$451,P84))</f>
        <v/>
      </c>
      <c r="D84" s="3">
        <f>IF(P84="","",INDEX(前年度名簿!$D$2:$D$451,P84))</f>
        <v/>
      </c>
      <c r="E84" s="44">
        <f>IF(T84="","",INDEX(新年度名簿!$K$2:$K$451,T84))</f>
        <v/>
      </c>
      <c r="F84" s="44">
        <f>IF(T84="","",INDEX(新年度名簿!$C$2:$C$451,T84))</f>
        <v/>
      </c>
      <c r="G84" s="44">
        <f>IF(Q84="","",INDEX(希望入力!$H$2:$H$551,Q84)&amp;"")</f>
        <v/>
      </c>
      <c r="H84" s="44">
        <f>IF(Q84="","",INDEX(希望入力!$I$2:$I$551,Q84)&amp;"")</f>
        <v/>
      </c>
      <c r="I84" s="44">
        <f>IF(Q84="","",INDEX(希望入力!$J$2:$J$551,Q84)&amp;"")</f>
        <v/>
      </c>
      <c r="J84" s="44">
        <f>IF(Q84="","",IF(G84="","要調整",IFERROR(IF(IF(OR(設定!$C$14="〇",設定!$C$14="○"),COUNTIFS($A$7:$A$456,"&gt;="&amp;A84,$G$7:$G$456,G84),COUNTIF($G$7:$G$456,G84))&lt;=(INDEX(設定!$Q$8:$Q$27,MATCH(G84,設定!$P$8:$P$27,0))+N(INDEX(設定!$R$8:$R$27,MATCH(G84,設定!$P$8:$P$27,0)))),G84,"要調整"),"要調整")))</f>
        <v/>
      </c>
      <c r="K84" s="40" t="n"/>
      <c r="L84" s="52">
        <f>IF(P84="","",IF(K84&lt;&gt;"",K84,IF(OR(J84="",J84="要調整"),"",J84)))</f>
        <v/>
      </c>
      <c r="M84" s="44">
        <f>IF(P84="","",IF(AND(計算用!$B$1=1,T84=""),"転出",IF(L84&lt;&gt;"","決定",IF(Q84="","未提出","要調整"))))</f>
        <v/>
      </c>
      <c r="N84" s="44">
        <f>IF(OR(M84&lt;&gt;"要調整",H84=""),"",IFERROR((INDEX(設定!$Q$8:$Q$27,MATCH(H84,設定!$P$8:$P$27,0))+N(INDEX(設定!$R$8:$R$27,MATCH(H84,設定!$P$8:$P$27,0))))-INDEX(定員チェック!$F$7:$F$26,MATCH(H84,設定!$P$8:$P$27,0))-COUNTIFS($M$7:$M$456,"要調整",$G$7:$G$456,H84),""))</f>
        <v/>
      </c>
      <c r="O84" s="44">
        <f>IF(OR(M84&lt;&gt;"要調整",I84=""),"",IFERROR((INDEX(設定!$Q$8:$Q$27,MATCH(I84,設定!$P$8:$P$27,0))+N(INDEX(設定!$R$8:$R$27,MATCH(I84,設定!$P$8:$P$27,0))))-INDEX(定員チェック!$F$7:$F$26,MATCH(I84,設定!$P$8:$P$27,0))-COUNTIFS($M$7:$M$456,"要調整",$G$7:$G$456,I84),""))</f>
        <v/>
      </c>
      <c r="P84" s="8">
        <f>IFERROR(MATCH(SMALL(前年度名簿!$G$2:$G$451,78),前年度名簿!$G$2:$G$451,0),"")</f>
        <v/>
      </c>
      <c r="Q84" s="8">
        <f>IF(R84="","",IFERROR(MATCH(R84,希望入力!$M$2:$M$551,0),""))</f>
        <v/>
      </c>
      <c r="R84" s="8">
        <f>IF(P84="","",INDEX(前年度名簿!$F$2:$F$451,P84))</f>
        <v/>
      </c>
      <c r="S84" s="8">
        <f>IF(P84="","",INDEX(前年度名簿!$I$2:$I$451,P84))</f>
        <v/>
      </c>
      <c r="T84" s="8">
        <f>IF(OR(P84="",計算用!$B$1=0),"",IFERROR(MATCH(S84,新年度名簿!$H$2:$H$451,0),""))</f>
        <v/>
      </c>
      <c r="U84" s="8">
        <f>IF(OR(L84="",M84="転出"),"",IFERROR(MATCH(L84,設定!$P$8:$P$27,0),""))</f>
        <v/>
      </c>
      <c r="V84" s="8">
        <f>IF(U84="","",COUNTIF($U$7:U84,U84))</f>
        <v/>
      </c>
      <c r="W84" s="8">
        <f>IF(U84="","",U84*1000+V84)</f>
        <v/>
      </c>
    </row>
    <row r="85">
      <c r="A85" s="44">
        <f>IF(P85="","",INDEX(前年度名簿!$H$2:$H$451,P85))</f>
        <v/>
      </c>
      <c r="B85" s="44">
        <f>IF(P85="","",IFERROR(INDEX(設定!$G$8:$G$31,INT(INDEX(前年度名簿!$G$2:$G$451,P85)/1000)),INDEX(前年度名簿!$A$2:$A$451,P85)&amp;INDEX(前年度名簿!$B$2:$B$451,P85)))</f>
        <v/>
      </c>
      <c r="C85" s="44">
        <f>IF(P85="","",INDEX(前年度名簿!$C$2:$C$451,P85))</f>
        <v/>
      </c>
      <c r="D85" s="3">
        <f>IF(P85="","",INDEX(前年度名簿!$D$2:$D$451,P85))</f>
        <v/>
      </c>
      <c r="E85" s="44">
        <f>IF(T85="","",INDEX(新年度名簿!$K$2:$K$451,T85))</f>
        <v/>
      </c>
      <c r="F85" s="44">
        <f>IF(T85="","",INDEX(新年度名簿!$C$2:$C$451,T85))</f>
        <v/>
      </c>
      <c r="G85" s="44">
        <f>IF(Q85="","",INDEX(希望入力!$H$2:$H$551,Q85)&amp;"")</f>
        <v/>
      </c>
      <c r="H85" s="44">
        <f>IF(Q85="","",INDEX(希望入力!$I$2:$I$551,Q85)&amp;"")</f>
        <v/>
      </c>
      <c r="I85" s="44">
        <f>IF(Q85="","",INDEX(希望入力!$J$2:$J$551,Q85)&amp;"")</f>
        <v/>
      </c>
      <c r="J85" s="44">
        <f>IF(Q85="","",IF(G85="","要調整",IFERROR(IF(IF(OR(設定!$C$14="〇",設定!$C$14="○"),COUNTIFS($A$7:$A$456,"&gt;="&amp;A85,$G$7:$G$456,G85),COUNTIF($G$7:$G$456,G85))&lt;=(INDEX(設定!$Q$8:$Q$27,MATCH(G85,設定!$P$8:$P$27,0))+N(INDEX(設定!$R$8:$R$27,MATCH(G85,設定!$P$8:$P$27,0)))),G85,"要調整"),"要調整")))</f>
        <v/>
      </c>
      <c r="K85" s="40" t="n"/>
      <c r="L85" s="52">
        <f>IF(P85="","",IF(K85&lt;&gt;"",K85,IF(OR(J85="",J85="要調整"),"",J85)))</f>
        <v/>
      </c>
      <c r="M85" s="44">
        <f>IF(P85="","",IF(AND(計算用!$B$1=1,T85=""),"転出",IF(L85&lt;&gt;"","決定",IF(Q85="","未提出","要調整"))))</f>
        <v/>
      </c>
      <c r="N85" s="44">
        <f>IF(OR(M85&lt;&gt;"要調整",H85=""),"",IFERROR((INDEX(設定!$Q$8:$Q$27,MATCH(H85,設定!$P$8:$P$27,0))+N(INDEX(設定!$R$8:$R$27,MATCH(H85,設定!$P$8:$P$27,0))))-INDEX(定員チェック!$F$7:$F$26,MATCH(H85,設定!$P$8:$P$27,0))-COUNTIFS($M$7:$M$456,"要調整",$G$7:$G$456,H85),""))</f>
        <v/>
      </c>
      <c r="O85" s="44">
        <f>IF(OR(M85&lt;&gt;"要調整",I85=""),"",IFERROR((INDEX(設定!$Q$8:$Q$27,MATCH(I85,設定!$P$8:$P$27,0))+N(INDEX(設定!$R$8:$R$27,MATCH(I85,設定!$P$8:$P$27,0))))-INDEX(定員チェック!$F$7:$F$26,MATCH(I85,設定!$P$8:$P$27,0))-COUNTIFS($M$7:$M$456,"要調整",$G$7:$G$456,I85),""))</f>
        <v/>
      </c>
      <c r="P85" s="8">
        <f>IFERROR(MATCH(SMALL(前年度名簿!$G$2:$G$451,79),前年度名簿!$G$2:$G$451,0),"")</f>
        <v/>
      </c>
      <c r="Q85" s="8">
        <f>IF(R85="","",IFERROR(MATCH(R85,希望入力!$M$2:$M$551,0),""))</f>
        <v/>
      </c>
      <c r="R85" s="8">
        <f>IF(P85="","",INDEX(前年度名簿!$F$2:$F$451,P85))</f>
        <v/>
      </c>
      <c r="S85" s="8">
        <f>IF(P85="","",INDEX(前年度名簿!$I$2:$I$451,P85))</f>
        <v/>
      </c>
      <c r="T85" s="8">
        <f>IF(OR(P85="",計算用!$B$1=0),"",IFERROR(MATCH(S85,新年度名簿!$H$2:$H$451,0),""))</f>
        <v/>
      </c>
      <c r="U85" s="8">
        <f>IF(OR(L85="",M85="転出"),"",IFERROR(MATCH(L85,設定!$P$8:$P$27,0),""))</f>
        <v/>
      </c>
      <c r="V85" s="8">
        <f>IF(U85="","",COUNTIF($U$7:U85,U85))</f>
        <v/>
      </c>
      <c r="W85" s="8">
        <f>IF(U85="","",U85*1000+V85)</f>
        <v/>
      </c>
    </row>
    <row r="86">
      <c r="A86" s="44">
        <f>IF(P86="","",INDEX(前年度名簿!$H$2:$H$451,P86))</f>
        <v/>
      </c>
      <c r="B86" s="44">
        <f>IF(P86="","",IFERROR(INDEX(設定!$G$8:$G$31,INT(INDEX(前年度名簿!$G$2:$G$451,P86)/1000)),INDEX(前年度名簿!$A$2:$A$451,P86)&amp;INDEX(前年度名簿!$B$2:$B$451,P86)))</f>
        <v/>
      </c>
      <c r="C86" s="44">
        <f>IF(P86="","",INDEX(前年度名簿!$C$2:$C$451,P86))</f>
        <v/>
      </c>
      <c r="D86" s="3">
        <f>IF(P86="","",INDEX(前年度名簿!$D$2:$D$451,P86))</f>
        <v/>
      </c>
      <c r="E86" s="44">
        <f>IF(T86="","",INDEX(新年度名簿!$K$2:$K$451,T86))</f>
        <v/>
      </c>
      <c r="F86" s="44">
        <f>IF(T86="","",INDEX(新年度名簿!$C$2:$C$451,T86))</f>
        <v/>
      </c>
      <c r="G86" s="44">
        <f>IF(Q86="","",INDEX(希望入力!$H$2:$H$551,Q86)&amp;"")</f>
        <v/>
      </c>
      <c r="H86" s="44">
        <f>IF(Q86="","",INDEX(希望入力!$I$2:$I$551,Q86)&amp;"")</f>
        <v/>
      </c>
      <c r="I86" s="44">
        <f>IF(Q86="","",INDEX(希望入力!$J$2:$J$551,Q86)&amp;"")</f>
        <v/>
      </c>
      <c r="J86" s="44">
        <f>IF(Q86="","",IF(G86="","要調整",IFERROR(IF(IF(OR(設定!$C$14="〇",設定!$C$14="○"),COUNTIFS($A$7:$A$456,"&gt;="&amp;A86,$G$7:$G$456,G86),COUNTIF($G$7:$G$456,G86))&lt;=(INDEX(設定!$Q$8:$Q$27,MATCH(G86,設定!$P$8:$P$27,0))+N(INDEX(設定!$R$8:$R$27,MATCH(G86,設定!$P$8:$P$27,0)))),G86,"要調整"),"要調整")))</f>
        <v/>
      </c>
      <c r="K86" s="40" t="n"/>
      <c r="L86" s="52">
        <f>IF(P86="","",IF(K86&lt;&gt;"",K86,IF(OR(J86="",J86="要調整"),"",J86)))</f>
        <v/>
      </c>
      <c r="M86" s="44">
        <f>IF(P86="","",IF(AND(計算用!$B$1=1,T86=""),"転出",IF(L86&lt;&gt;"","決定",IF(Q86="","未提出","要調整"))))</f>
        <v/>
      </c>
      <c r="N86" s="44">
        <f>IF(OR(M86&lt;&gt;"要調整",H86=""),"",IFERROR((INDEX(設定!$Q$8:$Q$27,MATCH(H86,設定!$P$8:$P$27,0))+N(INDEX(設定!$R$8:$R$27,MATCH(H86,設定!$P$8:$P$27,0))))-INDEX(定員チェック!$F$7:$F$26,MATCH(H86,設定!$P$8:$P$27,0))-COUNTIFS($M$7:$M$456,"要調整",$G$7:$G$456,H86),""))</f>
        <v/>
      </c>
      <c r="O86" s="44">
        <f>IF(OR(M86&lt;&gt;"要調整",I86=""),"",IFERROR((INDEX(設定!$Q$8:$Q$27,MATCH(I86,設定!$P$8:$P$27,0))+N(INDEX(設定!$R$8:$R$27,MATCH(I86,設定!$P$8:$P$27,0))))-INDEX(定員チェック!$F$7:$F$26,MATCH(I86,設定!$P$8:$P$27,0))-COUNTIFS($M$7:$M$456,"要調整",$G$7:$G$456,I86),""))</f>
        <v/>
      </c>
      <c r="P86" s="8">
        <f>IFERROR(MATCH(SMALL(前年度名簿!$G$2:$G$451,80),前年度名簿!$G$2:$G$451,0),"")</f>
        <v/>
      </c>
      <c r="Q86" s="8">
        <f>IF(R86="","",IFERROR(MATCH(R86,希望入力!$M$2:$M$551,0),""))</f>
        <v/>
      </c>
      <c r="R86" s="8">
        <f>IF(P86="","",INDEX(前年度名簿!$F$2:$F$451,P86))</f>
        <v/>
      </c>
      <c r="S86" s="8">
        <f>IF(P86="","",INDEX(前年度名簿!$I$2:$I$451,P86))</f>
        <v/>
      </c>
      <c r="T86" s="8">
        <f>IF(OR(P86="",計算用!$B$1=0),"",IFERROR(MATCH(S86,新年度名簿!$H$2:$H$451,0),""))</f>
        <v/>
      </c>
      <c r="U86" s="8">
        <f>IF(OR(L86="",M86="転出"),"",IFERROR(MATCH(L86,設定!$P$8:$P$27,0),""))</f>
        <v/>
      </c>
      <c r="V86" s="8">
        <f>IF(U86="","",COUNTIF($U$7:U86,U86))</f>
        <v/>
      </c>
      <c r="W86" s="8">
        <f>IF(U86="","",U86*1000+V86)</f>
        <v/>
      </c>
    </row>
    <row r="87">
      <c r="A87" s="44">
        <f>IF(P87="","",INDEX(前年度名簿!$H$2:$H$451,P87))</f>
        <v/>
      </c>
      <c r="B87" s="44">
        <f>IF(P87="","",IFERROR(INDEX(設定!$G$8:$G$31,INT(INDEX(前年度名簿!$G$2:$G$451,P87)/1000)),INDEX(前年度名簿!$A$2:$A$451,P87)&amp;INDEX(前年度名簿!$B$2:$B$451,P87)))</f>
        <v/>
      </c>
      <c r="C87" s="44">
        <f>IF(P87="","",INDEX(前年度名簿!$C$2:$C$451,P87))</f>
        <v/>
      </c>
      <c r="D87" s="3">
        <f>IF(P87="","",INDEX(前年度名簿!$D$2:$D$451,P87))</f>
        <v/>
      </c>
      <c r="E87" s="44">
        <f>IF(T87="","",INDEX(新年度名簿!$K$2:$K$451,T87))</f>
        <v/>
      </c>
      <c r="F87" s="44">
        <f>IF(T87="","",INDEX(新年度名簿!$C$2:$C$451,T87))</f>
        <v/>
      </c>
      <c r="G87" s="44">
        <f>IF(Q87="","",INDEX(希望入力!$H$2:$H$551,Q87)&amp;"")</f>
        <v/>
      </c>
      <c r="H87" s="44">
        <f>IF(Q87="","",INDEX(希望入力!$I$2:$I$551,Q87)&amp;"")</f>
        <v/>
      </c>
      <c r="I87" s="44">
        <f>IF(Q87="","",INDEX(希望入力!$J$2:$J$551,Q87)&amp;"")</f>
        <v/>
      </c>
      <c r="J87" s="44">
        <f>IF(Q87="","",IF(G87="","要調整",IFERROR(IF(IF(OR(設定!$C$14="〇",設定!$C$14="○"),COUNTIFS($A$7:$A$456,"&gt;="&amp;A87,$G$7:$G$456,G87),COUNTIF($G$7:$G$456,G87))&lt;=(INDEX(設定!$Q$8:$Q$27,MATCH(G87,設定!$P$8:$P$27,0))+N(INDEX(設定!$R$8:$R$27,MATCH(G87,設定!$P$8:$P$27,0)))),G87,"要調整"),"要調整")))</f>
        <v/>
      </c>
      <c r="K87" s="40" t="n"/>
      <c r="L87" s="52">
        <f>IF(P87="","",IF(K87&lt;&gt;"",K87,IF(OR(J87="",J87="要調整"),"",J87)))</f>
        <v/>
      </c>
      <c r="M87" s="44">
        <f>IF(P87="","",IF(AND(計算用!$B$1=1,T87=""),"転出",IF(L87&lt;&gt;"","決定",IF(Q87="","未提出","要調整"))))</f>
        <v/>
      </c>
      <c r="N87" s="44">
        <f>IF(OR(M87&lt;&gt;"要調整",H87=""),"",IFERROR((INDEX(設定!$Q$8:$Q$27,MATCH(H87,設定!$P$8:$P$27,0))+N(INDEX(設定!$R$8:$R$27,MATCH(H87,設定!$P$8:$P$27,0))))-INDEX(定員チェック!$F$7:$F$26,MATCH(H87,設定!$P$8:$P$27,0))-COUNTIFS($M$7:$M$456,"要調整",$G$7:$G$456,H87),""))</f>
        <v/>
      </c>
      <c r="O87" s="44">
        <f>IF(OR(M87&lt;&gt;"要調整",I87=""),"",IFERROR((INDEX(設定!$Q$8:$Q$27,MATCH(I87,設定!$P$8:$P$27,0))+N(INDEX(設定!$R$8:$R$27,MATCH(I87,設定!$P$8:$P$27,0))))-INDEX(定員チェック!$F$7:$F$26,MATCH(I87,設定!$P$8:$P$27,0))-COUNTIFS($M$7:$M$456,"要調整",$G$7:$G$456,I87),""))</f>
        <v/>
      </c>
      <c r="P87" s="8">
        <f>IFERROR(MATCH(SMALL(前年度名簿!$G$2:$G$451,81),前年度名簿!$G$2:$G$451,0),"")</f>
        <v/>
      </c>
      <c r="Q87" s="8">
        <f>IF(R87="","",IFERROR(MATCH(R87,希望入力!$M$2:$M$551,0),""))</f>
        <v/>
      </c>
      <c r="R87" s="8">
        <f>IF(P87="","",INDEX(前年度名簿!$F$2:$F$451,P87))</f>
        <v/>
      </c>
      <c r="S87" s="8">
        <f>IF(P87="","",INDEX(前年度名簿!$I$2:$I$451,P87))</f>
        <v/>
      </c>
      <c r="T87" s="8">
        <f>IF(OR(P87="",計算用!$B$1=0),"",IFERROR(MATCH(S87,新年度名簿!$H$2:$H$451,0),""))</f>
        <v/>
      </c>
      <c r="U87" s="8">
        <f>IF(OR(L87="",M87="転出"),"",IFERROR(MATCH(L87,設定!$P$8:$P$27,0),""))</f>
        <v/>
      </c>
      <c r="V87" s="8">
        <f>IF(U87="","",COUNTIF($U$7:U87,U87))</f>
        <v/>
      </c>
      <c r="W87" s="8">
        <f>IF(U87="","",U87*1000+V87)</f>
        <v/>
      </c>
    </row>
    <row r="88">
      <c r="A88" s="44">
        <f>IF(P88="","",INDEX(前年度名簿!$H$2:$H$451,P88))</f>
        <v/>
      </c>
      <c r="B88" s="44">
        <f>IF(P88="","",IFERROR(INDEX(設定!$G$8:$G$31,INT(INDEX(前年度名簿!$G$2:$G$451,P88)/1000)),INDEX(前年度名簿!$A$2:$A$451,P88)&amp;INDEX(前年度名簿!$B$2:$B$451,P88)))</f>
        <v/>
      </c>
      <c r="C88" s="44">
        <f>IF(P88="","",INDEX(前年度名簿!$C$2:$C$451,P88))</f>
        <v/>
      </c>
      <c r="D88" s="3">
        <f>IF(P88="","",INDEX(前年度名簿!$D$2:$D$451,P88))</f>
        <v/>
      </c>
      <c r="E88" s="44">
        <f>IF(T88="","",INDEX(新年度名簿!$K$2:$K$451,T88))</f>
        <v/>
      </c>
      <c r="F88" s="44">
        <f>IF(T88="","",INDEX(新年度名簿!$C$2:$C$451,T88))</f>
        <v/>
      </c>
      <c r="G88" s="44">
        <f>IF(Q88="","",INDEX(希望入力!$H$2:$H$551,Q88)&amp;"")</f>
        <v/>
      </c>
      <c r="H88" s="44">
        <f>IF(Q88="","",INDEX(希望入力!$I$2:$I$551,Q88)&amp;"")</f>
        <v/>
      </c>
      <c r="I88" s="44">
        <f>IF(Q88="","",INDEX(希望入力!$J$2:$J$551,Q88)&amp;"")</f>
        <v/>
      </c>
      <c r="J88" s="44">
        <f>IF(Q88="","",IF(G88="","要調整",IFERROR(IF(IF(OR(設定!$C$14="〇",設定!$C$14="○"),COUNTIFS($A$7:$A$456,"&gt;="&amp;A88,$G$7:$G$456,G88),COUNTIF($G$7:$G$456,G88))&lt;=(INDEX(設定!$Q$8:$Q$27,MATCH(G88,設定!$P$8:$P$27,0))+N(INDEX(設定!$R$8:$R$27,MATCH(G88,設定!$P$8:$P$27,0)))),G88,"要調整"),"要調整")))</f>
        <v/>
      </c>
      <c r="K88" s="40" t="n"/>
      <c r="L88" s="52">
        <f>IF(P88="","",IF(K88&lt;&gt;"",K88,IF(OR(J88="",J88="要調整"),"",J88)))</f>
        <v/>
      </c>
      <c r="M88" s="44">
        <f>IF(P88="","",IF(AND(計算用!$B$1=1,T88=""),"転出",IF(L88&lt;&gt;"","決定",IF(Q88="","未提出","要調整"))))</f>
        <v/>
      </c>
      <c r="N88" s="44">
        <f>IF(OR(M88&lt;&gt;"要調整",H88=""),"",IFERROR((INDEX(設定!$Q$8:$Q$27,MATCH(H88,設定!$P$8:$P$27,0))+N(INDEX(設定!$R$8:$R$27,MATCH(H88,設定!$P$8:$P$27,0))))-INDEX(定員チェック!$F$7:$F$26,MATCH(H88,設定!$P$8:$P$27,0))-COUNTIFS($M$7:$M$456,"要調整",$G$7:$G$456,H88),""))</f>
        <v/>
      </c>
      <c r="O88" s="44">
        <f>IF(OR(M88&lt;&gt;"要調整",I88=""),"",IFERROR((INDEX(設定!$Q$8:$Q$27,MATCH(I88,設定!$P$8:$P$27,0))+N(INDEX(設定!$R$8:$R$27,MATCH(I88,設定!$P$8:$P$27,0))))-INDEX(定員チェック!$F$7:$F$26,MATCH(I88,設定!$P$8:$P$27,0))-COUNTIFS($M$7:$M$456,"要調整",$G$7:$G$456,I88),""))</f>
        <v/>
      </c>
      <c r="P88" s="8">
        <f>IFERROR(MATCH(SMALL(前年度名簿!$G$2:$G$451,82),前年度名簿!$G$2:$G$451,0),"")</f>
        <v/>
      </c>
      <c r="Q88" s="8">
        <f>IF(R88="","",IFERROR(MATCH(R88,希望入力!$M$2:$M$551,0),""))</f>
        <v/>
      </c>
      <c r="R88" s="8">
        <f>IF(P88="","",INDEX(前年度名簿!$F$2:$F$451,P88))</f>
        <v/>
      </c>
      <c r="S88" s="8">
        <f>IF(P88="","",INDEX(前年度名簿!$I$2:$I$451,P88))</f>
        <v/>
      </c>
      <c r="T88" s="8">
        <f>IF(OR(P88="",計算用!$B$1=0),"",IFERROR(MATCH(S88,新年度名簿!$H$2:$H$451,0),""))</f>
        <v/>
      </c>
      <c r="U88" s="8">
        <f>IF(OR(L88="",M88="転出"),"",IFERROR(MATCH(L88,設定!$P$8:$P$27,0),""))</f>
        <v/>
      </c>
      <c r="V88" s="8">
        <f>IF(U88="","",COUNTIF($U$7:U88,U88))</f>
        <v/>
      </c>
      <c r="W88" s="8">
        <f>IF(U88="","",U88*1000+V88)</f>
        <v/>
      </c>
    </row>
    <row r="89">
      <c r="A89" s="44">
        <f>IF(P89="","",INDEX(前年度名簿!$H$2:$H$451,P89))</f>
        <v/>
      </c>
      <c r="B89" s="44">
        <f>IF(P89="","",IFERROR(INDEX(設定!$G$8:$G$31,INT(INDEX(前年度名簿!$G$2:$G$451,P89)/1000)),INDEX(前年度名簿!$A$2:$A$451,P89)&amp;INDEX(前年度名簿!$B$2:$B$451,P89)))</f>
        <v/>
      </c>
      <c r="C89" s="44">
        <f>IF(P89="","",INDEX(前年度名簿!$C$2:$C$451,P89))</f>
        <v/>
      </c>
      <c r="D89" s="3">
        <f>IF(P89="","",INDEX(前年度名簿!$D$2:$D$451,P89))</f>
        <v/>
      </c>
      <c r="E89" s="44">
        <f>IF(T89="","",INDEX(新年度名簿!$K$2:$K$451,T89))</f>
        <v/>
      </c>
      <c r="F89" s="44">
        <f>IF(T89="","",INDEX(新年度名簿!$C$2:$C$451,T89))</f>
        <v/>
      </c>
      <c r="G89" s="44">
        <f>IF(Q89="","",INDEX(希望入力!$H$2:$H$551,Q89)&amp;"")</f>
        <v/>
      </c>
      <c r="H89" s="44">
        <f>IF(Q89="","",INDEX(希望入力!$I$2:$I$551,Q89)&amp;"")</f>
        <v/>
      </c>
      <c r="I89" s="44">
        <f>IF(Q89="","",INDEX(希望入力!$J$2:$J$551,Q89)&amp;"")</f>
        <v/>
      </c>
      <c r="J89" s="44">
        <f>IF(Q89="","",IF(G89="","要調整",IFERROR(IF(IF(OR(設定!$C$14="〇",設定!$C$14="○"),COUNTIFS($A$7:$A$456,"&gt;="&amp;A89,$G$7:$G$456,G89),COUNTIF($G$7:$G$456,G89))&lt;=(INDEX(設定!$Q$8:$Q$27,MATCH(G89,設定!$P$8:$P$27,0))+N(INDEX(設定!$R$8:$R$27,MATCH(G89,設定!$P$8:$P$27,0)))),G89,"要調整"),"要調整")))</f>
        <v/>
      </c>
      <c r="K89" s="40" t="n"/>
      <c r="L89" s="52">
        <f>IF(P89="","",IF(K89&lt;&gt;"",K89,IF(OR(J89="",J89="要調整"),"",J89)))</f>
        <v/>
      </c>
      <c r="M89" s="44">
        <f>IF(P89="","",IF(AND(計算用!$B$1=1,T89=""),"転出",IF(L89&lt;&gt;"","決定",IF(Q89="","未提出","要調整"))))</f>
        <v/>
      </c>
      <c r="N89" s="44">
        <f>IF(OR(M89&lt;&gt;"要調整",H89=""),"",IFERROR((INDEX(設定!$Q$8:$Q$27,MATCH(H89,設定!$P$8:$P$27,0))+N(INDEX(設定!$R$8:$R$27,MATCH(H89,設定!$P$8:$P$27,0))))-INDEX(定員チェック!$F$7:$F$26,MATCH(H89,設定!$P$8:$P$27,0))-COUNTIFS($M$7:$M$456,"要調整",$G$7:$G$456,H89),""))</f>
        <v/>
      </c>
      <c r="O89" s="44">
        <f>IF(OR(M89&lt;&gt;"要調整",I89=""),"",IFERROR((INDEX(設定!$Q$8:$Q$27,MATCH(I89,設定!$P$8:$P$27,0))+N(INDEX(設定!$R$8:$R$27,MATCH(I89,設定!$P$8:$P$27,0))))-INDEX(定員チェック!$F$7:$F$26,MATCH(I89,設定!$P$8:$P$27,0))-COUNTIFS($M$7:$M$456,"要調整",$G$7:$G$456,I89),""))</f>
        <v/>
      </c>
      <c r="P89" s="8">
        <f>IFERROR(MATCH(SMALL(前年度名簿!$G$2:$G$451,83),前年度名簿!$G$2:$G$451,0),"")</f>
        <v/>
      </c>
      <c r="Q89" s="8">
        <f>IF(R89="","",IFERROR(MATCH(R89,希望入力!$M$2:$M$551,0),""))</f>
        <v/>
      </c>
      <c r="R89" s="8">
        <f>IF(P89="","",INDEX(前年度名簿!$F$2:$F$451,P89))</f>
        <v/>
      </c>
      <c r="S89" s="8">
        <f>IF(P89="","",INDEX(前年度名簿!$I$2:$I$451,P89))</f>
        <v/>
      </c>
      <c r="T89" s="8">
        <f>IF(OR(P89="",計算用!$B$1=0),"",IFERROR(MATCH(S89,新年度名簿!$H$2:$H$451,0),""))</f>
        <v/>
      </c>
      <c r="U89" s="8">
        <f>IF(OR(L89="",M89="転出"),"",IFERROR(MATCH(L89,設定!$P$8:$P$27,0),""))</f>
        <v/>
      </c>
      <c r="V89" s="8">
        <f>IF(U89="","",COUNTIF($U$7:U89,U89))</f>
        <v/>
      </c>
      <c r="W89" s="8">
        <f>IF(U89="","",U89*1000+V89)</f>
        <v/>
      </c>
    </row>
    <row r="90">
      <c r="A90" s="44">
        <f>IF(P90="","",INDEX(前年度名簿!$H$2:$H$451,P90))</f>
        <v/>
      </c>
      <c r="B90" s="44">
        <f>IF(P90="","",IFERROR(INDEX(設定!$G$8:$G$31,INT(INDEX(前年度名簿!$G$2:$G$451,P90)/1000)),INDEX(前年度名簿!$A$2:$A$451,P90)&amp;INDEX(前年度名簿!$B$2:$B$451,P90)))</f>
        <v/>
      </c>
      <c r="C90" s="44">
        <f>IF(P90="","",INDEX(前年度名簿!$C$2:$C$451,P90))</f>
        <v/>
      </c>
      <c r="D90" s="3">
        <f>IF(P90="","",INDEX(前年度名簿!$D$2:$D$451,P90))</f>
        <v/>
      </c>
      <c r="E90" s="44">
        <f>IF(T90="","",INDEX(新年度名簿!$K$2:$K$451,T90))</f>
        <v/>
      </c>
      <c r="F90" s="44">
        <f>IF(T90="","",INDEX(新年度名簿!$C$2:$C$451,T90))</f>
        <v/>
      </c>
      <c r="G90" s="44">
        <f>IF(Q90="","",INDEX(希望入力!$H$2:$H$551,Q90)&amp;"")</f>
        <v/>
      </c>
      <c r="H90" s="44">
        <f>IF(Q90="","",INDEX(希望入力!$I$2:$I$551,Q90)&amp;"")</f>
        <v/>
      </c>
      <c r="I90" s="44">
        <f>IF(Q90="","",INDEX(希望入力!$J$2:$J$551,Q90)&amp;"")</f>
        <v/>
      </c>
      <c r="J90" s="44">
        <f>IF(Q90="","",IF(G90="","要調整",IFERROR(IF(IF(OR(設定!$C$14="〇",設定!$C$14="○"),COUNTIFS($A$7:$A$456,"&gt;="&amp;A90,$G$7:$G$456,G90),COUNTIF($G$7:$G$456,G90))&lt;=(INDEX(設定!$Q$8:$Q$27,MATCH(G90,設定!$P$8:$P$27,0))+N(INDEX(設定!$R$8:$R$27,MATCH(G90,設定!$P$8:$P$27,0)))),G90,"要調整"),"要調整")))</f>
        <v/>
      </c>
      <c r="K90" s="40" t="n"/>
      <c r="L90" s="52">
        <f>IF(P90="","",IF(K90&lt;&gt;"",K90,IF(OR(J90="",J90="要調整"),"",J90)))</f>
        <v/>
      </c>
      <c r="M90" s="44">
        <f>IF(P90="","",IF(AND(計算用!$B$1=1,T90=""),"転出",IF(L90&lt;&gt;"","決定",IF(Q90="","未提出","要調整"))))</f>
        <v/>
      </c>
      <c r="N90" s="44">
        <f>IF(OR(M90&lt;&gt;"要調整",H90=""),"",IFERROR((INDEX(設定!$Q$8:$Q$27,MATCH(H90,設定!$P$8:$P$27,0))+N(INDEX(設定!$R$8:$R$27,MATCH(H90,設定!$P$8:$P$27,0))))-INDEX(定員チェック!$F$7:$F$26,MATCH(H90,設定!$P$8:$P$27,0))-COUNTIFS($M$7:$M$456,"要調整",$G$7:$G$456,H90),""))</f>
        <v/>
      </c>
      <c r="O90" s="44">
        <f>IF(OR(M90&lt;&gt;"要調整",I90=""),"",IFERROR((INDEX(設定!$Q$8:$Q$27,MATCH(I90,設定!$P$8:$P$27,0))+N(INDEX(設定!$R$8:$R$27,MATCH(I90,設定!$P$8:$P$27,0))))-INDEX(定員チェック!$F$7:$F$26,MATCH(I90,設定!$P$8:$P$27,0))-COUNTIFS($M$7:$M$456,"要調整",$G$7:$G$456,I90),""))</f>
        <v/>
      </c>
      <c r="P90" s="8">
        <f>IFERROR(MATCH(SMALL(前年度名簿!$G$2:$G$451,84),前年度名簿!$G$2:$G$451,0),"")</f>
        <v/>
      </c>
      <c r="Q90" s="8">
        <f>IF(R90="","",IFERROR(MATCH(R90,希望入力!$M$2:$M$551,0),""))</f>
        <v/>
      </c>
      <c r="R90" s="8">
        <f>IF(P90="","",INDEX(前年度名簿!$F$2:$F$451,P90))</f>
        <v/>
      </c>
      <c r="S90" s="8">
        <f>IF(P90="","",INDEX(前年度名簿!$I$2:$I$451,P90))</f>
        <v/>
      </c>
      <c r="T90" s="8">
        <f>IF(OR(P90="",計算用!$B$1=0),"",IFERROR(MATCH(S90,新年度名簿!$H$2:$H$451,0),""))</f>
        <v/>
      </c>
      <c r="U90" s="8">
        <f>IF(OR(L90="",M90="転出"),"",IFERROR(MATCH(L90,設定!$P$8:$P$27,0),""))</f>
        <v/>
      </c>
      <c r="V90" s="8">
        <f>IF(U90="","",COUNTIF($U$7:U90,U90))</f>
        <v/>
      </c>
      <c r="W90" s="8">
        <f>IF(U90="","",U90*1000+V90)</f>
        <v/>
      </c>
    </row>
    <row r="91">
      <c r="A91" s="44">
        <f>IF(P91="","",INDEX(前年度名簿!$H$2:$H$451,P91))</f>
        <v/>
      </c>
      <c r="B91" s="44">
        <f>IF(P91="","",IFERROR(INDEX(設定!$G$8:$G$31,INT(INDEX(前年度名簿!$G$2:$G$451,P91)/1000)),INDEX(前年度名簿!$A$2:$A$451,P91)&amp;INDEX(前年度名簿!$B$2:$B$451,P91)))</f>
        <v/>
      </c>
      <c r="C91" s="44">
        <f>IF(P91="","",INDEX(前年度名簿!$C$2:$C$451,P91))</f>
        <v/>
      </c>
      <c r="D91" s="3">
        <f>IF(P91="","",INDEX(前年度名簿!$D$2:$D$451,P91))</f>
        <v/>
      </c>
      <c r="E91" s="44">
        <f>IF(T91="","",INDEX(新年度名簿!$K$2:$K$451,T91))</f>
        <v/>
      </c>
      <c r="F91" s="44">
        <f>IF(T91="","",INDEX(新年度名簿!$C$2:$C$451,T91))</f>
        <v/>
      </c>
      <c r="G91" s="44">
        <f>IF(Q91="","",INDEX(希望入力!$H$2:$H$551,Q91)&amp;"")</f>
        <v/>
      </c>
      <c r="H91" s="44">
        <f>IF(Q91="","",INDEX(希望入力!$I$2:$I$551,Q91)&amp;"")</f>
        <v/>
      </c>
      <c r="I91" s="44">
        <f>IF(Q91="","",INDEX(希望入力!$J$2:$J$551,Q91)&amp;"")</f>
        <v/>
      </c>
      <c r="J91" s="44">
        <f>IF(Q91="","",IF(G91="","要調整",IFERROR(IF(IF(OR(設定!$C$14="〇",設定!$C$14="○"),COUNTIFS($A$7:$A$456,"&gt;="&amp;A91,$G$7:$G$456,G91),COUNTIF($G$7:$G$456,G91))&lt;=(INDEX(設定!$Q$8:$Q$27,MATCH(G91,設定!$P$8:$P$27,0))+N(INDEX(設定!$R$8:$R$27,MATCH(G91,設定!$P$8:$P$27,0)))),G91,"要調整"),"要調整")))</f>
        <v/>
      </c>
      <c r="K91" s="40" t="n"/>
      <c r="L91" s="52">
        <f>IF(P91="","",IF(K91&lt;&gt;"",K91,IF(OR(J91="",J91="要調整"),"",J91)))</f>
        <v/>
      </c>
      <c r="M91" s="44">
        <f>IF(P91="","",IF(AND(計算用!$B$1=1,T91=""),"転出",IF(L91&lt;&gt;"","決定",IF(Q91="","未提出","要調整"))))</f>
        <v/>
      </c>
      <c r="N91" s="44">
        <f>IF(OR(M91&lt;&gt;"要調整",H91=""),"",IFERROR((INDEX(設定!$Q$8:$Q$27,MATCH(H91,設定!$P$8:$P$27,0))+N(INDEX(設定!$R$8:$R$27,MATCH(H91,設定!$P$8:$P$27,0))))-INDEX(定員チェック!$F$7:$F$26,MATCH(H91,設定!$P$8:$P$27,0))-COUNTIFS($M$7:$M$456,"要調整",$G$7:$G$456,H91),""))</f>
        <v/>
      </c>
      <c r="O91" s="44">
        <f>IF(OR(M91&lt;&gt;"要調整",I91=""),"",IFERROR((INDEX(設定!$Q$8:$Q$27,MATCH(I91,設定!$P$8:$P$27,0))+N(INDEX(設定!$R$8:$R$27,MATCH(I91,設定!$P$8:$P$27,0))))-INDEX(定員チェック!$F$7:$F$26,MATCH(I91,設定!$P$8:$P$27,0))-COUNTIFS($M$7:$M$456,"要調整",$G$7:$G$456,I91),""))</f>
        <v/>
      </c>
      <c r="P91" s="8">
        <f>IFERROR(MATCH(SMALL(前年度名簿!$G$2:$G$451,85),前年度名簿!$G$2:$G$451,0),"")</f>
        <v/>
      </c>
      <c r="Q91" s="8">
        <f>IF(R91="","",IFERROR(MATCH(R91,希望入力!$M$2:$M$551,0),""))</f>
        <v/>
      </c>
      <c r="R91" s="8">
        <f>IF(P91="","",INDEX(前年度名簿!$F$2:$F$451,P91))</f>
        <v/>
      </c>
      <c r="S91" s="8">
        <f>IF(P91="","",INDEX(前年度名簿!$I$2:$I$451,P91))</f>
        <v/>
      </c>
      <c r="T91" s="8">
        <f>IF(OR(P91="",計算用!$B$1=0),"",IFERROR(MATCH(S91,新年度名簿!$H$2:$H$451,0),""))</f>
        <v/>
      </c>
      <c r="U91" s="8">
        <f>IF(OR(L91="",M91="転出"),"",IFERROR(MATCH(L91,設定!$P$8:$P$27,0),""))</f>
        <v/>
      </c>
      <c r="V91" s="8">
        <f>IF(U91="","",COUNTIF($U$7:U91,U91))</f>
        <v/>
      </c>
      <c r="W91" s="8">
        <f>IF(U91="","",U91*1000+V91)</f>
        <v/>
      </c>
    </row>
    <row r="92">
      <c r="A92" s="44">
        <f>IF(P92="","",INDEX(前年度名簿!$H$2:$H$451,P92))</f>
        <v/>
      </c>
      <c r="B92" s="44">
        <f>IF(P92="","",IFERROR(INDEX(設定!$G$8:$G$31,INT(INDEX(前年度名簿!$G$2:$G$451,P92)/1000)),INDEX(前年度名簿!$A$2:$A$451,P92)&amp;INDEX(前年度名簿!$B$2:$B$451,P92)))</f>
        <v/>
      </c>
      <c r="C92" s="44">
        <f>IF(P92="","",INDEX(前年度名簿!$C$2:$C$451,P92))</f>
        <v/>
      </c>
      <c r="D92" s="3">
        <f>IF(P92="","",INDEX(前年度名簿!$D$2:$D$451,P92))</f>
        <v/>
      </c>
      <c r="E92" s="44">
        <f>IF(T92="","",INDEX(新年度名簿!$K$2:$K$451,T92))</f>
        <v/>
      </c>
      <c r="F92" s="44">
        <f>IF(T92="","",INDEX(新年度名簿!$C$2:$C$451,T92))</f>
        <v/>
      </c>
      <c r="G92" s="44">
        <f>IF(Q92="","",INDEX(希望入力!$H$2:$H$551,Q92)&amp;"")</f>
        <v/>
      </c>
      <c r="H92" s="44">
        <f>IF(Q92="","",INDEX(希望入力!$I$2:$I$551,Q92)&amp;"")</f>
        <v/>
      </c>
      <c r="I92" s="44">
        <f>IF(Q92="","",INDEX(希望入力!$J$2:$J$551,Q92)&amp;"")</f>
        <v/>
      </c>
      <c r="J92" s="44">
        <f>IF(Q92="","",IF(G92="","要調整",IFERROR(IF(IF(OR(設定!$C$14="〇",設定!$C$14="○"),COUNTIFS($A$7:$A$456,"&gt;="&amp;A92,$G$7:$G$456,G92),COUNTIF($G$7:$G$456,G92))&lt;=(INDEX(設定!$Q$8:$Q$27,MATCH(G92,設定!$P$8:$P$27,0))+N(INDEX(設定!$R$8:$R$27,MATCH(G92,設定!$P$8:$P$27,0)))),G92,"要調整"),"要調整")))</f>
        <v/>
      </c>
      <c r="K92" s="40" t="n"/>
      <c r="L92" s="52">
        <f>IF(P92="","",IF(K92&lt;&gt;"",K92,IF(OR(J92="",J92="要調整"),"",J92)))</f>
        <v/>
      </c>
      <c r="M92" s="44">
        <f>IF(P92="","",IF(AND(計算用!$B$1=1,T92=""),"転出",IF(L92&lt;&gt;"","決定",IF(Q92="","未提出","要調整"))))</f>
        <v/>
      </c>
      <c r="N92" s="44">
        <f>IF(OR(M92&lt;&gt;"要調整",H92=""),"",IFERROR((INDEX(設定!$Q$8:$Q$27,MATCH(H92,設定!$P$8:$P$27,0))+N(INDEX(設定!$R$8:$R$27,MATCH(H92,設定!$P$8:$P$27,0))))-INDEX(定員チェック!$F$7:$F$26,MATCH(H92,設定!$P$8:$P$27,0))-COUNTIFS($M$7:$M$456,"要調整",$G$7:$G$456,H92),""))</f>
        <v/>
      </c>
      <c r="O92" s="44">
        <f>IF(OR(M92&lt;&gt;"要調整",I92=""),"",IFERROR((INDEX(設定!$Q$8:$Q$27,MATCH(I92,設定!$P$8:$P$27,0))+N(INDEX(設定!$R$8:$R$27,MATCH(I92,設定!$P$8:$P$27,0))))-INDEX(定員チェック!$F$7:$F$26,MATCH(I92,設定!$P$8:$P$27,0))-COUNTIFS($M$7:$M$456,"要調整",$G$7:$G$456,I92),""))</f>
        <v/>
      </c>
      <c r="P92" s="8">
        <f>IFERROR(MATCH(SMALL(前年度名簿!$G$2:$G$451,86),前年度名簿!$G$2:$G$451,0),"")</f>
        <v/>
      </c>
      <c r="Q92" s="8">
        <f>IF(R92="","",IFERROR(MATCH(R92,希望入力!$M$2:$M$551,0),""))</f>
        <v/>
      </c>
      <c r="R92" s="8">
        <f>IF(P92="","",INDEX(前年度名簿!$F$2:$F$451,P92))</f>
        <v/>
      </c>
      <c r="S92" s="8">
        <f>IF(P92="","",INDEX(前年度名簿!$I$2:$I$451,P92))</f>
        <v/>
      </c>
      <c r="T92" s="8">
        <f>IF(OR(P92="",計算用!$B$1=0),"",IFERROR(MATCH(S92,新年度名簿!$H$2:$H$451,0),""))</f>
        <v/>
      </c>
      <c r="U92" s="8">
        <f>IF(OR(L92="",M92="転出"),"",IFERROR(MATCH(L92,設定!$P$8:$P$27,0),""))</f>
        <v/>
      </c>
      <c r="V92" s="8">
        <f>IF(U92="","",COUNTIF($U$7:U92,U92))</f>
        <v/>
      </c>
      <c r="W92" s="8">
        <f>IF(U92="","",U92*1000+V92)</f>
        <v/>
      </c>
    </row>
    <row r="93">
      <c r="A93" s="44">
        <f>IF(P93="","",INDEX(前年度名簿!$H$2:$H$451,P93))</f>
        <v/>
      </c>
      <c r="B93" s="44">
        <f>IF(P93="","",IFERROR(INDEX(設定!$G$8:$G$31,INT(INDEX(前年度名簿!$G$2:$G$451,P93)/1000)),INDEX(前年度名簿!$A$2:$A$451,P93)&amp;INDEX(前年度名簿!$B$2:$B$451,P93)))</f>
        <v/>
      </c>
      <c r="C93" s="44">
        <f>IF(P93="","",INDEX(前年度名簿!$C$2:$C$451,P93))</f>
        <v/>
      </c>
      <c r="D93" s="3">
        <f>IF(P93="","",INDEX(前年度名簿!$D$2:$D$451,P93))</f>
        <v/>
      </c>
      <c r="E93" s="44">
        <f>IF(T93="","",INDEX(新年度名簿!$K$2:$K$451,T93))</f>
        <v/>
      </c>
      <c r="F93" s="44">
        <f>IF(T93="","",INDEX(新年度名簿!$C$2:$C$451,T93))</f>
        <v/>
      </c>
      <c r="G93" s="44">
        <f>IF(Q93="","",INDEX(希望入力!$H$2:$H$551,Q93)&amp;"")</f>
        <v/>
      </c>
      <c r="H93" s="44">
        <f>IF(Q93="","",INDEX(希望入力!$I$2:$I$551,Q93)&amp;"")</f>
        <v/>
      </c>
      <c r="I93" s="44">
        <f>IF(Q93="","",INDEX(希望入力!$J$2:$J$551,Q93)&amp;"")</f>
        <v/>
      </c>
      <c r="J93" s="44">
        <f>IF(Q93="","",IF(G93="","要調整",IFERROR(IF(IF(OR(設定!$C$14="〇",設定!$C$14="○"),COUNTIFS($A$7:$A$456,"&gt;="&amp;A93,$G$7:$G$456,G93),COUNTIF($G$7:$G$456,G93))&lt;=(INDEX(設定!$Q$8:$Q$27,MATCH(G93,設定!$P$8:$P$27,0))+N(INDEX(設定!$R$8:$R$27,MATCH(G93,設定!$P$8:$P$27,0)))),G93,"要調整"),"要調整")))</f>
        <v/>
      </c>
      <c r="K93" s="40" t="n"/>
      <c r="L93" s="52">
        <f>IF(P93="","",IF(K93&lt;&gt;"",K93,IF(OR(J93="",J93="要調整"),"",J93)))</f>
        <v/>
      </c>
      <c r="M93" s="44">
        <f>IF(P93="","",IF(AND(計算用!$B$1=1,T93=""),"転出",IF(L93&lt;&gt;"","決定",IF(Q93="","未提出","要調整"))))</f>
        <v/>
      </c>
      <c r="N93" s="44">
        <f>IF(OR(M93&lt;&gt;"要調整",H93=""),"",IFERROR((INDEX(設定!$Q$8:$Q$27,MATCH(H93,設定!$P$8:$P$27,0))+N(INDEX(設定!$R$8:$R$27,MATCH(H93,設定!$P$8:$P$27,0))))-INDEX(定員チェック!$F$7:$F$26,MATCH(H93,設定!$P$8:$P$27,0))-COUNTIFS($M$7:$M$456,"要調整",$G$7:$G$456,H93),""))</f>
        <v/>
      </c>
      <c r="O93" s="44">
        <f>IF(OR(M93&lt;&gt;"要調整",I93=""),"",IFERROR((INDEX(設定!$Q$8:$Q$27,MATCH(I93,設定!$P$8:$P$27,0))+N(INDEX(設定!$R$8:$R$27,MATCH(I93,設定!$P$8:$P$27,0))))-INDEX(定員チェック!$F$7:$F$26,MATCH(I93,設定!$P$8:$P$27,0))-COUNTIFS($M$7:$M$456,"要調整",$G$7:$G$456,I93),""))</f>
        <v/>
      </c>
      <c r="P93" s="8">
        <f>IFERROR(MATCH(SMALL(前年度名簿!$G$2:$G$451,87),前年度名簿!$G$2:$G$451,0),"")</f>
        <v/>
      </c>
      <c r="Q93" s="8">
        <f>IF(R93="","",IFERROR(MATCH(R93,希望入力!$M$2:$M$551,0),""))</f>
        <v/>
      </c>
      <c r="R93" s="8">
        <f>IF(P93="","",INDEX(前年度名簿!$F$2:$F$451,P93))</f>
        <v/>
      </c>
      <c r="S93" s="8">
        <f>IF(P93="","",INDEX(前年度名簿!$I$2:$I$451,P93))</f>
        <v/>
      </c>
      <c r="T93" s="8">
        <f>IF(OR(P93="",計算用!$B$1=0),"",IFERROR(MATCH(S93,新年度名簿!$H$2:$H$451,0),""))</f>
        <v/>
      </c>
      <c r="U93" s="8">
        <f>IF(OR(L93="",M93="転出"),"",IFERROR(MATCH(L93,設定!$P$8:$P$27,0),""))</f>
        <v/>
      </c>
      <c r="V93" s="8">
        <f>IF(U93="","",COUNTIF($U$7:U93,U93))</f>
        <v/>
      </c>
      <c r="W93" s="8">
        <f>IF(U93="","",U93*1000+V93)</f>
        <v/>
      </c>
    </row>
    <row r="94">
      <c r="A94" s="44">
        <f>IF(P94="","",INDEX(前年度名簿!$H$2:$H$451,P94))</f>
        <v/>
      </c>
      <c r="B94" s="44">
        <f>IF(P94="","",IFERROR(INDEX(設定!$G$8:$G$31,INT(INDEX(前年度名簿!$G$2:$G$451,P94)/1000)),INDEX(前年度名簿!$A$2:$A$451,P94)&amp;INDEX(前年度名簿!$B$2:$B$451,P94)))</f>
        <v/>
      </c>
      <c r="C94" s="44">
        <f>IF(P94="","",INDEX(前年度名簿!$C$2:$C$451,P94))</f>
        <v/>
      </c>
      <c r="D94" s="3">
        <f>IF(P94="","",INDEX(前年度名簿!$D$2:$D$451,P94))</f>
        <v/>
      </c>
      <c r="E94" s="44">
        <f>IF(T94="","",INDEX(新年度名簿!$K$2:$K$451,T94))</f>
        <v/>
      </c>
      <c r="F94" s="44">
        <f>IF(T94="","",INDEX(新年度名簿!$C$2:$C$451,T94))</f>
        <v/>
      </c>
      <c r="G94" s="44">
        <f>IF(Q94="","",INDEX(希望入力!$H$2:$H$551,Q94)&amp;"")</f>
        <v/>
      </c>
      <c r="H94" s="44">
        <f>IF(Q94="","",INDEX(希望入力!$I$2:$I$551,Q94)&amp;"")</f>
        <v/>
      </c>
      <c r="I94" s="44">
        <f>IF(Q94="","",INDEX(希望入力!$J$2:$J$551,Q94)&amp;"")</f>
        <v/>
      </c>
      <c r="J94" s="44">
        <f>IF(Q94="","",IF(G94="","要調整",IFERROR(IF(IF(OR(設定!$C$14="〇",設定!$C$14="○"),COUNTIFS($A$7:$A$456,"&gt;="&amp;A94,$G$7:$G$456,G94),COUNTIF($G$7:$G$456,G94))&lt;=(INDEX(設定!$Q$8:$Q$27,MATCH(G94,設定!$P$8:$P$27,0))+N(INDEX(設定!$R$8:$R$27,MATCH(G94,設定!$P$8:$P$27,0)))),G94,"要調整"),"要調整")))</f>
        <v/>
      </c>
      <c r="K94" s="40" t="n"/>
      <c r="L94" s="52">
        <f>IF(P94="","",IF(K94&lt;&gt;"",K94,IF(OR(J94="",J94="要調整"),"",J94)))</f>
        <v/>
      </c>
      <c r="M94" s="44">
        <f>IF(P94="","",IF(AND(計算用!$B$1=1,T94=""),"転出",IF(L94&lt;&gt;"","決定",IF(Q94="","未提出","要調整"))))</f>
        <v/>
      </c>
      <c r="N94" s="44">
        <f>IF(OR(M94&lt;&gt;"要調整",H94=""),"",IFERROR((INDEX(設定!$Q$8:$Q$27,MATCH(H94,設定!$P$8:$P$27,0))+N(INDEX(設定!$R$8:$R$27,MATCH(H94,設定!$P$8:$P$27,0))))-INDEX(定員チェック!$F$7:$F$26,MATCH(H94,設定!$P$8:$P$27,0))-COUNTIFS($M$7:$M$456,"要調整",$G$7:$G$456,H94),""))</f>
        <v/>
      </c>
      <c r="O94" s="44">
        <f>IF(OR(M94&lt;&gt;"要調整",I94=""),"",IFERROR((INDEX(設定!$Q$8:$Q$27,MATCH(I94,設定!$P$8:$P$27,0))+N(INDEX(設定!$R$8:$R$27,MATCH(I94,設定!$P$8:$P$27,0))))-INDEX(定員チェック!$F$7:$F$26,MATCH(I94,設定!$P$8:$P$27,0))-COUNTIFS($M$7:$M$456,"要調整",$G$7:$G$456,I94),""))</f>
        <v/>
      </c>
      <c r="P94" s="8">
        <f>IFERROR(MATCH(SMALL(前年度名簿!$G$2:$G$451,88),前年度名簿!$G$2:$G$451,0),"")</f>
        <v/>
      </c>
      <c r="Q94" s="8">
        <f>IF(R94="","",IFERROR(MATCH(R94,希望入力!$M$2:$M$551,0),""))</f>
        <v/>
      </c>
      <c r="R94" s="8">
        <f>IF(P94="","",INDEX(前年度名簿!$F$2:$F$451,P94))</f>
        <v/>
      </c>
      <c r="S94" s="8">
        <f>IF(P94="","",INDEX(前年度名簿!$I$2:$I$451,P94))</f>
        <v/>
      </c>
      <c r="T94" s="8">
        <f>IF(OR(P94="",計算用!$B$1=0),"",IFERROR(MATCH(S94,新年度名簿!$H$2:$H$451,0),""))</f>
        <v/>
      </c>
      <c r="U94" s="8">
        <f>IF(OR(L94="",M94="転出"),"",IFERROR(MATCH(L94,設定!$P$8:$P$27,0),""))</f>
        <v/>
      </c>
      <c r="V94" s="8">
        <f>IF(U94="","",COUNTIF($U$7:U94,U94))</f>
        <v/>
      </c>
      <c r="W94" s="8">
        <f>IF(U94="","",U94*1000+V94)</f>
        <v/>
      </c>
    </row>
    <row r="95">
      <c r="A95" s="44">
        <f>IF(P95="","",INDEX(前年度名簿!$H$2:$H$451,P95))</f>
        <v/>
      </c>
      <c r="B95" s="44">
        <f>IF(P95="","",IFERROR(INDEX(設定!$G$8:$G$31,INT(INDEX(前年度名簿!$G$2:$G$451,P95)/1000)),INDEX(前年度名簿!$A$2:$A$451,P95)&amp;INDEX(前年度名簿!$B$2:$B$451,P95)))</f>
        <v/>
      </c>
      <c r="C95" s="44">
        <f>IF(P95="","",INDEX(前年度名簿!$C$2:$C$451,P95))</f>
        <v/>
      </c>
      <c r="D95" s="3">
        <f>IF(P95="","",INDEX(前年度名簿!$D$2:$D$451,P95))</f>
        <v/>
      </c>
      <c r="E95" s="44">
        <f>IF(T95="","",INDEX(新年度名簿!$K$2:$K$451,T95))</f>
        <v/>
      </c>
      <c r="F95" s="44">
        <f>IF(T95="","",INDEX(新年度名簿!$C$2:$C$451,T95))</f>
        <v/>
      </c>
      <c r="G95" s="44">
        <f>IF(Q95="","",INDEX(希望入力!$H$2:$H$551,Q95)&amp;"")</f>
        <v/>
      </c>
      <c r="H95" s="44">
        <f>IF(Q95="","",INDEX(希望入力!$I$2:$I$551,Q95)&amp;"")</f>
        <v/>
      </c>
      <c r="I95" s="44">
        <f>IF(Q95="","",INDEX(希望入力!$J$2:$J$551,Q95)&amp;"")</f>
        <v/>
      </c>
      <c r="J95" s="44">
        <f>IF(Q95="","",IF(G95="","要調整",IFERROR(IF(IF(OR(設定!$C$14="〇",設定!$C$14="○"),COUNTIFS($A$7:$A$456,"&gt;="&amp;A95,$G$7:$G$456,G95),COUNTIF($G$7:$G$456,G95))&lt;=(INDEX(設定!$Q$8:$Q$27,MATCH(G95,設定!$P$8:$P$27,0))+N(INDEX(設定!$R$8:$R$27,MATCH(G95,設定!$P$8:$P$27,0)))),G95,"要調整"),"要調整")))</f>
        <v/>
      </c>
      <c r="K95" s="40" t="n"/>
      <c r="L95" s="52">
        <f>IF(P95="","",IF(K95&lt;&gt;"",K95,IF(OR(J95="",J95="要調整"),"",J95)))</f>
        <v/>
      </c>
      <c r="M95" s="44">
        <f>IF(P95="","",IF(AND(計算用!$B$1=1,T95=""),"転出",IF(L95&lt;&gt;"","決定",IF(Q95="","未提出","要調整"))))</f>
        <v/>
      </c>
      <c r="N95" s="44">
        <f>IF(OR(M95&lt;&gt;"要調整",H95=""),"",IFERROR((INDEX(設定!$Q$8:$Q$27,MATCH(H95,設定!$P$8:$P$27,0))+N(INDEX(設定!$R$8:$R$27,MATCH(H95,設定!$P$8:$P$27,0))))-INDEX(定員チェック!$F$7:$F$26,MATCH(H95,設定!$P$8:$P$27,0))-COUNTIFS($M$7:$M$456,"要調整",$G$7:$G$456,H95),""))</f>
        <v/>
      </c>
      <c r="O95" s="44">
        <f>IF(OR(M95&lt;&gt;"要調整",I95=""),"",IFERROR((INDEX(設定!$Q$8:$Q$27,MATCH(I95,設定!$P$8:$P$27,0))+N(INDEX(設定!$R$8:$R$27,MATCH(I95,設定!$P$8:$P$27,0))))-INDEX(定員チェック!$F$7:$F$26,MATCH(I95,設定!$P$8:$P$27,0))-COUNTIFS($M$7:$M$456,"要調整",$G$7:$G$456,I95),""))</f>
        <v/>
      </c>
      <c r="P95" s="8">
        <f>IFERROR(MATCH(SMALL(前年度名簿!$G$2:$G$451,89),前年度名簿!$G$2:$G$451,0),"")</f>
        <v/>
      </c>
      <c r="Q95" s="8">
        <f>IF(R95="","",IFERROR(MATCH(R95,希望入力!$M$2:$M$551,0),""))</f>
        <v/>
      </c>
      <c r="R95" s="8">
        <f>IF(P95="","",INDEX(前年度名簿!$F$2:$F$451,P95))</f>
        <v/>
      </c>
      <c r="S95" s="8">
        <f>IF(P95="","",INDEX(前年度名簿!$I$2:$I$451,P95))</f>
        <v/>
      </c>
      <c r="T95" s="8">
        <f>IF(OR(P95="",計算用!$B$1=0),"",IFERROR(MATCH(S95,新年度名簿!$H$2:$H$451,0),""))</f>
        <v/>
      </c>
      <c r="U95" s="8">
        <f>IF(OR(L95="",M95="転出"),"",IFERROR(MATCH(L95,設定!$P$8:$P$27,0),""))</f>
        <v/>
      </c>
      <c r="V95" s="8">
        <f>IF(U95="","",COUNTIF($U$7:U95,U95))</f>
        <v/>
      </c>
      <c r="W95" s="8">
        <f>IF(U95="","",U95*1000+V95)</f>
        <v/>
      </c>
    </row>
    <row r="96">
      <c r="A96" s="44">
        <f>IF(P96="","",INDEX(前年度名簿!$H$2:$H$451,P96))</f>
        <v/>
      </c>
      <c r="B96" s="44">
        <f>IF(P96="","",IFERROR(INDEX(設定!$G$8:$G$31,INT(INDEX(前年度名簿!$G$2:$G$451,P96)/1000)),INDEX(前年度名簿!$A$2:$A$451,P96)&amp;INDEX(前年度名簿!$B$2:$B$451,P96)))</f>
        <v/>
      </c>
      <c r="C96" s="44">
        <f>IF(P96="","",INDEX(前年度名簿!$C$2:$C$451,P96))</f>
        <v/>
      </c>
      <c r="D96" s="3">
        <f>IF(P96="","",INDEX(前年度名簿!$D$2:$D$451,P96))</f>
        <v/>
      </c>
      <c r="E96" s="44">
        <f>IF(T96="","",INDEX(新年度名簿!$K$2:$K$451,T96))</f>
        <v/>
      </c>
      <c r="F96" s="44">
        <f>IF(T96="","",INDEX(新年度名簿!$C$2:$C$451,T96))</f>
        <v/>
      </c>
      <c r="G96" s="44">
        <f>IF(Q96="","",INDEX(希望入力!$H$2:$H$551,Q96)&amp;"")</f>
        <v/>
      </c>
      <c r="H96" s="44">
        <f>IF(Q96="","",INDEX(希望入力!$I$2:$I$551,Q96)&amp;"")</f>
        <v/>
      </c>
      <c r="I96" s="44">
        <f>IF(Q96="","",INDEX(希望入力!$J$2:$J$551,Q96)&amp;"")</f>
        <v/>
      </c>
      <c r="J96" s="44">
        <f>IF(Q96="","",IF(G96="","要調整",IFERROR(IF(IF(OR(設定!$C$14="〇",設定!$C$14="○"),COUNTIFS($A$7:$A$456,"&gt;="&amp;A96,$G$7:$G$456,G96),COUNTIF($G$7:$G$456,G96))&lt;=(INDEX(設定!$Q$8:$Q$27,MATCH(G96,設定!$P$8:$P$27,0))+N(INDEX(設定!$R$8:$R$27,MATCH(G96,設定!$P$8:$P$27,0)))),G96,"要調整"),"要調整")))</f>
        <v/>
      </c>
      <c r="K96" s="40" t="n"/>
      <c r="L96" s="52">
        <f>IF(P96="","",IF(K96&lt;&gt;"",K96,IF(OR(J96="",J96="要調整"),"",J96)))</f>
        <v/>
      </c>
      <c r="M96" s="44">
        <f>IF(P96="","",IF(AND(計算用!$B$1=1,T96=""),"転出",IF(L96&lt;&gt;"","決定",IF(Q96="","未提出","要調整"))))</f>
        <v/>
      </c>
      <c r="N96" s="44">
        <f>IF(OR(M96&lt;&gt;"要調整",H96=""),"",IFERROR((INDEX(設定!$Q$8:$Q$27,MATCH(H96,設定!$P$8:$P$27,0))+N(INDEX(設定!$R$8:$R$27,MATCH(H96,設定!$P$8:$P$27,0))))-INDEX(定員チェック!$F$7:$F$26,MATCH(H96,設定!$P$8:$P$27,0))-COUNTIFS($M$7:$M$456,"要調整",$G$7:$G$456,H96),""))</f>
        <v/>
      </c>
      <c r="O96" s="44">
        <f>IF(OR(M96&lt;&gt;"要調整",I96=""),"",IFERROR((INDEX(設定!$Q$8:$Q$27,MATCH(I96,設定!$P$8:$P$27,0))+N(INDEX(設定!$R$8:$R$27,MATCH(I96,設定!$P$8:$P$27,0))))-INDEX(定員チェック!$F$7:$F$26,MATCH(I96,設定!$P$8:$P$27,0))-COUNTIFS($M$7:$M$456,"要調整",$G$7:$G$456,I96),""))</f>
        <v/>
      </c>
      <c r="P96" s="8">
        <f>IFERROR(MATCH(SMALL(前年度名簿!$G$2:$G$451,90),前年度名簿!$G$2:$G$451,0),"")</f>
        <v/>
      </c>
      <c r="Q96" s="8">
        <f>IF(R96="","",IFERROR(MATCH(R96,希望入力!$M$2:$M$551,0),""))</f>
        <v/>
      </c>
      <c r="R96" s="8">
        <f>IF(P96="","",INDEX(前年度名簿!$F$2:$F$451,P96))</f>
        <v/>
      </c>
      <c r="S96" s="8">
        <f>IF(P96="","",INDEX(前年度名簿!$I$2:$I$451,P96))</f>
        <v/>
      </c>
      <c r="T96" s="8">
        <f>IF(OR(P96="",計算用!$B$1=0),"",IFERROR(MATCH(S96,新年度名簿!$H$2:$H$451,0),""))</f>
        <v/>
      </c>
      <c r="U96" s="8">
        <f>IF(OR(L96="",M96="転出"),"",IFERROR(MATCH(L96,設定!$P$8:$P$27,0),""))</f>
        <v/>
      </c>
      <c r="V96" s="8">
        <f>IF(U96="","",COUNTIF($U$7:U96,U96))</f>
        <v/>
      </c>
      <c r="W96" s="8">
        <f>IF(U96="","",U96*1000+V96)</f>
        <v/>
      </c>
    </row>
    <row r="97">
      <c r="A97" s="44">
        <f>IF(P97="","",INDEX(前年度名簿!$H$2:$H$451,P97))</f>
        <v/>
      </c>
      <c r="B97" s="44">
        <f>IF(P97="","",IFERROR(INDEX(設定!$G$8:$G$31,INT(INDEX(前年度名簿!$G$2:$G$451,P97)/1000)),INDEX(前年度名簿!$A$2:$A$451,P97)&amp;INDEX(前年度名簿!$B$2:$B$451,P97)))</f>
        <v/>
      </c>
      <c r="C97" s="44">
        <f>IF(P97="","",INDEX(前年度名簿!$C$2:$C$451,P97))</f>
        <v/>
      </c>
      <c r="D97" s="3">
        <f>IF(P97="","",INDEX(前年度名簿!$D$2:$D$451,P97))</f>
        <v/>
      </c>
      <c r="E97" s="44">
        <f>IF(T97="","",INDEX(新年度名簿!$K$2:$K$451,T97))</f>
        <v/>
      </c>
      <c r="F97" s="44">
        <f>IF(T97="","",INDEX(新年度名簿!$C$2:$C$451,T97))</f>
        <v/>
      </c>
      <c r="G97" s="44">
        <f>IF(Q97="","",INDEX(希望入力!$H$2:$H$551,Q97)&amp;"")</f>
        <v/>
      </c>
      <c r="H97" s="44">
        <f>IF(Q97="","",INDEX(希望入力!$I$2:$I$551,Q97)&amp;"")</f>
        <v/>
      </c>
      <c r="I97" s="44">
        <f>IF(Q97="","",INDEX(希望入力!$J$2:$J$551,Q97)&amp;"")</f>
        <v/>
      </c>
      <c r="J97" s="44">
        <f>IF(Q97="","",IF(G97="","要調整",IFERROR(IF(IF(OR(設定!$C$14="〇",設定!$C$14="○"),COUNTIFS($A$7:$A$456,"&gt;="&amp;A97,$G$7:$G$456,G97),COUNTIF($G$7:$G$456,G97))&lt;=(INDEX(設定!$Q$8:$Q$27,MATCH(G97,設定!$P$8:$P$27,0))+N(INDEX(設定!$R$8:$R$27,MATCH(G97,設定!$P$8:$P$27,0)))),G97,"要調整"),"要調整")))</f>
        <v/>
      </c>
      <c r="K97" s="40" t="n"/>
      <c r="L97" s="52">
        <f>IF(P97="","",IF(K97&lt;&gt;"",K97,IF(OR(J97="",J97="要調整"),"",J97)))</f>
        <v/>
      </c>
      <c r="M97" s="44">
        <f>IF(P97="","",IF(AND(計算用!$B$1=1,T97=""),"転出",IF(L97&lt;&gt;"","決定",IF(Q97="","未提出","要調整"))))</f>
        <v/>
      </c>
      <c r="N97" s="44">
        <f>IF(OR(M97&lt;&gt;"要調整",H97=""),"",IFERROR((INDEX(設定!$Q$8:$Q$27,MATCH(H97,設定!$P$8:$P$27,0))+N(INDEX(設定!$R$8:$R$27,MATCH(H97,設定!$P$8:$P$27,0))))-INDEX(定員チェック!$F$7:$F$26,MATCH(H97,設定!$P$8:$P$27,0))-COUNTIFS($M$7:$M$456,"要調整",$G$7:$G$456,H97),""))</f>
        <v/>
      </c>
      <c r="O97" s="44">
        <f>IF(OR(M97&lt;&gt;"要調整",I97=""),"",IFERROR((INDEX(設定!$Q$8:$Q$27,MATCH(I97,設定!$P$8:$P$27,0))+N(INDEX(設定!$R$8:$R$27,MATCH(I97,設定!$P$8:$P$27,0))))-INDEX(定員チェック!$F$7:$F$26,MATCH(I97,設定!$P$8:$P$27,0))-COUNTIFS($M$7:$M$456,"要調整",$G$7:$G$456,I97),""))</f>
        <v/>
      </c>
      <c r="P97" s="8">
        <f>IFERROR(MATCH(SMALL(前年度名簿!$G$2:$G$451,91),前年度名簿!$G$2:$G$451,0),"")</f>
        <v/>
      </c>
      <c r="Q97" s="8">
        <f>IF(R97="","",IFERROR(MATCH(R97,希望入力!$M$2:$M$551,0),""))</f>
        <v/>
      </c>
      <c r="R97" s="8">
        <f>IF(P97="","",INDEX(前年度名簿!$F$2:$F$451,P97))</f>
        <v/>
      </c>
      <c r="S97" s="8">
        <f>IF(P97="","",INDEX(前年度名簿!$I$2:$I$451,P97))</f>
        <v/>
      </c>
      <c r="T97" s="8">
        <f>IF(OR(P97="",計算用!$B$1=0),"",IFERROR(MATCH(S97,新年度名簿!$H$2:$H$451,0),""))</f>
        <v/>
      </c>
      <c r="U97" s="8">
        <f>IF(OR(L97="",M97="転出"),"",IFERROR(MATCH(L97,設定!$P$8:$P$27,0),""))</f>
        <v/>
      </c>
      <c r="V97" s="8">
        <f>IF(U97="","",COUNTIF($U$7:U97,U97))</f>
        <v/>
      </c>
      <c r="W97" s="8">
        <f>IF(U97="","",U97*1000+V97)</f>
        <v/>
      </c>
    </row>
    <row r="98">
      <c r="A98" s="44">
        <f>IF(P98="","",INDEX(前年度名簿!$H$2:$H$451,P98))</f>
        <v/>
      </c>
      <c r="B98" s="44">
        <f>IF(P98="","",IFERROR(INDEX(設定!$G$8:$G$31,INT(INDEX(前年度名簿!$G$2:$G$451,P98)/1000)),INDEX(前年度名簿!$A$2:$A$451,P98)&amp;INDEX(前年度名簿!$B$2:$B$451,P98)))</f>
        <v/>
      </c>
      <c r="C98" s="44">
        <f>IF(P98="","",INDEX(前年度名簿!$C$2:$C$451,P98))</f>
        <v/>
      </c>
      <c r="D98" s="3">
        <f>IF(P98="","",INDEX(前年度名簿!$D$2:$D$451,P98))</f>
        <v/>
      </c>
      <c r="E98" s="44">
        <f>IF(T98="","",INDEX(新年度名簿!$K$2:$K$451,T98))</f>
        <v/>
      </c>
      <c r="F98" s="44">
        <f>IF(T98="","",INDEX(新年度名簿!$C$2:$C$451,T98))</f>
        <v/>
      </c>
      <c r="G98" s="44">
        <f>IF(Q98="","",INDEX(希望入力!$H$2:$H$551,Q98)&amp;"")</f>
        <v/>
      </c>
      <c r="H98" s="44">
        <f>IF(Q98="","",INDEX(希望入力!$I$2:$I$551,Q98)&amp;"")</f>
        <v/>
      </c>
      <c r="I98" s="44">
        <f>IF(Q98="","",INDEX(希望入力!$J$2:$J$551,Q98)&amp;"")</f>
        <v/>
      </c>
      <c r="J98" s="44">
        <f>IF(Q98="","",IF(G98="","要調整",IFERROR(IF(IF(OR(設定!$C$14="〇",設定!$C$14="○"),COUNTIFS($A$7:$A$456,"&gt;="&amp;A98,$G$7:$G$456,G98),COUNTIF($G$7:$G$456,G98))&lt;=(INDEX(設定!$Q$8:$Q$27,MATCH(G98,設定!$P$8:$P$27,0))+N(INDEX(設定!$R$8:$R$27,MATCH(G98,設定!$P$8:$P$27,0)))),G98,"要調整"),"要調整")))</f>
        <v/>
      </c>
      <c r="K98" s="40" t="n"/>
      <c r="L98" s="52">
        <f>IF(P98="","",IF(K98&lt;&gt;"",K98,IF(OR(J98="",J98="要調整"),"",J98)))</f>
        <v/>
      </c>
      <c r="M98" s="44">
        <f>IF(P98="","",IF(AND(計算用!$B$1=1,T98=""),"転出",IF(L98&lt;&gt;"","決定",IF(Q98="","未提出","要調整"))))</f>
        <v/>
      </c>
      <c r="N98" s="44">
        <f>IF(OR(M98&lt;&gt;"要調整",H98=""),"",IFERROR((INDEX(設定!$Q$8:$Q$27,MATCH(H98,設定!$P$8:$P$27,0))+N(INDEX(設定!$R$8:$R$27,MATCH(H98,設定!$P$8:$P$27,0))))-INDEX(定員チェック!$F$7:$F$26,MATCH(H98,設定!$P$8:$P$27,0))-COUNTIFS($M$7:$M$456,"要調整",$G$7:$G$456,H98),""))</f>
        <v/>
      </c>
      <c r="O98" s="44">
        <f>IF(OR(M98&lt;&gt;"要調整",I98=""),"",IFERROR((INDEX(設定!$Q$8:$Q$27,MATCH(I98,設定!$P$8:$P$27,0))+N(INDEX(設定!$R$8:$R$27,MATCH(I98,設定!$P$8:$P$27,0))))-INDEX(定員チェック!$F$7:$F$26,MATCH(I98,設定!$P$8:$P$27,0))-COUNTIFS($M$7:$M$456,"要調整",$G$7:$G$456,I98),""))</f>
        <v/>
      </c>
      <c r="P98" s="8">
        <f>IFERROR(MATCH(SMALL(前年度名簿!$G$2:$G$451,92),前年度名簿!$G$2:$G$451,0),"")</f>
        <v/>
      </c>
      <c r="Q98" s="8">
        <f>IF(R98="","",IFERROR(MATCH(R98,希望入力!$M$2:$M$551,0),""))</f>
        <v/>
      </c>
      <c r="R98" s="8">
        <f>IF(P98="","",INDEX(前年度名簿!$F$2:$F$451,P98))</f>
        <v/>
      </c>
      <c r="S98" s="8">
        <f>IF(P98="","",INDEX(前年度名簿!$I$2:$I$451,P98))</f>
        <v/>
      </c>
      <c r="T98" s="8">
        <f>IF(OR(P98="",計算用!$B$1=0),"",IFERROR(MATCH(S98,新年度名簿!$H$2:$H$451,0),""))</f>
        <v/>
      </c>
      <c r="U98" s="8">
        <f>IF(OR(L98="",M98="転出"),"",IFERROR(MATCH(L98,設定!$P$8:$P$27,0),""))</f>
        <v/>
      </c>
      <c r="V98" s="8">
        <f>IF(U98="","",COUNTIF($U$7:U98,U98))</f>
        <v/>
      </c>
      <c r="W98" s="8">
        <f>IF(U98="","",U98*1000+V98)</f>
        <v/>
      </c>
    </row>
    <row r="99">
      <c r="A99" s="44">
        <f>IF(P99="","",INDEX(前年度名簿!$H$2:$H$451,P99))</f>
        <v/>
      </c>
      <c r="B99" s="44">
        <f>IF(P99="","",IFERROR(INDEX(設定!$G$8:$G$31,INT(INDEX(前年度名簿!$G$2:$G$451,P99)/1000)),INDEX(前年度名簿!$A$2:$A$451,P99)&amp;INDEX(前年度名簿!$B$2:$B$451,P99)))</f>
        <v/>
      </c>
      <c r="C99" s="44">
        <f>IF(P99="","",INDEX(前年度名簿!$C$2:$C$451,P99))</f>
        <v/>
      </c>
      <c r="D99" s="3">
        <f>IF(P99="","",INDEX(前年度名簿!$D$2:$D$451,P99))</f>
        <v/>
      </c>
      <c r="E99" s="44">
        <f>IF(T99="","",INDEX(新年度名簿!$K$2:$K$451,T99))</f>
        <v/>
      </c>
      <c r="F99" s="44">
        <f>IF(T99="","",INDEX(新年度名簿!$C$2:$C$451,T99))</f>
        <v/>
      </c>
      <c r="G99" s="44">
        <f>IF(Q99="","",INDEX(希望入力!$H$2:$H$551,Q99)&amp;"")</f>
        <v/>
      </c>
      <c r="H99" s="44">
        <f>IF(Q99="","",INDEX(希望入力!$I$2:$I$551,Q99)&amp;"")</f>
        <v/>
      </c>
      <c r="I99" s="44">
        <f>IF(Q99="","",INDEX(希望入力!$J$2:$J$551,Q99)&amp;"")</f>
        <v/>
      </c>
      <c r="J99" s="44">
        <f>IF(Q99="","",IF(G99="","要調整",IFERROR(IF(IF(OR(設定!$C$14="〇",設定!$C$14="○"),COUNTIFS($A$7:$A$456,"&gt;="&amp;A99,$G$7:$G$456,G99),COUNTIF($G$7:$G$456,G99))&lt;=(INDEX(設定!$Q$8:$Q$27,MATCH(G99,設定!$P$8:$P$27,0))+N(INDEX(設定!$R$8:$R$27,MATCH(G99,設定!$P$8:$P$27,0)))),G99,"要調整"),"要調整")))</f>
        <v/>
      </c>
      <c r="K99" s="40" t="n"/>
      <c r="L99" s="52">
        <f>IF(P99="","",IF(K99&lt;&gt;"",K99,IF(OR(J99="",J99="要調整"),"",J99)))</f>
        <v/>
      </c>
      <c r="M99" s="44">
        <f>IF(P99="","",IF(AND(計算用!$B$1=1,T99=""),"転出",IF(L99&lt;&gt;"","決定",IF(Q99="","未提出","要調整"))))</f>
        <v/>
      </c>
      <c r="N99" s="44">
        <f>IF(OR(M99&lt;&gt;"要調整",H99=""),"",IFERROR((INDEX(設定!$Q$8:$Q$27,MATCH(H99,設定!$P$8:$P$27,0))+N(INDEX(設定!$R$8:$R$27,MATCH(H99,設定!$P$8:$P$27,0))))-INDEX(定員チェック!$F$7:$F$26,MATCH(H99,設定!$P$8:$P$27,0))-COUNTIFS($M$7:$M$456,"要調整",$G$7:$G$456,H99),""))</f>
        <v/>
      </c>
      <c r="O99" s="44">
        <f>IF(OR(M99&lt;&gt;"要調整",I99=""),"",IFERROR((INDEX(設定!$Q$8:$Q$27,MATCH(I99,設定!$P$8:$P$27,0))+N(INDEX(設定!$R$8:$R$27,MATCH(I99,設定!$P$8:$P$27,0))))-INDEX(定員チェック!$F$7:$F$26,MATCH(I99,設定!$P$8:$P$27,0))-COUNTIFS($M$7:$M$456,"要調整",$G$7:$G$456,I99),""))</f>
        <v/>
      </c>
      <c r="P99" s="8">
        <f>IFERROR(MATCH(SMALL(前年度名簿!$G$2:$G$451,93),前年度名簿!$G$2:$G$451,0),"")</f>
        <v/>
      </c>
      <c r="Q99" s="8">
        <f>IF(R99="","",IFERROR(MATCH(R99,希望入力!$M$2:$M$551,0),""))</f>
        <v/>
      </c>
      <c r="R99" s="8">
        <f>IF(P99="","",INDEX(前年度名簿!$F$2:$F$451,P99))</f>
        <v/>
      </c>
      <c r="S99" s="8">
        <f>IF(P99="","",INDEX(前年度名簿!$I$2:$I$451,P99))</f>
        <v/>
      </c>
      <c r="T99" s="8">
        <f>IF(OR(P99="",計算用!$B$1=0),"",IFERROR(MATCH(S99,新年度名簿!$H$2:$H$451,0),""))</f>
        <v/>
      </c>
      <c r="U99" s="8">
        <f>IF(OR(L99="",M99="転出"),"",IFERROR(MATCH(L99,設定!$P$8:$P$27,0),""))</f>
        <v/>
      </c>
      <c r="V99" s="8">
        <f>IF(U99="","",COUNTIF($U$7:U99,U99))</f>
        <v/>
      </c>
      <c r="W99" s="8">
        <f>IF(U99="","",U99*1000+V99)</f>
        <v/>
      </c>
    </row>
    <row r="100">
      <c r="A100" s="44">
        <f>IF(P100="","",INDEX(前年度名簿!$H$2:$H$451,P100))</f>
        <v/>
      </c>
      <c r="B100" s="44">
        <f>IF(P100="","",IFERROR(INDEX(設定!$G$8:$G$31,INT(INDEX(前年度名簿!$G$2:$G$451,P100)/1000)),INDEX(前年度名簿!$A$2:$A$451,P100)&amp;INDEX(前年度名簿!$B$2:$B$451,P100)))</f>
        <v/>
      </c>
      <c r="C100" s="44">
        <f>IF(P100="","",INDEX(前年度名簿!$C$2:$C$451,P100))</f>
        <v/>
      </c>
      <c r="D100" s="3">
        <f>IF(P100="","",INDEX(前年度名簿!$D$2:$D$451,P100))</f>
        <v/>
      </c>
      <c r="E100" s="44">
        <f>IF(T100="","",INDEX(新年度名簿!$K$2:$K$451,T100))</f>
        <v/>
      </c>
      <c r="F100" s="44">
        <f>IF(T100="","",INDEX(新年度名簿!$C$2:$C$451,T100))</f>
        <v/>
      </c>
      <c r="G100" s="44">
        <f>IF(Q100="","",INDEX(希望入力!$H$2:$H$551,Q100)&amp;"")</f>
        <v/>
      </c>
      <c r="H100" s="44">
        <f>IF(Q100="","",INDEX(希望入力!$I$2:$I$551,Q100)&amp;"")</f>
        <v/>
      </c>
      <c r="I100" s="44">
        <f>IF(Q100="","",INDEX(希望入力!$J$2:$J$551,Q100)&amp;"")</f>
        <v/>
      </c>
      <c r="J100" s="44">
        <f>IF(Q100="","",IF(G100="","要調整",IFERROR(IF(IF(OR(設定!$C$14="〇",設定!$C$14="○"),COUNTIFS($A$7:$A$456,"&gt;="&amp;A100,$G$7:$G$456,G100),COUNTIF($G$7:$G$456,G100))&lt;=(INDEX(設定!$Q$8:$Q$27,MATCH(G100,設定!$P$8:$P$27,0))+N(INDEX(設定!$R$8:$R$27,MATCH(G100,設定!$P$8:$P$27,0)))),G100,"要調整"),"要調整")))</f>
        <v/>
      </c>
      <c r="K100" s="40" t="n"/>
      <c r="L100" s="52">
        <f>IF(P100="","",IF(K100&lt;&gt;"",K100,IF(OR(J100="",J100="要調整"),"",J100)))</f>
        <v/>
      </c>
      <c r="M100" s="44">
        <f>IF(P100="","",IF(AND(計算用!$B$1=1,T100=""),"転出",IF(L100&lt;&gt;"","決定",IF(Q100="","未提出","要調整"))))</f>
        <v/>
      </c>
      <c r="N100" s="44">
        <f>IF(OR(M100&lt;&gt;"要調整",H100=""),"",IFERROR((INDEX(設定!$Q$8:$Q$27,MATCH(H100,設定!$P$8:$P$27,0))+N(INDEX(設定!$R$8:$R$27,MATCH(H100,設定!$P$8:$P$27,0))))-INDEX(定員チェック!$F$7:$F$26,MATCH(H100,設定!$P$8:$P$27,0))-COUNTIFS($M$7:$M$456,"要調整",$G$7:$G$456,H100),""))</f>
        <v/>
      </c>
      <c r="O100" s="44">
        <f>IF(OR(M100&lt;&gt;"要調整",I100=""),"",IFERROR((INDEX(設定!$Q$8:$Q$27,MATCH(I100,設定!$P$8:$P$27,0))+N(INDEX(設定!$R$8:$R$27,MATCH(I100,設定!$P$8:$P$27,0))))-INDEX(定員チェック!$F$7:$F$26,MATCH(I100,設定!$P$8:$P$27,0))-COUNTIFS($M$7:$M$456,"要調整",$G$7:$G$456,I100),""))</f>
        <v/>
      </c>
      <c r="P100" s="8">
        <f>IFERROR(MATCH(SMALL(前年度名簿!$G$2:$G$451,94),前年度名簿!$G$2:$G$451,0),"")</f>
        <v/>
      </c>
      <c r="Q100" s="8">
        <f>IF(R100="","",IFERROR(MATCH(R100,希望入力!$M$2:$M$551,0),""))</f>
        <v/>
      </c>
      <c r="R100" s="8">
        <f>IF(P100="","",INDEX(前年度名簿!$F$2:$F$451,P100))</f>
        <v/>
      </c>
      <c r="S100" s="8">
        <f>IF(P100="","",INDEX(前年度名簿!$I$2:$I$451,P100))</f>
        <v/>
      </c>
      <c r="T100" s="8">
        <f>IF(OR(P100="",計算用!$B$1=0),"",IFERROR(MATCH(S100,新年度名簿!$H$2:$H$451,0),""))</f>
        <v/>
      </c>
      <c r="U100" s="8">
        <f>IF(OR(L100="",M100="転出"),"",IFERROR(MATCH(L100,設定!$P$8:$P$27,0),""))</f>
        <v/>
      </c>
      <c r="V100" s="8">
        <f>IF(U100="","",COUNTIF($U$7:U100,U100))</f>
        <v/>
      </c>
      <c r="W100" s="8">
        <f>IF(U100="","",U100*1000+V100)</f>
        <v/>
      </c>
    </row>
    <row r="101">
      <c r="A101" s="44">
        <f>IF(P101="","",INDEX(前年度名簿!$H$2:$H$451,P101))</f>
        <v/>
      </c>
      <c r="B101" s="44">
        <f>IF(P101="","",IFERROR(INDEX(設定!$G$8:$G$31,INT(INDEX(前年度名簿!$G$2:$G$451,P101)/1000)),INDEX(前年度名簿!$A$2:$A$451,P101)&amp;INDEX(前年度名簿!$B$2:$B$451,P101)))</f>
        <v/>
      </c>
      <c r="C101" s="44">
        <f>IF(P101="","",INDEX(前年度名簿!$C$2:$C$451,P101))</f>
        <v/>
      </c>
      <c r="D101" s="3">
        <f>IF(P101="","",INDEX(前年度名簿!$D$2:$D$451,P101))</f>
        <v/>
      </c>
      <c r="E101" s="44">
        <f>IF(T101="","",INDEX(新年度名簿!$K$2:$K$451,T101))</f>
        <v/>
      </c>
      <c r="F101" s="44">
        <f>IF(T101="","",INDEX(新年度名簿!$C$2:$C$451,T101))</f>
        <v/>
      </c>
      <c r="G101" s="44">
        <f>IF(Q101="","",INDEX(希望入力!$H$2:$H$551,Q101)&amp;"")</f>
        <v/>
      </c>
      <c r="H101" s="44">
        <f>IF(Q101="","",INDEX(希望入力!$I$2:$I$551,Q101)&amp;"")</f>
        <v/>
      </c>
      <c r="I101" s="44">
        <f>IF(Q101="","",INDEX(希望入力!$J$2:$J$551,Q101)&amp;"")</f>
        <v/>
      </c>
      <c r="J101" s="44">
        <f>IF(Q101="","",IF(G101="","要調整",IFERROR(IF(IF(OR(設定!$C$14="〇",設定!$C$14="○"),COUNTIFS($A$7:$A$456,"&gt;="&amp;A101,$G$7:$G$456,G101),COUNTIF($G$7:$G$456,G101))&lt;=(INDEX(設定!$Q$8:$Q$27,MATCH(G101,設定!$P$8:$P$27,0))+N(INDEX(設定!$R$8:$R$27,MATCH(G101,設定!$P$8:$P$27,0)))),G101,"要調整"),"要調整")))</f>
        <v/>
      </c>
      <c r="K101" s="40" t="n"/>
      <c r="L101" s="52">
        <f>IF(P101="","",IF(K101&lt;&gt;"",K101,IF(OR(J101="",J101="要調整"),"",J101)))</f>
        <v/>
      </c>
      <c r="M101" s="44">
        <f>IF(P101="","",IF(AND(計算用!$B$1=1,T101=""),"転出",IF(L101&lt;&gt;"","決定",IF(Q101="","未提出","要調整"))))</f>
        <v/>
      </c>
      <c r="N101" s="44">
        <f>IF(OR(M101&lt;&gt;"要調整",H101=""),"",IFERROR((INDEX(設定!$Q$8:$Q$27,MATCH(H101,設定!$P$8:$P$27,0))+N(INDEX(設定!$R$8:$R$27,MATCH(H101,設定!$P$8:$P$27,0))))-INDEX(定員チェック!$F$7:$F$26,MATCH(H101,設定!$P$8:$P$27,0))-COUNTIFS($M$7:$M$456,"要調整",$G$7:$G$456,H101),""))</f>
        <v/>
      </c>
      <c r="O101" s="44">
        <f>IF(OR(M101&lt;&gt;"要調整",I101=""),"",IFERROR((INDEX(設定!$Q$8:$Q$27,MATCH(I101,設定!$P$8:$P$27,0))+N(INDEX(設定!$R$8:$R$27,MATCH(I101,設定!$P$8:$P$27,0))))-INDEX(定員チェック!$F$7:$F$26,MATCH(I101,設定!$P$8:$P$27,0))-COUNTIFS($M$7:$M$456,"要調整",$G$7:$G$456,I101),""))</f>
        <v/>
      </c>
      <c r="P101" s="8">
        <f>IFERROR(MATCH(SMALL(前年度名簿!$G$2:$G$451,95),前年度名簿!$G$2:$G$451,0),"")</f>
        <v/>
      </c>
      <c r="Q101" s="8">
        <f>IF(R101="","",IFERROR(MATCH(R101,希望入力!$M$2:$M$551,0),""))</f>
        <v/>
      </c>
      <c r="R101" s="8">
        <f>IF(P101="","",INDEX(前年度名簿!$F$2:$F$451,P101))</f>
        <v/>
      </c>
      <c r="S101" s="8">
        <f>IF(P101="","",INDEX(前年度名簿!$I$2:$I$451,P101))</f>
        <v/>
      </c>
      <c r="T101" s="8">
        <f>IF(OR(P101="",計算用!$B$1=0),"",IFERROR(MATCH(S101,新年度名簿!$H$2:$H$451,0),""))</f>
        <v/>
      </c>
      <c r="U101" s="8">
        <f>IF(OR(L101="",M101="転出"),"",IFERROR(MATCH(L101,設定!$P$8:$P$27,0),""))</f>
        <v/>
      </c>
      <c r="V101" s="8">
        <f>IF(U101="","",COUNTIF($U$7:U101,U101))</f>
        <v/>
      </c>
      <c r="W101" s="8">
        <f>IF(U101="","",U101*1000+V101)</f>
        <v/>
      </c>
    </row>
    <row r="102">
      <c r="A102" s="44">
        <f>IF(P102="","",INDEX(前年度名簿!$H$2:$H$451,P102))</f>
        <v/>
      </c>
      <c r="B102" s="44">
        <f>IF(P102="","",IFERROR(INDEX(設定!$G$8:$G$31,INT(INDEX(前年度名簿!$G$2:$G$451,P102)/1000)),INDEX(前年度名簿!$A$2:$A$451,P102)&amp;INDEX(前年度名簿!$B$2:$B$451,P102)))</f>
        <v/>
      </c>
      <c r="C102" s="44">
        <f>IF(P102="","",INDEX(前年度名簿!$C$2:$C$451,P102))</f>
        <v/>
      </c>
      <c r="D102" s="3">
        <f>IF(P102="","",INDEX(前年度名簿!$D$2:$D$451,P102))</f>
        <v/>
      </c>
      <c r="E102" s="44">
        <f>IF(T102="","",INDEX(新年度名簿!$K$2:$K$451,T102))</f>
        <v/>
      </c>
      <c r="F102" s="44">
        <f>IF(T102="","",INDEX(新年度名簿!$C$2:$C$451,T102))</f>
        <v/>
      </c>
      <c r="G102" s="44">
        <f>IF(Q102="","",INDEX(希望入力!$H$2:$H$551,Q102)&amp;"")</f>
        <v/>
      </c>
      <c r="H102" s="44">
        <f>IF(Q102="","",INDEX(希望入力!$I$2:$I$551,Q102)&amp;"")</f>
        <v/>
      </c>
      <c r="I102" s="44">
        <f>IF(Q102="","",INDEX(希望入力!$J$2:$J$551,Q102)&amp;"")</f>
        <v/>
      </c>
      <c r="J102" s="44">
        <f>IF(Q102="","",IF(G102="","要調整",IFERROR(IF(IF(OR(設定!$C$14="〇",設定!$C$14="○"),COUNTIFS($A$7:$A$456,"&gt;="&amp;A102,$G$7:$G$456,G102),COUNTIF($G$7:$G$456,G102))&lt;=(INDEX(設定!$Q$8:$Q$27,MATCH(G102,設定!$P$8:$P$27,0))+N(INDEX(設定!$R$8:$R$27,MATCH(G102,設定!$P$8:$P$27,0)))),G102,"要調整"),"要調整")))</f>
        <v/>
      </c>
      <c r="K102" s="40" t="n"/>
      <c r="L102" s="52">
        <f>IF(P102="","",IF(K102&lt;&gt;"",K102,IF(OR(J102="",J102="要調整"),"",J102)))</f>
        <v/>
      </c>
      <c r="M102" s="44">
        <f>IF(P102="","",IF(AND(計算用!$B$1=1,T102=""),"転出",IF(L102&lt;&gt;"","決定",IF(Q102="","未提出","要調整"))))</f>
        <v/>
      </c>
      <c r="N102" s="44">
        <f>IF(OR(M102&lt;&gt;"要調整",H102=""),"",IFERROR((INDEX(設定!$Q$8:$Q$27,MATCH(H102,設定!$P$8:$P$27,0))+N(INDEX(設定!$R$8:$R$27,MATCH(H102,設定!$P$8:$P$27,0))))-INDEX(定員チェック!$F$7:$F$26,MATCH(H102,設定!$P$8:$P$27,0))-COUNTIFS($M$7:$M$456,"要調整",$G$7:$G$456,H102),""))</f>
        <v/>
      </c>
      <c r="O102" s="44">
        <f>IF(OR(M102&lt;&gt;"要調整",I102=""),"",IFERROR((INDEX(設定!$Q$8:$Q$27,MATCH(I102,設定!$P$8:$P$27,0))+N(INDEX(設定!$R$8:$R$27,MATCH(I102,設定!$P$8:$P$27,0))))-INDEX(定員チェック!$F$7:$F$26,MATCH(I102,設定!$P$8:$P$27,0))-COUNTIFS($M$7:$M$456,"要調整",$G$7:$G$456,I102),""))</f>
        <v/>
      </c>
      <c r="P102" s="8">
        <f>IFERROR(MATCH(SMALL(前年度名簿!$G$2:$G$451,96),前年度名簿!$G$2:$G$451,0),"")</f>
        <v/>
      </c>
      <c r="Q102" s="8">
        <f>IF(R102="","",IFERROR(MATCH(R102,希望入力!$M$2:$M$551,0),""))</f>
        <v/>
      </c>
      <c r="R102" s="8">
        <f>IF(P102="","",INDEX(前年度名簿!$F$2:$F$451,P102))</f>
        <v/>
      </c>
      <c r="S102" s="8">
        <f>IF(P102="","",INDEX(前年度名簿!$I$2:$I$451,P102))</f>
        <v/>
      </c>
      <c r="T102" s="8">
        <f>IF(OR(P102="",計算用!$B$1=0),"",IFERROR(MATCH(S102,新年度名簿!$H$2:$H$451,0),""))</f>
        <v/>
      </c>
      <c r="U102" s="8">
        <f>IF(OR(L102="",M102="転出"),"",IFERROR(MATCH(L102,設定!$P$8:$P$27,0),""))</f>
        <v/>
      </c>
      <c r="V102" s="8">
        <f>IF(U102="","",COUNTIF($U$7:U102,U102))</f>
        <v/>
      </c>
      <c r="W102" s="8">
        <f>IF(U102="","",U102*1000+V102)</f>
        <v/>
      </c>
    </row>
    <row r="103">
      <c r="A103" s="44">
        <f>IF(P103="","",INDEX(前年度名簿!$H$2:$H$451,P103))</f>
        <v/>
      </c>
      <c r="B103" s="44">
        <f>IF(P103="","",IFERROR(INDEX(設定!$G$8:$G$31,INT(INDEX(前年度名簿!$G$2:$G$451,P103)/1000)),INDEX(前年度名簿!$A$2:$A$451,P103)&amp;INDEX(前年度名簿!$B$2:$B$451,P103)))</f>
        <v/>
      </c>
      <c r="C103" s="44">
        <f>IF(P103="","",INDEX(前年度名簿!$C$2:$C$451,P103))</f>
        <v/>
      </c>
      <c r="D103" s="3">
        <f>IF(P103="","",INDEX(前年度名簿!$D$2:$D$451,P103))</f>
        <v/>
      </c>
      <c r="E103" s="44">
        <f>IF(T103="","",INDEX(新年度名簿!$K$2:$K$451,T103))</f>
        <v/>
      </c>
      <c r="F103" s="44">
        <f>IF(T103="","",INDEX(新年度名簿!$C$2:$C$451,T103))</f>
        <v/>
      </c>
      <c r="G103" s="44">
        <f>IF(Q103="","",INDEX(希望入力!$H$2:$H$551,Q103)&amp;"")</f>
        <v/>
      </c>
      <c r="H103" s="44">
        <f>IF(Q103="","",INDEX(希望入力!$I$2:$I$551,Q103)&amp;"")</f>
        <v/>
      </c>
      <c r="I103" s="44">
        <f>IF(Q103="","",INDEX(希望入力!$J$2:$J$551,Q103)&amp;"")</f>
        <v/>
      </c>
      <c r="J103" s="44">
        <f>IF(Q103="","",IF(G103="","要調整",IFERROR(IF(IF(OR(設定!$C$14="〇",設定!$C$14="○"),COUNTIFS($A$7:$A$456,"&gt;="&amp;A103,$G$7:$G$456,G103),COUNTIF($G$7:$G$456,G103))&lt;=(INDEX(設定!$Q$8:$Q$27,MATCH(G103,設定!$P$8:$P$27,0))+N(INDEX(設定!$R$8:$R$27,MATCH(G103,設定!$P$8:$P$27,0)))),G103,"要調整"),"要調整")))</f>
        <v/>
      </c>
      <c r="K103" s="40" t="n"/>
      <c r="L103" s="52">
        <f>IF(P103="","",IF(K103&lt;&gt;"",K103,IF(OR(J103="",J103="要調整"),"",J103)))</f>
        <v/>
      </c>
      <c r="M103" s="44">
        <f>IF(P103="","",IF(AND(計算用!$B$1=1,T103=""),"転出",IF(L103&lt;&gt;"","決定",IF(Q103="","未提出","要調整"))))</f>
        <v/>
      </c>
      <c r="N103" s="44">
        <f>IF(OR(M103&lt;&gt;"要調整",H103=""),"",IFERROR((INDEX(設定!$Q$8:$Q$27,MATCH(H103,設定!$P$8:$P$27,0))+N(INDEX(設定!$R$8:$R$27,MATCH(H103,設定!$P$8:$P$27,0))))-INDEX(定員チェック!$F$7:$F$26,MATCH(H103,設定!$P$8:$P$27,0))-COUNTIFS($M$7:$M$456,"要調整",$G$7:$G$456,H103),""))</f>
        <v/>
      </c>
      <c r="O103" s="44">
        <f>IF(OR(M103&lt;&gt;"要調整",I103=""),"",IFERROR((INDEX(設定!$Q$8:$Q$27,MATCH(I103,設定!$P$8:$P$27,0))+N(INDEX(設定!$R$8:$R$27,MATCH(I103,設定!$P$8:$P$27,0))))-INDEX(定員チェック!$F$7:$F$26,MATCH(I103,設定!$P$8:$P$27,0))-COUNTIFS($M$7:$M$456,"要調整",$G$7:$G$456,I103),""))</f>
        <v/>
      </c>
      <c r="P103" s="8">
        <f>IFERROR(MATCH(SMALL(前年度名簿!$G$2:$G$451,97),前年度名簿!$G$2:$G$451,0),"")</f>
        <v/>
      </c>
      <c r="Q103" s="8">
        <f>IF(R103="","",IFERROR(MATCH(R103,希望入力!$M$2:$M$551,0),""))</f>
        <v/>
      </c>
      <c r="R103" s="8">
        <f>IF(P103="","",INDEX(前年度名簿!$F$2:$F$451,P103))</f>
        <v/>
      </c>
      <c r="S103" s="8">
        <f>IF(P103="","",INDEX(前年度名簿!$I$2:$I$451,P103))</f>
        <v/>
      </c>
      <c r="T103" s="8">
        <f>IF(OR(P103="",計算用!$B$1=0),"",IFERROR(MATCH(S103,新年度名簿!$H$2:$H$451,0),""))</f>
        <v/>
      </c>
      <c r="U103" s="8">
        <f>IF(OR(L103="",M103="転出"),"",IFERROR(MATCH(L103,設定!$P$8:$P$27,0),""))</f>
        <v/>
      </c>
      <c r="V103" s="8">
        <f>IF(U103="","",COUNTIF($U$7:U103,U103))</f>
        <v/>
      </c>
      <c r="W103" s="8">
        <f>IF(U103="","",U103*1000+V103)</f>
        <v/>
      </c>
    </row>
    <row r="104">
      <c r="A104" s="44">
        <f>IF(P104="","",INDEX(前年度名簿!$H$2:$H$451,P104))</f>
        <v/>
      </c>
      <c r="B104" s="44">
        <f>IF(P104="","",IFERROR(INDEX(設定!$G$8:$G$31,INT(INDEX(前年度名簿!$G$2:$G$451,P104)/1000)),INDEX(前年度名簿!$A$2:$A$451,P104)&amp;INDEX(前年度名簿!$B$2:$B$451,P104)))</f>
        <v/>
      </c>
      <c r="C104" s="44">
        <f>IF(P104="","",INDEX(前年度名簿!$C$2:$C$451,P104))</f>
        <v/>
      </c>
      <c r="D104" s="3">
        <f>IF(P104="","",INDEX(前年度名簿!$D$2:$D$451,P104))</f>
        <v/>
      </c>
      <c r="E104" s="44">
        <f>IF(T104="","",INDEX(新年度名簿!$K$2:$K$451,T104))</f>
        <v/>
      </c>
      <c r="F104" s="44">
        <f>IF(T104="","",INDEX(新年度名簿!$C$2:$C$451,T104))</f>
        <v/>
      </c>
      <c r="G104" s="44">
        <f>IF(Q104="","",INDEX(希望入力!$H$2:$H$551,Q104)&amp;"")</f>
        <v/>
      </c>
      <c r="H104" s="44">
        <f>IF(Q104="","",INDEX(希望入力!$I$2:$I$551,Q104)&amp;"")</f>
        <v/>
      </c>
      <c r="I104" s="44">
        <f>IF(Q104="","",INDEX(希望入力!$J$2:$J$551,Q104)&amp;"")</f>
        <v/>
      </c>
      <c r="J104" s="44">
        <f>IF(Q104="","",IF(G104="","要調整",IFERROR(IF(IF(OR(設定!$C$14="〇",設定!$C$14="○"),COUNTIFS($A$7:$A$456,"&gt;="&amp;A104,$G$7:$G$456,G104),COUNTIF($G$7:$G$456,G104))&lt;=(INDEX(設定!$Q$8:$Q$27,MATCH(G104,設定!$P$8:$P$27,0))+N(INDEX(設定!$R$8:$R$27,MATCH(G104,設定!$P$8:$P$27,0)))),G104,"要調整"),"要調整")))</f>
        <v/>
      </c>
      <c r="K104" s="40" t="n"/>
      <c r="L104" s="52">
        <f>IF(P104="","",IF(K104&lt;&gt;"",K104,IF(OR(J104="",J104="要調整"),"",J104)))</f>
        <v/>
      </c>
      <c r="M104" s="44">
        <f>IF(P104="","",IF(AND(計算用!$B$1=1,T104=""),"転出",IF(L104&lt;&gt;"","決定",IF(Q104="","未提出","要調整"))))</f>
        <v/>
      </c>
      <c r="N104" s="44">
        <f>IF(OR(M104&lt;&gt;"要調整",H104=""),"",IFERROR((INDEX(設定!$Q$8:$Q$27,MATCH(H104,設定!$P$8:$P$27,0))+N(INDEX(設定!$R$8:$R$27,MATCH(H104,設定!$P$8:$P$27,0))))-INDEX(定員チェック!$F$7:$F$26,MATCH(H104,設定!$P$8:$P$27,0))-COUNTIFS($M$7:$M$456,"要調整",$G$7:$G$456,H104),""))</f>
        <v/>
      </c>
      <c r="O104" s="44">
        <f>IF(OR(M104&lt;&gt;"要調整",I104=""),"",IFERROR((INDEX(設定!$Q$8:$Q$27,MATCH(I104,設定!$P$8:$P$27,0))+N(INDEX(設定!$R$8:$R$27,MATCH(I104,設定!$P$8:$P$27,0))))-INDEX(定員チェック!$F$7:$F$26,MATCH(I104,設定!$P$8:$P$27,0))-COUNTIFS($M$7:$M$456,"要調整",$G$7:$G$456,I104),""))</f>
        <v/>
      </c>
      <c r="P104" s="8">
        <f>IFERROR(MATCH(SMALL(前年度名簿!$G$2:$G$451,98),前年度名簿!$G$2:$G$451,0),"")</f>
        <v/>
      </c>
      <c r="Q104" s="8">
        <f>IF(R104="","",IFERROR(MATCH(R104,希望入力!$M$2:$M$551,0),""))</f>
        <v/>
      </c>
      <c r="R104" s="8">
        <f>IF(P104="","",INDEX(前年度名簿!$F$2:$F$451,P104))</f>
        <v/>
      </c>
      <c r="S104" s="8">
        <f>IF(P104="","",INDEX(前年度名簿!$I$2:$I$451,P104))</f>
        <v/>
      </c>
      <c r="T104" s="8">
        <f>IF(OR(P104="",計算用!$B$1=0),"",IFERROR(MATCH(S104,新年度名簿!$H$2:$H$451,0),""))</f>
        <v/>
      </c>
      <c r="U104" s="8">
        <f>IF(OR(L104="",M104="転出"),"",IFERROR(MATCH(L104,設定!$P$8:$P$27,0),""))</f>
        <v/>
      </c>
      <c r="V104" s="8">
        <f>IF(U104="","",COUNTIF($U$7:U104,U104))</f>
        <v/>
      </c>
      <c r="W104" s="8">
        <f>IF(U104="","",U104*1000+V104)</f>
        <v/>
      </c>
    </row>
    <row r="105">
      <c r="A105" s="44">
        <f>IF(P105="","",INDEX(前年度名簿!$H$2:$H$451,P105))</f>
        <v/>
      </c>
      <c r="B105" s="44">
        <f>IF(P105="","",IFERROR(INDEX(設定!$G$8:$G$31,INT(INDEX(前年度名簿!$G$2:$G$451,P105)/1000)),INDEX(前年度名簿!$A$2:$A$451,P105)&amp;INDEX(前年度名簿!$B$2:$B$451,P105)))</f>
        <v/>
      </c>
      <c r="C105" s="44">
        <f>IF(P105="","",INDEX(前年度名簿!$C$2:$C$451,P105))</f>
        <v/>
      </c>
      <c r="D105" s="3">
        <f>IF(P105="","",INDEX(前年度名簿!$D$2:$D$451,P105))</f>
        <v/>
      </c>
      <c r="E105" s="44">
        <f>IF(T105="","",INDEX(新年度名簿!$K$2:$K$451,T105))</f>
        <v/>
      </c>
      <c r="F105" s="44">
        <f>IF(T105="","",INDEX(新年度名簿!$C$2:$C$451,T105))</f>
        <v/>
      </c>
      <c r="G105" s="44">
        <f>IF(Q105="","",INDEX(希望入力!$H$2:$H$551,Q105)&amp;"")</f>
        <v/>
      </c>
      <c r="H105" s="44">
        <f>IF(Q105="","",INDEX(希望入力!$I$2:$I$551,Q105)&amp;"")</f>
        <v/>
      </c>
      <c r="I105" s="44">
        <f>IF(Q105="","",INDEX(希望入力!$J$2:$J$551,Q105)&amp;"")</f>
        <v/>
      </c>
      <c r="J105" s="44">
        <f>IF(Q105="","",IF(G105="","要調整",IFERROR(IF(IF(OR(設定!$C$14="〇",設定!$C$14="○"),COUNTIFS($A$7:$A$456,"&gt;="&amp;A105,$G$7:$G$456,G105),COUNTIF($G$7:$G$456,G105))&lt;=(INDEX(設定!$Q$8:$Q$27,MATCH(G105,設定!$P$8:$P$27,0))+N(INDEX(設定!$R$8:$R$27,MATCH(G105,設定!$P$8:$P$27,0)))),G105,"要調整"),"要調整")))</f>
        <v/>
      </c>
      <c r="K105" s="40" t="n"/>
      <c r="L105" s="52">
        <f>IF(P105="","",IF(K105&lt;&gt;"",K105,IF(OR(J105="",J105="要調整"),"",J105)))</f>
        <v/>
      </c>
      <c r="M105" s="44">
        <f>IF(P105="","",IF(AND(計算用!$B$1=1,T105=""),"転出",IF(L105&lt;&gt;"","決定",IF(Q105="","未提出","要調整"))))</f>
        <v/>
      </c>
      <c r="N105" s="44">
        <f>IF(OR(M105&lt;&gt;"要調整",H105=""),"",IFERROR((INDEX(設定!$Q$8:$Q$27,MATCH(H105,設定!$P$8:$P$27,0))+N(INDEX(設定!$R$8:$R$27,MATCH(H105,設定!$P$8:$P$27,0))))-INDEX(定員チェック!$F$7:$F$26,MATCH(H105,設定!$P$8:$P$27,0))-COUNTIFS($M$7:$M$456,"要調整",$G$7:$G$456,H105),""))</f>
        <v/>
      </c>
      <c r="O105" s="44">
        <f>IF(OR(M105&lt;&gt;"要調整",I105=""),"",IFERROR((INDEX(設定!$Q$8:$Q$27,MATCH(I105,設定!$P$8:$P$27,0))+N(INDEX(設定!$R$8:$R$27,MATCH(I105,設定!$P$8:$P$27,0))))-INDEX(定員チェック!$F$7:$F$26,MATCH(I105,設定!$P$8:$P$27,0))-COUNTIFS($M$7:$M$456,"要調整",$G$7:$G$456,I105),""))</f>
        <v/>
      </c>
      <c r="P105" s="8">
        <f>IFERROR(MATCH(SMALL(前年度名簿!$G$2:$G$451,99),前年度名簿!$G$2:$G$451,0),"")</f>
        <v/>
      </c>
      <c r="Q105" s="8">
        <f>IF(R105="","",IFERROR(MATCH(R105,希望入力!$M$2:$M$551,0),""))</f>
        <v/>
      </c>
      <c r="R105" s="8">
        <f>IF(P105="","",INDEX(前年度名簿!$F$2:$F$451,P105))</f>
        <v/>
      </c>
      <c r="S105" s="8">
        <f>IF(P105="","",INDEX(前年度名簿!$I$2:$I$451,P105))</f>
        <v/>
      </c>
      <c r="T105" s="8">
        <f>IF(OR(P105="",計算用!$B$1=0),"",IFERROR(MATCH(S105,新年度名簿!$H$2:$H$451,0),""))</f>
        <v/>
      </c>
      <c r="U105" s="8">
        <f>IF(OR(L105="",M105="転出"),"",IFERROR(MATCH(L105,設定!$P$8:$P$27,0),""))</f>
        <v/>
      </c>
      <c r="V105" s="8">
        <f>IF(U105="","",COUNTIF($U$7:U105,U105))</f>
        <v/>
      </c>
      <c r="W105" s="8">
        <f>IF(U105="","",U105*1000+V105)</f>
        <v/>
      </c>
    </row>
    <row r="106">
      <c r="A106" s="44">
        <f>IF(P106="","",INDEX(前年度名簿!$H$2:$H$451,P106))</f>
        <v/>
      </c>
      <c r="B106" s="44">
        <f>IF(P106="","",IFERROR(INDEX(設定!$G$8:$G$31,INT(INDEX(前年度名簿!$G$2:$G$451,P106)/1000)),INDEX(前年度名簿!$A$2:$A$451,P106)&amp;INDEX(前年度名簿!$B$2:$B$451,P106)))</f>
        <v/>
      </c>
      <c r="C106" s="44">
        <f>IF(P106="","",INDEX(前年度名簿!$C$2:$C$451,P106))</f>
        <v/>
      </c>
      <c r="D106" s="3">
        <f>IF(P106="","",INDEX(前年度名簿!$D$2:$D$451,P106))</f>
        <v/>
      </c>
      <c r="E106" s="44">
        <f>IF(T106="","",INDEX(新年度名簿!$K$2:$K$451,T106))</f>
        <v/>
      </c>
      <c r="F106" s="44">
        <f>IF(T106="","",INDEX(新年度名簿!$C$2:$C$451,T106))</f>
        <v/>
      </c>
      <c r="G106" s="44">
        <f>IF(Q106="","",INDEX(希望入力!$H$2:$H$551,Q106)&amp;"")</f>
        <v/>
      </c>
      <c r="H106" s="44">
        <f>IF(Q106="","",INDEX(希望入力!$I$2:$I$551,Q106)&amp;"")</f>
        <v/>
      </c>
      <c r="I106" s="44">
        <f>IF(Q106="","",INDEX(希望入力!$J$2:$J$551,Q106)&amp;"")</f>
        <v/>
      </c>
      <c r="J106" s="44">
        <f>IF(Q106="","",IF(G106="","要調整",IFERROR(IF(IF(OR(設定!$C$14="〇",設定!$C$14="○"),COUNTIFS($A$7:$A$456,"&gt;="&amp;A106,$G$7:$G$456,G106),COUNTIF($G$7:$G$456,G106))&lt;=(INDEX(設定!$Q$8:$Q$27,MATCH(G106,設定!$P$8:$P$27,0))+N(INDEX(設定!$R$8:$R$27,MATCH(G106,設定!$P$8:$P$27,0)))),G106,"要調整"),"要調整")))</f>
        <v/>
      </c>
      <c r="K106" s="40" t="n"/>
      <c r="L106" s="52">
        <f>IF(P106="","",IF(K106&lt;&gt;"",K106,IF(OR(J106="",J106="要調整"),"",J106)))</f>
        <v/>
      </c>
      <c r="M106" s="44">
        <f>IF(P106="","",IF(AND(計算用!$B$1=1,T106=""),"転出",IF(L106&lt;&gt;"","決定",IF(Q106="","未提出","要調整"))))</f>
        <v/>
      </c>
      <c r="N106" s="44">
        <f>IF(OR(M106&lt;&gt;"要調整",H106=""),"",IFERROR((INDEX(設定!$Q$8:$Q$27,MATCH(H106,設定!$P$8:$P$27,0))+N(INDEX(設定!$R$8:$R$27,MATCH(H106,設定!$P$8:$P$27,0))))-INDEX(定員チェック!$F$7:$F$26,MATCH(H106,設定!$P$8:$P$27,0))-COUNTIFS($M$7:$M$456,"要調整",$G$7:$G$456,H106),""))</f>
        <v/>
      </c>
      <c r="O106" s="44">
        <f>IF(OR(M106&lt;&gt;"要調整",I106=""),"",IFERROR((INDEX(設定!$Q$8:$Q$27,MATCH(I106,設定!$P$8:$P$27,0))+N(INDEX(設定!$R$8:$R$27,MATCH(I106,設定!$P$8:$P$27,0))))-INDEX(定員チェック!$F$7:$F$26,MATCH(I106,設定!$P$8:$P$27,0))-COUNTIFS($M$7:$M$456,"要調整",$G$7:$G$456,I106),""))</f>
        <v/>
      </c>
      <c r="P106" s="8">
        <f>IFERROR(MATCH(SMALL(前年度名簿!$G$2:$G$451,100),前年度名簿!$G$2:$G$451,0),"")</f>
        <v/>
      </c>
      <c r="Q106" s="8">
        <f>IF(R106="","",IFERROR(MATCH(R106,希望入力!$M$2:$M$551,0),""))</f>
        <v/>
      </c>
      <c r="R106" s="8">
        <f>IF(P106="","",INDEX(前年度名簿!$F$2:$F$451,P106))</f>
        <v/>
      </c>
      <c r="S106" s="8">
        <f>IF(P106="","",INDEX(前年度名簿!$I$2:$I$451,P106))</f>
        <v/>
      </c>
      <c r="T106" s="8">
        <f>IF(OR(P106="",計算用!$B$1=0),"",IFERROR(MATCH(S106,新年度名簿!$H$2:$H$451,0),""))</f>
        <v/>
      </c>
      <c r="U106" s="8">
        <f>IF(OR(L106="",M106="転出"),"",IFERROR(MATCH(L106,設定!$P$8:$P$27,0),""))</f>
        <v/>
      </c>
      <c r="V106" s="8">
        <f>IF(U106="","",COUNTIF($U$7:U106,U106))</f>
        <v/>
      </c>
      <c r="W106" s="8">
        <f>IF(U106="","",U106*1000+V106)</f>
        <v/>
      </c>
    </row>
    <row r="107">
      <c r="A107" s="44">
        <f>IF(P107="","",INDEX(前年度名簿!$H$2:$H$451,P107))</f>
        <v/>
      </c>
      <c r="B107" s="44">
        <f>IF(P107="","",IFERROR(INDEX(設定!$G$8:$G$31,INT(INDEX(前年度名簿!$G$2:$G$451,P107)/1000)),INDEX(前年度名簿!$A$2:$A$451,P107)&amp;INDEX(前年度名簿!$B$2:$B$451,P107)))</f>
        <v/>
      </c>
      <c r="C107" s="44">
        <f>IF(P107="","",INDEX(前年度名簿!$C$2:$C$451,P107))</f>
        <v/>
      </c>
      <c r="D107" s="3">
        <f>IF(P107="","",INDEX(前年度名簿!$D$2:$D$451,P107))</f>
        <v/>
      </c>
      <c r="E107" s="44">
        <f>IF(T107="","",INDEX(新年度名簿!$K$2:$K$451,T107))</f>
        <v/>
      </c>
      <c r="F107" s="44">
        <f>IF(T107="","",INDEX(新年度名簿!$C$2:$C$451,T107))</f>
        <v/>
      </c>
      <c r="G107" s="44">
        <f>IF(Q107="","",INDEX(希望入力!$H$2:$H$551,Q107)&amp;"")</f>
        <v/>
      </c>
      <c r="H107" s="44">
        <f>IF(Q107="","",INDEX(希望入力!$I$2:$I$551,Q107)&amp;"")</f>
        <v/>
      </c>
      <c r="I107" s="44">
        <f>IF(Q107="","",INDEX(希望入力!$J$2:$J$551,Q107)&amp;"")</f>
        <v/>
      </c>
      <c r="J107" s="44">
        <f>IF(Q107="","",IF(G107="","要調整",IFERROR(IF(IF(OR(設定!$C$14="〇",設定!$C$14="○"),COUNTIFS($A$7:$A$456,"&gt;="&amp;A107,$G$7:$G$456,G107),COUNTIF($G$7:$G$456,G107))&lt;=(INDEX(設定!$Q$8:$Q$27,MATCH(G107,設定!$P$8:$P$27,0))+N(INDEX(設定!$R$8:$R$27,MATCH(G107,設定!$P$8:$P$27,0)))),G107,"要調整"),"要調整")))</f>
        <v/>
      </c>
      <c r="K107" s="40" t="n"/>
      <c r="L107" s="52">
        <f>IF(P107="","",IF(K107&lt;&gt;"",K107,IF(OR(J107="",J107="要調整"),"",J107)))</f>
        <v/>
      </c>
      <c r="M107" s="44">
        <f>IF(P107="","",IF(AND(計算用!$B$1=1,T107=""),"転出",IF(L107&lt;&gt;"","決定",IF(Q107="","未提出","要調整"))))</f>
        <v/>
      </c>
      <c r="N107" s="44">
        <f>IF(OR(M107&lt;&gt;"要調整",H107=""),"",IFERROR((INDEX(設定!$Q$8:$Q$27,MATCH(H107,設定!$P$8:$P$27,0))+N(INDEX(設定!$R$8:$R$27,MATCH(H107,設定!$P$8:$P$27,0))))-INDEX(定員チェック!$F$7:$F$26,MATCH(H107,設定!$P$8:$P$27,0))-COUNTIFS($M$7:$M$456,"要調整",$G$7:$G$456,H107),""))</f>
        <v/>
      </c>
      <c r="O107" s="44">
        <f>IF(OR(M107&lt;&gt;"要調整",I107=""),"",IFERROR((INDEX(設定!$Q$8:$Q$27,MATCH(I107,設定!$P$8:$P$27,0))+N(INDEX(設定!$R$8:$R$27,MATCH(I107,設定!$P$8:$P$27,0))))-INDEX(定員チェック!$F$7:$F$26,MATCH(I107,設定!$P$8:$P$27,0))-COUNTIFS($M$7:$M$456,"要調整",$G$7:$G$456,I107),""))</f>
        <v/>
      </c>
      <c r="P107" s="8">
        <f>IFERROR(MATCH(SMALL(前年度名簿!$G$2:$G$451,101),前年度名簿!$G$2:$G$451,0),"")</f>
        <v/>
      </c>
      <c r="Q107" s="8">
        <f>IF(R107="","",IFERROR(MATCH(R107,希望入力!$M$2:$M$551,0),""))</f>
        <v/>
      </c>
      <c r="R107" s="8">
        <f>IF(P107="","",INDEX(前年度名簿!$F$2:$F$451,P107))</f>
        <v/>
      </c>
      <c r="S107" s="8">
        <f>IF(P107="","",INDEX(前年度名簿!$I$2:$I$451,P107))</f>
        <v/>
      </c>
      <c r="T107" s="8">
        <f>IF(OR(P107="",計算用!$B$1=0),"",IFERROR(MATCH(S107,新年度名簿!$H$2:$H$451,0),""))</f>
        <v/>
      </c>
      <c r="U107" s="8">
        <f>IF(OR(L107="",M107="転出"),"",IFERROR(MATCH(L107,設定!$P$8:$P$27,0),""))</f>
        <v/>
      </c>
      <c r="V107" s="8">
        <f>IF(U107="","",COUNTIF($U$7:U107,U107))</f>
        <v/>
      </c>
      <c r="W107" s="8">
        <f>IF(U107="","",U107*1000+V107)</f>
        <v/>
      </c>
    </row>
    <row r="108">
      <c r="A108" s="44">
        <f>IF(P108="","",INDEX(前年度名簿!$H$2:$H$451,P108))</f>
        <v/>
      </c>
      <c r="B108" s="44">
        <f>IF(P108="","",IFERROR(INDEX(設定!$G$8:$G$31,INT(INDEX(前年度名簿!$G$2:$G$451,P108)/1000)),INDEX(前年度名簿!$A$2:$A$451,P108)&amp;INDEX(前年度名簿!$B$2:$B$451,P108)))</f>
        <v/>
      </c>
      <c r="C108" s="44">
        <f>IF(P108="","",INDEX(前年度名簿!$C$2:$C$451,P108))</f>
        <v/>
      </c>
      <c r="D108" s="3">
        <f>IF(P108="","",INDEX(前年度名簿!$D$2:$D$451,P108))</f>
        <v/>
      </c>
      <c r="E108" s="44">
        <f>IF(T108="","",INDEX(新年度名簿!$K$2:$K$451,T108))</f>
        <v/>
      </c>
      <c r="F108" s="44">
        <f>IF(T108="","",INDEX(新年度名簿!$C$2:$C$451,T108))</f>
        <v/>
      </c>
      <c r="G108" s="44">
        <f>IF(Q108="","",INDEX(希望入力!$H$2:$H$551,Q108)&amp;"")</f>
        <v/>
      </c>
      <c r="H108" s="44">
        <f>IF(Q108="","",INDEX(希望入力!$I$2:$I$551,Q108)&amp;"")</f>
        <v/>
      </c>
      <c r="I108" s="44">
        <f>IF(Q108="","",INDEX(希望入力!$J$2:$J$551,Q108)&amp;"")</f>
        <v/>
      </c>
      <c r="J108" s="44">
        <f>IF(Q108="","",IF(G108="","要調整",IFERROR(IF(IF(OR(設定!$C$14="〇",設定!$C$14="○"),COUNTIFS($A$7:$A$456,"&gt;="&amp;A108,$G$7:$G$456,G108),COUNTIF($G$7:$G$456,G108))&lt;=(INDEX(設定!$Q$8:$Q$27,MATCH(G108,設定!$P$8:$P$27,0))+N(INDEX(設定!$R$8:$R$27,MATCH(G108,設定!$P$8:$P$27,0)))),G108,"要調整"),"要調整")))</f>
        <v/>
      </c>
      <c r="K108" s="40" t="n"/>
      <c r="L108" s="52">
        <f>IF(P108="","",IF(K108&lt;&gt;"",K108,IF(OR(J108="",J108="要調整"),"",J108)))</f>
        <v/>
      </c>
      <c r="M108" s="44">
        <f>IF(P108="","",IF(AND(計算用!$B$1=1,T108=""),"転出",IF(L108&lt;&gt;"","決定",IF(Q108="","未提出","要調整"))))</f>
        <v/>
      </c>
      <c r="N108" s="44">
        <f>IF(OR(M108&lt;&gt;"要調整",H108=""),"",IFERROR((INDEX(設定!$Q$8:$Q$27,MATCH(H108,設定!$P$8:$P$27,0))+N(INDEX(設定!$R$8:$R$27,MATCH(H108,設定!$P$8:$P$27,0))))-INDEX(定員チェック!$F$7:$F$26,MATCH(H108,設定!$P$8:$P$27,0))-COUNTIFS($M$7:$M$456,"要調整",$G$7:$G$456,H108),""))</f>
        <v/>
      </c>
      <c r="O108" s="44">
        <f>IF(OR(M108&lt;&gt;"要調整",I108=""),"",IFERROR((INDEX(設定!$Q$8:$Q$27,MATCH(I108,設定!$P$8:$P$27,0))+N(INDEX(設定!$R$8:$R$27,MATCH(I108,設定!$P$8:$P$27,0))))-INDEX(定員チェック!$F$7:$F$26,MATCH(I108,設定!$P$8:$P$27,0))-COUNTIFS($M$7:$M$456,"要調整",$G$7:$G$456,I108),""))</f>
        <v/>
      </c>
      <c r="P108" s="8">
        <f>IFERROR(MATCH(SMALL(前年度名簿!$G$2:$G$451,102),前年度名簿!$G$2:$G$451,0),"")</f>
        <v/>
      </c>
      <c r="Q108" s="8">
        <f>IF(R108="","",IFERROR(MATCH(R108,希望入力!$M$2:$M$551,0),""))</f>
        <v/>
      </c>
      <c r="R108" s="8">
        <f>IF(P108="","",INDEX(前年度名簿!$F$2:$F$451,P108))</f>
        <v/>
      </c>
      <c r="S108" s="8">
        <f>IF(P108="","",INDEX(前年度名簿!$I$2:$I$451,P108))</f>
        <v/>
      </c>
      <c r="T108" s="8">
        <f>IF(OR(P108="",計算用!$B$1=0),"",IFERROR(MATCH(S108,新年度名簿!$H$2:$H$451,0),""))</f>
        <v/>
      </c>
      <c r="U108" s="8">
        <f>IF(OR(L108="",M108="転出"),"",IFERROR(MATCH(L108,設定!$P$8:$P$27,0),""))</f>
        <v/>
      </c>
      <c r="V108" s="8">
        <f>IF(U108="","",COUNTIF($U$7:U108,U108))</f>
        <v/>
      </c>
      <c r="W108" s="8">
        <f>IF(U108="","",U108*1000+V108)</f>
        <v/>
      </c>
    </row>
    <row r="109">
      <c r="A109" s="44">
        <f>IF(P109="","",INDEX(前年度名簿!$H$2:$H$451,P109))</f>
        <v/>
      </c>
      <c r="B109" s="44">
        <f>IF(P109="","",IFERROR(INDEX(設定!$G$8:$G$31,INT(INDEX(前年度名簿!$G$2:$G$451,P109)/1000)),INDEX(前年度名簿!$A$2:$A$451,P109)&amp;INDEX(前年度名簿!$B$2:$B$451,P109)))</f>
        <v/>
      </c>
      <c r="C109" s="44">
        <f>IF(P109="","",INDEX(前年度名簿!$C$2:$C$451,P109))</f>
        <v/>
      </c>
      <c r="D109" s="3">
        <f>IF(P109="","",INDEX(前年度名簿!$D$2:$D$451,P109))</f>
        <v/>
      </c>
      <c r="E109" s="44">
        <f>IF(T109="","",INDEX(新年度名簿!$K$2:$K$451,T109))</f>
        <v/>
      </c>
      <c r="F109" s="44">
        <f>IF(T109="","",INDEX(新年度名簿!$C$2:$C$451,T109))</f>
        <v/>
      </c>
      <c r="G109" s="44">
        <f>IF(Q109="","",INDEX(希望入力!$H$2:$H$551,Q109)&amp;"")</f>
        <v/>
      </c>
      <c r="H109" s="44">
        <f>IF(Q109="","",INDEX(希望入力!$I$2:$I$551,Q109)&amp;"")</f>
        <v/>
      </c>
      <c r="I109" s="44">
        <f>IF(Q109="","",INDEX(希望入力!$J$2:$J$551,Q109)&amp;"")</f>
        <v/>
      </c>
      <c r="J109" s="44">
        <f>IF(Q109="","",IF(G109="","要調整",IFERROR(IF(IF(OR(設定!$C$14="〇",設定!$C$14="○"),COUNTIFS($A$7:$A$456,"&gt;="&amp;A109,$G$7:$G$456,G109),COUNTIF($G$7:$G$456,G109))&lt;=(INDEX(設定!$Q$8:$Q$27,MATCH(G109,設定!$P$8:$P$27,0))+N(INDEX(設定!$R$8:$R$27,MATCH(G109,設定!$P$8:$P$27,0)))),G109,"要調整"),"要調整")))</f>
        <v/>
      </c>
      <c r="K109" s="40" t="n"/>
      <c r="L109" s="52">
        <f>IF(P109="","",IF(K109&lt;&gt;"",K109,IF(OR(J109="",J109="要調整"),"",J109)))</f>
        <v/>
      </c>
      <c r="M109" s="44">
        <f>IF(P109="","",IF(AND(計算用!$B$1=1,T109=""),"転出",IF(L109&lt;&gt;"","決定",IF(Q109="","未提出","要調整"))))</f>
        <v/>
      </c>
      <c r="N109" s="44">
        <f>IF(OR(M109&lt;&gt;"要調整",H109=""),"",IFERROR((INDEX(設定!$Q$8:$Q$27,MATCH(H109,設定!$P$8:$P$27,0))+N(INDEX(設定!$R$8:$R$27,MATCH(H109,設定!$P$8:$P$27,0))))-INDEX(定員チェック!$F$7:$F$26,MATCH(H109,設定!$P$8:$P$27,0))-COUNTIFS($M$7:$M$456,"要調整",$G$7:$G$456,H109),""))</f>
        <v/>
      </c>
      <c r="O109" s="44">
        <f>IF(OR(M109&lt;&gt;"要調整",I109=""),"",IFERROR((INDEX(設定!$Q$8:$Q$27,MATCH(I109,設定!$P$8:$P$27,0))+N(INDEX(設定!$R$8:$R$27,MATCH(I109,設定!$P$8:$P$27,0))))-INDEX(定員チェック!$F$7:$F$26,MATCH(I109,設定!$P$8:$P$27,0))-COUNTIFS($M$7:$M$456,"要調整",$G$7:$G$456,I109),""))</f>
        <v/>
      </c>
      <c r="P109" s="8">
        <f>IFERROR(MATCH(SMALL(前年度名簿!$G$2:$G$451,103),前年度名簿!$G$2:$G$451,0),"")</f>
        <v/>
      </c>
      <c r="Q109" s="8">
        <f>IF(R109="","",IFERROR(MATCH(R109,希望入力!$M$2:$M$551,0),""))</f>
        <v/>
      </c>
      <c r="R109" s="8">
        <f>IF(P109="","",INDEX(前年度名簿!$F$2:$F$451,P109))</f>
        <v/>
      </c>
      <c r="S109" s="8">
        <f>IF(P109="","",INDEX(前年度名簿!$I$2:$I$451,P109))</f>
        <v/>
      </c>
      <c r="T109" s="8">
        <f>IF(OR(P109="",計算用!$B$1=0),"",IFERROR(MATCH(S109,新年度名簿!$H$2:$H$451,0),""))</f>
        <v/>
      </c>
      <c r="U109" s="8">
        <f>IF(OR(L109="",M109="転出"),"",IFERROR(MATCH(L109,設定!$P$8:$P$27,0),""))</f>
        <v/>
      </c>
      <c r="V109" s="8">
        <f>IF(U109="","",COUNTIF($U$7:U109,U109))</f>
        <v/>
      </c>
      <c r="W109" s="8">
        <f>IF(U109="","",U109*1000+V109)</f>
        <v/>
      </c>
    </row>
    <row r="110">
      <c r="A110" s="44">
        <f>IF(P110="","",INDEX(前年度名簿!$H$2:$H$451,P110))</f>
        <v/>
      </c>
      <c r="B110" s="44">
        <f>IF(P110="","",IFERROR(INDEX(設定!$G$8:$G$31,INT(INDEX(前年度名簿!$G$2:$G$451,P110)/1000)),INDEX(前年度名簿!$A$2:$A$451,P110)&amp;INDEX(前年度名簿!$B$2:$B$451,P110)))</f>
        <v/>
      </c>
      <c r="C110" s="44">
        <f>IF(P110="","",INDEX(前年度名簿!$C$2:$C$451,P110))</f>
        <v/>
      </c>
      <c r="D110" s="3">
        <f>IF(P110="","",INDEX(前年度名簿!$D$2:$D$451,P110))</f>
        <v/>
      </c>
      <c r="E110" s="44">
        <f>IF(T110="","",INDEX(新年度名簿!$K$2:$K$451,T110))</f>
        <v/>
      </c>
      <c r="F110" s="44">
        <f>IF(T110="","",INDEX(新年度名簿!$C$2:$C$451,T110))</f>
        <v/>
      </c>
      <c r="G110" s="44">
        <f>IF(Q110="","",INDEX(希望入力!$H$2:$H$551,Q110)&amp;"")</f>
        <v/>
      </c>
      <c r="H110" s="44">
        <f>IF(Q110="","",INDEX(希望入力!$I$2:$I$551,Q110)&amp;"")</f>
        <v/>
      </c>
      <c r="I110" s="44">
        <f>IF(Q110="","",INDEX(希望入力!$J$2:$J$551,Q110)&amp;"")</f>
        <v/>
      </c>
      <c r="J110" s="44">
        <f>IF(Q110="","",IF(G110="","要調整",IFERROR(IF(IF(OR(設定!$C$14="〇",設定!$C$14="○"),COUNTIFS($A$7:$A$456,"&gt;="&amp;A110,$G$7:$G$456,G110),COUNTIF($G$7:$G$456,G110))&lt;=(INDEX(設定!$Q$8:$Q$27,MATCH(G110,設定!$P$8:$P$27,0))+N(INDEX(設定!$R$8:$R$27,MATCH(G110,設定!$P$8:$P$27,0)))),G110,"要調整"),"要調整")))</f>
        <v/>
      </c>
      <c r="K110" s="40" t="n"/>
      <c r="L110" s="52">
        <f>IF(P110="","",IF(K110&lt;&gt;"",K110,IF(OR(J110="",J110="要調整"),"",J110)))</f>
        <v/>
      </c>
      <c r="M110" s="44">
        <f>IF(P110="","",IF(AND(計算用!$B$1=1,T110=""),"転出",IF(L110&lt;&gt;"","決定",IF(Q110="","未提出","要調整"))))</f>
        <v/>
      </c>
      <c r="N110" s="44">
        <f>IF(OR(M110&lt;&gt;"要調整",H110=""),"",IFERROR((INDEX(設定!$Q$8:$Q$27,MATCH(H110,設定!$P$8:$P$27,0))+N(INDEX(設定!$R$8:$R$27,MATCH(H110,設定!$P$8:$P$27,0))))-INDEX(定員チェック!$F$7:$F$26,MATCH(H110,設定!$P$8:$P$27,0))-COUNTIFS($M$7:$M$456,"要調整",$G$7:$G$456,H110),""))</f>
        <v/>
      </c>
      <c r="O110" s="44">
        <f>IF(OR(M110&lt;&gt;"要調整",I110=""),"",IFERROR((INDEX(設定!$Q$8:$Q$27,MATCH(I110,設定!$P$8:$P$27,0))+N(INDEX(設定!$R$8:$R$27,MATCH(I110,設定!$P$8:$P$27,0))))-INDEX(定員チェック!$F$7:$F$26,MATCH(I110,設定!$P$8:$P$27,0))-COUNTIFS($M$7:$M$456,"要調整",$G$7:$G$456,I110),""))</f>
        <v/>
      </c>
      <c r="P110" s="8">
        <f>IFERROR(MATCH(SMALL(前年度名簿!$G$2:$G$451,104),前年度名簿!$G$2:$G$451,0),"")</f>
        <v/>
      </c>
      <c r="Q110" s="8">
        <f>IF(R110="","",IFERROR(MATCH(R110,希望入力!$M$2:$M$551,0),""))</f>
        <v/>
      </c>
      <c r="R110" s="8">
        <f>IF(P110="","",INDEX(前年度名簿!$F$2:$F$451,P110))</f>
        <v/>
      </c>
      <c r="S110" s="8">
        <f>IF(P110="","",INDEX(前年度名簿!$I$2:$I$451,P110))</f>
        <v/>
      </c>
      <c r="T110" s="8">
        <f>IF(OR(P110="",計算用!$B$1=0),"",IFERROR(MATCH(S110,新年度名簿!$H$2:$H$451,0),""))</f>
        <v/>
      </c>
      <c r="U110" s="8">
        <f>IF(OR(L110="",M110="転出"),"",IFERROR(MATCH(L110,設定!$P$8:$P$27,0),""))</f>
        <v/>
      </c>
      <c r="V110" s="8">
        <f>IF(U110="","",COUNTIF($U$7:U110,U110))</f>
        <v/>
      </c>
      <c r="W110" s="8">
        <f>IF(U110="","",U110*1000+V110)</f>
        <v/>
      </c>
    </row>
    <row r="111">
      <c r="A111" s="44">
        <f>IF(P111="","",INDEX(前年度名簿!$H$2:$H$451,P111))</f>
        <v/>
      </c>
      <c r="B111" s="44">
        <f>IF(P111="","",IFERROR(INDEX(設定!$G$8:$G$31,INT(INDEX(前年度名簿!$G$2:$G$451,P111)/1000)),INDEX(前年度名簿!$A$2:$A$451,P111)&amp;INDEX(前年度名簿!$B$2:$B$451,P111)))</f>
        <v/>
      </c>
      <c r="C111" s="44">
        <f>IF(P111="","",INDEX(前年度名簿!$C$2:$C$451,P111))</f>
        <v/>
      </c>
      <c r="D111" s="3">
        <f>IF(P111="","",INDEX(前年度名簿!$D$2:$D$451,P111))</f>
        <v/>
      </c>
      <c r="E111" s="44">
        <f>IF(T111="","",INDEX(新年度名簿!$K$2:$K$451,T111))</f>
        <v/>
      </c>
      <c r="F111" s="44">
        <f>IF(T111="","",INDEX(新年度名簿!$C$2:$C$451,T111))</f>
        <v/>
      </c>
      <c r="G111" s="44">
        <f>IF(Q111="","",INDEX(希望入力!$H$2:$H$551,Q111)&amp;"")</f>
        <v/>
      </c>
      <c r="H111" s="44">
        <f>IF(Q111="","",INDEX(希望入力!$I$2:$I$551,Q111)&amp;"")</f>
        <v/>
      </c>
      <c r="I111" s="44">
        <f>IF(Q111="","",INDEX(希望入力!$J$2:$J$551,Q111)&amp;"")</f>
        <v/>
      </c>
      <c r="J111" s="44">
        <f>IF(Q111="","",IF(G111="","要調整",IFERROR(IF(IF(OR(設定!$C$14="〇",設定!$C$14="○"),COUNTIFS($A$7:$A$456,"&gt;="&amp;A111,$G$7:$G$456,G111),COUNTIF($G$7:$G$456,G111))&lt;=(INDEX(設定!$Q$8:$Q$27,MATCH(G111,設定!$P$8:$P$27,0))+N(INDEX(設定!$R$8:$R$27,MATCH(G111,設定!$P$8:$P$27,0)))),G111,"要調整"),"要調整")))</f>
        <v/>
      </c>
      <c r="K111" s="40" t="n"/>
      <c r="L111" s="52">
        <f>IF(P111="","",IF(K111&lt;&gt;"",K111,IF(OR(J111="",J111="要調整"),"",J111)))</f>
        <v/>
      </c>
      <c r="M111" s="44">
        <f>IF(P111="","",IF(AND(計算用!$B$1=1,T111=""),"転出",IF(L111&lt;&gt;"","決定",IF(Q111="","未提出","要調整"))))</f>
        <v/>
      </c>
      <c r="N111" s="44">
        <f>IF(OR(M111&lt;&gt;"要調整",H111=""),"",IFERROR((INDEX(設定!$Q$8:$Q$27,MATCH(H111,設定!$P$8:$P$27,0))+N(INDEX(設定!$R$8:$R$27,MATCH(H111,設定!$P$8:$P$27,0))))-INDEX(定員チェック!$F$7:$F$26,MATCH(H111,設定!$P$8:$P$27,0))-COUNTIFS($M$7:$M$456,"要調整",$G$7:$G$456,H111),""))</f>
        <v/>
      </c>
      <c r="O111" s="44">
        <f>IF(OR(M111&lt;&gt;"要調整",I111=""),"",IFERROR((INDEX(設定!$Q$8:$Q$27,MATCH(I111,設定!$P$8:$P$27,0))+N(INDEX(設定!$R$8:$R$27,MATCH(I111,設定!$P$8:$P$27,0))))-INDEX(定員チェック!$F$7:$F$26,MATCH(I111,設定!$P$8:$P$27,0))-COUNTIFS($M$7:$M$456,"要調整",$G$7:$G$456,I111),""))</f>
        <v/>
      </c>
      <c r="P111" s="8">
        <f>IFERROR(MATCH(SMALL(前年度名簿!$G$2:$G$451,105),前年度名簿!$G$2:$G$451,0),"")</f>
        <v/>
      </c>
      <c r="Q111" s="8">
        <f>IF(R111="","",IFERROR(MATCH(R111,希望入力!$M$2:$M$551,0),""))</f>
        <v/>
      </c>
      <c r="R111" s="8">
        <f>IF(P111="","",INDEX(前年度名簿!$F$2:$F$451,P111))</f>
        <v/>
      </c>
      <c r="S111" s="8">
        <f>IF(P111="","",INDEX(前年度名簿!$I$2:$I$451,P111))</f>
        <v/>
      </c>
      <c r="T111" s="8">
        <f>IF(OR(P111="",計算用!$B$1=0),"",IFERROR(MATCH(S111,新年度名簿!$H$2:$H$451,0),""))</f>
        <v/>
      </c>
      <c r="U111" s="8">
        <f>IF(OR(L111="",M111="転出"),"",IFERROR(MATCH(L111,設定!$P$8:$P$27,0),""))</f>
        <v/>
      </c>
      <c r="V111" s="8">
        <f>IF(U111="","",COUNTIF($U$7:U111,U111))</f>
        <v/>
      </c>
      <c r="W111" s="8">
        <f>IF(U111="","",U111*1000+V111)</f>
        <v/>
      </c>
    </row>
    <row r="112">
      <c r="A112" s="44">
        <f>IF(P112="","",INDEX(前年度名簿!$H$2:$H$451,P112))</f>
        <v/>
      </c>
      <c r="B112" s="44">
        <f>IF(P112="","",IFERROR(INDEX(設定!$G$8:$G$31,INT(INDEX(前年度名簿!$G$2:$G$451,P112)/1000)),INDEX(前年度名簿!$A$2:$A$451,P112)&amp;INDEX(前年度名簿!$B$2:$B$451,P112)))</f>
        <v/>
      </c>
      <c r="C112" s="44">
        <f>IF(P112="","",INDEX(前年度名簿!$C$2:$C$451,P112))</f>
        <v/>
      </c>
      <c r="D112" s="3">
        <f>IF(P112="","",INDEX(前年度名簿!$D$2:$D$451,P112))</f>
        <v/>
      </c>
      <c r="E112" s="44">
        <f>IF(T112="","",INDEX(新年度名簿!$K$2:$K$451,T112))</f>
        <v/>
      </c>
      <c r="F112" s="44">
        <f>IF(T112="","",INDEX(新年度名簿!$C$2:$C$451,T112))</f>
        <v/>
      </c>
      <c r="G112" s="44">
        <f>IF(Q112="","",INDEX(希望入力!$H$2:$H$551,Q112)&amp;"")</f>
        <v/>
      </c>
      <c r="H112" s="44">
        <f>IF(Q112="","",INDEX(希望入力!$I$2:$I$551,Q112)&amp;"")</f>
        <v/>
      </c>
      <c r="I112" s="44">
        <f>IF(Q112="","",INDEX(希望入力!$J$2:$J$551,Q112)&amp;"")</f>
        <v/>
      </c>
      <c r="J112" s="44">
        <f>IF(Q112="","",IF(G112="","要調整",IFERROR(IF(IF(OR(設定!$C$14="〇",設定!$C$14="○"),COUNTIFS($A$7:$A$456,"&gt;="&amp;A112,$G$7:$G$456,G112),COUNTIF($G$7:$G$456,G112))&lt;=(INDEX(設定!$Q$8:$Q$27,MATCH(G112,設定!$P$8:$P$27,0))+N(INDEX(設定!$R$8:$R$27,MATCH(G112,設定!$P$8:$P$27,0)))),G112,"要調整"),"要調整")))</f>
        <v/>
      </c>
      <c r="K112" s="40" t="n"/>
      <c r="L112" s="52">
        <f>IF(P112="","",IF(K112&lt;&gt;"",K112,IF(OR(J112="",J112="要調整"),"",J112)))</f>
        <v/>
      </c>
      <c r="M112" s="44">
        <f>IF(P112="","",IF(AND(計算用!$B$1=1,T112=""),"転出",IF(L112&lt;&gt;"","決定",IF(Q112="","未提出","要調整"))))</f>
        <v/>
      </c>
      <c r="N112" s="44">
        <f>IF(OR(M112&lt;&gt;"要調整",H112=""),"",IFERROR((INDEX(設定!$Q$8:$Q$27,MATCH(H112,設定!$P$8:$P$27,0))+N(INDEX(設定!$R$8:$R$27,MATCH(H112,設定!$P$8:$P$27,0))))-INDEX(定員チェック!$F$7:$F$26,MATCH(H112,設定!$P$8:$P$27,0))-COUNTIFS($M$7:$M$456,"要調整",$G$7:$G$456,H112),""))</f>
        <v/>
      </c>
      <c r="O112" s="44">
        <f>IF(OR(M112&lt;&gt;"要調整",I112=""),"",IFERROR((INDEX(設定!$Q$8:$Q$27,MATCH(I112,設定!$P$8:$P$27,0))+N(INDEX(設定!$R$8:$R$27,MATCH(I112,設定!$P$8:$P$27,0))))-INDEX(定員チェック!$F$7:$F$26,MATCH(I112,設定!$P$8:$P$27,0))-COUNTIFS($M$7:$M$456,"要調整",$G$7:$G$456,I112),""))</f>
        <v/>
      </c>
      <c r="P112" s="8">
        <f>IFERROR(MATCH(SMALL(前年度名簿!$G$2:$G$451,106),前年度名簿!$G$2:$G$451,0),"")</f>
        <v/>
      </c>
      <c r="Q112" s="8">
        <f>IF(R112="","",IFERROR(MATCH(R112,希望入力!$M$2:$M$551,0),""))</f>
        <v/>
      </c>
      <c r="R112" s="8">
        <f>IF(P112="","",INDEX(前年度名簿!$F$2:$F$451,P112))</f>
        <v/>
      </c>
      <c r="S112" s="8">
        <f>IF(P112="","",INDEX(前年度名簿!$I$2:$I$451,P112))</f>
        <v/>
      </c>
      <c r="T112" s="8">
        <f>IF(OR(P112="",計算用!$B$1=0),"",IFERROR(MATCH(S112,新年度名簿!$H$2:$H$451,0),""))</f>
        <v/>
      </c>
      <c r="U112" s="8">
        <f>IF(OR(L112="",M112="転出"),"",IFERROR(MATCH(L112,設定!$P$8:$P$27,0),""))</f>
        <v/>
      </c>
      <c r="V112" s="8">
        <f>IF(U112="","",COUNTIF($U$7:U112,U112))</f>
        <v/>
      </c>
      <c r="W112" s="8">
        <f>IF(U112="","",U112*1000+V112)</f>
        <v/>
      </c>
    </row>
    <row r="113">
      <c r="A113" s="44">
        <f>IF(P113="","",INDEX(前年度名簿!$H$2:$H$451,P113))</f>
        <v/>
      </c>
      <c r="B113" s="44">
        <f>IF(P113="","",IFERROR(INDEX(設定!$G$8:$G$31,INT(INDEX(前年度名簿!$G$2:$G$451,P113)/1000)),INDEX(前年度名簿!$A$2:$A$451,P113)&amp;INDEX(前年度名簿!$B$2:$B$451,P113)))</f>
        <v/>
      </c>
      <c r="C113" s="44">
        <f>IF(P113="","",INDEX(前年度名簿!$C$2:$C$451,P113))</f>
        <v/>
      </c>
      <c r="D113" s="3">
        <f>IF(P113="","",INDEX(前年度名簿!$D$2:$D$451,P113))</f>
        <v/>
      </c>
      <c r="E113" s="44">
        <f>IF(T113="","",INDEX(新年度名簿!$K$2:$K$451,T113))</f>
        <v/>
      </c>
      <c r="F113" s="44">
        <f>IF(T113="","",INDEX(新年度名簿!$C$2:$C$451,T113))</f>
        <v/>
      </c>
      <c r="G113" s="44">
        <f>IF(Q113="","",INDEX(希望入力!$H$2:$H$551,Q113)&amp;"")</f>
        <v/>
      </c>
      <c r="H113" s="44">
        <f>IF(Q113="","",INDEX(希望入力!$I$2:$I$551,Q113)&amp;"")</f>
        <v/>
      </c>
      <c r="I113" s="44">
        <f>IF(Q113="","",INDEX(希望入力!$J$2:$J$551,Q113)&amp;"")</f>
        <v/>
      </c>
      <c r="J113" s="44">
        <f>IF(Q113="","",IF(G113="","要調整",IFERROR(IF(IF(OR(設定!$C$14="〇",設定!$C$14="○"),COUNTIFS($A$7:$A$456,"&gt;="&amp;A113,$G$7:$G$456,G113),COUNTIF($G$7:$G$456,G113))&lt;=(INDEX(設定!$Q$8:$Q$27,MATCH(G113,設定!$P$8:$P$27,0))+N(INDEX(設定!$R$8:$R$27,MATCH(G113,設定!$P$8:$P$27,0)))),G113,"要調整"),"要調整")))</f>
        <v/>
      </c>
      <c r="K113" s="40" t="n"/>
      <c r="L113" s="52">
        <f>IF(P113="","",IF(K113&lt;&gt;"",K113,IF(OR(J113="",J113="要調整"),"",J113)))</f>
        <v/>
      </c>
      <c r="M113" s="44">
        <f>IF(P113="","",IF(AND(計算用!$B$1=1,T113=""),"転出",IF(L113&lt;&gt;"","決定",IF(Q113="","未提出","要調整"))))</f>
        <v/>
      </c>
      <c r="N113" s="44">
        <f>IF(OR(M113&lt;&gt;"要調整",H113=""),"",IFERROR((INDEX(設定!$Q$8:$Q$27,MATCH(H113,設定!$P$8:$P$27,0))+N(INDEX(設定!$R$8:$R$27,MATCH(H113,設定!$P$8:$P$27,0))))-INDEX(定員チェック!$F$7:$F$26,MATCH(H113,設定!$P$8:$P$27,0))-COUNTIFS($M$7:$M$456,"要調整",$G$7:$G$456,H113),""))</f>
        <v/>
      </c>
      <c r="O113" s="44">
        <f>IF(OR(M113&lt;&gt;"要調整",I113=""),"",IFERROR((INDEX(設定!$Q$8:$Q$27,MATCH(I113,設定!$P$8:$P$27,0))+N(INDEX(設定!$R$8:$R$27,MATCH(I113,設定!$P$8:$P$27,0))))-INDEX(定員チェック!$F$7:$F$26,MATCH(I113,設定!$P$8:$P$27,0))-COUNTIFS($M$7:$M$456,"要調整",$G$7:$G$456,I113),""))</f>
        <v/>
      </c>
      <c r="P113" s="8">
        <f>IFERROR(MATCH(SMALL(前年度名簿!$G$2:$G$451,107),前年度名簿!$G$2:$G$451,0),"")</f>
        <v/>
      </c>
      <c r="Q113" s="8">
        <f>IF(R113="","",IFERROR(MATCH(R113,希望入力!$M$2:$M$551,0),""))</f>
        <v/>
      </c>
      <c r="R113" s="8">
        <f>IF(P113="","",INDEX(前年度名簿!$F$2:$F$451,P113))</f>
        <v/>
      </c>
      <c r="S113" s="8">
        <f>IF(P113="","",INDEX(前年度名簿!$I$2:$I$451,P113))</f>
        <v/>
      </c>
      <c r="T113" s="8">
        <f>IF(OR(P113="",計算用!$B$1=0),"",IFERROR(MATCH(S113,新年度名簿!$H$2:$H$451,0),""))</f>
        <v/>
      </c>
      <c r="U113" s="8">
        <f>IF(OR(L113="",M113="転出"),"",IFERROR(MATCH(L113,設定!$P$8:$P$27,0),""))</f>
        <v/>
      </c>
      <c r="V113" s="8">
        <f>IF(U113="","",COUNTIF($U$7:U113,U113))</f>
        <v/>
      </c>
      <c r="W113" s="8">
        <f>IF(U113="","",U113*1000+V113)</f>
        <v/>
      </c>
    </row>
    <row r="114">
      <c r="A114" s="44">
        <f>IF(P114="","",INDEX(前年度名簿!$H$2:$H$451,P114))</f>
        <v/>
      </c>
      <c r="B114" s="44">
        <f>IF(P114="","",IFERROR(INDEX(設定!$G$8:$G$31,INT(INDEX(前年度名簿!$G$2:$G$451,P114)/1000)),INDEX(前年度名簿!$A$2:$A$451,P114)&amp;INDEX(前年度名簿!$B$2:$B$451,P114)))</f>
        <v/>
      </c>
      <c r="C114" s="44">
        <f>IF(P114="","",INDEX(前年度名簿!$C$2:$C$451,P114))</f>
        <v/>
      </c>
      <c r="D114" s="3">
        <f>IF(P114="","",INDEX(前年度名簿!$D$2:$D$451,P114))</f>
        <v/>
      </c>
      <c r="E114" s="44">
        <f>IF(T114="","",INDEX(新年度名簿!$K$2:$K$451,T114))</f>
        <v/>
      </c>
      <c r="F114" s="44">
        <f>IF(T114="","",INDEX(新年度名簿!$C$2:$C$451,T114))</f>
        <v/>
      </c>
      <c r="G114" s="44">
        <f>IF(Q114="","",INDEX(希望入力!$H$2:$H$551,Q114)&amp;"")</f>
        <v/>
      </c>
      <c r="H114" s="44">
        <f>IF(Q114="","",INDEX(希望入力!$I$2:$I$551,Q114)&amp;"")</f>
        <v/>
      </c>
      <c r="I114" s="44">
        <f>IF(Q114="","",INDEX(希望入力!$J$2:$J$551,Q114)&amp;"")</f>
        <v/>
      </c>
      <c r="J114" s="44">
        <f>IF(Q114="","",IF(G114="","要調整",IFERROR(IF(IF(OR(設定!$C$14="〇",設定!$C$14="○"),COUNTIFS($A$7:$A$456,"&gt;="&amp;A114,$G$7:$G$456,G114),COUNTIF($G$7:$G$456,G114))&lt;=(INDEX(設定!$Q$8:$Q$27,MATCH(G114,設定!$P$8:$P$27,0))+N(INDEX(設定!$R$8:$R$27,MATCH(G114,設定!$P$8:$P$27,0)))),G114,"要調整"),"要調整")))</f>
        <v/>
      </c>
      <c r="K114" s="40" t="n"/>
      <c r="L114" s="52">
        <f>IF(P114="","",IF(K114&lt;&gt;"",K114,IF(OR(J114="",J114="要調整"),"",J114)))</f>
        <v/>
      </c>
      <c r="M114" s="44">
        <f>IF(P114="","",IF(AND(計算用!$B$1=1,T114=""),"転出",IF(L114&lt;&gt;"","決定",IF(Q114="","未提出","要調整"))))</f>
        <v/>
      </c>
      <c r="N114" s="44">
        <f>IF(OR(M114&lt;&gt;"要調整",H114=""),"",IFERROR((INDEX(設定!$Q$8:$Q$27,MATCH(H114,設定!$P$8:$P$27,0))+N(INDEX(設定!$R$8:$R$27,MATCH(H114,設定!$P$8:$P$27,0))))-INDEX(定員チェック!$F$7:$F$26,MATCH(H114,設定!$P$8:$P$27,0))-COUNTIFS($M$7:$M$456,"要調整",$G$7:$G$456,H114),""))</f>
        <v/>
      </c>
      <c r="O114" s="44">
        <f>IF(OR(M114&lt;&gt;"要調整",I114=""),"",IFERROR((INDEX(設定!$Q$8:$Q$27,MATCH(I114,設定!$P$8:$P$27,0))+N(INDEX(設定!$R$8:$R$27,MATCH(I114,設定!$P$8:$P$27,0))))-INDEX(定員チェック!$F$7:$F$26,MATCH(I114,設定!$P$8:$P$27,0))-COUNTIFS($M$7:$M$456,"要調整",$G$7:$G$456,I114),""))</f>
        <v/>
      </c>
      <c r="P114" s="8">
        <f>IFERROR(MATCH(SMALL(前年度名簿!$G$2:$G$451,108),前年度名簿!$G$2:$G$451,0),"")</f>
        <v/>
      </c>
      <c r="Q114" s="8">
        <f>IF(R114="","",IFERROR(MATCH(R114,希望入力!$M$2:$M$551,0),""))</f>
        <v/>
      </c>
      <c r="R114" s="8">
        <f>IF(P114="","",INDEX(前年度名簿!$F$2:$F$451,P114))</f>
        <v/>
      </c>
      <c r="S114" s="8">
        <f>IF(P114="","",INDEX(前年度名簿!$I$2:$I$451,P114))</f>
        <v/>
      </c>
      <c r="T114" s="8">
        <f>IF(OR(P114="",計算用!$B$1=0),"",IFERROR(MATCH(S114,新年度名簿!$H$2:$H$451,0),""))</f>
        <v/>
      </c>
      <c r="U114" s="8">
        <f>IF(OR(L114="",M114="転出"),"",IFERROR(MATCH(L114,設定!$P$8:$P$27,0),""))</f>
        <v/>
      </c>
      <c r="V114" s="8">
        <f>IF(U114="","",COUNTIF($U$7:U114,U114))</f>
        <v/>
      </c>
      <c r="W114" s="8">
        <f>IF(U114="","",U114*1000+V114)</f>
        <v/>
      </c>
    </row>
    <row r="115">
      <c r="A115" s="44">
        <f>IF(P115="","",INDEX(前年度名簿!$H$2:$H$451,P115))</f>
        <v/>
      </c>
      <c r="B115" s="44">
        <f>IF(P115="","",IFERROR(INDEX(設定!$G$8:$G$31,INT(INDEX(前年度名簿!$G$2:$G$451,P115)/1000)),INDEX(前年度名簿!$A$2:$A$451,P115)&amp;INDEX(前年度名簿!$B$2:$B$451,P115)))</f>
        <v/>
      </c>
      <c r="C115" s="44">
        <f>IF(P115="","",INDEX(前年度名簿!$C$2:$C$451,P115))</f>
        <v/>
      </c>
      <c r="D115" s="3">
        <f>IF(P115="","",INDEX(前年度名簿!$D$2:$D$451,P115))</f>
        <v/>
      </c>
      <c r="E115" s="44">
        <f>IF(T115="","",INDEX(新年度名簿!$K$2:$K$451,T115))</f>
        <v/>
      </c>
      <c r="F115" s="44">
        <f>IF(T115="","",INDEX(新年度名簿!$C$2:$C$451,T115))</f>
        <v/>
      </c>
      <c r="G115" s="44">
        <f>IF(Q115="","",INDEX(希望入力!$H$2:$H$551,Q115)&amp;"")</f>
        <v/>
      </c>
      <c r="H115" s="44">
        <f>IF(Q115="","",INDEX(希望入力!$I$2:$I$551,Q115)&amp;"")</f>
        <v/>
      </c>
      <c r="I115" s="44">
        <f>IF(Q115="","",INDEX(希望入力!$J$2:$J$551,Q115)&amp;"")</f>
        <v/>
      </c>
      <c r="J115" s="44">
        <f>IF(Q115="","",IF(G115="","要調整",IFERROR(IF(IF(OR(設定!$C$14="〇",設定!$C$14="○"),COUNTIFS($A$7:$A$456,"&gt;="&amp;A115,$G$7:$G$456,G115),COUNTIF($G$7:$G$456,G115))&lt;=(INDEX(設定!$Q$8:$Q$27,MATCH(G115,設定!$P$8:$P$27,0))+N(INDEX(設定!$R$8:$R$27,MATCH(G115,設定!$P$8:$P$27,0)))),G115,"要調整"),"要調整")))</f>
        <v/>
      </c>
      <c r="K115" s="40" t="n"/>
      <c r="L115" s="52">
        <f>IF(P115="","",IF(K115&lt;&gt;"",K115,IF(OR(J115="",J115="要調整"),"",J115)))</f>
        <v/>
      </c>
      <c r="M115" s="44">
        <f>IF(P115="","",IF(AND(計算用!$B$1=1,T115=""),"転出",IF(L115&lt;&gt;"","決定",IF(Q115="","未提出","要調整"))))</f>
        <v/>
      </c>
      <c r="N115" s="44">
        <f>IF(OR(M115&lt;&gt;"要調整",H115=""),"",IFERROR((INDEX(設定!$Q$8:$Q$27,MATCH(H115,設定!$P$8:$P$27,0))+N(INDEX(設定!$R$8:$R$27,MATCH(H115,設定!$P$8:$P$27,0))))-INDEX(定員チェック!$F$7:$F$26,MATCH(H115,設定!$P$8:$P$27,0))-COUNTIFS($M$7:$M$456,"要調整",$G$7:$G$456,H115),""))</f>
        <v/>
      </c>
      <c r="O115" s="44">
        <f>IF(OR(M115&lt;&gt;"要調整",I115=""),"",IFERROR((INDEX(設定!$Q$8:$Q$27,MATCH(I115,設定!$P$8:$P$27,0))+N(INDEX(設定!$R$8:$R$27,MATCH(I115,設定!$P$8:$P$27,0))))-INDEX(定員チェック!$F$7:$F$26,MATCH(I115,設定!$P$8:$P$27,0))-COUNTIFS($M$7:$M$456,"要調整",$G$7:$G$456,I115),""))</f>
        <v/>
      </c>
      <c r="P115" s="8">
        <f>IFERROR(MATCH(SMALL(前年度名簿!$G$2:$G$451,109),前年度名簿!$G$2:$G$451,0),"")</f>
        <v/>
      </c>
      <c r="Q115" s="8">
        <f>IF(R115="","",IFERROR(MATCH(R115,希望入力!$M$2:$M$551,0),""))</f>
        <v/>
      </c>
      <c r="R115" s="8">
        <f>IF(P115="","",INDEX(前年度名簿!$F$2:$F$451,P115))</f>
        <v/>
      </c>
      <c r="S115" s="8">
        <f>IF(P115="","",INDEX(前年度名簿!$I$2:$I$451,P115))</f>
        <v/>
      </c>
      <c r="T115" s="8">
        <f>IF(OR(P115="",計算用!$B$1=0),"",IFERROR(MATCH(S115,新年度名簿!$H$2:$H$451,0),""))</f>
        <v/>
      </c>
      <c r="U115" s="8">
        <f>IF(OR(L115="",M115="転出"),"",IFERROR(MATCH(L115,設定!$P$8:$P$27,0),""))</f>
        <v/>
      </c>
      <c r="V115" s="8">
        <f>IF(U115="","",COUNTIF($U$7:U115,U115))</f>
        <v/>
      </c>
      <c r="W115" s="8">
        <f>IF(U115="","",U115*1000+V115)</f>
        <v/>
      </c>
    </row>
    <row r="116">
      <c r="A116" s="44">
        <f>IF(P116="","",INDEX(前年度名簿!$H$2:$H$451,P116))</f>
        <v/>
      </c>
      <c r="B116" s="44">
        <f>IF(P116="","",IFERROR(INDEX(設定!$G$8:$G$31,INT(INDEX(前年度名簿!$G$2:$G$451,P116)/1000)),INDEX(前年度名簿!$A$2:$A$451,P116)&amp;INDEX(前年度名簿!$B$2:$B$451,P116)))</f>
        <v/>
      </c>
      <c r="C116" s="44">
        <f>IF(P116="","",INDEX(前年度名簿!$C$2:$C$451,P116))</f>
        <v/>
      </c>
      <c r="D116" s="3">
        <f>IF(P116="","",INDEX(前年度名簿!$D$2:$D$451,P116))</f>
        <v/>
      </c>
      <c r="E116" s="44">
        <f>IF(T116="","",INDEX(新年度名簿!$K$2:$K$451,T116))</f>
        <v/>
      </c>
      <c r="F116" s="44">
        <f>IF(T116="","",INDEX(新年度名簿!$C$2:$C$451,T116))</f>
        <v/>
      </c>
      <c r="G116" s="44">
        <f>IF(Q116="","",INDEX(希望入力!$H$2:$H$551,Q116)&amp;"")</f>
        <v/>
      </c>
      <c r="H116" s="44">
        <f>IF(Q116="","",INDEX(希望入力!$I$2:$I$551,Q116)&amp;"")</f>
        <v/>
      </c>
      <c r="I116" s="44">
        <f>IF(Q116="","",INDEX(希望入力!$J$2:$J$551,Q116)&amp;"")</f>
        <v/>
      </c>
      <c r="J116" s="44">
        <f>IF(Q116="","",IF(G116="","要調整",IFERROR(IF(IF(OR(設定!$C$14="〇",設定!$C$14="○"),COUNTIFS($A$7:$A$456,"&gt;="&amp;A116,$G$7:$G$456,G116),COUNTIF($G$7:$G$456,G116))&lt;=(INDEX(設定!$Q$8:$Q$27,MATCH(G116,設定!$P$8:$P$27,0))+N(INDEX(設定!$R$8:$R$27,MATCH(G116,設定!$P$8:$P$27,0)))),G116,"要調整"),"要調整")))</f>
        <v/>
      </c>
      <c r="K116" s="40" t="n"/>
      <c r="L116" s="52">
        <f>IF(P116="","",IF(K116&lt;&gt;"",K116,IF(OR(J116="",J116="要調整"),"",J116)))</f>
        <v/>
      </c>
      <c r="M116" s="44">
        <f>IF(P116="","",IF(AND(計算用!$B$1=1,T116=""),"転出",IF(L116&lt;&gt;"","決定",IF(Q116="","未提出","要調整"))))</f>
        <v/>
      </c>
      <c r="N116" s="44">
        <f>IF(OR(M116&lt;&gt;"要調整",H116=""),"",IFERROR((INDEX(設定!$Q$8:$Q$27,MATCH(H116,設定!$P$8:$P$27,0))+N(INDEX(設定!$R$8:$R$27,MATCH(H116,設定!$P$8:$P$27,0))))-INDEX(定員チェック!$F$7:$F$26,MATCH(H116,設定!$P$8:$P$27,0))-COUNTIFS($M$7:$M$456,"要調整",$G$7:$G$456,H116),""))</f>
        <v/>
      </c>
      <c r="O116" s="44">
        <f>IF(OR(M116&lt;&gt;"要調整",I116=""),"",IFERROR((INDEX(設定!$Q$8:$Q$27,MATCH(I116,設定!$P$8:$P$27,0))+N(INDEX(設定!$R$8:$R$27,MATCH(I116,設定!$P$8:$P$27,0))))-INDEX(定員チェック!$F$7:$F$26,MATCH(I116,設定!$P$8:$P$27,0))-COUNTIFS($M$7:$M$456,"要調整",$G$7:$G$456,I116),""))</f>
        <v/>
      </c>
      <c r="P116" s="8">
        <f>IFERROR(MATCH(SMALL(前年度名簿!$G$2:$G$451,110),前年度名簿!$G$2:$G$451,0),"")</f>
        <v/>
      </c>
      <c r="Q116" s="8">
        <f>IF(R116="","",IFERROR(MATCH(R116,希望入力!$M$2:$M$551,0),""))</f>
        <v/>
      </c>
      <c r="R116" s="8">
        <f>IF(P116="","",INDEX(前年度名簿!$F$2:$F$451,P116))</f>
        <v/>
      </c>
      <c r="S116" s="8">
        <f>IF(P116="","",INDEX(前年度名簿!$I$2:$I$451,P116))</f>
        <v/>
      </c>
      <c r="T116" s="8">
        <f>IF(OR(P116="",計算用!$B$1=0),"",IFERROR(MATCH(S116,新年度名簿!$H$2:$H$451,0),""))</f>
        <v/>
      </c>
      <c r="U116" s="8">
        <f>IF(OR(L116="",M116="転出"),"",IFERROR(MATCH(L116,設定!$P$8:$P$27,0),""))</f>
        <v/>
      </c>
      <c r="V116" s="8">
        <f>IF(U116="","",COUNTIF($U$7:U116,U116))</f>
        <v/>
      </c>
      <c r="W116" s="8">
        <f>IF(U116="","",U116*1000+V116)</f>
        <v/>
      </c>
    </row>
    <row r="117">
      <c r="A117" s="44">
        <f>IF(P117="","",INDEX(前年度名簿!$H$2:$H$451,P117))</f>
        <v/>
      </c>
      <c r="B117" s="44">
        <f>IF(P117="","",IFERROR(INDEX(設定!$G$8:$G$31,INT(INDEX(前年度名簿!$G$2:$G$451,P117)/1000)),INDEX(前年度名簿!$A$2:$A$451,P117)&amp;INDEX(前年度名簿!$B$2:$B$451,P117)))</f>
        <v/>
      </c>
      <c r="C117" s="44">
        <f>IF(P117="","",INDEX(前年度名簿!$C$2:$C$451,P117))</f>
        <v/>
      </c>
      <c r="D117" s="3">
        <f>IF(P117="","",INDEX(前年度名簿!$D$2:$D$451,P117))</f>
        <v/>
      </c>
      <c r="E117" s="44">
        <f>IF(T117="","",INDEX(新年度名簿!$K$2:$K$451,T117))</f>
        <v/>
      </c>
      <c r="F117" s="44">
        <f>IF(T117="","",INDEX(新年度名簿!$C$2:$C$451,T117))</f>
        <v/>
      </c>
      <c r="G117" s="44">
        <f>IF(Q117="","",INDEX(希望入力!$H$2:$H$551,Q117)&amp;"")</f>
        <v/>
      </c>
      <c r="H117" s="44">
        <f>IF(Q117="","",INDEX(希望入力!$I$2:$I$551,Q117)&amp;"")</f>
        <v/>
      </c>
      <c r="I117" s="44">
        <f>IF(Q117="","",INDEX(希望入力!$J$2:$J$551,Q117)&amp;"")</f>
        <v/>
      </c>
      <c r="J117" s="44">
        <f>IF(Q117="","",IF(G117="","要調整",IFERROR(IF(IF(OR(設定!$C$14="〇",設定!$C$14="○"),COUNTIFS($A$7:$A$456,"&gt;="&amp;A117,$G$7:$G$456,G117),COUNTIF($G$7:$G$456,G117))&lt;=(INDEX(設定!$Q$8:$Q$27,MATCH(G117,設定!$P$8:$P$27,0))+N(INDEX(設定!$R$8:$R$27,MATCH(G117,設定!$P$8:$P$27,0)))),G117,"要調整"),"要調整")))</f>
        <v/>
      </c>
      <c r="K117" s="40" t="n"/>
      <c r="L117" s="52">
        <f>IF(P117="","",IF(K117&lt;&gt;"",K117,IF(OR(J117="",J117="要調整"),"",J117)))</f>
        <v/>
      </c>
      <c r="M117" s="44">
        <f>IF(P117="","",IF(AND(計算用!$B$1=1,T117=""),"転出",IF(L117&lt;&gt;"","決定",IF(Q117="","未提出","要調整"))))</f>
        <v/>
      </c>
      <c r="N117" s="44">
        <f>IF(OR(M117&lt;&gt;"要調整",H117=""),"",IFERROR((INDEX(設定!$Q$8:$Q$27,MATCH(H117,設定!$P$8:$P$27,0))+N(INDEX(設定!$R$8:$R$27,MATCH(H117,設定!$P$8:$P$27,0))))-INDEX(定員チェック!$F$7:$F$26,MATCH(H117,設定!$P$8:$P$27,0))-COUNTIFS($M$7:$M$456,"要調整",$G$7:$G$456,H117),""))</f>
        <v/>
      </c>
      <c r="O117" s="44">
        <f>IF(OR(M117&lt;&gt;"要調整",I117=""),"",IFERROR((INDEX(設定!$Q$8:$Q$27,MATCH(I117,設定!$P$8:$P$27,0))+N(INDEX(設定!$R$8:$R$27,MATCH(I117,設定!$P$8:$P$27,0))))-INDEX(定員チェック!$F$7:$F$26,MATCH(I117,設定!$P$8:$P$27,0))-COUNTIFS($M$7:$M$456,"要調整",$G$7:$G$456,I117),""))</f>
        <v/>
      </c>
      <c r="P117" s="8">
        <f>IFERROR(MATCH(SMALL(前年度名簿!$G$2:$G$451,111),前年度名簿!$G$2:$G$451,0),"")</f>
        <v/>
      </c>
      <c r="Q117" s="8">
        <f>IF(R117="","",IFERROR(MATCH(R117,希望入力!$M$2:$M$551,0),""))</f>
        <v/>
      </c>
      <c r="R117" s="8">
        <f>IF(P117="","",INDEX(前年度名簿!$F$2:$F$451,P117))</f>
        <v/>
      </c>
      <c r="S117" s="8">
        <f>IF(P117="","",INDEX(前年度名簿!$I$2:$I$451,P117))</f>
        <v/>
      </c>
      <c r="T117" s="8">
        <f>IF(OR(P117="",計算用!$B$1=0),"",IFERROR(MATCH(S117,新年度名簿!$H$2:$H$451,0),""))</f>
        <v/>
      </c>
      <c r="U117" s="8">
        <f>IF(OR(L117="",M117="転出"),"",IFERROR(MATCH(L117,設定!$P$8:$P$27,0),""))</f>
        <v/>
      </c>
      <c r="V117" s="8">
        <f>IF(U117="","",COUNTIF($U$7:U117,U117))</f>
        <v/>
      </c>
      <c r="W117" s="8">
        <f>IF(U117="","",U117*1000+V117)</f>
        <v/>
      </c>
    </row>
    <row r="118">
      <c r="A118" s="44">
        <f>IF(P118="","",INDEX(前年度名簿!$H$2:$H$451,P118))</f>
        <v/>
      </c>
      <c r="B118" s="44">
        <f>IF(P118="","",IFERROR(INDEX(設定!$G$8:$G$31,INT(INDEX(前年度名簿!$G$2:$G$451,P118)/1000)),INDEX(前年度名簿!$A$2:$A$451,P118)&amp;INDEX(前年度名簿!$B$2:$B$451,P118)))</f>
        <v/>
      </c>
      <c r="C118" s="44">
        <f>IF(P118="","",INDEX(前年度名簿!$C$2:$C$451,P118))</f>
        <v/>
      </c>
      <c r="D118" s="3">
        <f>IF(P118="","",INDEX(前年度名簿!$D$2:$D$451,P118))</f>
        <v/>
      </c>
      <c r="E118" s="44">
        <f>IF(T118="","",INDEX(新年度名簿!$K$2:$K$451,T118))</f>
        <v/>
      </c>
      <c r="F118" s="44">
        <f>IF(T118="","",INDEX(新年度名簿!$C$2:$C$451,T118))</f>
        <v/>
      </c>
      <c r="G118" s="44">
        <f>IF(Q118="","",INDEX(希望入力!$H$2:$H$551,Q118)&amp;"")</f>
        <v/>
      </c>
      <c r="H118" s="44">
        <f>IF(Q118="","",INDEX(希望入力!$I$2:$I$551,Q118)&amp;"")</f>
        <v/>
      </c>
      <c r="I118" s="44">
        <f>IF(Q118="","",INDEX(希望入力!$J$2:$J$551,Q118)&amp;"")</f>
        <v/>
      </c>
      <c r="J118" s="44">
        <f>IF(Q118="","",IF(G118="","要調整",IFERROR(IF(IF(OR(設定!$C$14="〇",設定!$C$14="○"),COUNTIFS($A$7:$A$456,"&gt;="&amp;A118,$G$7:$G$456,G118),COUNTIF($G$7:$G$456,G118))&lt;=(INDEX(設定!$Q$8:$Q$27,MATCH(G118,設定!$P$8:$P$27,0))+N(INDEX(設定!$R$8:$R$27,MATCH(G118,設定!$P$8:$P$27,0)))),G118,"要調整"),"要調整")))</f>
        <v/>
      </c>
      <c r="K118" s="40" t="n"/>
      <c r="L118" s="52">
        <f>IF(P118="","",IF(K118&lt;&gt;"",K118,IF(OR(J118="",J118="要調整"),"",J118)))</f>
        <v/>
      </c>
      <c r="M118" s="44">
        <f>IF(P118="","",IF(AND(計算用!$B$1=1,T118=""),"転出",IF(L118&lt;&gt;"","決定",IF(Q118="","未提出","要調整"))))</f>
        <v/>
      </c>
      <c r="N118" s="44">
        <f>IF(OR(M118&lt;&gt;"要調整",H118=""),"",IFERROR((INDEX(設定!$Q$8:$Q$27,MATCH(H118,設定!$P$8:$P$27,0))+N(INDEX(設定!$R$8:$R$27,MATCH(H118,設定!$P$8:$P$27,0))))-INDEX(定員チェック!$F$7:$F$26,MATCH(H118,設定!$P$8:$P$27,0))-COUNTIFS($M$7:$M$456,"要調整",$G$7:$G$456,H118),""))</f>
        <v/>
      </c>
      <c r="O118" s="44">
        <f>IF(OR(M118&lt;&gt;"要調整",I118=""),"",IFERROR((INDEX(設定!$Q$8:$Q$27,MATCH(I118,設定!$P$8:$P$27,0))+N(INDEX(設定!$R$8:$R$27,MATCH(I118,設定!$P$8:$P$27,0))))-INDEX(定員チェック!$F$7:$F$26,MATCH(I118,設定!$P$8:$P$27,0))-COUNTIFS($M$7:$M$456,"要調整",$G$7:$G$456,I118),""))</f>
        <v/>
      </c>
      <c r="P118" s="8">
        <f>IFERROR(MATCH(SMALL(前年度名簿!$G$2:$G$451,112),前年度名簿!$G$2:$G$451,0),"")</f>
        <v/>
      </c>
      <c r="Q118" s="8">
        <f>IF(R118="","",IFERROR(MATCH(R118,希望入力!$M$2:$M$551,0),""))</f>
        <v/>
      </c>
      <c r="R118" s="8">
        <f>IF(P118="","",INDEX(前年度名簿!$F$2:$F$451,P118))</f>
        <v/>
      </c>
      <c r="S118" s="8">
        <f>IF(P118="","",INDEX(前年度名簿!$I$2:$I$451,P118))</f>
        <v/>
      </c>
      <c r="T118" s="8">
        <f>IF(OR(P118="",計算用!$B$1=0),"",IFERROR(MATCH(S118,新年度名簿!$H$2:$H$451,0),""))</f>
        <v/>
      </c>
      <c r="U118" s="8">
        <f>IF(OR(L118="",M118="転出"),"",IFERROR(MATCH(L118,設定!$P$8:$P$27,0),""))</f>
        <v/>
      </c>
      <c r="V118" s="8">
        <f>IF(U118="","",COUNTIF($U$7:U118,U118))</f>
        <v/>
      </c>
      <c r="W118" s="8">
        <f>IF(U118="","",U118*1000+V118)</f>
        <v/>
      </c>
    </row>
    <row r="119">
      <c r="A119" s="44">
        <f>IF(P119="","",INDEX(前年度名簿!$H$2:$H$451,P119))</f>
        <v/>
      </c>
      <c r="B119" s="44">
        <f>IF(P119="","",IFERROR(INDEX(設定!$G$8:$G$31,INT(INDEX(前年度名簿!$G$2:$G$451,P119)/1000)),INDEX(前年度名簿!$A$2:$A$451,P119)&amp;INDEX(前年度名簿!$B$2:$B$451,P119)))</f>
        <v/>
      </c>
      <c r="C119" s="44">
        <f>IF(P119="","",INDEX(前年度名簿!$C$2:$C$451,P119))</f>
        <v/>
      </c>
      <c r="D119" s="3">
        <f>IF(P119="","",INDEX(前年度名簿!$D$2:$D$451,P119))</f>
        <v/>
      </c>
      <c r="E119" s="44">
        <f>IF(T119="","",INDEX(新年度名簿!$K$2:$K$451,T119))</f>
        <v/>
      </c>
      <c r="F119" s="44">
        <f>IF(T119="","",INDEX(新年度名簿!$C$2:$C$451,T119))</f>
        <v/>
      </c>
      <c r="G119" s="44">
        <f>IF(Q119="","",INDEX(希望入力!$H$2:$H$551,Q119)&amp;"")</f>
        <v/>
      </c>
      <c r="H119" s="44">
        <f>IF(Q119="","",INDEX(希望入力!$I$2:$I$551,Q119)&amp;"")</f>
        <v/>
      </c>
      <c r="I119" s="44">
        <f>IF(Q119="","",INDEX(希望入力!$J$2:$J$551,Q119)&amp;"")</f>
        <v/>
      </c>
      <c r="J119" s="44">
        <f>IF(Q119="","",IF(G119="","要調整",IFERROR(IF(IF(OR(設定!$C$14="〇",設定!$C$14="○"),COUNTIFS($A$7:$A$456,"&gt;="&amp;A119,$G$7:$G$456,G119),COUNTIF($G$7:$G$456,G119))&lt;=(INDEX(設定!$Q$8:$Q$27,MATCH(G119,設定!$P$8:$P$27,0))+N(INDEX(設定!$R$8:$R$27,MATCH(G119,設定!$P$8:$P$27,0)))),G119,"要調整"),"要調整")))</f>
        <v/>
      </c>
      <c r="K119" s="40" t="n"/>
      <c r="L119" s="52">
        <f>IF(P119="","",IF(K119&lt;&gt;"",K119,IF(OR(J119="",J119="要調整"),"",J119)))</f>
        <v/>
      </c>
      <c r="M119" s="44">
        <f>IF(P119="","",IF(AND(計算用!$B$1=1,T119=""),"転出",IF(L119&lt;&gt;"","決定",IF(Q119="","未提出","要調整"))))</f>
        <v/>
      </c>
      <c r="N119" s="44">
        <f>IF(OR(M119&lt;&gt;"要調整",H119=""),"",IFERROR((INDEX(設定!$Q$8:$Q$27,MATCH(H119,設定!$P$8:$P$27,0))+N(INDEX(設定!$R$8:$R$27,MATCH(H119,設定!$P$8:$P$27,0))))-INDEX(定員チェック!$F$7:$F$26,MATCH(H119,設定!$P$8:$P$27,0))-COUNTIFS($M$7:$M$456,"要調整",$G$7:$G$456,H119),""))</f>
        <v/>
      </c>
      <c r="O119" s="44">
        <f>IF(OR(M119&lt;&gt;"要調整",I119=""),"",IFERROR((INDEX(設定!$Q$8:$Q$27,MATCH(I119,設定!$P$8:$P$27,0))+N(INDEX(設定!$R$8:$R$27,MATCH(I119,設定!$P$8:$P$27,0))))-INDEX(定員チェック!$F$7:$F$26,MATCH(I119,設定!$P$8:$P$27,0))-COUNTIFS($M$7:$M$456,"要調整",$G$7:$G$456,I119),""))</f>
        <v/>
      </c>
      <c r="P119" s="8">
        <f>IFERROR(MATCH(SMALL(前年度名簿!$G$2:$G$451,113),前年度名簿!$G$2:$G$451,0),"")</f>
        <v/>
      </c>
      <c r="Q119" s="8">
        <f>IF(R119="","",IFERROR(MATCH(R119,希望入力!$M$2:$M$551,0),""))</f>
        <v/>
      </c>
      <c r="R119" s="8">
        <f>IF(P119="","",INDEX(前年度名簿!$F$2:$F$451,P119))</f>
        <v/>
      </c>
      <c r="S119" s="8">
        <f>IF(P119="","",INDEX(前年度名簿!$I$2:$I$451,P119))</f>
        <v/>
      </c>
      <c r="T119" s="8">
        <f>IF(OR(P119="",計算用!$B$1=0),"",IFERROR(MATCH(S119,新年度名簿!$H$2:$H$451,0),""))</f>
        <v/>
      </c>
      <c r="U119" s="8">
        <f>IF(OR(L119="",M119="転出"),"",IFERROR(MATCH(L119,設定!$P$8:$P$27,0),""))</f>
        <v/>
      </c>
      <c r="V119" s="8">
        <f>IF(U119="","",COUNTIF($U$7:U119,U119))</f>
        <v/>
      </c>
      <c r="W119" s="8">
        <f>IF(U119="","",U119*1000+V119)</f>
        <v/>
      </c>
    </row>
    <row r="120">
      <c r="A120" s="44">
        <f>IF(P120="","",INDEX(前年度名簿!$H$2:$H$451,P120))</f>
        <v/>
      </c>
      <c r="B120" s="44">
        <f>IF(P120="","",IFERROR(INDEX(設定!$G$8:$G$31,INT(INDEX(前年度名簿!$G$2:$G$451,P120)/1000)),INDEX(前年度名簿!$A$2:$A$451,P120)&amp;INDEX(前年度名簿!$B$2:$B$451,P120)))</f>
        <v/>
      </c>
      <c r="C120" s="44">
        <f>IF(P120="","",INDEX(前年度名簿!$C$2:$C$451,P120))</f>
        <v/>
      </c>
      <c r="D120" s="3">
        <f>IF(P120="","",INDEX(前年度名簿!$D$2:$D$451,P120))</f>
        <v/>
      </c>
      <c r="E120" s="44">
        <f>IF(T120="","",INDEX(新年度名簿!$K$2:$K$451,T120))</f>
        <v/>
      </c>
      <c r="F120" s="44">
        <f>IF(T120="","",INDEX(新年度名簿!$C$2:$C$451,T120))</f>
        <v/>
      </c>
      <c r="G120" s="44">
        <f>IF(Q120="","",INDEX(希望入力!$H$2:$H$551,Q120)&amp;"")</f>
        <v/>
      </c>
      <c r="H120" s="44">
        <f>IF(Q120="","",INDEX(希望入力!$I$2:$I$551,Q120)&amp;"")</f>
        <v/>
      </c>
      <c r="I120" s="44">
        <f>IF(Q120="","",INDEX(希望入力!$J$2:$J$551,Q120)&amp;"")</f>
        <v/>
      </c>
      <c r="J120" s="44">
        <f>IF(Q120="","",IF(G120="","要調整",IFERROR(IF(IF(OR(設定!$C$14="〇",設定!$C$14="○"),COUNTIFS($A$7:$A$456,"&gt;="&amp;A120,$G$7:$G$456,G120),COUNTIF($G$7:$G$456,G120))&lt;=(INDEX(設定!$Q$8:$Q$27,MATCH(G120,設定!$P$8:$P$27,0))+N(INDEX(設定!$R$8:$R$27,MATCH(G120,設定!$P$8:$P$27,0)))),G120,"要調整"),"要調整")))</f>
        <v/>
      </c>
      <c r="K120" s="40" t="n"/>
      <c r="L120" s="52">
        <f>IF(P120="","",IF(K120&lt;&gt;"",K120,IF(OR(J120="",J120="要調整"),"",J120)))</f>
        <v/>
      </c>
      <c r="M120" s="44">
        <f>IF(P120="","",IF(AND(計算用!$B$1=1,T120=""),"転出",IF(L120&lt;&gt;"","決定",IF(Q120="","未提出","要調整"))))</f>
        <v/>
      </c>
      <c r="N120" s="44">
        <f>IF(OR(M120&lt;&gt;"要調整",H120=""),"",IFERROR((INDEX(設定!$Q$8:$Q$27,MATCH(H120,設定!$P$8:$P$27,0))+N(INDEX(設定!$R$8:$R$27,MATCH(H120,設定!$P$8:$P$27,0))))-INDEX(定員チェック!$F$7:$F$26,MATCH(H120,設定!$P$8:$P$27,0))-COUNTIFS($M$7:$M$456,"要調整",$G$7:$G$456,H120),""))</f>
        <v/>
      </c>
      <c r="O120" s="44">
        <f>IF(OR(M120&lt;&gt;"要調整",I120=""),"",IFERROR((INDEX(設定!$Q$8:$Q$27,MATCH(I120,設定!$P$8:$P$27,0))+N(INDEX(設定!$R$8:$R$27,MATCH(I120,設定!$P$8:$P$27,0))))-INDEX(定員チェック!$F$7:$F$26,MATCH(I120,設定!$P$8:$P$27,0))-COUNTIFS($M$7:$M$456,"要調整",$G$7:$G$456,I120),""))</f>
        <v/>
      </c>
      <c r="P120" s="8">
        <f>IFERROR(MATCH(SMALL(前年度名簿!$G$2:$G$451,114),前年度名簿!$G$2:$G$451,0),"")</f>
        <v/>
      </c>
      <c r="Q120" s="8">
        <f>IF(R120="","",IFERROR(MATCH(R120,希望入力!$M$2:$M$551,0),""))</f>
        <v/>
      </c>
      <c r="R120" s="8">
        <f>IF(P120="","",INDEX(前年度名簿!$F$2:$F$451,P120))</f>
        <v/>
      </c>
      <c r="S120" s="8">
        <f>IF(P120="","",INDEX(前年度名簿!$I$2:$I$451,P120))</f>
        <v/>
      </c>
      <c r="T120" s="8">
        <f>IF(OR(P120="",計算用!$B$1=0),"",IFERROR(MATCH(S120,新年度名簿!$H$2:$H$451,0),""))</f>
        <v/>
      </c>
      <c r="U120" s="8">
        <f>IF(OR(L120="",M120="転出"),"",IFERROR(MATCH(L120,設定!$P$8:$P$27,0),""))</f>
        <v/>
      </c>
      <c r="V120" s="8">
        <f>IF(U120="","",COUNTIF($U$7:U120,U120))</f>
        <v/>
      </c>
      <c r="W120" s="8">
        <f>IF(U120="","",U120*1000+V120)</f>
        <v/>
      </c>
    </row>
    <row r="121">
      <c r="A121" s="44">
        <f>IF(P121="","",INDEX(前年度名簿!$H$2:$H$451,P121))</f>
        <v/>
      </c>
      <c r="B121" s="44">
        <f>IF(P121="","",IFERROR(INDEX(設定!$G$8:$G$31,INT(INDEX(前年度名簿!$G$2:$G$451,P121)/1000)),INDEX(前年度名簿!$A$2:$A$451,P121)&amp;INDEX(前年度名簿!$B$2:$B$451,P121)))</f>
        <v/>
      </c>
      <c r="C121" s="44">
        <f>IF(P121="","",INDEX(前年度名簿!$C$2:$C$451,P121))</f>
        <v/>
      </c>
      <c r="D121" s="3">
        <f>IF(P121="","",INDEX(前年度名簿!$D$2:$D$451,P121))</f>
        <v/>
      </c>
      <c r="E121" s="44">
        <f>IF(T121="","",INDEX(新年度名簿!$K$2:$K$451,T121))</f>
        <v/>
      </c>
      <c r="F121" s="44">
        <f>IF(T121="","",INDEX(新年度名簿!$C$2:$C$451,T121))</f>
        <v/>
      </c>
      <c r="G121" s="44">
        <f>IF(Q121="","",INDEX(希望入力!$H$2:$H$551,Q121)&amp;"")</f>
        <v/>
      </c>
      <c r="H121" s="44">
        <f>IF(Q121="","",INDEX(希望入力!$I$2:$I$551,Q121)&amp;"")</f>
        <v/>
      </c>
      <c r="I121" s="44">
        <f>IF(Q121="","",INDEX(希望入力!$J$2:$J$551,Q121)&amp;"")</f>
        <v/>
      </c>
      <c r="J121" s="44">
        <f>IF(Q121="","",IF(G121="","要調整",IFERROR(IF(IF(OR(設定!$C$14="〇",設定!$C$14="○"),COUNTIFS($A$7:$A$456,"&gt;="&amp;A121,$G$7:$G$456,G121),COUNTIF($G$7:$G$456,G121))&lt;=(INDEX(設定!$Q$8:$Q$27,MATCH(G121,設定!$P$8:$P$27,0))+N(INDEX(設定!$R$8:$R$27,MATCH(G121,設定!$P$8:$P$27,0)))),G121,"要調整"),"要調整")))</f>
        <v/>
      </c>
      <c r="K121" s="40" t="n"/>
      <c r="L121" s="52">
        <f>IF(P121="","",IF(K121&lt;&gt;"",K121,IF(OR(J121="",J121="要調整"),"",J121)))</f>
        <v/>
      </c>
      <c r="M121" s="44">
        <f>IF(P121="","",IF(AND(計算用!$B$1=1,T121=""),"転出",IF(L121&lt;&gt;"","決定",IF(Q121="","未提出","要調整"))))</f>
        <v/>
      </c>
      <c r="N121" s="44">
        <f>IF(OR(M121&lt;&gt;"要調整",H121=""),"",IFERROR((INDEX(設定!$Q$8:$Q$27,MATCH(H121,設定!$P$8:$P$27,0))+N(INDEX(設定!$R$8:$R$27,MATCH(H121,設定!$P$8:$P$27,0))))-INDEX(定員チェック!$F$7:$F$26,MATCH(H121,設定!$P$8:$P$27,0))-COUNTIFS($M$7:$M$456,"要調整",$G$7:$G$456,H121),""))</f>
        <v/>
      </c>
      <c r="O121" s="44">
        <f>IF(OR(M121&lt;&gt;"要調整",I121=""),"",IFERROR((INDEX(設定!$Q$8:$Q$27,MATCH(I121,設定!$P$8:$P$27,0))+N(INDEX(設定!$R$8:$R$27,MATCH(I121,設定!$P$8:$P$27,0))))-INDEX(定員チェック!$F$7:$F$26,MATCH(I121,設定!$P$8:$P$27,0))-COUNTIFS($M$7:$M$456,"要調整",$G$7:$G$456,I121),""))</f>
        <v/>
      </c>
      <c r="P121" s="8">
        <f>IFERROR(MATCH(SMALL(前年度名簿!$G$2:$G$451,115),前年度名簿!$G$2:$G$451,0),"")</f>
        <v/>
      </c>
      <c r="Q121" s="8">
        <f>IF(R121="","",IFERROR(MATCH(R121,希望入力!$M$2:$M$551,0),""))</f>
        <v/>
      </c>
      <c r="R121" s="8">
        <f>IF(P121="","",INDEX(前年度名簿!$F$2:$F$451,P121))</f>
        <v/>
      </c>
      <c r="S121" s="8">
        <f>IF(P121="","",INDEX(前年度名簿!$I$2:$I$451,P121))</f>
        <v/>
      </c>
      <c r="T121" s="8">
        <f>IF(OR(P121="",計算用!$B$1=0),"",IFERROR(MATCH(S121,新年度名簿!$H$2:$H$451,0),""))</f>
        <v/>
      </c>
      <c r="U121" s="8">
        <f>IF(OR(L121="",M121="転出"),"",IFERROR(MATCH(L121,設定!$P$8:$P$27,0),""))</f>
        <v/>
      </c>
      <c r="V121" s="8">
        <f>IF(U121="","",COUNTIF($U$7:U121,U121))</f>
        <v/>
      </c>
      <c r="W121" s="8">
        <f>IF(U121="","",U121*1000+V121)</f>
        <v/>
      </c>
    </row>
    <row r="122">
      <c r="A122" s="44">
        <f>IF(P122="","",INDEX(前年度名簿!$H$2:$H$451,P122))</f>
        <v/>
      </c>
      <c r="B122" s="44">
        <f>IF(P122="","",IFERROR(INDEX(設定!$G$8:$G$31,INT(INDEX(前年度名簿!$G$2:$G$451,P122)/1000)),INDEX(前年度名簿!$A$2:$A$451,P122)&amp;INDEX(前年度名簿!$B$2:$B$451,P122)))</f>
        <v/>
      </c>
      <c r="C122" s="44">
        <f>IF(P122="","",INDEX(前年度名簿!$C$2:$C$451,P122))</f>
        <v/>
      </c>
      <c r="D122" s="3">
        <f>IF(P122="","",INDEX(前年度名簿!$D$2:$D$451,P122))</f>
        <v/>
      </c>
      <c r="E122" s="44">
        <f>IF(T122="","",INDEX(新年度名簿!$K$2:$K$451,T122))</f>
        <v/>
      </c>
      <c r="F122" s="44">
        <f>IF(T122="","",INDEX(新年度名簿!$C$2:$C$451,T122))</f>
        <v/>
      </c>
      <c r="G122" s="44">
        <f>IF(Q122="","",INDEX(希望入力!$H$2:$H$551,Q122)&amp;"")</f>
        <v/>
      </c>
      <c r="H122" s="44">
        <f>IF(Q122="","",INDEX(希望入力!$I$2:$I$551,Q122)&amp;"")</f>
        <v/>
      </c>
      <c r="I122" s="44">
        <f>IF(Q122="","",INDEX(希望入力!$J$2:$J$551,Q122)&amp;"")</f>
        <v/>
      </c>
      <c r="J122" s="44">
        <f>IF(Q122="","",IF(G122="","要調整",IFERROR(IF(IF(OR(設定!$C$14="〇",設定!$C$14="○"),COUNTIFS($A$7:$A$456,"&gt;="&amp;A122,$G$7:$G$456,G122),COUNTIF($G$7:$G$456,G122))&lt;=(INDEX(設定!$Q$8:$Q$27,MATCH(G122,設定!$P$8:$P$27,0))+N(INDEX(設定!$R$8:$R$27,MATCH(G122,設定!$P$8:$P$27,0)))),G122,"要調整"),"要調整")))</f>
        <v/>
      </c>
      <c r="K122" s="40" t="n"/>
      <c r="L122" s="52">
        <f>IF(P122="","",IF(K122&lt;&gt;"",K122,IF(OR(J122="",J122="要調整"),"",J122)))</f>
        <v/>
      </c>
      <c r="M122" s="44">
        <f>IF(P122="","",IF(AND(計算用!$B$1=1,T122=""),"転出",IF(L122&lt;&gt;"","決定",IF(Q122="","未提出","要調整"))))</f>
        <v/>
      </c>
      <c r="N122" s="44">
        <f>IF(OR(M122&lt;&gt;"要調整",H122=""),"",IFERROR((INDEX(設定!$Q$8:$Q$27,MATCH(H122,設定!$P$8:$P$27,0))+N(INDEX(設定!$R$8:$R$27,MATCH(H122,設定!$P$8:$P$27,0))))-INDEX(定員チェック!$F$7:$F$26,MATCH(H122,設定!$P$8:$P$27,0))-COUNTIFS($M$7:$M$456,"要調整",$G$7:$G$456,H122),""))</f>
        <v/>
      </c>
      <c r="O122" s="44">
        <f>IF(OR(M122&lt;&gt;"要調整",I122=""),"",IFERROR((INDEX(設定!$Q$8:$Q$27,MATCH(I122,設定!$P$8:$P$27,0))+N(INDEX(設定!$R$8:$R$27,MATCH(I122,設定!$P$8:$P$27,0))))-INDEX(定員チェック!$F$7:$F$26,MATCH(I122,設定!$P$8:$P$27,0))-COUNTIFS($M$7:$M$456,"要調整",$G$7:$G$456,I122),""))</f>
        <v/>
      </c>
      <c r="P122" s="8">
        <f>IFERROR(MATCH(SMALL(前年度名簿!$G$2:$G$451,116),前年度名簿!$G$2:$G$451,0),"")</f>
        <v/>
      </c>
      <c r="Q122" s="8">
        <f>IF(R122="","",IFERROR(MATCH(R122,希望入力!$M$2:$M$551,0),""))</f>
        <v/>
      </c>
      <c r="R122" s="8">
        <f>IF(P122="","",INDEX(前年度名簿!$F$2:$F$451,P122))</f>
        <v/>
      </c>
      <c r="S122" s="8">
        <f>IF(P122="","",INDEX(前年度名簿!$I$2:$I$451,P122))</f>
        <v/>
      </c>
      <c r="T122" s="8">
        <f>IF(OR(P122="",計算用!$B$1=0),"",IFERROR(MATCH(S122,新年度名簿!$H$2:$H$451,0),""))</f>
        <v/>
      </c>
      <c r="U122" s="8">
        <f>IF(OR(L122="",M122="転出"),"",IFERROR(MATCH(L122,設定!$P$8:$P$27,0),""))</f>
        <v/>
      </c>
      <c r="V122" s="8">
        <f>IF(U122="","",COUNTIF($U$7:U122,U122))</f>
        <v/>
      </c>
      <c r="W122" s="8">
        <f>IF(U122="","",U122*1000+V122)</f>
        <v/>
      </c>
    </row>
    <row r="123">
      <c r="A123" s="44">
        <f>IF(P123="","",INDEX(前年度名簿!$H$2:$H$451,P123))</f>
        <v/>
      </c>
      <c r="B123" s="44">
        <f>IF(P123="","",IFERROR(INDEX(設定!$G$8:$G$31,INT(INDEX(前年度名簿!$G$2:$G$451,P123)/1000)),INDEX(前年度名簿!$A$2:$A$451,P123)&amp;INDEX(前年度名簿!$B$2:$B$451,P123)))</f>
        <v/>
      </c>
      <c r="C123" s="44">
        <f>IF(P123="","",INDEX(前年度名簿!$C$2:$C$451,P123))</f>
        <v/>
      </c>
      <c r="D123" s="3">
        <f>IF(P123="","",INDEX(前年度名簿!$D$2:$D$451,P123))</f>
        <v/>
      </c>
      <c r="E123" s="44">
        <f>IF(T123="","",INDEX(新年度名簿!$K$2:$K$451,T123))</f>
        <v/>
      </c>
      <c r="F123" s="44">
        <f>IF(T123="","",INDEX(新年度名簿!$C$2:$C$451,T123))</f>
        <v/>
      </c>
      <c r="G123" s="44">
        <f>IF(Q123="","",INDEX(希望入力!$H$2:$H$551,Q123)&amp;"")</f>
        <v/>
      </c>
      <c r="H123" s="44">
        <f>IF(Q123="","",INDEX(希望入力!$I$2:$I$551,Q123)&amp;"")</f>
        <v/>
      </c>
      <c r="I123" s="44">
        <f>IF(Q123="","",INDEX(希望入力!$J$2:$J$551,Q123)&amp;"")</f>
        <v/>
      </c>
      <c r="J123" s="44">
        <f>IF(Q123="","",IF(G123="","要調整",IFERROR(IF(IF(OR(設定!$C$14="〇",設定!$C$14="○"),COUNTIFS($A$7:$A$456,"&gt;="&amp;A123,$G$7:$G$456,G123),COUNTIF($G$7:$G$456,G123))&lt;=(INDEX(設定!$Q$8:$Q$27,MATCH(G123,設定!$P$8:$P$27,0))+N(INDEX(設定!$R$8:$R$27,MATCH(G123,設定!$P$8:$P$27,0)))),G123,"要調整"),"要調整")))</f>
        <v/>
      </c>
      <c r="K123" s="40" t="n"/>
      <c r="L123" s="52">
        <f>IF(P123="","",IF(K123&lt;&gt;"",K123,IF(OR(J123="",J123="要調整"),"",J123)))</f>
        <v/>
      </c>
      <c r="M123" s="44">
        <f>IF(P123="","",IF(AND(計算用!$B$1=1,T123=""),"転出",IF(L123&lt;&gt;"","決定",IF(Q123="","未提出","要調整"))))</f>
        <v/>
      </c>
      <c r="N123" s="44">
        <f>IF(OR(M123&lt;&gt;"要調整",H123=""),"",IFERROR((INDEX(設定!$Q$8:$Q$27,MATCH(H123,設定!$P$8:$P$27,0))+N(INDEX(設定!$R$8:$R$27,MATCH(H123,設定!$P$8:$P$27,0))))-INDEX(定員チェック!$F$7:$F$26,MATCH(H123,設定!$P$8:$P$27,0))-COUNTIFS($M$7:$M$456,"要調整",$G$7:$G$456,H123),""))</f>
        <v/>
      </c>
      <c r="O123" s="44">
        <f>IF(OR(M123&lt;&gt;"要調整",I123=""),"",IFERROR((INDEX(設定!$Q$8:$Q$27,MATCH(I123,設定!$P$8:$P$27,0))+N(INDEX(設定!$R$8:$R$27,MATCH(I123,設定!$P$8:$P$27,0))))-INDEX(定員チェック!$F$7:$F$26,MATCH(I123,設定!$P$8:$P$27,0))-COUNTIFS($M$7:$M$456,"要調整",$G$7:$G$456,I123),""))</f>
        <v/>
      </c>
      <c r="P123" s="8">
        <f>IFERROR(MATCH(SMALL(前年度名簿!$G$2:$G$451,117),前年度名簿!$G$2:$G$451,0),"")</f>
        <v/>
      </c>
      <c r="Q123" s="8">
        <f>IF(R123="","",IFERROR(MATCH(R123,希望入力!$M$2:$M$551,0),""))</f>
        <v/>
      </c>
      <c r="R123" s="8">
        <f>IF(P123="","",INDEX(前年度名簿!$F$2:$F$451,P123))</f>
        <v/>
      </c>
      <c r="S123" s="8">
        <f>IF(P123="","",INDEX(前年度名簿!$I$2:$I$451,P123))</f>
        <v/>
      </c>
      <c r="T123" s="8">
        <f>IF(OR(P123="",計算用!$B$1=0),"",IFERROR(MATCH(S123,新年度名簿!$H$2:$H$451,0),""))</f>
        <v/>
      </c>
      <c r="U123" s="8">
        <f>IF(OR(L123="",M123="転出"),"",IFERROR(MATCH(L123,設定!$P$8:$P$27,0),""))</f>
        <v/>
      </c>
      <c r="V123" s="8">
        <f>IF(U123="","",COUNTIF($U$7:U123,U123))</f>
        <v/>
      </c>
      <c r="W123" s="8">
        <f>IF(U123="","",U123*1000+V123)</f>
        <v/>
      </c>
    </row>
    <row r="124">
      <c r="A124" s="44">
        <f>IF(P124="","",INDEX(前年度名簿!$H$2:$H$451,P124))</f>
        <v/>
      </c>
      <c r="B124" s="44">
        <f>IF(P124="","",IFERROR(INDEX(設定!$G$8:$G$31,INT(INDEX(前年度名簿!$G$2:$G$451,P124)/1000)),INDEX(前年度名簿!$A$2:$A$451,P124)&amp;INDEX(前年度名簿!$B$2:$B$451,P124)))</f>
        <v/>
      </c>
      <c r="C124" s="44">
        <f>IF(P124="","",INDEX(前年度名簿!$C$2:$C$451,P124))</f>
        <v/>
      </c>
      <c r="D124" s="3">
        <f>IF(P124="","",INDEX(前年度名簿!$D$2:$D$451,P124))</f>
        <v/>
      </c>
      <c r="E124" s="44">
        <f>IF(T124="","",INDEX(新年度名簿!$K$2:$K$451,T124))</f>
        <v/>
      </c>
      <c r="F124" s="44">
        <f>IF(T124="","",INDEX(新年度名簿!$C$2:$C$451,T124))</f>
        <v/>
      </c>
      <c r="G124" s="44">
        <f>IF(Q124="","",INDEX(希望入力!$H$2:$H$551,Q124)&amp;"")</f>
        <v/>
      </c>
      <c r="H124" s="44">
        <f>IF(Q124="","",INDEX(希望入力!$I$2:$I$551,Q124)&amp;"")</f>
        <v/>
      </c>
      <c r="I124" s="44">
        <f>IF(Q124="","",INDEX(希望入力!$J$2:$J$551,Q124)&amp;"")</f>
        <v/>
      </c>
      <c r="J124" s="44">
        <f>IF(Q124="","",IF(G124="","要調整",IFERROR(IF(IF(OR(設定!$C$14="〇",設定!$C$14="○"),COUNTIFS($A$7:$A$456,"&gt;="&amp;A124,$G$7:$G$456,G124),COUNTIF($G$7:$G$456,G124))&lt;=(INDEX(設定!$Q$8:$Q$27,MATCH(G124,設定!$P$8:$P$27,0))+N(INDEX(設定!$R$8:$R$27,MATCH(G124,設定!$P$8:$P$27,0)))),G124,"要調整"),"要調整")))</f>
        <v/>
      </c>
      <c r="K124" s="40" t="n"/>
      <c r="L124" s="52">
        <f>IF(P124="","",IF(K124&lt;&gt;"",K124,IF(OR(J124="",J124="要調整"),"",J124)))</f>
        <v/>
      </c>
      <c r="M124" s="44">
        <f>IF(P124="","",IF(AND(計算用!$B$1=1,T124=""),"転出",IF(L124&lt;&gt;"","決定",IF(Q124="","未提出","要調整"))))</f>
        <v/>
      </c>
      <c r="N124" s="44">
        <f>IF(OR(M124&lt;&gt;"要調整",H124=""),"",IFERROR((INDEX(設定!$Q$8:$Q$27,MATCH(H124,設定!$P$8:$P$27,0))+N(INDEX(設定!$R$8:$R$27,MATCH(H124,設定!$P$8:$P$27,0))))-INDEX(定員チェック!$F$7:$F$26,MATCH(H124,設定!$P$8:$P$27,0))-COUNTIFS($M$7:$M$456,"要調整",$G$7:$G$456,H124),""))</f>
        <v/>
      </c>
      <c r="O124" s="44">
        <f>IF(OR(M124&lt;&gt;"要調整",I124=""),"",IFERROR((INDEX(設定!$Q$8:$Q$27,MATCH(I124,設定!$P$8:$P$27,0))+N(INDEX(設定!$R$8:$R$27,MATCH(I124,設定!$P$8:$P$27,0))))-INDEX(定員チェック!$F$7:$F$26,MATCH(I124,設定!$P$8:$P$27,0))-COUNTIFS($M$7:$M$456,"要調整",$G$7:$G$456,I124),""))</f>
        <v/>
      </c>
      <c r="P124" s="8">
        <f>IFERROR(MATCH(SMALL(前年度名簿!$G$2:$G$451,118),前年度名簿!$G$2:$G$451,0),"")</f>
        <v/>
      </c>
      <c r="Q124" s="8">
        <f>IF(R124="","",IFERROR(MATCH(R124,希望入力!$M$2:$M$551,0),""))</f>
        <v/>
      </c>
      <c r="R124" s="8">
        <f>IF(P124="","",INDEX(前年度名簿!$F$2:$F$451,P124))</f>
        <v/>
      </c>
      <c r="S124" s="8">
        <f>IF(P124="","",INDEX(前年度名簿!$I$2:$I$451,P124))</f>
        <v/>
      </c>
      <c r="T124" s="8">
        <f>IF(OR(P124="",計算用!$B$1=0),"",IFERROR(MATCH(S124,新年度名簿!$H$2:$H$451,0),""))</f>
        <v/>
      </c>
      <c r="U124" s="8">
        <f>IF(OR(L124="",M124="転出"),"",IFERROR(MATCH(L124,設定!$P$8:$P$27,0),""))</f>
        <v/>
      </c>
      <c r="V124" s="8">
        <f>IF(U124="","",COUNTIF($U$7:U124,U124))</f>
        <v/>
      </c>
      <c r="W124" s="8">
        <f>IF(U124="","",U124*1000+V124)</f>
        <v/>
      </c>
    </row>
    <row r="125">
      <c r="A125" s="44">
        <f>IF(P125="","",INDEX(前年度名簿!$H$2:$H$451,P125))</f>
        <v/>
      </c>
      <c r="B125" s="44">
        <f>IF(P125="","",IFERROR(INDEX(設定!$G$8:$G$31,INT(INDEX(前年度名簿!$G$2:$G$451,P125)/1000)),INDEX(前年度名簿!$A$2:$A$451,P125)&amp;INDEX(前年度名簿!$B$2:$B$451,P125)))</f>
        <v/>
      </c>
      <c r="C125" s="44">
        <f>IF(P125="","",INDEX(前年度名簿!$C$2:$C$451,P125))</f>
        <v/>
      </c>
      <c r="D125" s="3">
        <f>IF(P125="","",INDEX(前年度名簿!$D$2:$D$451,P125))</f>
        <v/>
      </c>
      <c r="E125" s="44">
        <f>IF(T125="","",INDEX(新年度名簿!$K$2:$K$451,T125))</f>
        <v/>
      </c>
      <c r="F125" s="44">
        <f>IF(T125="","",INDEX(新年度名簿!$C$2:$C$451,T125))</f>
        <v/>
      </c>
      <c r="G125" s="44">
        <f>IF(Q125="","",INDEX(希望入力!$H$2:$H$551,Q125)&amp;"")</f>
        <v/>
      </c>
      <c r="H125" s="44">
        <f>IF(Q125="","",INDEX(希望入力!$I$2:$I$551,Q125)&amp;"")</f>
        <v/>
      </c>
      <c r="I125" s="44">
        <f>IF(Q125="","",INDEX(希望入力!$J$2:$J$551,Q125)&amp;"")</f>
        <v/>
      </c>
      <c r="J125" s="44">
        <f>IF(Q125="","",IF(G125="","要調整",IFERROR(IF(IF(OR(設定!$C$14="〇",設定!$C$14="○"),COUNTIFS($A$7:$A$456,"&gt;="&amp;A125,$G$7:$G$456,G125),COUNTIF($G$7:$G$456,G125))&lt;=(INDEX(設定!$Q$8:$Q$27,MATCH(G125,設定!$P$8:$P$27,0))+N(INDEX(設定!$R$8:$R$27,MATCH(G125,設定!$P$8:$P$27,0)))),G125,"要調整"),"要調整")))</f>
        <v/>
      </c>
      <c r="K125" s="40" t="n"/>
      <c r="L125" s="52">
        <f>IF(P125="","",IF(K125&lt;&gt;"",K125,IF(OR(J125="",J125="要調整"),"",J125)))</f>
        <v/>
      </c>
      <c r="M125" s="44">
        <f>IF(P125="","",IF(AND(計算用!$B$1=1,T125=""),"転出",IF(L125&lt;&gt;"","決定",IF(Q125="","未提出","要調整"))))</f>
        <v/>
      </c>
      <c r="N125" s="44">
        <f>IF(OR(M125&lt;&gt;"要調整",H125=""),"",IFERROR((INDEX(設定!$Q$8:$Q$27,MATCH(H125,設定!$P$8:$P$27,0))+N(INDEX(設定!$R$8:$R$27,MATCH(H125,設定!$P$8:$P$27,0))))-INDEX(定員チェック!$F$7:$F$26,MATCH(H125,設定!$P$8:$P$27,0))-COUNTIFS($M$7:$M$456,"要調整",$G$7:$G$456,H125),""))</f>
        <v/>
      </c>
      <c r="O125" s="44">
        <f>IF(OR(M125&lt;&gt;"要調整",I125=""),"",IFERROR((INDEX(設定!$Q$8:$Q$27,MATCH(I125,設定!$P$8:$P$27,0))+N(INDEX(設定!$R$8:$R$27,MATCH(I125,設定!$P$8:$P$27,0))))-INDEX(定員チェック!$F$7:$F$26,MATCH(I125,設定!$P$8:$P$27,0))-COUNTIFS($M$7:$M$456,"要調整",$G$7:$G$456,I125),""))</f>
        <v/>
      </c>
      <c r="P125" s="8">
        <f>IFERROR(MATCH(SMALL(前年度名簿!$G$2:$G$451,119),前年度名簿!$G$2:$G$451,0),"")</f>
        <v/>
      </c>
      <c r="Q125" s="8">
        <f>IF(R125="","",IFERROR(MATCH(R125,希望入力!$M$2:$M$551,0),""))</f>
        <v/>
      </c>
      <c r="R125" s="8">
        <f>IF(P125="","",INDEX(前年度名簿!$F$2:$F$451,P125))</f>
        <v/>
      </c>
      <c r="S125" s="8">
        <f>IF(P125="","",INDEX(前年度名簿!$I$2:$I$451,P125))</f>
        <v/>
      </c>
      <c r="T125" s="8">
        <f>IF(OR(P125="",計算用!$B$1=0),"",IFERROR(MATCH(S125,新年度名簿!$H$2:$H$451,0),""))</f>
        <v/>
      </c>
      <c r="U125" s="8">
        <f>IF(OR(L125="",M125="転出"),"",IFERROR(MATCH(L125,設定!$P$8:$P$27,0),""))</f>
        <v/>
      </c>
      <c r="V125" s="8">
        <f>IF(U125="","",COUNTIF($U$7:U125,U125))</f>
        <v/>
      </c>
      <c r="W125" s="8">
        <f>IF(U125="","",U125*1000+V125)</f>
        <v/>
      </c>
    </row>
    <row r="126">
      <c r="A126" s="44">
        <f>IF(P126="","",INDEX(前年度名簿!$H$2:$H$451,P126))</f>
        <v/>
      </c>
      <c r="B126" s="44">
        <f>IF(P126="","",IFERROR(INDEX(設定!$G$8:$G$31,INT(INDEX(前年度名簿!$G$2:$G$451,P126)/1000)),INDEX(前年度名簿!$A$2:$A$451,P126)&amp;INDEX(前年度名簿!$B$2:$B$451,P126)))</f>
        <v/>
      </c>
      <c r="C126" s="44">
        <f>IF(P126="","",INDEX(前年度名簿!$C$2:$C$451,P126))</f>
        <v/>
      </c>
      <c r="D126" s="3">
        <f>IF(P126="","",INDEX(前年度名簿!$D$2:$D$451,P126))</f>
        <v/>
      </c>
      <c r="E126" s="44">
        <f>IF(T126="","",INDEX(新年度名簿!$K$2:$K$451,T126))</f>
        <v/>
      </c>
      <c r="F126" s="44">
        <f>IF(T126="","",INDEX(新年度名簿!$C$2:$C$451,T126))</f>
        <v/>
      </c>
      <c r="G126" s="44">
        <f>IF(Q126="","",INDEX(希望入力!$H$2:$H$551,Q126)&amp;"")</f>
        <v/>
      </c>
      <c r="H126" s="44">
        <f>IF(Q126="","",INDEX(希望入力!$I$2:$I$551,Q126)&amp;"")</f>
        <v/>
      </c>
      <c r="I126" s="44">
        <f>IF(Q126="","",INDEX(希望入力!$J$2:$J$551,Q126)&amp;"")</f>
        <v/>
      </c>
      <c r="J126" s="44">
        <f>IF(Q126="","",IF(G126="","要調整",IFERROR(IF(IF(OR(設定!$C$14="〇",設定!$C$14="○"),COUNTIFS($A$7:$A$456,"&gt;="&amp;A126,$G$7:$G$456,G126),COUNTIF($G$7:$G$456,G126))&lt;=(INDEX(設定!$Q$8:$Q$27,MATCH(G126,設定!$P$8:$P$27,0))+N(INDEX(設定!$R$8:$R$27,MATCH(G126,設定!$P$8:$P$27,0)))),G126,"要調整"),"要調整")))</f>
        <v/>
      </c>
      <c r="K126" s="40" t="n"/>
      <c r="L126" s="52">
        <f>IF(P126="","",IF(K126&lt;&gt;"",K126,IF(OR(J126="",J126="要調整"),"",J126)))</f>
        <v/>
      </c>
      <c r="M126" s="44">
        <f>IF(P126="","",IF(AND(計算用!$B$1=1,T126=""),"転出",IF(L126&lt;&gt;"","決定",IF(Q126="","未提出","要調整"))))</f>
        <v/>
      </c>
      <c r="N126" s="44">
        <f>IF(OR(M126&lt;&gt;"要調整",H126=""),"",IFERROR((INDEX(設定!$Q$8:$Q$27,MATCH(H126,設定!$P$8:$P$27,0))+N(INDEX(設定!$R$8:$R$27,MATCH(H126,設定!$P$8:$P$27,0))))-INDEX(定員チェック!$F$7:$F$26,MATCH(H126,設定!$P$8:$P$27,0))-COUNTIFS($M$7:$M$456,"要調整",$G$7:$G$456,H126),""))</f>
        <v/>
      </c>
      <c r="O126" s="44">
        <f>IF(OR(M126&lt;&gt;"要調整",I126=""),"",IFERROR((INDEX(設定!$Q$8:$Q$27,MATCH(I126,設定!$P$8:$P$27,0))+N(INDEX(設定!$R$8:$R$27,MATCH(I126,設定!$P$8:$P$27,0))))-INDEX(定員チェック!$F$7:$F$26,MATCH(I126,設定!$P$8:$P$27,0))-COUNTIFS($M$7:$M$456,"要調整",$G$7:$G$456,I126),""))</f>
        <v/>
      </c>
      <c r="P126" s="8">
        <f>IFERROR(MATCH(SMALL(前年度名簿!$G$2:$G$451,120),前年度名簿!$G$2:$G$451,0),"")</f>
        <v/>
      </c>
      <c r="Q126" s="8">
        <f>IF(R126="","",IFERROR(MATCH(R126,希望入力!$M$2:$M$551,0),""))</f>
        <v/>
      </c>
      <c r="R126" s="8">
        <f>IF(P126="","",INDEX(前年度名簿!$F$2:$F$451,P126))</f>
        <v/>
      </c>
      <c r="S126" s="8">
        <f>IF(P126="","",INDEX(前年度名簿!$I$2:$I$451,P126))</f>
        <v/>
      </c>
      <c r="T126" s="8">
        <f>IF(OR(P126="",計算用!$B$1=0),"",IFERROR(MATCH(S126,新年度名簿!$H$2:$H$451,0),""))</f>
        <v/>
      </c>
      <c r="U126" s="8">
        <f>IF(OR(L126="",M126="転出"),"",IFERROR(MATCH(L126,設定!$P$8:$P$27,0),""))</f>
        <v/>
      </c>
      <c r="V126" s="8">
        <f>IF(U126="","",COUNTIF($U$7:U126,U126))</f>
        <v/>
      </c>
      <c r="W126" s="8">
        <f>IF(U126="","",U126*1000+V126)</f>
        <v/>
      </c>
    </row>
    <row r="127">
      <c r="A127" s="44">
        <f>IF(P127="","",INDEX(前年度名簿!$H$2:$H$451,P127))</f>
        <v/>
      </c>
      <c r="B127" s="44">
        <f>IF(P127="","",IFERROR(INDEX(設定!$G$8:$G$31,INT(INDEX(前年度名簿!$G$2:$G$451,P127)/1000)),INDEX(前年度名簿!$A$2:$A$451,P127)&amp;INDEX(前年度名簿!$B$2:$B$451,P127)))</f>
        <v/>
      </c>
      <c r="C127" s="44">
        <f>IF(P127="","",INDEX(前年度名簿!$C$2:$C$451,P127))</f>
        <v/>
      </c>
      <c r="D127" s="3">
        <f>IF(P127="","",INDEX(前年度名簿!$D$2:$D$451,P127))</f>
        <v/>
      </c>
      <c r="E127" s="44">
        <f>IF(T127="","",INDEX(新年度名簿!$K$2:$K$451,T127))</f>
        <v/>
      </c>
      <c r="F127" s="44">
        <f>IF(T127="","",INDEX(新年度名簿!$C$2:$C$451,T127))</f>
        <v/>
      </c>
      <c r="G127" s="44">
        <f>IF(Q127="","",INDEX(希望入力!$H$2:$H$551,Q127)&amp;"")</f>
        <v/>
      </c>
      <c r="H127" s="44">
        <f>IF(Q127="","",INDEX(希望入力!$I$2:$I$551,Q127)&amp;"")</f>
        <v/>
      </c>
      <c r="I127" s="44">
        <f>IF(Q127="","",INDEX(希望入力!$J$2:$J$551,Q127)&amp;"")</f>
        <v/>
      </c>
      <c r="J127" s="44">
        <f>IF(Q127="","",IF(G127="","要調整",IFERROR(IF(IF(OR(設定!$C$14="〇",設定!$C$14="○"),COUNTIFS($A$7:$A$456,"&gt;="&amp;A127,$G$7:$G$456,G127),COUNTIF($G$7:$G$456,G127))&lt;=(INDEX(設定!$Q$8:$Q$27,MATCH(G127,設定!$P$8:$P$27,0))+N(INDEX(設定!$R$8:$R$27,MATCH(G127,設定!$P$8:$P$27,0)))),G127,"要調整"),"要調整")))</f>
        <v/>
      </c>
      <c r="K127" s="40" t="n"/>
      <c r="L127" s="52">
        <f>IF(P127="","",IF(K127&lt;&gt;"",K127,IF(OR(J127="",J127="要調整"),"",J127)))</f>
        <v/>
      </c>
      <c r="M127" s="44">
        <f>IF(P127="","",IF(AND(計算用!$B$1=1,T127=""),"転出",IF(L127&lt;&gt;"","決定",IF(Q127="","未提出","要調整"))))</f>
        <v/>
      </c>
      <c r="N127" s="44">
        <f>IF(OR(M127&lt;&gt;"要調整",H127=""),"",IFERROR((INDEX(設定!$Q$8:$Q$27,MATCH(H127,設定!$P$8:$P$27,0))+N(INDEX(設定!$R$8:$R$27,MATCH(H127,設定!$P$8:$P$27,0))))-INDEX(定員チェック!$F$7:$F$26,MATCH(H127,設定!$P$8:$P$27,0))-COUNTIFS($M$7:$M$456,"要調整",$G$7:$G$456,H127),""))</f>
        <v/>
      </c>
      <c r="O127" s="44">
        <f>IF(OR(M127&lt;&gt;"要調整",I127=""),"",IFERROR((INDEX(設定!$Q$8:$Q$27,MATCH(I127,設定!$P$8:$P$27,0))+N(INDEX(設定!$R$8:$R$27,MATCH(I127,設定!$P$8:$P$27,0))))-INDEX(定員チェック!$F$7:$F$26,MATCH(I127,設定!$P$8:$P$27,0))-COUNTIFS($M$7:$M$456,"要調整",$G$7:$G$456,I127),""))</f>
        <v/>
      </c>
      <c r="P127" s="8">
        <f>IFERROR(MATCH(SMALL(前年度名簿!$G$2:$G$451,121),前年度名簿!$G$2:$G$451,0),"")</f>
        <v/>
      </c>
      <c r="Q127" s="8">
        <f>IF(R127="","",IFERROR(MATCH(R127,希望入力!$M$2:$M$551,0),""))</f>
        <v/>
      </c>
      <c r="R127" s="8">
        <f>IF(P127="","",INDEX(前年度名簿!$F$2:$F$451,P127))</f>
        <v/>
      </c>
      <c r="S127" s="8">
        <f>IF(P127="","",INDEX(前年度名簿!$I$2:$I$451,P127))</f>
        <v/>
      </c>
      <c r="T127" s="8">
        <f>IF(OR(P127="",計算用!$B$1=0),"",IFERROR(MATCH(S127,新年度名簿!$H$2:$H$451,0),""))</f>
        <v/>
      </c>
      <c r="U127" s="8">
        <f>IF(OR(L127="",M127="転出"),"",IFERROR(MATCH(L127,設定!$P$8:$P$27,0),""))</f>
        <v/>
      </c>
      <c r="V127" s="8">
        <f>IF(U127="","",COUNTIF($U$7:U127,U127))</f>
        <v/>
      </c>
      <c r="W127" s="8">
        <f>IF(U127="","",U127*1000+V127)</f>
        <v/>
      </c>
    </row>
    <row r="128">
      <c r="A128" s="44">
        <f>IF(P128="","",INDEX(前年度名簿!$H$2:$H$451,P128))</f>
        <v/>
      </c>
      <c r="B128" s="44">
        <f>IF(P128="","",IFERROR(INDEX(設定!$G$8:$G$31,INT(INDEX(前年度名簿!$G$2:$G$451,P128)/1000)),INDEX(前年度名簿!$A$2:$A$451,P128)&amp;INDEX(前年度名簿!$B$2:$B$451,P128)))</f>
        <v/>
      </c>
      <c r="C128" s="44">
        <f>IF(P128="","",INDEX(前年度名簿!$C$2:$C$451,P128))</f>
        <v/>
      </c>
      <c r="D128" s="3">
        <f>IF(P128="","",INDEX(前年度名簿!$D$2:$D$451,P128))</f>
        <v/>
      </c>
      <c r="E128" s="44">
        <f>IF(T128="","",INDEX(新年度名簿!$K$2:$K$451,T128))</f>
        <v/>
      </c>
      <c r="F128" s="44">
        <f>IF(T128="","",INDEX(新年度名簿!$C$2:$C$451,T128))</f>
        <v/>
      </c>
      <c r="G128" s="44">
        <f>IF(Q128="","",INDEX(希望入力!$H$2:$H$551,Q128)&amp;"")</f>
        <v/>
      </c>
      <c r="H128" s="44">
        <f>IF(Q128="","",INDEX(希望入力!$I$2:$I$551,Q128)&amp;"")</f>
        <v/>
      </c>
      <c r="I128" s="44">
        <f>IF(Q128="","",INDEX(希望入力!$J$2:$J$551,Q128)&amp;"")</f>
        <v/>
      </c>
      <c r="J128" s="44">
        <f>IF(Q128="","",IF(G128="","要調整",IFERROR(IF(IF(OR(設定!$C$14="〇",設定!$C$14="○"),COUNTIFS($A$7:$A$456,"&gt;="&amp;A128,$G$7:$G$456,G128),COUNTIF($G$7:$G$456,G128))&lt;=(INDEX(設定!$Q$8:$Q$27,MATCH(G128,設定!$P$8:$P$27,0))+N(INDEX(設定!$R$8:$R$27,MATCH(G128,設定!$P$8:$P$27,0)))),G128,"要調整"),"要調整")))</f>
        <v/>
      </c>
      <c r="K128" s="40" t="n"/>
      <c r="L128" s="52">
        <f>IF(P128="","",IF(K128&lt;&gt;"",K128,IF(OR(J128="",J128="要調整"),"",J128)))</f>
        <v/>
      </c>
      <c r="M128" s="44">
        <f>IF(P128="","",IF(AND(計算用!$B$1=1,T128=""),"転出",IF(L128&lt;&gt;"","決定",IF(Q128="","未提出","要調整"))))</f>
        <v/>
      </c>
      <c r="N128" s="44">
        <f>IF(OR(M128&lt;&gt;"要調整",H128=""),"",IFERROR((INDEX(設定!$Q$8:$Q$27,MATCH(H128,設定!$P$8:$P$27,0))+N(INDEX(設定!$R$8:$R$27,MATCH(H128,設定!$P$8:$P$27,0))))-INDEX(定員チェック!$F$7:$F$26,MATCH(H128,設定!$P$8:$P$27,0))-COUNTIFS($M$7:$M$456,"要調整",$G$7:$G$456,H128),""))</f>
        <v/>
      </c>
      <c r="O128" s="44">
        <f>IF(OR(M128&lt;&gt;"要調整",I128=""),"",IFERROR((INDEX(設定!$Q$8:$Q$27,MATCH(I128,設定!$P$8:$P$27,0))+N(INDEX(設定!$R$8:$R$27,MATCH(I128,設定!$P$8:$P$27,0))))-INDEX(定員チェック!$F$7:$F$26,MATCH(I128,設定!$P$8:$P$27,0))-COUNTIFS($M$7:$M$456,"要調整",$G$7:$G$456,I128),""))</f>
        <v/>
      </c>
      <c r="P128" s="8">
        <f>IFERROR(MATCH(SMALL(前年度名簿!$G$2:$G$451,122),前年度名簿!$G$2:$G$451,0),"")</f>
        <v/>
      </c>
      <c r="Q128" s="8">
        <f>IF(R128="","",IFERROR(MATCH(R128,希望入力!$M$2:$M$551,0),""))</f>
        <v/>
      </c>
      <c r="R128" s="8">
        <f>IF(P128="","",INDEX(前年度名簿!$F$2:$F$451,P128))</f>
        <v/>
      </c>
      <c r="S128" s="8">
        <f>IF(P128="","",INDEX(前年度名簿!$I$2:$I$451,P128))</f>
        <v/>
      </c>
      <c r="T128" s="8">
        <f>IF(OR(P128="",計算用!$B$1=0),"",IFERROR(MATCH(S128,新年度名簿!$H$2:$H$451,0),""))</f>
        <v/>
      </c>
      <c r="U128" s="8">
        <f>IF(OR(L128="",M128="転出"),"",IFERROR(MATCH(L128,設定!$P$8:$P$27,0),""))</f>
        <v/>
      </c>
      <c r="V128" s="8">
        <f>IF(U128="","",COUNTIF($U$7:U128,U128))</f>
        <v/>
      </c>
      <c r="W128" s="8">
        <f>IF(U128="","",U128*1000+V128)</f>
        <v/>
      </c>
    </row>
    <row r="129">
      <c r="A129" s="44">
        <f>IF(P129="","",INDEX(前年度名簿!$H$2:$H$451,P129))</f>
        <v/>
      </c>
      <c r="B129" s="44">
        <f>IF(P129="","",IFERROR(INDEX(設定!$G$8:$G$31,INT(INDEX(前年度名簿!$G$2:$G$451,P129)/1000)),INDEX(前年度名簿!$A$2:$A$451,P129)&amp;INDEX(前年度名簿!$B$2:$B$451,P129)))</f>
        <v/>
      </c>
      <c r="C129" s="44">
        <f>IF(P129="","",INDEX(前年度名簿!$C$2:$C$451,P129))</f>
        <v/>
      </c>
      <c r="D129" s="3">
        <f>IF(P129="","",INDEX(前年度名簿!$D$2:$D$451,P129))</f>
        <v/>
      </c>
      <c r="E129" s="44">
        <f>IF(T129="","",INDEX(新年度名簿!$K$2:$K$451,T129))</f>
        <v/>
      </c>
      <c r="F129" s="44">
        <f>IF(T129="","",INDEX(新年度名簿!$C$2:$C$451,T129))</f>
        <v/>
      </c>
      <c r="G129" s="44">
        <f>IF(Q129="","",INDEX(希望入力!$H$2:$H$551,Q129)&amp;"")</f>
        <v/>
      </c>
      <c r="H129" s="44">
        <f>IF(Q129="","",INDEX(希望入力!$I$2:$I$551,Q129)&amp;"")</f>
        <v/>
      </c>
      <c r="I129" s="44">
        <f>IF(Q129="","",INDEX(希望入力!$J$2:$J$551,Q129)&amp;"")</f>
        <v/>
      </c>
      <c r="J129" s="44">
        <f>IF(Q129="","",IF(G129="","要調整",IFERROR(IF(IF(OR(設定!$C$14="〇",設定!$C$14="○"),COUNTIFS($A$7:$A$456,"&gt;="&amp;A129,$G$7:$G$456,G129),COUNTIF($G$7:$G$456,G129))&lt;=(INDEX(設定!$Q$8:$Q$27,MATCH(G129,設定!$P$8:$P$27,0))+N(INDEX(設定!$R$8:$R$27,MATCH(G129,設定!$P$8:$P$27,0)))),G129,"要調整"),"要調整")))</f>
        <v/>
      </c>
      <c r="K129" s="40" t="n"/>
      <c r="L129" s="52">
        <f>IF(P129="","",IF(K129&lt;&gt;"",K129,IF(OR(J129="",J129="要調整"),"",J129)))</f>
        <v/>
      </c>
      <c r="M129" s="44">
        <f>IF(P129="","",IF(AND(計算用!$B$1=1,T129=""),"転出",IF(L129&lt;&gt;"","決定",IF(Q129="","未提出","要調整"))))</f>
        <v/>
      </c>
      <c r="N129" s="44">
        <f>IF(OR(M129&lt;&gt;"要調整",H129=""),"",IFERROR((INDEX(設定!$Q$8:$Q$27,MATCH(H129,設定!$P$8:$P$27,0))+N(INDEX(設定!$R$8:$R$27,MATCH(H129,設定!$P$8:$P$27,0))))-INDEX(定員チェック!$F$7:$F$26,MATCH(H129,設定!$P$8:$P$27,0))-COUNTIFS($M$7:$M$456,"要調整",$G$7:$G$456,H129),""))</f>
        <v/>
      </c>
      <c r="O129" s="44">
        <f>IF(OR(M129&lt;&gt;"要調整",I129=""),"",IFERROR((INDEX(設定!$Q$8:$Q$27,MATCH(I129,設定!$P$8:$P$27,0))+N(INDEX(設定!$R$8:$R$27,MATCH(I129,設定!$P$8:$P$27,0))))-INDEX(定員チェック!$F$7:$F$26,MATCH(I129,設定!$P$8:$P$27,0))-COUNTIFS($M$7:$M$456,"要調整",$G$7:$G$456,I129),""))</f>
        <v/>
      </c>
      <c r="P129" s="8">
        <f>IFERROR(MATCH(SMALL(前年度名簿!$G$2:$G$451,123),前年度名簿!$G$2:$G$451,0),"")</f>
        <v/>
      </c>
      <c r="Q129" s="8">
        <f>IF(R129="","",IFERROR(MATCH(R129,希望入力!$M$2:$M$551,0),""))</f>
        <v/>
      </c>
      <c r="R129" s="8">
        <f>IF(P129="","",INDEX(前年度名簿!$F$2:$F$451,P129))</f>
        <v/>
      </c>
      <c r="S129" s="8">
        <f>IF(P129="","",INDEX(前年度名簿!$I$2:$I$451,P129))</f>
        <v/>
      </c>
      <c r="T129" s="8">
        <f>IF(OR(P129="",計算用!$B$1=0),"",IFERROR(MATCH(S129,新年度名簿!$H$2:$H$451,0),""))</f>
        <v/>
      </c>
      <c r="U129" s="8">
        <f>IF(OR(L129="",M129="転出"),"",IFERROR(MATCH(L129,設定!$P$8:$P$27,0),""))</f>
        <v/>
      </c>
      <c r="V129" s="8">
        <f>IF(U129="","",COUNTIF($U$7:U129,U129))</f>
        <v/>
      </c>
      <c r="W129" s="8">
        <f>IF(U129="","",U129*1000+V129)</f>
        <v/>
      </c>
    </row>
    <row r="130">
      <c r="A130" s="44">
        <f>IF(P130="","",INDEX(前年度名簿!$H$2:$H$451,P130))</f>
        <v/>
      </c>
      <c r="B130" s="44">
        <f>IF(P130="","",IFERROR(INDEX(設定!$G$8:$G$31,INT(INDEX(前年度名簿!$G$2:$G$451,P130)/1000)),INDEX(前年度名簿!$A$2:$A$451,P130)&amp;INDEX(前年度名簿!$B$2:$B$451,P130)))</f>
        <v/>
      </c>
      <c r="C130" s="44">
        <f>IF(P130="","",INDEX(前年度名簿!$C$2:$C$451,P130))</f>
        <v/>
      </c>
      <c r="D130" s="3">
        <f>IF(P130="","",INDEX(前年度名簿!$D$2:$D$451,P130))</f>
        <v/>
      </c>
      <c r="E130" s="44">
        <f>IF(T130="","",INDEX(新年度名簿!$K$2:$K$451,T130))</f>
        <v/>
      </c>
      <c r="F130" s="44">
        <f>IF(T130="","",INDEX(新年度名簿!$C$2:$C$451,T130))</f>
        <v/>
      </c>
      <c r="G130" s="44">
        <f>IF(Q130="","",INDEX(希望入力!$H$2:$H$551,Q130)&amp;"")</f>
        <v/>
      </c>
      <c r="H130" s="44">
        <f>IF(Q130="","",INDEX(希望入力!$I$2:$I$551,Q130)&amp;"")</f>
        <v/>
      </c>
      <c r="I130" s="44">
        <f>IF(Q130="","",INDEX(希望入力!$J$2:$J$551,Q130)&amp;"")</f>
        <v/>
      </c>
      <c r="J130" s="44">
        <f>IF(Q130="","",IF(G130="","要調整",IFERROR(IF(IF(OR(設定!$C$14="〇",設定!$C$14="○"),COUNTIFS($A$7:$A$456,"&gt;="&amp;A130,$G$7:$G$456,G130),COUNTIF($G$7:$G$456,G130))&lt;=(INDEX(設定!$Q$8:$Q$27,MATCH(G130,設定!$P$8:$P$27,0))+N(INDEX(設定!$R$8:$R$27,MATCH(G130,設定!$P$8:$P$27,0)))),G130,"要調整"),"要調整")))</f>
        <v/>
      </c>
      <c r="K130" s="40" t="n"/>
      <c r="L130" s="52">
        <f>IF(P130="","",IF(K130&lt;&gt;"",K130,IF(OR(J130="",J130="要調整"),"",J130)))</f>
        <v/>
      </c>
      <c r="M130" s="44">
        <f>IF(P130="","",IF(AND(計算用!$B$1=1,T130=""),"転出",IF(L130&lt;&gt;"","決定",IF(Q130="","未提出","要調整"))))</f>
        <v/>
      </c>
      <c r="N130" s="44">
        <f>IF(OR(M130&lt;&gt;"要調整",H130=""),"",IFERROR((INDEX(設定!$Q$8:$Q$27,MATCH(H130,設定!$P$8:$P$27,0))+N(INDEX(設定!$R$8:$R$27,MATCH(H130,設定!$P$8:$P$27,0))))-INDEX(定員チェック!$F$7:$F$26,MATCH(H130,設定!$P$8:$P$27,0))-COUNTIFS($M$7:$M$456,"要調整",$G$7:$G$456,H130),""))</f>
        <v/>
      </c>
      <c r="O130" s="44">
        <f>IF(OR(M130&lt;&gt;"要調整",I130=""),"",IFERROR((INDEX(設定!$Q$8:$Q$27,MATCH(I130,設定!$P$8:$P$27,0))+N(INDEX(設定!$R$8:$R$27,MATCH(I130,設定!$P$8:$P$27,0))))-INDEX(定員チェック!$F$7:$F$26,MATCH(I130,設定!$P$8:$P$27,0))-COUNTIFS($M$7:$M$456,"要調整",$G$7:$G$456,I130),""))</f>
        <v/>
      </c>
      <c r="P130" s="8">
        <f>IFERROR(MATCH(SMALL(前年度名簿!$G$2:$G$451,124),前年度名簿!$G$2:$G$451,0),"")</f>
        <v/>
      </c>
      <c r="Q130" s="8">
        <f>IF(R130="","",IFERROR(MATCH(R130,希望入力!$M$2:$M$551,0),""))</f>
        <v/>
      </c>
      <c r="R130" s="8">
        <f>IF(P130="","",INDEX(前年度名簿!$F$2:$F$451,P130))</f>
        <v/>
      </c>
      <c r="S130" s="8">
        <f>IF(P130="","",INDEX(前年度名簿!$I$2:$I$451,P130))</f>
        <v/>
      </c>
      <c r="T130" s="8">
        <f>IF(OR(P130="",計算用!$B$1=0),"",IFERROR(MATCH(S130,新年度名簿!$H$2:$H$451,0),""))</f>
        <v/>
      </c>
      <c r="U130" s="8">
        <f>IF(OR(L130="",M130="転出"),"",IFERROR(MATCH(L130,設定!$P$8:$P$27,0),""))</f>
        <v/>
      </c>
      <c r="V130" s="8">
        <f>IF(U130="","",COUNTIF($U$7:U130,U130))</f>
        <v/>
      </c>
      <c r="W130" s="8">
        <f>IF(U130="","",U130*1000+V130)</f>
        <v/>
      </c>
    </row>
    <row r="131">
      <c r="A131" s="44">
        <f>IF(P131="","",INDEX(前年度名簿!$H$2:$H$451,P131))</f>
        <v/>
      </c>
      <c r="B131" s="44">
        <f>IF(P131="","",IFERROR(INDEX(設定!$G$8:$G$31,INT(INDEX(前年度名簿!$G$2:$G$451,P131)/1000)),INDEX(前年度名簿!$A$2:$A$451,P131)&amp;INDEX(前年度名簿!$B$2:$B$451,P131)))</f>
        <v/>
      </c>
      <c r="C131" s="44">
        <f>IF(P131="","",INDEX(前年度名簿!$C$2:$C$451,P131))</f>
        <v/>
      </c>
      <c r="D131" s="3">
        <f>IF(P131="","",INDEX(前年度名簿!$D$2:$D$451,P131))</f>
        <v/>
      </c>
      <c r="E131" s="44">
        <f>IF(T131="","",INDEX(新年度名簿!$K$2:$K$451,T131))</f>
        <v/>
      </c>
      <c r="F131" s="44">
        <f>IF(T131="","",INDEX(新年度名簿!$C$2:$C$451,T131))</f>
        <v/>
      </c>
      <c r="G131" s="44">
        <f>IF(Q131="","",INDEX(希望入力!$H$2:$H$551,Q131)&amp;"")</f>
        <v/>
      </c>
      <c r="H131" s="44">
        <f>IF(Q131="","",INDEX(希望入力!$I$2:$I$551,Q131)&amp;"")</f>
        <v/>
      </c>
      <c r="I131" s="44">
        <f>IF(Q131="","",INDEX(希望入力!$J$2:$J$551,Q131)&amp;"")</f>
        <v/>
      </c>
      <c r="J131" s="44">
        <f>IF(Q131="","",IF(G131="","要調整",IFERROR(IF(IF(OR(設定!$C$14="〇",設定!$C$14="○"),COUNTIFS($A$7:$A$456,"&gt;="&amp;A131,$G$7:$G$456,G131),COUNTIF($G$7:$G$456,G131))&lt;=(INDEX(設定!$Q$8:$Q$27,MATCH(G131,設定!$P$8:$P$27,0))+N(INDEX(設定!$R$8:$R$27,MATCH(G131,設定!$P$8:$P$27,0)))),G131,"要調整"),"要調整")))</f>
        <v/>
      </c>
      <c r="K131" s="40" t="n"/>
      <c r="L131" s="52">
        <f>IF(P131="","",IF(K131&lt;&gt;"",K131,IF(OR(J131="",J131="要調整"),"",J131)))</f>
        <v/>
      </c>
      <c r="M131" s="44">
        <f>IF(P131="","",IF(AND(計算用!$B$1=1,T131=""),"転出",IF(L131&lt;&gt;"","決定",IF(Q131="","未提出","要調整"))))</f>
        <v/>
      </c>
      <c r="N131" s="44">
        <f>IF(OR(M131&lt;&gt;"要調整",H131=""),"",IFERROR((INDEX(設定!$Q$8:$Q$27,MATCH(H131,設定!$P$8:$P$27,0))+N(INDEX(設定!$R$8:$R$27,MATCH(H131,設定!$P$8:$P$27,0))))-INDEX(定員チェック!$F$7:$F$26,MATCH(H131,設定!$P$8:$P$27,0))-COUNTIFS($M$7:$M$456,"要調整",$G$7:$G$456,H131),""))</f>
        <v/>
      </c>
      <c r="O131" s="44">
        <f>IF(OR(M131&lt;&gt;"要調整",I131=""),"",IFERROR((INDEX(設定!$Q$8:$Q$27,MATCH(I131,設定!$P$8:$P$27,0))+N(INDEX(設定!$R$8:$R$27,MATCH(I131,設定!$P$8:$P$27,0))))-INDEX(定員チェック!$F$7:$F$26,MATCH(I131,設定!$P$8:$P$27,0))-COUNTIFS($M$7:$M$456,"要調整",$G$7:$G$456,I131),""))</f>
        <v/>
      </c>
      <c r="P131" s="8">
        <f>IFERROR(MATCH(SMALL(前年度名簿!$G$2:$G$451,125),前年度名簿!$G$2:$G$451,0),"")</f>
        <v/>
      </c>
      <c r="Q131" s="8">
        <f>IF(R131="","",IFERROR(MATCH(R131,希望入力!$M$2:$M$551,0),""))</f>
        <v/>
      </c>
      <c r="R131" s="8">
        <f>IF(P131="","",INDEX(前年度名簿!$F$2:$F$451,P131))</f>
        <v/>
      </c>
      <c r="S131" s="8">
        <f>IF(P131="","",INDEX(前年度名簿!$I$2:$I$451,P131))</f>
        <v/>
      </c>
      <c r="T131" s="8">
        <f>IF(OR(P131="",計算用!$B$1=0),"",IFERROR(MATCH(S131,新年度名簿!$H$2:$H$451,0),""))</f>
        <v/>
      </c>
      <c r="U131" s="8">
        <f>IF(OR(L131="",M131="転出"),"",IFERROR(MATCH(L131,設定!$P$8:$P$27,0),""))</f>
        <v/>
      </c>
      <c r="V131" s="8">
        <f>IF(U131="","",COUNTIF($U$7:U131,U131))</f>
        <v/>
      </c>
      <c r="W131" s="8">
        <f>IF(U131="","",U131*1000+V131)</f>
        <v/>
      </c>
    </row>
    <row r="132">
      <c r="A132" s="44">
        <f>IF(P132="","",INDEX(前年度名簿!$H$2:$H$451,P132))</f>
        <v/>
      </c>
      <c r="B132" s="44">
        <f>IF(P132="","",IFERROR(INDEX(設定!$G$8:$G$31,INT(INDEX(前年度名簿!$G$2:$G$451,P132)/1000)),INDEX(前年度名簿!$A$2:$A$451,P132)&amp;INDEX(前年度名簿!$B$2:$B$451,P132)))</f>
        <v/>
      </c>
      <c r="C132" s="44">
        <f>IF(P132="","",INDEX(前年度名簿!$C$2:$C$451,P132))</f>
        <v/>
      </c>
      <c r="D132" s="3">
        <f>IF(P132="","",INDEX(前年度名簿!$D$2:$D$451,P132))</f>
        <v/>
      </c>
      <c r="E132" s="44">
        <f>IF(T132="","",INDEX(新年度名簿!$K$2:$K$451,T132))</f>
        <v/>
      </c>
      <c r="F132" s="44">
        <f>IF(T132="","",INDEX(新年度名簿!$C$2:$C$451,T132))</f>
        <v/>
      </c>
      <c r="G132" s="44">
        <f>IF(Q132="","",INDEX(希望入力!$H$2:$H$551,Q132)&amp;"")</f>
        <v/>
      </c>
      <c r="H132" s="44">
        <f>IF(Q132="","",INDEX(希望入力!$I$2:$I$551,Q132)&amp;"")</f>
        <v/>
      </c>
      <c r="I132" s="44">
        <f>IF(Q132="","",INDEX(希望入力!$J$2:$J$551,Q132)&amp;"")</f>
        <v/>
      </c>
      <c r="J132" s="44">
        <f>IF(Q132="","",IF(G132="","要調整",IFERROR(IF(IF(OR(設定!$C$14="〇",設定!$C$14="○"),COUNTIFS($A$7:$A$456,"&gt;="&amp;A132,$G$7:$G$456,G132),COUNTIF($G$7:$G$456,G132))&lt;=(INDEX(設定!$Q$8:$Q$27,MATCH(G132,設定!$P$8:$P$27,0))+N(INDEX(設定!$R$8:$R$27,MATCH(G132,設定!$P$8:$P$27,0)))),G132,"要調整"),"要調整")))</f>
        <v/>
      </c>
      <c r="K132" s="40" t="n"/>
      <c r="L132" s="52">
        <f>IF(P132="","",IF(K132&lt;&gt;"",K132,IF(OR(J132="",J132="要調整"),"",J132)))</f>
        <v/>
      </c>
      <c r="M132" s="44">
        <f>IF(P132="","",IF(AND(計算用!$B$1=1,T132=""),"転出",IF(L132&lt;&gt;"","決定",IF(Q132="","未提出","要調整"))))</f>
        <v/>
      </c>
      <c r="N132" s="44">
        <f>IF(OR(M132&lt;&gt;"要調整",H132=""),"",IFERROR((INDEX(設定!$Q$8:$Q$27,MATCH(H132,設定!$P$8:$P$27,0))+N(INDEX(設定!$R$8:$R$27,MATCH(H132,設定!$P$8:$P$27,0))))-INDEX(定員チェック!$F$7:$F$26,MATCH(H132,設定!$P$8:$P$27,0))-COUNTIFS($M$7:$M$456,"要調整",$G$7:$G$456,H132),""))</f>
        <v/>
      </c>
      <c r="O132" s="44">
        <f>IF(OR(M132&lt;&gt;"要調整",I132=""),"",IFERROR((INDEX(設定!$Q$8:$Q$27,MATCH(I132,設定!$P$8:$P$27,0))+N(INDEX(設定!$R$8:$R$27,MATCH(I132,設定!$P$8:$P$27,0))))-INDEX(定員チェック!$F$7:$F$26,MATCH(I132,設定!$P$8:$P$27,0))-COUNTIFS($M$7:$M$456,"要調整",$G$7:$G$456,I132),""))</f>
        <v/>
      </c>
      <c r="P132" s="8">
        <f>IFERROR(MATCH(SMALL(前年度名簿!$G$2:$G$451,126),前年度名簿!$G$2:$G$451,0),"")</f>
        <v/>
      </c>
      <c r="Q132" s="8">
        <f>IF(R132="","",IFERROR(MATCH(R132,希望入力!$M$2:$M$551,0),""))</f>
        <v/>
      </c>
      <c r="R132" s="8">
        <f>IF(P132="","",INDEX(前年度名簿!$F$2:$F$451,P132))</f>
        <v/>
      </c>
      <c r="S132" s="8">
        <f>IF(P132="","",INDEX(前年度名簿!$I$2:$I$451,P132))</f>
        <v/>
      </c>
      <c r="T132" s="8">
        <f>IF(OR(P132="",計算用!$B$1=0),"",IFERROR(MATCH(S132,新年度名簿!$H$2:$H$451,0),""))</f>
        <v/>
      </c>
      <c r="U132" s="8">
        <f>IF(OR(L132="",M132="転出"),"",IFERROR(MATCH(L132,設定!$P$8:$P$27,0),""))</f>
        <v/>
      </c>
      <c r="V132" s="8">
        <f>IF(U132="","",COUNTIF($U$7:U132,U132))</f>
        <v/>
      </c>
      <c r="W132" s="8">
        <f>IF(U132="","",U132*1000+V132)</f>
        <v/>
      </c>
    </row>
    <row r="133">
      <c r="A133" s="44">
        <f>IF(P133="","",INDEX(前年度名簿!$H$2:$H$451,P133))</f>
        <v/>
      </c>
      <c r="B133" s="44">
        <f>IF(P133="","",IFERROR(INDEX(設定!$G$8:$G$31,INT(INDEX(前年度名簿!$G$2:$G$451,P133)/1000)),INDEX(前年度名簿!$A$2:$A$451,P133)&amp;INDEX(前年度名簿!$B$2:$B$451,P133)))</f>
        <v/>
      </c>
      <c r="C133" s="44">
        <f>IF(P133="","",INDEX(前年度名簿!$C$2:$C$451,P133))</f>
        <v/>
      </c>
      <c r="D133" s="3">
        <f>IF(P133="","",INDEX(前年度名簿!$D$2:$D$451,P133))</f>
        <v/>
      </c>
      <c r="E133" s="44">
        <f>IF(T133="","",INDEX(新年度名簿!$K$2:$K$451,T133))</f>
        <v/>
      </c>
      <c r="F133" s="44">
        <f>IF(T133="","",INDEX(新年度名簿!$C$2:$C$451,T133))</f>
        <v/>
      </c>
      <c r="G133" s="44">
        <f>IF(Q133="","",INDEX(希望入力!$H$2:$H$551,Q133)&amp;"")</f>
        <v/>
      </c>
      <c r="H133" s="44">
        <f>IF(Q133="","",INDEX(希望入力!$I$2:$I$551,Q133)&amp;"")</f>
        <v/>
      </c>
      <c r="I133" s="44">
        <f>IF(Q133="","",INDEX(希望入力!$J$2:$J$551,Q133)&amp;"")</f>
        <v/>
      </c>
      <c r="J133" s="44">
        <f>IF(Q133="","",IF(G133="","要調整",IFERROR(IF(IF(OR(設定!$C$14="〇",設定!$C$14="○"),COUNTIFS($A$7:$A$456,"&gt;="&amp;A133,$G$7:$G$456,G133),COUNTIF($G$7:$G$456,G133))&lt;=(INDEX(設定!$Q$8:$Q$27,MATCH(G133,設定!$P$8:$P$27,0))+N(INDEX(設定!$R$8:$R$27,MATCH(G133,設定!$P$8:$P$27,0)))),G133,"要調整"),"要調整")))</f>
        <v/>
      </c>
      <c r="K133" s="40" t="n"/>
      <c r="L133" s="52">
        <f>IF(P133="","",IF(K133&lt;&gt;"",K133,IF(OR(J133="",J133="要調整"),"",J133)))</f>
        <v/>
      </c>
      <c r="M133" s="44">
        <f>IF(P133="","",IF(AND(計算用!$B$1=1,T133=""),"転出",IF(L133&lt;&gt;"","決定",IF(Q133="","未提出","要調整"))))</f>
        <v/>
      </c>
      <c r="N133" s="44">
        <f>IF(OR(M133&lt;&gt;"要調整",H133=""),"",IFERROR((INDEX(設定!$Q$8:$Q$27,MATCH(H133,設定!$P$8:$P$27,0))+N(INDEX(設定!$R$8:$R$27,MATCH(H133,設定!$P$8:$P$27,0))))-INDEX(定員チェック!$F$7:$F$26,MATCH(H133,設定!$P$8:$P$27,0))-COUNTIFS($M$7:$M$456,"要調整",$G$7:$G$456,H133),""))</f>
        <v/>
      </c>
      <c r="O133" s="44">
        <f>IF(OR(M133&lt;&gt;"要調整",I133=""),"",IFERROR((INDEX(設定!$Q$8:$Q$27,MATCH(I133,設定!$P$8:$P$27,0))+N(INDEX(設定!$R$8:$R$27,MATCH(I133,設定!$P$8:$P$27,0))))-INDEX(定員チェック!$F$7:$F$26,MATCH(I133,設定!$P$8:$P$27,0))-COUNTIFS($M$7:$M$456,"要調整",$G$7:$G$456,I133),""))</f>
        <v/>
      </c>
      <c r="P133" s="8">
        <f>IFERROR(MATCH(SMALL(前年度名簿!$G$2:$G$451,127),前年度名簿!$G$2:$G$451,0),"")</f>
        <v/>
      </c>
      <c r="Q133" s="8">
        <f>IF(R133="","",IFERROR(MATCH(R133,希望入力!$M$2:$M$551,0),""))</f>
        <v/>
      </c>
      <c r="R133" s="8">
        <f>IF(P133="","",INDEX(前年度名簿!$F$2:$F$451,P133))</f>
        <v/>
      </c>
      <c r="S133" s="8">
        <f>IF(P133="","",INDEX(前年度名簿!$I$2:$I$451,P133))</f>
        <v/>
      </c>
      <c r="T133" s="8">
        <f>IF(OR(P133="",計算用!$B$1=0),"",IFERROR(MATCH(S133,新年度名簿!$H$2:$H$451,0),""))</f>
        <v/>
      </c>
      <c r="U133" s="8">
        <f>IF(OR(L133="",M133="転出"),"",IFERROR(MATCH(L133,設定!$P$8:$P$27,0),""))</f>
        <v/>
      </c>
      <c r="V133" s="8">
        <f>IF(U133="","",COUNTIF($U$7:U133,U133))</f>
        <v/>
      </c>
      <c r="W133" s="8">
        <f>IF(U133="","",U133*1000+V133)</f>
        <v/>
      </c>
    </row>
    <row r="134">
      <c r="A134" s="44">
        <f>IF(P134="","",INDEX(前年度名簿!$H$2:$H$451,P134))</f>
        <v/>
      </c>
      <c r="B134" s="44">
        <f>IF(P134="","",IFERROR(INDEX(設定!$G$8:$G$31,INT(INDEX(前年度名簿!$G$2:$G$451,P134)/1000)),INDEX(前年度名簿!$A$2:$A$451,P134)&amp;INDEX(前年度名簿!$B$2:$B$451,P134)))</f>
        <v/>
      </c>
      <c r="C134" s="44">
        <f>IF(P134="","",INDEX(前年度名簿!$C$2:$C$451,P134))</f>
        <v/>
      </c>
      <c r="D134" s="3">
        <f>IF(P134="","",INDEX(前年度名簿!$D$2:$D$451,P134))</f>
        <v/>
      </c>
      <c r="E134" s="44">
        <f>IF(T134="","",INDEX(新年度名簿!$K$2:$K$451,T134))</f>
        <v/>
      </c>
      <c r="F134" s="44">
        <f>IF(T134="","",INDEX(新年度名簿!$C$2:$C$451,T134))</f>
        <v/>
      </c>
      <c r="G134" s="44">
        <f>IF(Q134="","",INDEX(希望入力!$H$2:$H$551,Q134)&amp;"")</f>
        <v/>
      </c>
      <c r="H134" s="44">
        <f>IF(Q134="","",INDEX(希望入力!$I$2:$I$551,Q134)&amp;"")</f>
        <v/>
      </c>
      <c r="I134" s="44">
        <f>IF(Q134="","",INDEX(希望入力!$J$2:$J$551,Q134)&amp;"")</f>
        <v/>
      </c>
      <c r="J134" s="44">
        <f>IF(Q134="","",IF(G134="","要調整",IFERROR(IF(IF(OR(設定!$C$14="〇",設定!$C$14="○"),COUNTIFS($A$7:$A$456,"&gt;="&amp;A134,$G$7:$G$456,G134),COUNTIF($G$7:$G$456,G134))&lt;=(INDEX(設定!$Q$8:$Q$27,MATCH(G134,設定!$P$8:$P$27,0))+N(INDEX(設定!$R$8:$R$27,MATCH(G134,設定!$P$8:$P$27,0)))),G134,"要調整"),"要調整")))</f>
        <v/>
      </c>
      <c r="K134" s="40" t="n"/>
      <c r="L134" s="52">
        <f>IF(P134="","",IF(K134&lt;&gt;"",K134,IF(OR(J134="",J134="要調整"),"",J134)))</f>
        <v/>
      </c>
      <c r="M134" s="44">
        <f>IF(P134="","",IF(AND(計算用!$B$1=1,T134=""),"転出",IF(L134&lt;&gt;"","決定",IF(Q134="","未提出","要調整"))))</f>
        <v/>
      </c>
      <c r="N134" s="44">
        <f>IF(OR(M134&lt;&gt;"要調整",H134=""),"",IFERROR((INDEX(設定!$Q$8:$Q$27,MATCH(H134,設定!$P$8:$P$27,0))+N(INDEX(設定!$R$8:$R$27,MATCH(H134,設定!$P$8:$P$27,0))))-INDEX(定員チェック!$F$7:$F$26,MATCH(H134,設定!$P$8:$P$27,0))-COUNTIFS($M$7:$M$456,"要調整",$G$7:$G$456,H134),""))</f>
        <v/>
      </c>
      <c r="O134" s="44">
        <f>IF(OR(M134&lt;&gt;"要調整",I134=""),"",IFERROR((INDEX(設定!$Q$8:$Q$27,MATCH(I134,設定!$P$8:$P$27,0))+N(INDEX(設定!$R$8:$R$27,MATCH(I134,設定!$P$8:$P$27,0))))-INDEX(定員チェック!$F$7:$F$26,MATCH(I134,設定!$P$8:$P$27,0))-COUNTIFS($M$7:$M$456,"要調整",$G$7:$G$456,I134),""))</f>
        <v/>
      </c>
      <c r="P134" s="8">
        <f>IFERROR(MATCH(SMALL(前年度名簿!$G$2:$G$451,128),前年度名簿!$G$2:$G$451,0),"")</f>
        <v/>
      </c>
      <c r="Q134" s="8">
        <f>IF(R134="","",IFERROR(MATCH(R134,希望入力!$M$2:$M$551,0),""))</f>
        <v/>
      </c>
      <c r="R134" s="8">
        <f>IF(P134="","",INDEX(前年度名簿!$F$2:$F$451,P134))</f>
        <v/>
      </c>
      <c r="S134" s="8">
        <f>IF(P134="","",INDEX(前年度名簿!$I$2:$I$451,P134))</f>
        <v/>
      </c>
      <c r="T134" s="8">
        <f>IF(OR(P134="",計算用!$B$1=0),"",IFERROR(MATCH(S134,新年度名簿!$H$2:$H$451,0),""))</f>
        <v/>
      </c>
      <c r="U134" s="8">
        <f>IF(OR(L134="",M134="転出"),"",IFERROR(MATCH(L134,設定!$P$8:$P$27,0),""))</f>
        <v/>
      </c>
      <c r="V134" s="8">
        <f>IF(U134="","",COUNTIF($U$7:U134,U134))</f>
        <v/>
      </c>
      <c r="W134" s="8">
        <f>IF(U134="","",U134*1000+V134)</f>
        <v/>
      </c>
    </row>
    <row r="135">
      <c r="A135" s="44">
        <f>IF(P135="","",INDEX(前年度名簿!$H$2:$H$451,P135))</f>
        <v/>
      </c>
      <c r="B135" s="44">
        <f>IF(P135="","",IFERROR(INDEX(設定!$G$8:$G$31,INT(INDEX(前年度名簿!$G$2:$G$451,P135)/1000)),INDEX(前年度名簿!$A$2:$A$451,P135)&amp;INDEX(前年度名簿!$B$2:$B$451,P135)))</f>
        <v/>
      </c>
      <c r="C135" s="44">
        <f>IF(P135="","",INDEX(前年度名簿!$C$2:$C$451,P135))</f>
        <v/>
      </c>
      <c r="D135" s="3">
        <f>IF(P135="","",INDEX(前年度名簿!$D$2:$D$451,P135))</f>
        <v/>
      </c>
      <c r="E135" s="44">
        <f>IF(T135="","",INDEX(新年度名簿!$K$2:$K$451,T135))</f>
        <v/>
      </c>
      <c r="F135" s="44">
        <f>IF(T135="","",INDEX(新年度名簿!$C$2:$C$451,T135))</f>
        <v/>
      </c>
      <c r="G135" s="44">
        <f>IF(Q135="","",INDEX(希望入力!$H$2:$H$551,Q135)&amp;"")</f>
        <v/>
      </c>
      <c r="H135" s="44">
        <f>IF(Q135="","",INDEX(希望入力!$I$2:$I$551,Q135)&amp;"")</f>
        <v/>
      </c>
      <c r="I135" s="44">
        <f>IF(Q135="","",INDEX(希望入力!$J$2:$J$551,Q135)&amp;"")</f>
        <v/>
      </c>
      <c r="J135" s="44">
        <f>IF(Q135="","",IF(G135="","要調整",IFERROR(IF(IF(OR(設定!$C$14="〇",設定!$C$14="○"),COUNTIFS($A$7:$A$456,"&gt;="&amp;A135,$G$7:$G$456,G135),COUNTIF($G$7:$G$456,G135))&lt;=(INDEX(設定!$Q$8:$Q$27,MATCH(G135,設定!$P$8:$P$27,0))+N(INDEX(設定!$R$8:$R$27,MATCH(G135,設定!$P$8:$P$27,0)))),G135,"要調整"),"要調整")))</f>
        <v/>
      </c>
      <c r="K135" s="40" t="n"/>
      <c r="L135" s="52">
        <f>IF(P135="","",IF(K135&lt;&gt;"",K135,IF(OR(J135="",J135="要調整"),"",J135)))</f>
        <v/>
      </c>
      <c r="M135" s="44">
        <f>IF(P135="","",IF(AND(計算用!$B$1=1,T135=""),"転出",IF(L135&lt;&gt;"","決定",IF(Q135="","未提出","要調整"))))</f>
        <v/>
      </c>
      <c r="N135" s="44">
        <f>IF(OR(M135&lt;&gt;"要調整",H135=""),"",IFERROR((INDEX(設定!$Q$8:$Q$27,MATCH(H135,設定!$P$8:$P$27,0))+N(INDEX(設定!$R$8:$R$27,MATCH(H135,設定!$P$8:$P$27,0))))-INDEX(定員チェック!$F$7:$F$26,MATCH(H135,設定!$P$8:$P$27,0))-COUNTIFS($M$7:$M$456,"要調整",$G$7:$G$456,H135),""))</f>
        <v/>
      </c>
      <c r="O135" s="44">
        <f>IF(OR(M135&lt;&gt;"要調整",I135=""),"",IFERROR((INDEX(設定!$Q$8:$Q$27,MATCH(I135,設定!$P$8:$P$27,0))+N(INDEX(設定!$R$8:$R$27,MATCH(I135,設定!$P$8:$P$27,0))))-INDEX(定員チェック!$F$7:$F$26,MATCH(I135,設定!$P$8:$P$27,0))-COUNTIFS($M$7:$M$456,"要調整",$G$7:$G$456,I135),""))</f>
        <v/>
      </c>
      <c r="P135" s="8">
        <f>IFERROR(MATCH(SMALL(前年度名簿!$G$2:$G$451,129),前年度名簿!$G$2:$G$451,0),"")</f>
        <v/>
      </c>
      <c r="Q135" s="8">
        <f>IF(R135="","",IFERROR(MATCH(R135,希望入力!$M$2:$M$551,0),""))</f>
        <v/>
      </c>
      <c r="R135" s="8">
        <f>IF(P135="","",INDEX(前年度名簿!$F$2:$F$451,P135))</f>
        <v/>
      </c>
      <c r="S135" s="8">
        <f>IF(P135="","",INDEX(前年度名簿!$I$2:$I$451,P135))</f>
        <v/>
      </c>
      <c r="T135" s="8">
        <f>IF(OR(P135="",計算用!$B$1=0),"",IFERROR(MATCH(S135,新年度名簿!$H$2:$H$451,0),""))</f>
        <v/>
      </c>
      <c r="U135" s="8">
        <f>IF(OR(L135="",M135="転出"),"",IFERROR(MATCH(L135,設定!$P$8:$P$27,0),""))</f>
        <v/>
      </c>
      <c r="V135" s="8">
        <f>IF(U135="","",COUNTIF($U$7:U135,U135))</f>
        <v/>
      </c>
      <c r="W135" s="8">
        <f>IF(U135="","",U135*1000+V135)</f>
        <v/>
      </c>
    </row>
    <row r="136">
      <c r="A136" s="44">
        <f>IF(P136="","",INDEX(前年度名簿!$H$2:$H$451,P136))</f>
        <v/>
      </c>
      <c r="B136" s="44">
        <f>IF(P136="","",IFERROR(INDEX(設定!$G$8:$G$31,INT(INDEX(前年度名簿!$G$2:$G$451,P136)/1000)),INDEX(前年度名簿!$A$2:$A$451,P136)&amp;INDEX(前年度名簿!$B$2:$B$451,P136)))</f>
        <v/>
      </c>
      <c r="C136" s="44">
        <f>IF(P136="","",INDEX(前年度名簿!$C$2:$C$451,P136))</f>
        <v/>
      </c>
      <c r="D136" s="3">
        <f>IF(P136="","",INDEX(前年度名簿!$D$2:$D$451,P136))</f>
        <v/>
      </c>
      <c r="E136" s="44">
        <f>IF(T136="","",INDEX(新年度名簿!$K$2:$K$451,T136))</f>
        <v/>
      </c>
      <c r="F136" s="44">
        <f>IF(T136="","",INDEX(新年度名簿!$C$2:$C$451,T136))</f>
        <v/>
      </c>
      <c r="G136" s="44">
        <f>IF(Q136="","",INDEX(希望入力!$H$2:$H$551,Q136)&amp;"")</f>
        <v/>
      </c>
      <c r="H136" s="44">
        <f>IF(Q136="","",INDEX(希望入力!$I$2:$I$551,Q136)&amp;"")</f>
        <v/>
      </c>
      <c r="I136" s="44">
        <f>IF(Q136="","",INDEX(希望入力!$J$2:$J$551,Q136)&amp;"")</f>
        <v/>
      </c>
      <c r="J136" s="44">
        <f>IF(Q136="","",IF(G136="","要調整",IFERROR(IF(IF(OR(設定!$C$14="〇",設定!$C$14="○"),COUNTIFS($A$7:$A$456,"&gt;="&amp;A136,$G$7:$G$456,G136),COUNTIF($G$7:$G$456,G136))&lt;=(INDEX(設定!$Q$8:$Q$27,MATCH(G136,設定!$P$8:$P$27,0))+N(INDEX(設定!$R$8:$R$27,MATCH(G136,設定!$P$8:$P$27,0)))),G136,"要調整"),"要調整")))</f>
        <v/>
      </c>
      <c r="K136" s="40" t="n"/>
      <c r="L136" s="52">
        <f>IF(P136="","",IF(K136&lt;&gt;"",K136,IF(OR(J136="",J136="要調整"),"",J136)))</f>
        <v/>
      </c>
      <c r="M136" s="44">
        <f>IF(P136="","",IF(AND(計算用!$B$1=1,T136=""),"転出",IF(L136&lt;&gt;"","決定",IF(Q136="","未提出","要調整"))))</f>
        <v/>
      </c>
      <c r="N136" s="44">
        <f>IF(OR(M136&lt;&gt;"要調整",H136=""),"",IFERROR((INDEX(設定!$Q$8:$Q$27,MATCH(H136,設定!$P$8:$P$27,0))+N(INDEX(設定!$R$8:$R$27,MATCH(H136,設定!$P$8:$P$27,0))))-INDEX(定員チェック!$F$7:$F$26,MATCH(H136,設定!$P$8:$P$27,0))-COUNTIFS($M$7:$M$456,"要調整",$G$7:$G$456,H136),""))</f>
        <v/>
      </c>
      <c r="O136" s="44">
        <f>IF(OR(M136&lt;&gt;"要調整",I136=""),"",IFERROR((INDEX(設定!$Q$8:$Q$27,MATCH(I136,設定!$P$8:$P$27,0))+N(INDEX(設定!$R$8:$R$27,MATCH(I136,設定!$P$8:$P$27,0))))-INDEX(定員チェック!$F$7:$F$26,MATCH(I136,設定!$P$8:$P$27,0))-COUNTIFS($M$7:$M$456,"要調整",$G$7:$G$456,I136),""))</f>
        <v/>
      </c>
      <c r="P136" s="8">
        <f>IFERROR(MATCH(SMALL(前年度名簿!$G$2:$G$451,130),前年度名簿!$G$2:$G$451,0),"")</f>
        <v/>
      </c>
      <c r="Q136" s="8">
        <f>IF(R136="","",IFERROR(MATCH(R136,希望入力!$M$2:$M$551,0),""))</f>
        <v/>
      </c>
      <c r="R136" s="8">
        <f>IF(P136="","",INDEX(前年度名簿!$F$2:$F$451,P136))</f>
        <v/>
      </c>
      <c r="S136" s="8">
        <f>IF(P136="","",INDEX(前年度名簿!$I$2:$I$451,P136))</f>
        <v/>
      </c>
      <c r="T136" s="8">
        <f>IF(OR(P136="",計算用!$B$1=0),"",IFERROR(MATCH(S136,新年度名簿!$H$2:$H$451,0),""))</f>
        <v/>
      </c>
      <c r="U136" s="8">
        <f>IF(OR(L136="",M136="転出"),"",IFERROR(MATCH(L136,設定!$P$8:$P$27,0),""))</f>
        <v/>
      </c>
      <c r="V136" s="8">
        <f>IF(U136="","",COUNTIF($U$7:U136,U136))</f>
        <v/>
      </c>
      <c r="W136" s="8">
        <f>IF(U136="","",U136*1000+V136)</f>
        <v/>
      </c>
    </row>
    <row r="137">
      <c r="A137" s="44">
        <f>IF(P137="","",INDEX(前年度名簿!$H$2:$H$451,P137))</f>
        <v/>
      </c>
      <c r="B137" s="44">
        <f>IF(P137="","",IFERROR(INDEX(設定!$G$8:$G$31,INT(INDEX(前年度名簿!$G$2:$G$451,P137)/1000)),INDEX(前年度名簿!$A$2:$A$451,P137)&amp;INDEX(前年度名簿!$B$2:$B$451,P137)))</f>
        <v/>
      </c>
      <c r="C137" s="44">
        <f>IF(P137="","",INDEX(前年度名簿!$C$2:$C$451,P137))</f>
        <v/>
      </c>
      <c r="D137" s="3">
        <f>IF(P137="","",INDEX(前年度名簿!$D$2:$D$451,P137))</f>
        <v/>
      </c>
      <c r="E137" s="44">
        <f>IF(T137="","",INDEX(新年度名簿!$K$2:$K$451,T137))</f>
        <v/>
      </c>
      <c r="F137" s="44">
        <f>IF(T137="","",INDEX(新年度名簿!$C$2:$C$451,T137))</f>
        <v/>
      </c>
      <c r="G137" s="44">
        <f>IF(Q137="","",INDEX(希望入力!$H$2:$H$551,Q137)&amp;"")</f>
        <v/>
      </c>
      <c r="H137" s="44">
        <f>IF(Q137="","",INDEX(希望入力!$I$2:$I$551,Q137)&amp;"")</f>
        <v/>
      </c>
      <c r="I137" s="44">
        <f>IF(Q137="","",INDEX(希望入力!$J$2:$J$551,Q137)&amp;"")</f>
        <v/>
      </c>
      <c r="J137" s="44">
        <f>IF(Q137="","",IF(G137="","要調整",IFERROR(IF(IF(OR(設定!$C$14="〇",設定!$C$14="○"),COUNTIFS($A$7:$A$456,"&gt;="&amp;A137,$G$7:$G$456,G137),COUNTIF($G$7:$G$456,G137))&lt;=(INDEX(設定!$Q$8:$Q$27,MATCH(G137,設定!$P$8:$P$27,0))+N(INDEX(設定!$R$8:$R$27,MATCH(G137,設定!$P$8:$P$27,0)))),G137,"要調整"),"要調整")))</f>
        <v/>
      </c>
      <c r="K137" s="40" t="n"/>
      <c r="L137" s="52">
        <f>IF(P137="","",IF(K137&lt;&gt;"",K137,IF(OR(J137="",J137="要調整"),"",J137)))</f>
        <v/>
      </c>
      <c r="M137" s="44">
        <f>IF(P137="","",IF(AND(計算用!$B$1=1,T137=""),"転出",IF(L137&lt;&gt;"","決定",IF(Q137="","未提出","要調整"))))</f>
        <v/>
      </c>
      <c r="N137" s="44">
        <f>IF(OR(M137&lt;&gt;"要調整",H137=""),"",IFERROR((INDEX(設定!$Q$8:$Q$27,MATCH(H137,設定!$P$8:$P$27,0))+N(INDEX(設定!$R$8:$R$27,MATCH(H137,設定!$P$8:$P$27,0))))-INDEX(定員チェック!$F$7:$F$26,MATCH(H137,設定!$P$8:$P$27,0))-COUNTIFS($M$7:$M$456,"要調整",$G$7:$G$456,H137),""))</f>
        <v/>
      </c>
      <c r="O137" s="44">
        <f>IF(OR(M137&lt;&gt;"要調整",I137=""),"",IFERROR((INDEX(設定!$Q$8:$Q$27,MATCH(I137,設定!$P$8:$P$27,0))+N(INDEX(設定!$R$8:$R$27,MATCH(I137,設定!$P$8:$P$27,0))))-INDEX(定員チェック!$F$7:$F$26,MATCH(I137,設定!$P$8:$P$27,0))-COUNTIFS($M$7:$M$456,"要調整",$G$7:$G$456,I137),""))</f>
        <v/>
      </c>
      <c r="P137" s="8">
        <f>IFERROR(MATCH(SMALL(前年度名簿!$G$2:$G$451,131),前年度名簿!$G$2:$G$451,0),"")</f>
        <v/>
      </c>
      <c r="Q137" s="8">
        <f>IF(R137="","",IFERROR(MATCH(R137,希望入力!$M$2:$M$551,0),""))</f>
        <v/>
      </c>
      <c r="R137" s="8">
        <f>IF(P137="","",INDEX(前年度名簿!$F$2:$F$451,P137))</f>
        <v/>
      </c>
      <c r="S137" s="8">
        <f>IF(P137="","",INDEX(前年度名簿!$I$2:$I$451,P137))</f>
        <v/>
      </c>
      <c r="T137" s="8">
        <f>IF(OR(P137="",計算用!$B$1=0),"",IFERROR(MATCH(S137,新年度名簿!$H$2:$H$451,0),""))</f>
        <v/>
      </c>
      <c r="U137" s="8">
        <f>IF(OR(L137="",M137="転出"),"",IFERROR(MATCH(L137,設定!$P$8:$P$27,0),""))</f>
        <v/>
      </c>
      <c r="V137" s="8">
        <f>IF(U137="","",COUNTIF($U$7:U137,U137))</f>
        <v/>
      </c>
      <c r="W137" s="8">
        <f>IF(U137="","",U137*1000+V137)</f>
        <v/>
      </c>
    </row>
    <row r="138">
      <c r="A138" s="44">
        <f>IF(P138="","",INDEX(前年度名簿!$H$2:$H$451,P138))</f>
        <v/>
      </c>
      <c r="B138" s="44">
        <f>IF(P138="","",IFERROR(INDEX(設定!$G$8:$G$31,INT(INDEX(前年度名簿!$G$2:$G$451,P138)/1000)),INDEX(前年度名簿!$A$2:$A$451,P138)&amp;INDEX(前年度名簿!$B$2:$B$451,P138)))</f>
        <v/>
      </c>
      <c r="C138" s="44">
        <f>IF(P138="","",INDEX(前年度名簿!$C$2:$C$451,P138))</f>
        <v/>
      </c>
      <c r="D138" s="3">
        <f>IF(P138="","",INDEX(前年度名簿!$D$2:$D$451,P138))</f>
        <v/>
      </c>
      <c r="E138" s="44">
        <f>IF(T138="","",INDEX(新年度名簿!$K$2:$K$451,T138))</f>
        <v/>
      </c>
      <c r="F138" s="44">
        <f>IF(T138="","",INDEX(新年度名簿!$C$2:$C$451,T138))</f>
        <v/>
      </c>
      <c r="G138" s="44">
        <f>IF(Q138="","",INDEX(希望入力!$H$2:$H$551,Q138)&amp;"")</f>
        <v/>
      </c>
      <c r="H138" s="44">
        <f>IF(Q138="","",INDEX(希望入力!$I$2:$I$551,Q138)&amp;"")</f>
        <v/>
      </c>
      <c r="I138" s="44">
        <f>IF(Q138="","",INDEX(希望入力!$J$2:$J$551,Q138)&amp;"")</f>
        <v/>
      </c>
      <c r="J138" s="44">
        <f>IF(Q138="","",IF(G138="","要調整",IFERROR(IF(IF(OR(設定!$C$14="〇",設定!$C$14="○"),COUNTIFS($A$7:$A$456,"&gt;="&amp;A138,$G$7:$G$456,G138),COUNTIF($G$7:$G$456,G138))&lt;=(INDEX(設定!$Q$8:$Q$27,MATCH(G138,設定!$P$8:$P$27,0))+N(INDEX(設定!$R$8:$R$27,MATCH(G138,設定!$P$8:$P$27,0)))),G138,"要調整"),"要調整")))</f>
        <v/>
      </c>
      <c r="K138" s="40" t="n"/>
      <c r="L138" s="52">
        <f>IF(P138="","",IF(K138&lt;&gt;"",K138,IF(OR(J138="",J138="要調整"),"",J138)))</f>
        <v/>
      </c>
      <c r="M138" s="44">
        <f>IF(P138="","",IF(AND(計算用!$B$1=1,T138=""),"転出",IF(L138&lt;&gt;"","決定",IF(Q138="","未提出","要調整"))))</f>
        <v/>
      </c>
      <c r="N138" s="44">
        <f>IF(OR(M138&lt;&gt;"要調整",H138=""),"",IFERROR((INDEX(設定!$Q$8:$Q$27,MATCH(H138,設定!$P$8:$P$27,0))+N(INDEX(設定!$R$8:$R$27,MATCH(H138,設定!$P$8:$P$27,0))))-INDEX(定員チェック!$F$7:$F$26,MATCH(H138,設定!$P$8:$P$27,0))-COUNTIFS($M$7:$M$456,"要調整",$G$7:$G$456,H138),""))</f>
        <v/>
      </c>
      <c r="O138" s="44">
        <f>IF(OR(M138&lt;&gt;"要調整",I138=""),"",IFERROR((INDEX(設定!$Q$8:$Q$27,MATCH(I138,設定!$P$8:$P$27,0))+N(INDEX(設定!$R$8:$R$27,MATCH(I138,設定!$P$8:$P$27,0))))-INDEX(定員チェック!$F$7:$F$26,MATCH(I138,設定!$P$8:$P$27,0))-COUNTIFS($M$7:$M$456,"要調整",$G$7:$G$456,I138),""))</f>
        <v/>
      </c>
      <c r="P138" s="8">
        <f>IFERROR(MATCH(SMALL(前年度名簿!$G$2:$G$451,132),前年度名簿!$G$2:$G$451,0),"")</f>
        <v/>
      </c>
      <c r="Q138" s="8">
        <f>IF(R138="","",IFERROR(MATCH(R138,希望入力!$M$2:$M$551,0),""))</f>
        <v/>
      </c>
      <c r="R138" s="8">
        <f>IF(P138="","",INDEX(前年度名簿!$F$2:$F$451,P138))</f>
        <v/>
      </c>
      <c r="S138" s="8">
        <f>IF(P138="","",INDEX(前年度名簿!$I$2:$I$451,P138))</f>
        <v/>
      </c>
      <c r="T138" s="8">
        <f>IF(OR(P138="",計算用!$B$1=0),"",IFERROR(MATCH(S138,新年度名簿!$H$2:$H$451,0),""))</f>
        <v/>
      </c>
      <c r="U138" s="8">
        <f>IF(OR(L138="",M138="転出"),"",IFERROR(MATCH(L138,設定!$P$8:$P$27,0),""))</f>
        <v/>
      </c>
      <c r="V138" s="8">
        <f>IF(U138="","",COUNTIF($U$7:U138,U138))</f>
        <v/>
      </c>
      <c r="W138" s="8">
        <f>IF(U138="","",U138*1000+V138)</f>
        <v/>
      </c>
    </row>
    <row r="139">
      <c r="A139" s="44">
        <f>IF(P139="","",INDEX(前年度名簿!$H$2:$H$451,P139))</f>
        <v/>
      </c>
      <c r="B139" s="44">
        <f>IF(P139="","",IFERROR(INDEX(設定!$G$8:$G$31,INT(INDEX(前年度名簿!$G$2:$G$451,P139)/1000)),INDEX(前年度名簿!$A$2:$A$451,P139)&amp;INDEX(前年度名簿!$B$2:$B$451,P139)))</f>
        <v/>
      </c>
      <c r="C139" s="44">
        <f>IF(P139="","",INDEX(前年度名簿!$C$2:$C$451,P139))</f>
        <v/>
      </c>
      <c r="D139" s="3">
        <f>IF(P139="","",INDEX(前年度名簿!$D$2:$D$451,P139))</f>
        <v/>
      </c>
      <c r="E139" s="44">
        <f>IF(T139="","",INDEX(新年度名簿!$K$2:$K$451,T139))</f>
        <v/>
      </c>
      <c r="F139" s="44">
        <f>IF(T139="","",INDEX(新年度名簿!$C$2:$C$451,T139))</f>
        <v/>
      </c>
      <c r="G139" s="44">
        <f>IF(Q139="","",INDEX(希望入力!$H$2:$H$551,Q139)&amp;"")</f>
        <v/>
      </c>
      <c r="H139" s="44">
        <f>IF(Q139="","",INDEX(希望入力!$I$2:$I$551,Q139)&amp;"")</f>
        <v/>
      </c>
      <c r="I139" s="44">
        <f>IF(Q139="","",INDEX(希望入力!$J$2:$J$551,Q139)&amp;"")</f>
        <v/>
      </c>
      <c r="J139" s="44">
        <f>IF(Q139="","",IF(G139="","要調整",IFERROR(IF(IF(OR(設定!$C$14="〇",設定!$C$14="○"),COUNTIFS($A$7:$A$456,"&gt;="&amp;A139,$G$7:$G$456,G139),COUNTIF($G$7:$G$456,G139))&lt;=(INDEX(設定!$Q$8:$Q$27,MATCH(G139,設定!$P$8:$P$27,0))+N(INDEX(設定!$R$8:$R$27,MATCH(G139,設定!$P$8:$P$27,0)))),G139,"要調整"),"要調整")))</f>
        <v/>
      </c>
      <c r="K139" s="40" t="n"/>
      <c r="L139" s="52">
        <f>IF(P139="","",IF(K139&lt;&gt;"",K139,IF(OR(J139="",J139="要調整"),"",J139)))</f>
        <v/>
      </c>
      <c r="M139" s="44">
        <f>IF(P139="","",IF(AND(計算用!$B$1=1,T139=""),"転出",IF(L139&lt;&gt;"","決定",IF(Q139="","未提出","要調整"))))</f>
        <v/>
      </c>
      <c r="N139" s="44">
        <f>IF(OR(M139&lt;&gt;"要調整",H139=""),"",IFERROR((INDEX(設定!$Q$8:$Q$27,MATCH(H139,設定!$P$8:$P$27,0))+N(INDEX(設定!$R$8:$R$27,MATCH(H139,設定!$P$8:$P$27,0))))-INDEX(定員チェック!$F$7:$F$26,MATCH(H139,設定!$P$8:$P$27,0))-COUNTIFS($M$7:$M$456,"要調整",$G$7:$G$456,H139),""))</f>
        <v/>
      </c>
      <c r="O139" s="44">
        <f>IF(OR(M139&lt;&gt;"要調整",I139=""),"",IFERROR((INDEX(設定!$Q$8:$Q$27,MATCH(I139,設定!$P$8:$P$27,0))+N(INDEX(設定!$R$8:$R$27,MATCH(I139,設定!$P$8:$P$27,0))))-INDEX(定員チェック!$F$7:$F$26,MATCH(I139,設定!$P$8:$P$27,0))-COUNTIFS($M$7:$M$456,"要調整",$G$7:$G$456,I139),""))</f>
        <v/>
      </c>
      <c r="P139" s="8">
        <f>IFERROR(MATCH(SMALL(前年度名簿!$G$2:$G$451,133),前年度名簿!$G$2:$G$451,0),"")</f>
        <v/>
      </c>
      <c r="Q139" s="8">
        <f>IF(R139="","",IFERROR(MATCH(R139,希望入力!$M$2:$M$551,0),""))</f>
        <v/>
      </c>
      <c r="R139" s="8">
        <f>IF(P139="","",INDEX(前年度名簿!$F$2:$F$451,P139))</f>
        <v/>
      </c>
      <c r="S139" s="8">
        <f>IF(P139="","",INDEX(前年度名簿!$I$2:$I$451,P139))</f>
        <v/>
      </c>
      <c r="T139" s="8">
        <f>IF(OR(P139="",計算用!$B$1=0),"",IFERROR(MATCH(S139,新年度名簿!$H$2:$H$451,0),""))</f>
        <v/>
      </c>
      <c r="U139" s="8">
        <f>IF(OR(L139="",M139="転出"),"",IFERROR(MATCH(L139,設定!$P$8:$P$27,0),""))</f>
        <v/>
      </c>
      <c r="V139" s="8">
        <f>IF(U139="","",COUNTIF($U$7:U139,U139))</f>
        <v/>
      </c>
      <c r="W139" s="8">
        <f>IF(U139="","",U139*1000+V139)</f>
        <v/>
      </c>
    </row>
    <row r="140">
      <c r="A140" s="44">
        <f>IF(P140="","",INDEX(前年度名簿!$H$2:$H$451,P140))</f>
        <v/>
      </c>
      <c r="B140" s="44">
        <f>IF(P140="","",IFERROR(INDEX(設定!$G$8:$G$31,INT(INDEX(前年度名簿!$G$2:$G$451,P140)/1000)),INDEX(前年度名簿!$A$2:$A$451,P140)&amp;INDEX(前年度名簿!$B$2:$B$451,P140)))</f>
        <v/>
      </c>
      <c r="C140" s="44">
        <f>IF(P140="","",INDEX(前年度名簿!$C$2:$C$451,P140))</f>
        <v/>
      </c>
      <c r="D140" s="3">
        <f>IF(P140="","",INDEX(前年度名簿!$D$2:$D$451,P140))</f>
        <v/>
      </c>
      <c r="E140" s="44">
        <f>IF(T140="","",INDEX(新年度名簿!$K$2:$K$451,T140))</f>
        <v/>
      </c>
      <c r="F140" s="44">
        <f>IF(T140="","",INDEX(新年度名簿!$C$2:$C$451,T140))</f>
        <v/>
      </c>
      <c r="G140" s="44">
        <f>IF(Q140="","",INDEX(希望入力!$H$2:$H$551,Q140)&amp;"")</f>
        <v/>
      </c>
      <c r="H140" s="44">
        <f>IF(Q140="","",INDEX(希望入力!$I$2:$I$551,Q140)&amp;"")</f>
        <v/>
      </c>
      <c r="I140" s="44">
        <f>IF(Q140="","",INDEX(希望入力!$J$2:$J$551,Q140)&amp;"")</f>
        <v/>
      </c>
      <c r="J140" s="44">
        <f>IF(Q140="","",IF(G140="","要調整",IFERROR(IF(IF(OR(設定!$C$14="〇",設定!$C$14="○"),COUNTIFS($A$7:$A$456,"&gt;="&amp;A140,$G$7:$G$456,G140),COUNTIF($G$7:$G$456,G140))&lt;=(INDEX(設定!$Q$8:$Q$27,MATCH(G140,設定!$P$8:$P$27,0))+N(INDEX(設定!$R$8:$R$27,MATCH(G140,設定!$P$8:$P$27,0)))),G140,"要調整"),"要調整")))</f>
        <v/>
      </c>
      <c r="K140" s="40" t="n"/>
      <c r="L140" s="52">
        <f>IF(P140="","",IF(K140&lt;&gt;"",K140,IF(OR(J140="",J140="要調整"),"",J140)))</f>
        <v/>
      </c>
      <c r="M140" s="44">
        <f>IF(P140="","",IF(AND(計算用!$B$1=1,T140=""),"転出",IF(L140&lt;&gt;"","決定",IF(Q140="","未提出","要調整"))))</f>
        <v/>
      </c>
      <c r="N140" s="44">
        <f>IF(OR(M140&lt;&gt;"要調整",H140=""),"",IFERROR((INDEX(設定!$Q$8:$Q$27,MATCH(H140,設定!$P$8:$P$27,0))+N(INDEX(設定!$R$8:$R$27,MATCH(H140,設定!$P$8:$P$27,0))))-INDEX(定員チェック!$F$7:$F$26,MATCH(H140,設定!$P$8:$P$27,0))-COUNTIFS($M$7:$M$456,"要調整",$G$7:$G$456,H140),""))</f>
        <v/>
      </c>
      <c r="O140" s="44">
        <f>IF(OR(M140&lt;&gt;"要調整",I140=""),"",IFERROR((INDEX(設定!$Q$8:$Q$27,MATCH(I140,設定!$P$8:$P$27,0))+N(INDEX(設定!$R$8:$R$27,MATCH(I140,設定!$P$8:$P$27,0))))-INDEX(定員チェック!$F$7:$F$26,MATCH(I140,設定!$P$8:$P$27,0))-COUNTIFS($M$7:$M$456,"要調整",$G$7:$G$456,I140),""))</f>
        <v/>
      </c>
      <c r="P140" s="8">
        <f>IFERROR(MATCH(SMALL(前年度名簿!$G$2:$G$451,134),前年度名簿!$G$2:$G$451,0),"")</f>
        <v/>
      </c>
      <c r="Q140" s="8">
        <f>IF(R140="","",IFERROR(MATCH(R140,希望入力!$M$2:$M$551,0),""))</f>
        <v/>
      </c>
      <c r="R140" s="8">
        <f>IF(P140="","",INDEX(前年度名簿!$F$2:$F$451,P140))</f>
        <v/>
      </c>
      <c r="S140" s="8">
        <f>IF(P140="","",INDEX(前年度名簿!$I$2:$I$451,P140))</f>
        <v/>
      </c>
      <c r="T140" s="8">
        <f>IF(OR(P140="",計算用!$B$1=0),"",IFERROR(MATCH(S140,新年度名簿!$H$2:$H$451,0),""))</f>
        <v/>
      </c>
      <c r="U140" s="8">
        <f>IF(OR(L140="",M140="転出"),"",IFERROR(MATCH(L140,設定!$P$8:$P$27,0),""))</f>
        <v/>
      </c>
      <c r="V140" s="8">
        <f>IF(U140="","",COUNTIF($U$7:U140,U140))</f>
        <v/>
      </c>
      <c r="W140" s="8">
        <f>IF(U140="","",U140*1000+V140)</f>
        <v/>
      </c>
    </row>
    <row r="141">
      <c r="A141" s="44">
        <f>IF(P141="","",INDEX(前年度名簿!$H$2:$H$451,P141))</f>
        <v/>
      </c>
      <c r="B141" s="44">
        <f>IF(P141="","",IFERROR(INDEX(設定!$G$8:$G$31,INT(INDEX(前年度名簿!$G$2:$G$451,P141)/1000)),INDEX(前年度名簿!$A$2:$A$451,P141)&amp;INDEX(前年度名簿!$B$2:$B$451,P141)))</f>
        <v/>
      </c>
      <c r="C141" s="44">
        <f>IF(P141="","",INDEX(前年度名簿!$C$2:$C$451,P141))</f>
        <v/>
      </c>
      <c r="D141" s="3">
        <f>IF(P141="","",INDEX(前年度名簿!$D$2:$D$451,P141))</f>
        <v/>
      </c>
      <c r="E141" s="44">
        <f>IF(T141="","",INDEX(新年度名簿!$K$2:$K$451,T141))</f>
        <v/>
      </c>
      <c r="F141" s="44">
        <f>IF(T141="","",INDEX(新年度名簿!$C$2:$C$451,T141))</f>
        <v/>
      </c>
      <c r="G141" s="44">
        <f>IF(Q141="","",INDEX(希望入力!$H$2:$H$551,Q141)&amp;"")</f>
        <v/>
      </c>
      <c r="H141" s="44">
        <f>IF(Q141="","",INDEX(希望入力!$I$2:$I$551,Q141)&amp;"")</f>
        <v/>
      </c>
      <c r="I141" s="44">
        <f>IF(Q141="","",INDEX(希望入力!$J$2:$J$551,Q141)&amp;"")</f>
        <v/>
      </c>
      <c r="J141" s="44">
        <f>IF(Q141="","",IF(G141="","要調整",IFERROR(IF(IF(OR(設定!$C$14="〇",設定!$C$14="○"),COUNTIFS($A$7:$A$456,"&gt;="&amp;A141,$G$7:$G$456,G141),COUNTIF($G$7:$G$456,G141))&lt;=(INDEX(設定!$Q$8:$Q$27,MATCH(G141,設定!$P$8:$P$27,0))+N(INDEX(設定!$R$8:$R$27,MATCH(G141,設定!$P$8:$P$27,0)))),G141,"要調整"),"要調整")))</f>
        <v/>
      </c>
      <c r="K141" s="40" t="n"/>
      <c r="L141" s="52">
        <f>IF(P141="","",IF(K141&lt;&gt;"",K141,IF(OR(J141="",J141="要調整"),"",J141)))</f>
        <v/>
      </c>
      <c r="M141" s="44">
        <f>IF(P141="","",IF(AND(計算用!$B$1=1,T141=""),"転出",IF(L141&lt;&gt;"","決定",IF(Q141="","未提出","要調整"))))</f>
        <v/>
      </c>
      <c r="N141" s="44">
        <f>IF(OR(M141&lt;&gt;"要調整",H141=""),"",IFERROR((INDEX(設定!$Q$8:$Q$27,MATCH(H141,設定!$P$8:$P$27,0))+N(INDEX(設定!$R$8:$R$27,MATCH(H141,設定!$P$8:$P$27,0))))-INDEX(定員チェック!$F$7:$F$26,MATCH(H141,設定!$P$8:$P$27,0))-COUNTIFS($M$7:$M$456,"要調整",$G$7:$G$456,H141),""))</f>
        <v/>
      </c>
      <c r="O141" s="44">
        <f>IF(OR(M141&lt;&gt;"要調整",I141=""),"",IFERROR((INDEX(設定!$Q$8:$Q$27,MATCH(I141,設定!$P$8:$P$27,0))+N(INDEX(設定!$R$8:$R$27,MATCH(I141,設定!$P$8:$P$27,0))))-INDEX(定員チェック!$F$7:$F$26,MATCH(I141,設定!$P$8:$P$27,0))-COUNTIFS($M$7:$M$456,"要調整",$G$7:$G$456,I141),""))</f>
        <v/>
      </c>
      <c r="P141" s="8">
        <f>IFERROR(MATCH(SMALL(前年度名簿!$G$2:$G$451,135),前年度名簿!$G$2:$G$451,0),"")</f>
        <v/>
      </c>
      <c r="Q141" s="8">
        <f>IF(R141="","",IFERROR(MATCH(R141,希望入力!$M$2:$M$551,0),""))</f>
        <v/>
      </c>
      <c r="R141" s="8">
        <f>IF(P141="","",INDEX(前年度名簿!$F$2:$F$451,P141))</f>
        <v/>
      </c>
      <c r="S141" s="8">
        <f>IF(P141="","",INDEX(前年度名簿!$I$2:$I$451,P141))</f>
        <v/>
      </c>
      <c r="T141" s="8">
        <f>IF(OR(P141="",計算用!$B$1=0),"",IFERROR(MATCH(S141,新年度名簿!$H$2:$H$451,0),""))</f>
        <v/>
      </c>
      <c r="U141" s="8">
        <f>IF(OR(L141="",M141="転出"),"",IFERROR(MATCH(L141,設定!$P$8:$P$27,0),""))</f>
        <v/>
      </c>
      <c r="V141" s="8">
        <f>IF(U141="","",COUNTIF($U$7:U141,U141))</f>
        <v/>
      </c>
      <c r="W141" s="8">
        <f>IF(U141="","",U141*1000+V141)</f>
        <v/>
      </c>
    </row>
    <row r="142">
      <c r="A142" s="44">
        <f>IF(P142="","",INDEX(前年度名簿!$H$2:$H$451,P142))</f>
        <v/>
      </c>
      <c r="B142" s="44">
        <f>IF(P142="","",IFERROR(INDEX(設定!$G$8:$G$31,INT(INDEX(前年度名簿!$G$2:$G$451,P142)/1000)),INDEX(前年度名簿!$A$2:$A$451,P142)&amp;INDEX(前年度名簿!$B$2:$B$451,P142)))</f>
        <v/>
      </c>
      <c r="C142" s="44">
        <f>IF(P142="","",INDEX(前年度名簿!$C$2:$C$451,P142))</f>
        <v/>
      </c>
      <c r="D142" s="3">
        <f>IF(P142="","",INDEX(前年度名簿!$D$2:$D$451,P142))</f>
        <v/>
      </c>
      <c r="E142" s="44">
        <f>IF(T142="","",INDEX(新年度名簿!$K$2:$K$451,T142))</f>
        <v/>
      </c>
      <c r="F142" s="44">
        <f>IF(T142="","",INDEX(新年度名簿!$C$2:$C$451,T142))</f>
        <v/>
      </c>
      <c r="G142" s="44">
        <f>IF(Q142="","",INDEX(希望入力!$H$2:$H$551,Q142)&amp;"")</f>
        <v/>
      </c>
      <c r="H142" s="44">
        <f>IF(Q142="","",INDEX(希望入力!$I$2:$I$551,Q142)&amp;"")</f>
        <v/>
      </c>
      <c r="I142" s="44">
        <f>IF(Q142="","",INDEX(希望入力!$J$2:$J$551,Q142)&amp;"")</f>
        <v/>
      </c>
      <c r="J142" s="44">
        <f>IF(Q142="","",IF(G142="","要調整",IFERROR(IF(IF(OR(設定!$C$14="〇",設定!$C$14="○"),COUNTIFS($A$7:$A$456,"&gt;="&amp;A142,$G$7:$G$456,G142),COUNTIF($G$7:$G$456,G142))&lt;=(INDEX(設定!$Q$8:$Q$27,MATCH(G142,設定!$P$8:$P$27,0))+N(INDEX(設定!$R$8:$R$27,MATCH(G142,設定!$P$8:$P$27,0)))),G142,"要調整"),"要調整")))</f>
        <v/>
      </c>
      <c r="K142" s="40" t="n"/>
      <c r="L142" s="52">
        <f>IF(P142="","",IF(K142&lt;&gt;"",K142,IF(OR(J142="",J142="要調整"),"",J142)))</f>
        <v/>
      </c>
      <c r="M142" s="44">
        <f>IF(P142="","",IF(AND(計算用!$B$1=1,T142=""),"転出",IF(L142&lt;&gt;"","決定",IF(Q142="","未提出","要調整"))))</f>
        <v/>
      </c>
      <c r="N142" s="44">
        <f>IF(OR(M142&lt;&gt;"要調整",H142=""),"",IFERROR((INDEX(設定!$Q$8:$Q$27,MATCH(H142,設定!$P$8:$P$27,0))+N(INDEX(設定!$R$8:$R$27,MATCH(H142,設定!$P$8:$P$27,0))))-INDEX(定員チェック!$F$7:$F$26,MATCH(H142,設定!$P$8:$P$27,0))-COUNTIFS($M$7:$M$456,"要調整",$G$7:$G$456,H142),""))</f>
        <v/>
      </c>
      <c r="O142" s="44">
        <f>IF(OR(M142&lt;&gt;"要調整",I142=""),"",IFERROR((INDEX(設定!$Q$8:$Q$27,MATCH(I142,設定!$P$8:$P$27,0))+N(INDEX(設定!$R$8:$R$27,MATCH(I142,設定!$P$8:$P$27,0))))-INDEX(定員チェック!$F$7:$F$26,MATCH(I142,設定!$P$8:$P$27,0))-COUNTIFS($M$7:$M$456,"要調整",$G$7:$G$456,I142),""))</f>
        <v/>
      </c>
      <c r="P142" s="8">
        <f>IFERROR(MATCH(SMALL(前年度名簿!$G$2:$G$451,136),前年度名簿!$G$2:$G$451,0),"")</f>
        <v/>
      </c>
      <c r="Q142" s="8">
        <f>IF(R142="","",IFERROR(MATCH(R142,希望入力!$M$2:$M$551,0),""))</f>
        <v/>
      </c>
      <c r="R142" s="8">
        <f>IF(P142="","",INDEX(前年度名簿!$F$2:$F$451,P142))</f>
        <v/>
      </c>
      <c r="S142" s="8">
        <f>IF(P142="","",INDEX(前年度名簿!$I$2:$I$451,P142))</f>
        <v/>
      </c>
      <c r="T142" s="8">
        <f>IF(OR(P142="",計算用!$B$1=0),"",IFERROR(MATCH(S142,新年度名簿!$H$2:$H$451,0),""))</f>
        <v/>
      </c>
      <c r="U142" s="8">
        <f>IF(OR(L142="",M142="転出"),"",IFERROR(MATCH(L142,設定!$P$8:$P$27,0),""))</f>
        <v/>
      </c>
      <c r="V142" s="8">
        <f>IF(U142="","",COUNTIF($U$7:U142,U142))</f>
        <v/>
      </c>
      <c r="W142" s="8">
        <f>IF(U142="","",U142*1000+V142)</f>
        <v/>
      </c>
    </row>
    <row r="143">
      <c r="A143" s="44">
        <f>IF(P143="","",INDEX(前年度名簿!$H$2:$H$451,P143))</f>
        <v/>
      </c>
      <c r="B143" s="44">
        <f>IF(P143="","",IFERROR(INDEX(設定!$G$8:$G$31,INT(INDEX(前年度名簿!$G$2:$G$451,P143)/1000)),INDEX(前年度名簿!$A$2:$A$451,P143)&amp;INDEX(前年度名簿!$B$2:$B$451,P143)))</f>
        <v/>
      </c>
      <c r="C143" s="44">
        <f>IF(P143="","",INDEX(前年度名簿!$C$2:$C$451,P143))</f>
        <v/>
      </c>
      <c r="D143" s="3">
        <f>IF(P143="","",INDEX(前年度名簿!$D$2:$D$451,P143))</f>
        <v/>
      </c>
      <c r="E143" s="44">
        <f>IF(T143="","",INDEX(新年度名簿!$K$2:$K$451,T143))</f>
        <v/>
      </c>
      <c r="F143" s="44">
        <f>IF(T143="","",INDEX(新年度名簿!$C$2:$C$451,T143))</f>
        <v/>
      </c>
      <c r="G143" s="44">
        <f>IF(Q143="","",INDEX(希望入力!$H$2:$H$551,Q143)&amp;"")</f>
        <v/>
      </c>
      <c r="H143" s="44">
        <f>IF(Q143="","",INDEX(希望入力!$I$2:$I$551,Q143)&amp;"")</f>
        <v/>
      </c>
      <c r="I143" s="44">
        <f>IF(Q143="","",INDEX(希望入力!$J$2:$J$551,Q143)&amp;"")</f>
        <v/>
      </c>
      <c r="J143" s="44">
        <f>IF(Q143="","",IF(G143="","要調整",IFERROR(IF(IF(OR(設定!$C$14="〇",設定!$C$14="○"),COUNTIFS($A$7:$A$456,"&gt;="&amp;A143,$G$7:$G$456,G143),COUNTIF($G$7:$G$456,G143))&lt;=(INDEX(設定!$Q$8:$Q$27,MATCH(G143,設定!$P$8:$P$27,0))+N(INDEX(設定!$R$8:$R$27,MATCH(G143,設定!$P$8:$P$27,0)))),G143,"要調整"),"要調整")))</f>
        <v/>
      </c>
      <c r="K143" s="40" t="n"/>
      <c r="L143" s="52">
        <f>IF(P143="","",IF(K143&lt;&gt;"",K143,IF(OR(J143="",J143="要調整"),"",J143)))</f>
        <v/>
      </c>
      <c r="M143" s="44">
        <f>IF(P143="","",IF(AND(計算用!$B$1=1,T143=""),"転出",IF(L143&lt;&gt;"","決定",IF(Q143="","未提出","要調整"))))</f>
        <v/>
      </c>
      <c r="N143" s="44">
        <f>IF(OR(M143&lt;&gt;"要調整",H143=""),"",IFERROR((INDEX(設定!$Q$8:$Q$27,MATCH(H143,設定!$P$8:$P$27,0))+N(INDEX(設定!$R$8:$R$27,MATCH(H143,設定!$P$8:$P$27,0))))-INDEX(定員チェック!$F$7:$F$26,MATCH(H143,設定!$P$8:$P$27,0))-COUNTIFS($M$7:$M$456,"要調整",$G$7:$G$456,H143),""))</f>
        <v/>
      </c>
      <c r="O143" s="44">
        <f>IF(OR(M143&lt;&gt;"要調整",I143=""),"",IFERROR((INDEX(設定!$Q$8:$Q$27,MATCH(I143,設定!$P$8:$P$27,0))+N(INDEX(設定!$R$8:$R$27,MATCH(I143,設定!$P$8:$P$27,0))))-INDEX(定員チェック!$F$7:$F$26,MATCH(I143,設定!$P$8:$P$27,0))-COUNTIFS($M$7:$M$456,"要調整",$G$7:$G$456,I143),""))</f>
        <v/>
      </c>
      <c r="P143" s="8">
        <f>IFERROR(MATCH(SMALL(前年度名簿!$G$2:$G$451,137),前年度名簿!$G$2:$G$451,0),"")</f>
        <v/>
      </c>
      <c r="Q143" s="8">
        <f>IF(R143="","",IFERROR(MATCH(R143,希望入力!$M$2:$M$551,0),""))</f>
        <v/>
      </c>
      <c r="R143" s="8">
        <f>IF(P143="","",INDEX(前年度名簿!$F$2:$F$451,P143))</f>
        <v/>
      </c>
      <c r="S143" s="8">
        <f>IF(P143="","",INDEX(前年度名簿!$I$2:$I$451,P143))</f>
        <v/>
      </c>
      <c r="T143" s="8">
        <f>IF(OR(P143="",計算用!$B$1=0),"",IFERROR(MATCH(S143,新年度名簿!$H$2:$H$451,0),""))</f>
        <v/>
      </c>
      <c r="U143" s="8">
        <f>IF(OR(L143="",M143="転出"),"",IFERROR(MATCH(L143,設定!$P$8:$P$27,0),""))</f>
        <v/>
      </c>
      <c r="V143" s="8">
        <f>IF(U143="","",COUNTIF($U$7:U143,U143))</f>
        <v/>
      </c>
      <c r="W143" s="8">
        <f>IF(U143="","",U143*1000+V143)</f>
        <v/>
      </c>
    </row>
    <row r="144">
      <c r="A144" s="44">
        <f>IF(P144="","",INDEX(前年度名簿!$H$2:$H$451,P144))</f>
        <v/>
      </c>
      <c r="B144" s="44">
        <f>IF(P144="","",IFERROR(INDEX(設定!$G$8:$G$31,INT(INDEX(前年度名簿!$G$2:$G$451,P144)/1000)),INDEX(前年度名簿!$A$2:$A$451,P144)&amp;INDEX(前年度名簿!$B$2:$B$451,P144)))</f>
        <v/>
      </c>
      <c r="C144" s="44">
        <f>IF(P144="","",INDEX(前年度名簿!$C$2:$C$451,P144))</f>
        <v/>
      </c>
      <c r="D144" s="3">
        <f>IF(P144="","",INDEX(前年度名簿!$D$2:$D$451,P144))</f>
        <v/>
      </c>
      <c r="E144" s="44">
        <f>IF(T144="","",INDEX(新年度名簿!$K$2:$K$451,T144))</f>
        <v/>
      </c>
      <c r="F144" s="44">
        <f>IF(T144="","",INDEX(新年度名簿!$C$2:$C$451,T144))</f>
        <v/>
      </c>
      <c r="G144" s="44">
        <f>IF(Q144="","",INDEX(希望入力!$H$2:$H$551,Q144)&amp;"")</f>
        <v/>
      </c>
      <c r="H144" s="44">
        <f>IF(Q144="","",INDEX(希望入力!$I$2:$I$551,Q144)&amp;"")</f>
        <v/>
      </c>
      <c r="I144" s="44">
        <f>IF(Q144="","",INDEX(希望入力!$J$2:$J$551,Q144)&amp;"")</f>
        <v/>
      </c>
      <c r="J144" s="44">
        <f>IF(Q144="","",IF(G144="","要調整",IFERROR(IF(IF(OR(設定!$C$14="〇",設定!$C$14="○"),COUNTIFS($A$7:$A$456,"&gt;="&amp;A144,$G$7:$G$456,G144),COUNTIF($G$7:$G$456,G144))&lt;=(INDEX(設定!$Q$8:$Q$27,MATCH(G144,設定!$P$8:$P$27,0))+N(INDEX(設定!$R$8:$R$27,MATCH(G144,設定!$P$8:$P$27,0)))),G144,"要調整"),"要調整")))</f>
        <v/>
      </c>
      <c r="K144" s="40" t="n"/>
      <c r="L144" s="52">
        <f>IF(P144="","",IF(K144&lt;&gt;"",K144,IF(OR(J144="",J144="要調整"),"",J144)))</f>
        <v/>
      </c>
      <c r="M144" s="44">
        <f>IF(P144="","",IF(AND(計算用!$B$1=1,T144=""),"転出",IF(L144&lt;&gt;"","決定",IF(Q144="","未提出","要調整"))))</f>
        <v/>
      </c>
      <c r="N144" s="44">
        <f>IF(OR(M144&lt;&gt;"要調整",H144=""),"",IFERROR((INDEX(設定!$Q$8:$Q$27,MATCH(H144,設定!$P$8:$P$27,0))+N(INDEX(設定!$R$8:$R$27,MATCH(H144,設定!$P$8:$P$27,0))))-INDEX(定員チェック!$F$7:$F$26,MATCH(H144,設定!$P$8:$P$27,0))-COUNTIFS($M$7:$M$456,"要調整",$G$7:$G$456,H144),""))</f>
        <v/>
      </c>
      <c r="O144" s="44">
        <f>IF(OR(M144&lt;&gt;"要調整",I144=""),"",IFERROR((INDEX(設定!$Q$8:$Q$27,MATCH(I144,設定!$P$8:$P$27,0))+N(INDEX(設定!$R$8:$R$27,MATCH(I144,設定!$P$8:$P$27,0))))-INDEX(定員チェック!$F$7:$F$26,MATCH(I144,設定!$P$8:$P$27,0))-COUNTIFS($M$7:$M$456,"要調整",$G$7:$G$456,I144),""))</f>
        <v/>
      </c>
      <c r="P144" s="8">
        <f>IFERROR(MATCH(SMALL(前年度名簿!$G$2:$G$451,138),前年度名簿!$G$2:$G$451,0),"")</f>
        <v/>
      </c>
      <c r="Q144" s="8">
        <f>IF(R144="","",IFERROR(MATCH(R144,希望入力!$M$2:$M$551,0),""))</f>
        <v/>
      </c>
      <c r="R144" s="8">
        <f>IF(P144="","",INDEX(前年度名簿!$F$2:$F$451,P144))</f>
        <v/>
      </c>
      <c r="S144" s="8">
        <f>IF(P144="","",INDEX(前年度名簿!$I$2:$I$451,P144))</f>
        <v/>
      </c>
      <c r="T144" s="8">
        <f>IF(OR(P144="",計算用!$B$1=0),"",IFERROR(MATCH(S144,新年度名簿!$H$2:$H$451,0),""))</f>
        <v/>
      </c>
      <c r="U144" s="8">
        <f>IF(OR(L144="",M144="転出"),"",IFERROR(MATCH(L144,設定!$P$8:$P$27,0),""))</f>
        <v/>
      </c>
      <c r="V144" s="8">
        <f>IF(U144="","",COUNTIF($U$7:U144,U144))</f>
        <v/>
      </c>
      <c r="W144" s="8">
        <f>IF(U144="","",U144*1000+V144)</f>
        <v/>
      </c>
    </row>
    <row r="145">
      <c r="A145" s="44">
        <f>IF(P145="","",INDEX(前年度名簿!$H$2:$H$451,P145))</f>
        <v/>
      </c>
      <c r="B145" s="44">
        <f>IF(P145="","",IFERROR(INDEX(設定!$G$8:$G$31,INT(INDEX(前年度名簿!$G$2:$G$451,P145)/1000)),INDEX(前年度名簿!$A$2:$A$451,P145)&amp;INDEX(前年度名簿!$B$2:$B$451,P145)))</f>
        <v/>
      </c>
      <c r="C145" s="44">
        <f>IF(P145="","",INDEX(前年度名簿!$C$2:$C$451,P145))</f>
        <v/>
      </c>
      <c r="D145" s="3">
        <f>IF(P145="","",INDEX(前年度名簿!$D$2:$D$451,P145))</f>
        <v/>
      </c>
      <c r="E145" s="44">
        <f>IF(T145="","",INDEX(新年度名簿!$K$2:$K$451,T145))</f>
        <v/>
      </c>
      <c r="F145" s="44">
        <f>IF(T145="","",INDEX(新年度名簿!$C$2:$C$451,T145))</f>
        <v/>
      </c>
      <c r="G145" s="44">
        <f>IF(Q145="","",INDEX(希望入力!$H$2:$H$551,Q145)&amp;"")</f>
        <v/>
      </c>
      <c r="H145" s="44">
        <f>IF(Q145="","",INDEX(希望入力!$I$2:$I$551,Q145)&amp;"")</f>
        <v/>
      </c>
      <c r="I145" s="44">
        <f>IF(Q145="","",INDEX(希望入力!$J$2:$J$551,Q145)&amp;"")</f>
        <v/>
      </c>
      <c r="J145" s="44">
        <f>IF(Q145="","",IF(G145="","要調整",IFERROR(IF(IF(OR(設定!$C$14="〇",設定!$C$14="○"),COUNTIFS($A$7:$A$456,"&gt;="&amp;A145,$G$7:$G$456,G145),COUNTIF($G$7:$G$456,G145))&lt;=(INDEX(設定!$Q$8:$Q$27,MATCH(G145,設定!$P$8:$P$27,0))+N(INDEX(設定!$R$8:$R$27,MATCH(G145,設定!$P$8:$P$27,0)))),G145,"要調整"),"要調整")))</f>
        <v/>
      </c>
      <c r="K145" s="40" t="n"/>
      <c r="L145" s="52">
        <f>IF(P145="","",IF(K145&lt;&gt;"",K145,IF(OR(J145="",J145="要調整"),"",J145)))</f>
        <v/>
      </c>
      <c r="M145" s="44">
        <f>IF(P145="","",IF(AND(計算用!$B$1=1,T145=""),"転出",IF(L145&lt;&gt;"","決定",IF(Q145="","未提出","要調整"))))</f>
        <v/>
      </c>
      <c r="N145" s="44">
        <f>IF(OR(M145&lt;&gt;"要調整",H145=""),"",IFERROR((INDEX(設定!$Q$8:$Q$27,MATCH(H145,設定!$P$8:$P$27,0))+N(INDEX(設定!$R$8:$R$27,MATCH(H145,設定!$P$8:$P$27,0))))-INDEX(定員チェック!$F$7:$F$26,MATCH(H145,設定!$P$8:$P$27,0))-COUNTIFS($M$7:$M$456,"要調整",$G$7:$G$456,H145),""))</f>
        <v/>
      </c>
      <c r="O145" s="44">
        <f>IF(OR(M145&lt;&gt;"要調整",I145=""),"",IFERROR((INDEX(設定!$Q$8:$Q$27,MATCH(I145,設定!$P$8:$P$27,0))+N(INDEX(設定!$R$8:$R$27,MATCH(I145,設定!$P$8:$P$27,0))))-INDEX(定員チェック!$F$7:$F$26,MATCH(I145,設定!$P$8:$P$27,0))-COUNTIFS($M$7:$M$456,"要調整",$G$7:$G$456,I145),""))</f>
        <v/>
      </c>
      <c r="P145" s="8">
        <f>IFERROR(MATCH(SMALL(前年度名簿!$G$2:$G$451,139),前年度名簿!$G$2:$G$451,0),"")</f>
        <v/>
      </c>
      <c r="Q145" s="8">
        <f>IF(R145="","",IFERROR(MATCH(R145,希望入力!$M$2:$M$551,0),""))</f>
        <v/>
      </c>
      <c r="R145" s="8">
        <f>IF(P145="","",INDEX(前年度名簿!$F$2:$F$451,P145))</f>
        <v/>
      </c>
      <c r="S145" s="8">
        <f>IF(P145="","",INDEX(前年度名簿!$I$2:$I$451,P145))</f>
        <v/>
      </c>
      <c r="T145" s="8">
        <f>IF(OR(P145="",計算用!$B$1=0),"",IFERROR(MATCH(S145,新年度名簿!$H$2:$H$451,0),""))</f>
        <v/>
      </c>
      <c r="U145" s="8">
        <f>IF(OR(L145="",M145="転出"),"",IFERROR(MATCH(L145,設定!$P$8:$P$27,0),""))</f>
        <v/>
      </c>
      <c r="V145" s="8">
        <f>IF(U145="","",COUNTIF($U$7:U145,U145))</f>
        <v/>
      </c>
      <c r="W145" s="8">
        <f>IF(U145="","",U145*1000+V145)</f>
        <v/>
      </c>
    </row>
    <row r="146">
      <c r="A146" s="44">
        <f>IF(P146="","",INDEX(前年度名簿!$H$2:$H$451,P146))</f>
        <v/>
      </c>
      <c r="B146" s="44">
        <f>IF(P146="","",IFERROR(INDEX(設定!$G$8:$G$31,INT(INDEX(前年度名簿!$G$2:$G$451,P146)/1000)),INDEX(前年度名簿!$A$2:$A$451,P146)&amp;INDEX(前年度名簿!$B$2:$B$451,P146)))</f>
        <v/>
      </c>
      <c r="C146" s="44">
        <f>IF(P146="","",INDEX(前年度名簿!$C$2:$C$451,P146))</f>
        <v/>
      </c>
      <c r="D146" s="3">
        <f>IF(P146="","",INDEX(前年度名簿!$D$2:$D$451,P146))</f>
        <v/>
      </c>
      <c r="E146" s="44">
        <f>IF(T146="","",INDEX(新年度名簿!$K$2:$K$451,T146))</f>
        <v/>
      </c>
      <c r="F146" s="44">
        <f>IF(T146="","",INDEX(新年度名簿!$C$2:$C$451,T146))</f>
        <v/>
      </c>
      <c r="G146" s="44">
        <f>IF(Q146="","",INDEX(希望入力!$H$2:$H$551,Q146)&amp;"")</f>
        <v/>
      </c>
      <c r="H146" s="44">
        <f>IF(Q146="","",INDEX(希望入力!$I$2:$I$551,Q146)&amp;"")</f>
        <v/>
      </c>
      <c r="I146" s="44">
        <f>IF(Q146="","",INDEX(希望入力!$J$2:$J$551,Q146)&amp;"")</f>
        <v/>
      </c>
      <c r="J146" s="44">
        <f>IF(Q146="","",IF(G146="","要調整",IFERROR(IF(IF(OR(設定!$C$14="〇",設定!$C$14="○"),COUNTIFS($A$7:$A$456,"&gt;="&amp;A146,$G$7:$G$456,G146),COUNTIF($G$7:$G$456,G146))&lt;=(INDEX(設定!$Q$8:$Q$27,MATCH(G146,設定!$P$8:$P$27,0))+N(INDEX(設定!$R$8:$R$27,MATCH(G146,設定!$P$8:$P$27,0)))),G146,"要調整"),"要調整")))</f>
        <v/>
      </c>
      <c r="K146" s="40" t="n"/>
      <c r="L146" s="52">
        <f>IF(P146="","",IF(K146&lt;&gt;"",K146,IF(OR(J146="",J146="要調整"),"",J146)))</f>
        <v/>
      </c>
      <c r="M146" s="44">
        <f>IF(P146="","",IF(AND(計算用!$B$1=1,T146=""),"転出",IF(L146&lt;&gt;"","決定",IF(Q146="","未提出","要調整"))))</f>
        <v/>
      </c>
      <c r="N146" s="44">
        <f>IF(OR(M146&lt;&gt;"要調整",H146=""),"",IFERROR((INDEX(設定!$Q$8:$Q$27,MATCH(H146,設定!$P$8:$P$27,0))+N(INDEX(設定!$R$8:$R$27,MATCH(H146,設定!$P$8:$P$27,0))))-INDEX(定員チェック!$F$7:$F$26,MATCH(H146,設定!$P$8:$P$27,0))-COUNTIFS($M$7:$M$456,"要調整",$G$7:$G$456,H146),""))</f>
        <v/>
      </c>
      <c r="O146" s="44">
        <f>IF(OR(M146&lt;&gt;"要調整",I146=""),"",IFERROR((INDEX(設定!$Q$8:$Q$27,MATCH(I146,設定!$P$8:$P$27,0))+N(INDEX(設定!$R$8:$R$27,MATCH(I146,設定!$P$8:$P$27,0))))-INDEX(定員チェック!$F$7:$F$26,MATCH(I146,設定!$P$8:$P$27,0))-COUNTIFS($M$7:$M$456,"要調整",$G$7:$G$456,I146),""))</f>
        <v/>
      </c>
      <c r="P146" s="8">
        <f>IFERROR(MATCH(SMALL(前年度名簿!$G$2:$G$451,140),前年度名簿!$G$2:$G$451,0),"")</f>
        <v/>
      </c>
      <c r="Q146" s="8">
        <f>IF(R146="","",IFERROR(MATCH(R146,希望入力!$M$2:$M$551,0),""))</f>
        <v/>
      </c>
      <c r="R146" s="8">
        <f>IF(P146="","",INDEX(前年度名簿!$F$2:$F$451,P146))</f>
        <v/>
      </c>
      <c r="S146" s="8">
        <f>IF(P146="","",INDEX(前年度名簿!$I$2:$I$451,P146))</f>
        <v/>
      </c>
      <c r="T146" s="8">
        <f>IF(OR(P146="",計算用!$B$1=0),"",IFERROR(MATCH(S146,新年度名簿!$H$2:$H$451,0),""))</f>
        <v/>
      </c>
      <c r="U146" s="8">
        <f>IF(OR(L146="",M146="転出"),"",IFERROR(MATCH(L146,設定!$P$8:$P$27,0),""))</f>
        <v/>
      </c>
      <c r="V146" s="8">
        <f>IF(U146="","",COUNTIF($U$7:U146,U146))</f>
        <v/>
      </c>
      <c r="W146" s="8">
        <f>IF(U146="","",U146*1000+V146)</f>
        <v/>
      </c>
    </row>
    <row r="147">
      <c r="A147" s="44">
        <f>IF(P147="","",INDEX(前年度名簿!$H$2:$H$451,P147))</f>
        <v/>
      </c>
      <c r="B147" s="44">
        <f>IF(P147="","",IFERROR(INDEX(設定!$G$8:$G$31,INT(INDEX(前年度名簿!$G$2:$G$451,P147)/1000)),INDEX(前年度名簿!$A$2:$A$451,P147)&amp;INDEX(前年度名簿!$B$2:$B$451,P147)))</f>
        <v/>
      </c>
      <c r="C147" s="44">
        <f>IF(P147="","",INDEX(前年度名簿!$C$2:$C$451,P147))</f>
        <v/>
      </c>
      <c r="D147" s="3">
        <f>IF(P147="","",INDEX(前年度名簿!$D$2:$D$451,P147))</f>
        <v/>
      </c>
      <c r="E147" s="44">
        <f>IF(T147="","",INDEX(新年度名簿!$K$2:$K$451,T147))</f>
        <v/>
      </c>
      <c r="F147" s="44">
        <f>IF(T147="","",INDEX(新年度名簿!$C$2:$C$451,T147))</f>
        <v/>
      </c>
      <c r="G147" s="44">
        <f>IF(Q147="","",INDEX(希望入力!$H$2:$H$551,Q147)&amp;"")</f>
        <v/>
      </c>
      <c r="H147" s="44">
        <f>IF(Q147="","",INDEX(希望入力!$I$2:$I$551,Q147)&amp;"")</f>
        <v/>
      </c>
      <c r="I147" s="44">
        <f>IF(Q147="","",INDEX(希望入力!$J$2:$J$551,Q147)&amp;"")</f>
        <v/>
      </c>
      <c r="J147" s="44">
        <f>IF(Q147="","",IF(G147="","要調整",IFERROR(IF(IF(OR(設定!$C$14="〇",設定!$C$14="○"),COUNTIFS($A$7:$A$456,"&gt;="&amp;A147,$G$7:$G$456,G147),COUNTIF($G$7:$G$456,G147))&lt;=(INDEX(設定!$Q$8:$Q$27,MATCH(G147,設定!$P$8:$P$27,0))+N(INDEX(設定!$R$8:$R$27,MATCH(G147,設定!$P$8:$P$27,0)))),G147,"要調整"),"要調整")))</f>
        <v/>
      </c>
      <c r="K147" s="40" t="n"/>
      <c r="L147" s="52">
        <f>IF(P147="","",IF(K147&lt;&gt;"",K147,IF(OR(J147="",J147="要調整"),"",J147)))</f>
        <v/>
      </c>
      <c r="M147" s="44">
        <f>IF(P147="","",IF(AND(計算用!$B$1=1,T147=""),"転出",IF(L147&lt;&gt;"","決定",IF(Q147="","未提出","要調整"))))</f>
        <v/>
      </c>
      <c r="N147" s="44">
        <f>IF(OR(M147&lt;&gt;"要調整",H147=""),"",IFERROR((INDEX(設定!$Q$8:$Q$27,MATCH(H147,設定!$P$8:$P$27,0))+N(INDEX(設定!$R$8:$R$27,MATCH(H147,設定!$P$8:$P$27,0))))-INDEX(定員チェック!$F$7:$F$26,MATCH(H147,設定!$P$8:$P$27,0))-COUNTIFS($M$7:$M$456,"要調整",$G$7:$G$456,H147),""))</f>
        <v/>
      </c>
      <c r="O147" s="44">
        <f>IF(OR(M147&lt;&gt;"要調整",I147=""),"",IFERROR((INDEX(設定!$Q$8:$Q$27,MATCH(I147,設定!$P$8:$P$27,0))+N(INDEX(設定!$R$8:$R$27,MATCH(I147,設定!$P$8:$P$27,0))))-INDEX(定員チェック!$F$7:$F$26,MATCH(I147,設定!$P$8:$P$27,0))-COUNTIFS($M$7:$M$456,"要調整",$G$7:$G$456,I147),""))</f>
        <v/>
      </c>
      <c r="P147" s="8">
        <f>IFERROR(MATCH(SMALL(前年度名簿!$G$2:$G$451,141),前年度名簿!$G$2:$G$451,0),"")</f>
        <v/>
      </c>
      <c r="Q147" s="8">
        <f>IF(R147="","",IFERROR(MATCH(R147,希望入力!$M$2:$M$551,0),""))</f>
        <v/>
      </c>
      <c r="R147" s="8">
        <f>IF(P147="","",INDEX(前年度名簿!$F$2:$F$451,P147))</f>
        <v/>
      </c>
      <c r="S147" s="8">
        <f>IF(P147="","",INDEX(前年度名簿!$I$2:$I$451,P147))</f>
        <v/>
      </c>
      <c r="T147" s="8">
        <f>IF(OR(P147="",計算用!$B$1=0),"",IFERROR(MATCH(S147,新年度名簿!$H$2:$H$451,0),""))</f>
        <v/>
      </c>
      <c r="U147" s="8">
        <f>IF(OR(L147="",M147="転出"),"",IFERROR(MATCH(L147,設定!$P$8:$P$27,0),""))</f>
        <v/>
      </c>
      <c r="V147" s="8">
        <f>IF(U147="","",COUNTIF($U$7:U147,U147))</f>
        <v/>
      </c>
      <c r="W147" s="8">
        <f>IF(U147="","",U147*1000+V147)</f>
        <v/>
      </c>
    </row>
    <row r="148">
      <c r="A148" s="44">
        <f>IF(P148="","",INDEX(前年度名簿!$H$2:$H$451,P148))</f>
        <v/>
      </c>
      <c r="B148" s="44">
        <f>IF(P148="","",IFERROR(INDEX(設定!$G$8:$G$31,INT(INDEX(前年度名簿!$G$2:$G$451,P148)/1000)),INDEX(前年度名簿!$A$2:$A$451,P148)&amp;INDEX(前年度名簿!$B$2:$B$451,P148)))</f>
        <v/>
      </c>
      <c r="C148" s="44">
        <f>IF(P148="","",INDEX(前年度名簿!$C$2:$C$451,P148))</f>
        <v/>
      </c>
      <c r="D148" s="3">
        <f>IF(P148="","",INDEX(前年度名簿!$D$2:$D$451,P148))</f>
        <v/>
      </c>
      <c r="E148" s="44">
        <f>IF(T148="","",INDEX(新年度名簿!$K$2:$K$451,T148))</f>
        <v/>
      </c>
      <c r="F148" s="44">
        <f>IF(T148="","",INDEX(新年度名簿!$C$2:$C$451,T148))</f>
        <v/>
      </c>
      <c r="G148" s="44">
        <f>IF(Q148="","",INDEX(希望入力!$H$2:$H$551,Q148)&amp;"")</f>
        <v/>
      </c>
      <c r="H148" s="44">
        <f>IF(Q148="","",INDEX(希望入力!$I$2:$I$551,Q148)&amp;"")</f>
        <v/>
      </c>
      <c r="I148" s="44">
        <f>IF(Q148="","",INDEX(希望入力!$J$2:$J$551,Q148)&amp;"")</f>
        <v/>
      </c>
      <c r="J148" s="44">
        <f>IF(Q148="","",IF(G148="","要調整",IFERROR(IF(IF(OR(設定!$C$14="〇",設定!$C$14="○"),COUNTIFS($A$7:$A$456,"&gt;="&amp;A148,$G$7:$G$456,G148),COUNTIF($G$7:$G$456,G148))&lt;=(INDEX(設定!$Q$8:$Q$27,MATCH(G148,設定!$P$8:$P$27,0))+N(INDEX(設定!$R$8:$R$27,MATCH(G148,設定!$P$8:$P$27,0)))),G148,"要調整"),"要調整")))</f>
        <v/>
      </c>
      <c r="K148" s="40" t="n"/>
      <c r="L148" s="52">
        <f>IF(P148="","",IF(K148&lt;&gt;"",K148,IF(OR(J148="",J148="要調整"),"",J148)))</f>
        <v/>
      </c>
      <c r="M148" s="44">
        <f>IF(P148="","",IF(AND(計算用!$B$1=1,T148=""),"転出",IF(L148&lt;&gt;"","決定",IF(Q148="","未提出","要調整"))))</f>
        <v/>
      </c>
      <c r="N148" s="44">
        <f>IF(OR(M148&lt;&gt;"要調整",H148=""),"",IFERROR((INDEX(設定!$Q$8:$Q$27,MATCH(H148,設定!$P$8:$P$27,0))+N(INDEX(設定!$R$8:$R$27,MATCH(H148,設定!$P$8:$P$27,0))))-INDEX(定員チェック!$F$7:$F$26,MATCH(H148,設定!$P$8:$P$27,0))-COUNTIFS($M$7:$M$456,"要調整",$G$7:$G$456,H148),""))</f>
        <v/>
      </c>
      <c r="O148" s="44">
        <f>IF(OR(M148&lt;&gt;"要調整",I148=""),"",IFERROR((INDEX(設定!$Q$8:$Q$27,MATCH(I148,設定!$P$8:$P$27,0))+N(INDEX(設定!$R$8:$R$27,MATCH(I148,設定!$P$8:$P$27,0))))-INDEX(定員チェック!$F$7:$F$26,MATCH(I148,設定!$P$8:$P$27,0))-COUNTIFS($M$7:$M$456,"要調整",$G$7:$G$456,I148),""))</f>
        <v/>
      </c>
      <c r="P148" s="8">
        <f>IFERROR(MATCH(SMALL(前年度名簿!$G$2:$G$451,142),前年度名簿!$G$2:$G$451,0),"")</f>
        <v/>
      </c>
      <c r="Q148" s="8">
        <f>IF(R148="","",IFERROR(MATCH(R148,希望入力!$M$2:$M$551,0),""))</f>
        <v/>
      </c>
      <c r="R148" s="8">
        <f>IF(P148="","",INDEX(前年度名簿!$F$2:$F$451,P148))</f>
        <v/>
      </c>
      <c r="S148" s="8">
        <f>IF(P148="","",INDEX(前年度名簿!$I$2:$I$451,P148))</f>
        <v/>
      </c>
      <c r="T148" s="8">
        <f>IF(OR(P148="",計算用!$B$1=0),"",IFERROR(MATCH(S148,新年度名簿!$H$2:$H$451,0),""))</f>
        <v/>
      </c>
      <c r="U148" s="8">
        <f>IF(OR(L148="",M148="転出"),"",IFERROR(MATCH(L148,設定!$P$8:$P$27,0),""))</f>
        <v/>
      </c>
      <c r="V148" s="8">
        <f>IF(U148="","",COUNTIF($U$7:U148,U148))</f>
        <v/>
      </c>
      <c r="W148" s="8">
        <f>IF(U148="","",U148*1000+V148)</f>
        <v/>
      </c>
    </row>
    <row r="149">
      <c r="A149" s="44">
        <f>IF(P149="","",INDEX(前年度名簿!$H$2:$H$451,P149))</f>
        <v/>
      </c>
      <c r="B149" s="44">
        <f>IF(P149="","",IFERROR(INDEX(設定!$G$8:$G$31,INT(INDEX(前年度名簿!$G$2:$G$451,P149)/1000)),INDEX(前年度名簿!$A$2:$A$451,P149)&amp;INDEX(前年度名簿!$B$2:$B$451,P149)))</f>
        <v/>
      </c>
      <c r="C149" s="44">
        <f>IF(P149="","",INDEX(前年度名簿!$C$2:$C$451,P149))</f>
        <v/>
      </c>
      <c r="D149" s="3">
        <f>IF(P149="","",INDEX(前年度名簿!$D$2:$D$451,P149))</f>
        <v/>
      </c>
      <c r="E149" s="44">
        <f>IF(T149="","",INDEX(新年度名簿!$K$2:$K$451,T149))</f>
        <v/>
      </c>
      <c r="F149" s="44">
        <f>IF(T149="","",INDEX(新年度名簿!$C$2:$C$451,T149))</f>
        <v/>
      </c>
      <c r="G149" s="44">
        <f>IF(Q149="","",INDEX(希望入力!$H$2:$H$551,Q149)&amp;"")</f>
        <v/>
      </c>
      <c r="H149" s="44">
        <f>IF(Q149="","",INDEX(希望入力!$I$2:$I$551,Q149)&amp;"")</f>
        <v/>
      </c>
      <c r="I149" s="44">
        <f>IF(Q149="","",INDEX(希望入力!$J$2:$J$551,Q149)&amp;"")</f>
        <v/>
      </c>
      <c r="J149" s="44">
        <f>IF(Q149="","",IF(G149="","要調整",IFERROR(IF(IF(OR(設定!$C$14="〇",設定!$C$14="○"),COUNTIFS($A$7:$A$456,"&gt;="&amp;A149,$G$7:$G$456,G149),COUNTIF($G$7:$G$456,G149))&lt;=(INDEX(設定!$Q$8:$Q$27,MATCH(G149,設定!$P$8:$P$27,0))+N(INDEX(設定!$R$8:$R$27,MATCH(G149,設定!$P$8:$P$27,0)))),G149,"要調整"),"要調整")))</f>
        <v/>
      </c>
      <c r="K149" s="40" t="n"/>
      <c r="L149" s="52">
        <f>IF(P149="","",IF(K149&lt;&gt;"",K149,IF(OR(J149="",J149="要調整"),"",J149)))</f>
        <v/>
      </c>
      <c r="M149" s="44">
        <f>IF(P149="","",IF(AND(計算用!$B$1=1,T149=""),"転出",IF(L149&lt;&gt;"","決定",IF(Q149="","未提出","要調整"))))</f>
        <v/>
      </c>
      <c r="N149" s="44">
        <f>IF(OR(M149&lt;&gt;"要調整",H149=""),"",IFERROR((INDEX(設定!$Q$8:$Q$27,MATCH(H149,設定!$P$8:$P$27,0))+N(INDEX(設定!$R$8:$R$27,MATCH(H149,設定!$P$8:$P$27,0))))-INDEX(定員チェック!$F$7:$F$26,MATCH(H149,設定!$P$8:$P$27,0))-COUNTIFS($M$7:$M$456,"要調整",$G$7:$G$456,H149),""))</f>
        <v/>
      </c>
      <c r="O149" s="44">
        <f>IF(OR(M149&lt;&gt;"要調整",I149=""),"",IFERROR((INDEX(設定!$Q$8:$Q$27,MATCH(I149,設定!$P$8:$P$27,0))+N(INDEX(設定!$R$8:$R$27,MATCH(I149,設定!$P$8:$P$27,0))))-INDEX(定員チェック!$F$7:$F$26,MATCH(I149,設定!$P$8:$P$27,0))-COUNTIFS($M$7:$M$456,"要調整",$G$7:$G$456,I149),""))</f>
        <v/>
      </c>
      <c r="P149" s="8">
        <f>IFERROR(MATCH(SMALL(前年度名簿!$G$2:$G$451,143),前年度名簿!$G$2:$G$451,0),"")</f>
        <v/>
      </c>
      <c r="Q149" s="8">
        <f>IF(R149="","",IFERROR(MATCH(R149,希望入力!$M$2:$M$551,0),""))</f>
        <v/>
      </c>
      <c r="R149" s="8">
        <f>IF(P149="","",INDEX(前年度名簿!$F$2:$F$451,P149))</f>
        <v/>
      </c>
      <c r="S149" s="8">
        <f>IF(P149="","",INDEX(前年度名簿!$I$2:$I$451,P149))</f>
        <v/>
      </c>
      <c r="T149" s="8">
        <f>IF(OR(P149="",計算用!$B$1=0),"",IFERROR(MATCH(S149,新年度名簿!$H$2:$H$451,0),""))</f>
        <v/>
      </c>
      <c r="U149" s="8">
        <f>IF(OR(L149="",M149="転出"),"",IFERROR(MATCH(L149,設定!$P$8:$P$27,0),""))</f>
        <v/>
      </c>
      <c r="V149" s="8">
        <f>IF(U149="","",COUNTIF($U$7:U149,U149))</f>
        <v/>
      </c>
      <c r="W149" s="8">
        <f>IF(U149="","",U149*1000+V149)</f>
        <v/>
      </c>
    </row>
    <row r="150">
      <c r="A150" s="44">
        <f>IF(P150="","",INDEX(前年度名簿!$H$2:$H$451,P150))</f>
        <v/>
      </c>
      <c r="B150" s="44">
        <f>IF(P150="","",IFERROR(INDEX(設定!$G$8:$G$31,INT(INDEX(前年度名簿!$G$2:$G$451,P150)/1000)),INDEX(前年度名簿!$A$2:$A$451,P150)&amp;INDEX(前年度名簿!$B$2:$B$451,P150)))</f>
        <v/>
      </c>
      <c r="C150" s="44">
        <f>IF(P150="","",INDEX(前年度名簿!$C$2:$C$451,P150))</f>
        <v/>
      </c>
      <c r="D150" s="3">
        <f>IF(P150="","",INDEX(前年度名簿!$D$2:$D$451,P150))</f>
        <v/>
      </c>
      <c r="E150" s="44">
        <f>IF(T150="","",INDEX(新年度名簿!$K$2:$K$451,T150))</f>
        <v/>
      </c>
      <c r="F150" s="44">
        <f>IF(T150="","",INDEX(新年度名簿!$C$2:$C$451,T150))</f>
        <v/>
      </c>
      <c r="G150" s="44">
        <f>IF(Q150="","",INDEX(希望入力!$H$2:$H$551,Q150)&amp;"")</f>
        <v/>
      </c>
      <c r="H150" s="44">
        <f>IF(Q150="","",INDEX(希望入力!$I$2:$I$551,Q150)&amp;"")</f>
        <v/>
      </c>
      <c r="I150" s="44">
        <f>IF(Q150="","",INDEX(希望入力!$J$2:$J$551,Q150)&amp;"")</f>
        <v/>
      </c>
      <c r="J150" s="44">
        <f>IF(Q150="","",IF(G150="","要調整",IFERROR(IF(IF(OR(設定!$C$14="〇",設定!$C$14="○"),COUNTIFS($A$7:$A$456,"&gt;="&amp;A150,$G$7:$G$456,G150),COUNTIF($G$7:$G$456,G150))&lt;=(INDEX(設定!$Q$8:$Q$27,MATCH(G150,設定!$P$8:$P$27,0))+N(INDEX(設定!$R$8:$R$27,MATCH(G150,設定!$P$8:$P$27,0)))),G150,"要調整"),"要調整")))</f>
        <v/>
      </c>
      <c r="K150" s="40" t="n"/>
      <c r="L150" s="52">
        <f>IF(P150="","",IF(K150&lt;&gt;"",K150,IF(OR(J150="",J150="要調整"),"",J150)))</f>
        <v/>
      </c>
      <c r="M150" s="44">
        <f>IF(P150="","",IF(AND(計算用!$B$1=1,T150=""),"転出",IF(L150&lt;&gt;"","決定",IF(Q150="","未提出","要調整"))))</f>
        <v/>
      </c>
      <c r="N150" s="44">
        <f>IF(OR(M150&lt;&gt;"要調整",H150=""),"",IFERROR((INDEX(設定!$Q$8:$Q$27,MATCH(H150,設定!$P$8:$P$27,0))+N(INDEX(設定!$R$8:$R$27,MATCH(H150,設定!$P$8:$P$27,0))))-INDEX(定員チェック!$F$7:$F$26,MATCH(H150,設定!$P$8:$P$27,0))-COUNTIFS($M$7:$M$456,"要調整",$G$7:$G$456,H150),""))</f>
        <v/>
      </c>
      <c r="O150" s="44">
        <f>IF(OR(M150&lt;&gt;"要調整",I150=""),"",IFERROR((INDEX(設定!$Q$8:$Q$27,MATCH(I150,設定!$P$8:$P$27,0))+N(INDEX(設定!$R$8:$R$27,MATCH(I150,設定!$P$8:$P$27,0))))-INDEX(定員チェック!$F$7:$F$26,MATCH(I150,設定!$P$8:$P$27,0))-COUNTIFS($M$7:$M$456,"要調整",$G$7:$G$456,I150),""))</f>
        <v/>
      </c>
      <c r="P150" s="8">
        <f>IFERROR(MATCH(SMALL(前年度名簿!$G$2:$G$451,144),前年度名簿!$G$2:$G$451,0),"")</f>
        <v/>
      </c>
      <c r="Q150" s="8">
        <f>IF(R150="","",IFERROR(MATCH(R150,希望入力!$M$2:$M$551,0),""))</f>
        <v/>
      </c>
      <c r="R150" s="8">
        <f>IF(P150="","",INDEX(前年度名簿!$F$2:$F$451,P150))</f>
        <v/>
      </c>
      <c r="S150" s="8">
        <f>IF(P150="","",INDEX(前年度名簿!$I$2:$I$451,P150))</f>
        <v/>
      </c>
      <c r="T150" s="8">
        <f>IF(OR(P150="",計算用!$B$1=0),"",IFERROR(MATCH(S150,新年度名簿!$H$2:$H$451,0),""))</f>
        <v/>
      </c>
      <c r="U150" s="8">
        <f>IF(OR(L150="",M150="転出"),"",IFERROR(MATCH(L150,設定!$P$8:$P$27,0),""))</f>
        <v/>
      </c>
      <c r="V150" s="8">
        <f>IF(U150="","",COUNTIF($U$7:U150,U150))</f>
        <v/>
      </c>
      <c r="W150" s="8">
        <f>IF(U150="","",U150*1000+V150)</f>
        <v/>
      </c>
    </row>
    <row r="151">
      <c r="A151" s="44">
        <f>IF(P151="","",INDEX(前年度名簿!$H$2:$H$451,P151))</f>
        <v/>
      </c>
      <c r="B151" s="44">
        <f>IF(P151="","",IFERROR(INDEX(設定!$G$8:$G$31,INT(INDEX(前年度名簿!$G$2:$G$451,P151)/1000)),INDEX(前年度名簿!$A$2:$A$451,P151)&amp;INDEX(前年度名簿!$B$2:$B$451,P151)))</f>
        <v/>
      </c>
      <c r="C151" s="44">
        <f>IF(P151="","",INDEX(前年度名簿!$C$2:$C$451,P151))</f>
        <v/>
      </c>
      <c r="D151" s="3">
        <f>IF(P151="","",INDEX(前年度名簿!$D$2:$D$451,P151))</f>
        <v/>
      </c>
      <c r="E151" s="44">
        <f>IF(T151="","",INDEX(新年度名簿!$K$2:$K$451,T151))</f>
        <v/>
      </c>
      <c r="F151" s="44">
        <f>IF(T151="","",INDEX(新年度名簿!$C$2:$C$451,T151))</f>
        <v/>
      </c>
      <c r="G151" s="44">
        <f>IF(Q151="","",INDEX(希望入力!$H$2:$H$551,Q151)&amp;"")</f>
        <v/>
      </c>
      <c r="H151" s="44">
        <f>IF(Q151="","",INDEX(希望入力!$I$2:$I$551,Q151)&amp;"")</f>
        <v/>
      </c>
      <c r="I151" s="44">
        <f>IF(Q151="","",INDEX(希望入力!$J$2:$J$551,Q151)&amp;"")</f>
        <v/>
      </c>
      <c r="J151" s="44">
        <f>IF(Q151="","",IF(G151="","要調整",IFERROR(IF(IF(OR(設定!$C$14="〇",設定!$C$14="○"),COUNTIFS($A$7:$A$456,"&gt;="&amp;A151,$G$7:$G$456,G151),COUNTIF($G$7:$G$456,G151))&lt;=(INDEX(設定!$Q$8:$Q$27,MATCH(G151,設定!$P$8:$P$27,0))+N(INDEX(設定!$R$8:$R$27,MATCH(G151,設定!$P$8:$P$27,0)))),G151,"要調整"),"要調整")))</f>
        <v/>
      </c>
      <c r="K151" s="40" t="n"/>
      <c r="L151" s="52">
        <f>IF(P151="","",IF(K151&lt;&gt;"",K151,IF(OR(J151="",J151="要調整"),"",J151)))</f>
        <v/>
      </c>
      <c r="M151" s="44">
        <f>IF(P151="","",IF(AND(計算用!$B$1=1,T151=""),"転出",IF(L151&lt;&gt;"","決定",IF(Q151="","未提出","要調整"))))</f>
        <v/>
      </c>
      <c r="N151" s="44">
        <f>IF(OR(M151&lt;&gt;"要調整",H151=""),"",IFERROR((INDEX(設定!$Q$8:$Q$27,MATCH(H151,設定!$P$8:$P$27,0))+N(INDEX(設定!$R$8:$R$27,MATCH(H151,設定!$P$8:$P$27,0))))-INDEX(定員チェック!$F$7:$F$26,MATCH(H151,設定!$P$8:$P$27,0))-COUNTIFS($M$7:$M$456,"要調整",$G$7:$G$456,H151),""))</f>
        <v/>
      </c>
      <c r="O151" s="44">
        <f>IF(OR(M151&lt;&gt;"要調整",I151=""),"",IFERROR((INDEX(設定!$Q$8:$Q$27,MATCH(I151,設定!$P$8:$P$27,0))+N(INDEX(設定!$R$8:$R$27,MATCH(I151,設定!$P$8:$P$27,0))))-INDEX(定員チェック!$F$7:$F$26,MATCH(I151,設定!$P$8:$P$27,0))-COUNTIFS($M$7:$M$456,"要調整",$G$7:$G$456,I151),""))</f>
        <v/>
      </c>
      <c r="P151" s="8">
        <f>IFERROR(MATCH(SMALL(前年度名簿!$G$2:$G$451,145),前年度名簿!$G$2:$G$451,0),"")</f>
        <v/>
      </c>
      <c r="Q151" s="8">
        <f>IF(R151="","",IFERROR(MATCH(R151,希望入力!$M$2:$M$551,0),""))</f>
        <v/>
      </c>
      <c r="R151" s="8">
        <f>IF(P151="","",INDEX(前年度名簿!$F$2:$F$451,P151))</f>
        <v/>
      </c>
      <c r="S151" s="8">
        <f>IF(P151="","",INDEX(前年度名簿!$I$2:$I$451,P151))</f>
        <v/>
      </c>
      <c r="T151" s="8">
        <f>IF(OR(P151="",計算用!$B$1=0),"",IFERROR(MATCH(S151,新年度名簿!$H$2:$H$451,0),""))</f>
        <v/>
      </c>
      <c r="U151" s="8">
        <f>IF(OR(L151="",M151="転出"),"",IFERROR(MATCH(L151,設定!$P$8:$P$27,0),""))</f>
        <v/>
      </c>
      <c r="V151" s="8">
        <f>IF(U151="","",COUNTIF($U$7:U151,U151))</f>
        <v/>
      </c>
      <c r="W151" s="8">
        <f>IF(U151="","",U151*1000+V151)</f>
        <v/>
      </c>
    </row>
    <row r="152">
      <c r="A152" s="44">
        <f>IF(P152="","",INDEX(前年度名簿!$H$2:$H$451,P152))</f>
        <v/>
      </c>
      <c r="B152" s="44">
        <f>IF(P152="","",IFERROR(INDEX(設定!$G$8:$G$31,INT(INDEX(前年度名簿!$G$2:$G$451,P152)/1000)),INDEX(前年度名簿!$A$2:$A$451,P152)&amp;INDEX(前年度名簿!$B$2:$B$451,P152)))</f>
        <v/>
      </c>
      <c r="C152" s="44">
        <f>IF(P152="","",INDEX(前年度名簿!$C$2:$C$451,P152))</f>
        <v/>
      </c>
      <c r="D152" s="3">
        <f>IF(P152="","",INDEX(前年度名簿!$D$2:$D$451,P152))</f>
        <v/>
      </c>
      <c r="E152" s="44">
        <f>IF(T152="","",INDEX(新年度名簿!$K$2:$K$451,T152))</f>
        <v/>
      </c>
      <c r="F152" s="44">
        <f>IF(T152="","",INDEX(新年度名簿!$C$2:$C$451,T152))</f>
        <v/>
      </c>
      <c r="G152" s="44">
        <f>IF(Q152="","",INDEX(希望入力!$H$2:$H$551,Q152)&amp;"")</f>
        <v/>
      </c>
      <c r="H152" s="44">
        <f>IF(Q152="","",INDEX(希望入力!$I$2:$I$551,Q152)&amp;"")</f>
        <v/>
      </c>
      <c r="I152" s="44">
        <f>IF(Q152="","",INDEX(希望入力!$J$2:$J$551,Q152)&amp;"")</f>
        <v/>
      </c>
      <c r="J152" s="44">
        <f>IF(Q152="","",IF(G152="","要調整",IFERROR(IF(IF(OR(設定!$C$14="〇",設定!$C$14="○"),COUNTIFS($A$7:$A$456,"&gt;="&amp;A152,$G$7:$G$456,G152),COUNTIF($G$7:$G$456,G152))&lt;=(INDEX(設定!$Q$8:$Q$27,MATCH(G152,設定!$P$8:$P$27,0))+N(INDEX(設定!$R$8:$R$27,MATCH(G152,設定!$P$8:$P$27,0)))),G152,"要調整"),"要調整")))</f>
        <v/>
      </c>
      <c r="K152" s="40" t="n"/>
      <c r="L152" s="52">
        <f>IF(P152="","",IF(K152&lt;&gt;"",K152,IF(OR(J152="",J152="要調整"),"",J152)))</f>
        <v/>
      </c>
      <c r="M152" s="44">
        <f>IF(P152="","",IF(AND(計算用!$B$1=1,T152=""),"転出",IF(L152&lt;&gt;"","決定",IF(Q152="","未提出","要調整"))))</f>
        <v/>
      </c>
      <c r="N152" s="44">
        <f>IF(OR(M152&lt;&gt;"要調整",H152=""),"",IFERROR((INDEX(設定!$Q$8:$Q$27,MATCH(H152,設定!$P$8:$P$27,0))+N(INDEX(設定!$R$8:$R$27,MATCH(H152,設定!$P$8:$P$27,0))))-INDEX(定員チェック!$F$7:$F$26,MATCH(H152,設定!$P$8:$P$27,0))-COUNTIFS($M$7:$M$456,"要調整",$G$7:$G$456,H152),""))</f>
        <v/>
      </c>
      <c r="O152" s="44">
        <f>IF(OR(M152&lt;&gt;"要調整",I152=""),"",IFERROR((INDEX(設定!$Q$8:$Q$27,MATCH(I152,設定!$P$8:$P$27,0))+N(INDEX(設定!$R$8:$R$27,MATCH(I152,設定!$P$8:$P$27,0))))-INDEX(定員チェック!$F$7:$F$26,MATCH(I152,設定!$P$8:$P$27,0))-COUNTIFS($M$7:$M$456,"要調整",$G$7:$G$456,I152),""))</f>
        <v/>
      </c>
      <c r="P152" s="8">
        <f>IFERROR(MATCH(SMALL(前年度名簿!$G$2:$G$451,146),前年度名簿!$G$2:$G$451,0),"")</f>
        <v/>
      </c>
      <c r="Q152" s="8">
        <f>IF(R152="","",IFERROR(MATCH(R152,希望入力!$M$2:$M$551,0),""))</f>
        <v/>
      </c>
      <c r="R152" s="8">
        <f>IF(P152="","",INDEX(前年度名簿!$F$2:$F$451,P152))</f>
        <v/>
      </c>
      <c r="S152" s="8">
        <f>IF(P152="","",INDEX(前年度名簿!$I$2:$I$451,P152))</f>
        <v/>
      </c>
      <c r="T152" s="8">
        <f>IF(OR(P152="",計算用!$B$1=0),"",IFERROR(MATCH(S152,新年度名簿!$H$2:$H$451,0),""))</f>
        <v/>
      </c>
      <c r="U152" s="8">
        <f>IF(OR(L152="",M152="転出"),"",IFERROR(MATCH(L152,設定!$P$8:$P$27,0),""))</f>
        <v/>
      </c>
      <c r="V152" s="8">
        <f>IF(U152="","",COUNTIF($U$7:U152,U152))</f>
        <v/>
      </c>
      <c r="W152" s="8">
        <f>IF(U152="","",U152*1000+V152)</f>
        <v/>
      </c>
    </row>
    <row r="153">
      <c r="A153" s="44">
        <f>IF(P153="","",INDEX(前年度名簿!$H$2:$H$451,P153))</f>
        <v/>
      </c>
      <c r="B153" s="44">
        <f>IF(P153="","",IFERROR(INDEX(設定!$G$8:$G$31,INT(INDEX(前年度名簿!$G$2:$G$451,P153)/1000)),INDEX(前年度名簿!$A$2:$A$451,P153)&amp;INDEX(前年度名簿!$B$2:$B$451,P153)))</f>
        <v/>
      </c>
      <c r="C153" s="44">
        <f>IF(P153="","",INDEX(前年度名簿!$C$2:$C$451,P153))</f>
        <v/>
      </c>
      <c r="D153" s="3">
        <f>IF(P153="","",INDEX(前年度名簿!$D$2:$D$451,P153))</f>
        <v/>
      </c>
      <c r="E153" s="44">
        <f>IF(T153="","",INDEX(新年度名簿!$K$2:$K$451,T153))</f>
        <v/>
      </c>
      <c r="F153" s="44">
        <f>IF(T153="","",INDEX(新年度名簿!$C$2:$C$451,T153))</f>
        <v/>
      </c>
      <c r="G153" s="44">
        <f>IF(Q153="","",INDEX(希望入力!$H$2:$H$551,Q153)&amp;"")</f>
        <v/>
      </c>
      <c r="H153" s="44">
        <f>IF(Q153="","",INDEX(希望入力!$I$2:$I$551,Q153)&amp;"")</f>
        <v/>
      </c>
      <c r="I153" s="44">
        <f>IF(Q153="","",INDEX(希望入力!$J$2:$J$551,Q153)&amp;"")</f>
        <v/>
      </c>
      <c r="J153" s="44">
        <f>IF(Q153="","",IF(G153="","要調整",IFERROR(IF(IF(OR(設定!$C$14="〇",設定!$C$14="○"),COUNTIFS($A$7:$A$456,"&gt;="&amp;A153,$G$7:$G$456,G153),COUNTIF($G$7:$G$456,G153))&lt;=(INDEX(設定!$Q$8:$Q$27,MATCH(G153,設定!$P$8:$P$27,0))+N(INDEX(設定!$R$8:$R$27,MATCH(G153,設定!$P$8:$P$27,0)))),G153,"要調整"),"要調整")))</f>
        <v/>
      </c>
      <c r="K153" s="40" t="n"/>
      <c r="L153" s="52">
        <f>IF(P153="","",IF(K153&lt;&gt;"",K153,IF(OR(J153="",J153="要調整"),"",J153)))</f>
        <v/>
      </c>
      <c r="M153" s="44">
        <f>IF(P153="","",IF(AND(計算用!$B$1=1,T153=""),"転出",IF(L153&lt;&gt;"","決定",IF(Q153="","未提出","要調整"))))</f>
        <v/>
      </c>
      <c r="N153" s="44">
        <f>IF(OR(M153&lt;&gt;"要調整",H153=""),"",IFERROR((INDEX(設定!$Q$8:$Q$27,MATCH(H153,設定!$P$8:$P$27,0))+N(INDEX(設定!$R$8:$R$27,MATCH(H153,設定!$P$8:$P$27,0))))-INDEX(定員チェック!$F$7:$F$26,MATCH(H153,設定!$P$8:$P$27,0))-COUNTIFS($M$7:$M$456,"要調整",$G$7:$G$456,H153),""))</f>
        <v/>
      </c>
      <c r="O153" s="44">
        <f>IF(OR(M153&lt;&gt;"要調整",I153=""),"",IFERROR((INDEX(設定!$Q$8:$Q$27,MATCH(I153,設定!$P$8:$P$27,0))+N(INDEX(設定!$R$8:$R$27,MATCH(I153,設定!$P$8:$P$27,0))))-INDEX(定員チェック!$F$7:$F$26,MATCH(I153,設定!$P$8:$P$27,0))-COUNTIFS($M$7:$M$456,"要調整",$G$7:$G$456,I153),""))</f>
        <v/>
      </c>
      <c r="P153" s="8">
        <f>IFERROR(MATCH(SMALL(前年度名簿!$G$2:$G$451,147),前年度名簿!$G$2:$G$451,0),"")</f>
        <v/>
      </c>
      <c r="Q153" s="8">
        <f>IF(R153="","",IFERROR(MATCH(R153,希望入力!$M$2:$M$551,0),""))</f>
        <v/>
      </c>
      <c r="R153" s="8">
        <f>IF(P153="","",INDEX(前年度名簿!$F$2:$F$451,P153))</f>
        <v/>
      </c>
      <c r="S153" s="8">
        <f>IF(P153="","",INDEX(前年度名簿!$I$2:$I$451,P153))</f>
        <v/>
      </c>
      <c r="T153" s="8">
        <f>IF(OR(P153="",計算用!$B$1=0),"",IFERROR(MATCH(S153,新年度名簿!$H$2:$H$451,0),""))</f>
        <v/>
      </c>
      <c r="U153" s="8">
        <f>IF(OR(L153="",M153="転出"),"",IFERROR(MATCH(L153,設定!$P$8:$P$27,0),""))</f>
        <v/>
      </c>
      <c r="V153" s="8">
        <f>IF(U153="","",COUNTIF($U$7:U153,U153))</f>
        <v/>
      </c>
      <c r="W153" s="8">
        <f>IF(U153="","",U153*1000+V153)</f>
        <v/>
      </c>
    </row>
    <row r="154">
      <c r="A154" s="44">
        <f>IF(P154="","",INDEX(前年度名簿!$H$2:$H$451,P154))</f>
        <v/>
      </c>
      <c r="B154" s="44">
        <f>IF(P154="","",IFERROR(INDEX(設定!$G$8:$G$31,INT(INDEX(前年度名簿!$G$2:$G$451,P154)/1000)),INDEX(前年度名簿!$A$2:$A$451,P154)&amp;INDEX(前年度名簿!$B$2:$B$451,P154)))</f>
        <v/>
      </c>
      <c r="C154" s="44">
        <f>IF(P154="","",INDEX(前年度名簿!$C$2:$C$451,P154))</f>
        <v/>
      </c>
      <c r="D154" s="3">
        <f>IF(P154="","",INDEX(前年度名簿!$D$2:$D$451,P154))</f>
        <v/>
      </c>
      <c r="E154" s="44">
        <f>IF(T154="","",INDEX(新年度名簿!$K$2:$K$451,T154))</f>
        <v/>
      </c>
      <c r="F154" s="44">
        <f>IF(T154="","",INDEX(新年度名簿!$C$2:$C$451,T154))</f>
        <v/>
      </c>
      <c r="G154" s="44">
        <f>IF(Q154="","",INDEX(希望入力!$H$2:$H$551,Q154)&amp;"")</f>
        <v/>
      </c>
      <c r="H154" s="44">
        <f>IF(Q154="","",INDEX(希望入力!$I$2:$I$551,Q154)&amp;"")</f>
        <v/>
      </c>
      <c r="I154" s="44">
        <f>IF(Q154="","",INDEX(希望入力!$J$2:$J$551,Q154)&amp;"")</f>
        <v/>
      </c>
      <c r="J154" s="44">
        <f>IF(Q154="","",IF(G154="","要調整",IFERROR(IF(IF(OR(設定!$C$14="〇",設定!$C$14="○"),COUNTIFS($A$7:$A$456,"&gt;="&amp;A154,$G$7:$G$456,G154),COUNTIF($G$7:$G$456,G154))&lt;=(INDEX(設定!$Q$8:$Q$27,MATCH(G154,設定!$P$8:$P$27,0))+N(INDEX(設定!$R$8:$R$27,MATCH(G154,設定!$P$8:$P$27,0)))),G154,"要調整"),"要調整")))</f>
        <v/>
      </c>
      <c r="K154" s="40" t="n"/>
      <c r="L154" s="52">
        <f>IF(P154="","",IF(K154&lt;&gt;"",K154,IF(OR(J154="",J154="要調整"),"",J154)))</f>
        <v/>
      </c>
      <c r="M154" s="44">
        <f>IF(P154="","",IF(AND(計算用!$B$1=1,T154=""),"転出",IF(L154&lt;&gt;"","決定",IF(Q154="","未提出","要調整"))))</f>
        <v/>
      </c>
      <c r="N154" s="44">
        <f>IF(OR(M154&lt;&gt;"要調整",H154=""),"",IFERROR((INDEX(設定!$Q$8:$Q$27,MATCH(H154,設定!$P$8:$P$27,0))+N(INDEX(設定!$R$8:$R$27,MATCH(H154,設定!$P$8:$P$27,0))))-INDEX(定員チェック!$F$7:$F$26,MATCH(H154,設定!$P$8:$P$27,0))-COUNTIFS($M$7:$M$456,"要調整",$G$7:$G$456,H154),""))</f>
        <v/>
      </c>
      <c r="O154" s="44">
        <f>IF(OR(M154&lt;&gt;"要調整",I154=""),"",IFERROR((INDEX(設定!$Q$8:$Q$27,MATCH(I154,設定!$P$8:$P$27,0))+N(INDEX(設定!$R$8:$R$27,MATCH(I154,設定!$P$8:$P$27,0))))-INDEX(定員チェック!$F$7:$F$26,MATCH(I154,設定!$P$8:$P$27,0))-COUNTIFS($M$7:$M$456,"要調整",$G$7:$G$456,I154),""))</f>
        <v/>
      </c>
      <c r="P154" s="8">
        <f>IFERROR(MATCH(SMALL(前年度名簿!$G$2:$G$451,148),前年度名簿!$G$2:$G$451,0),"")</f>
        <v/>
      </c>
      <c r="Q154" s="8">
        <f>IF(R154="","",IFERROR(MATCH(R154,希望入力!$M$2:$M$551,0),""))</f>
        <v/>
      </c>
      <c r="R154" s="8">
        <f>IF(P154="","",INDEX(前年度名簿!$F$2:$F$451,P154))</f>
        <v/>
      </c>
      <c r="S154" s="8">
        <f>IF(P154="","",INDEX(前年度名簿!$I$2:$I$451,P154))</f>
        <v/>
      </c>
      <c r="T154" s="8">
        <f>IF(OR(P154="",計算用!$B$1=0),"",IFERROR(MATCH(S154,新年度名簿!$H$2:$H$451,0),""))</f>
        <v/>
      </c>
      <c r="U154" s="8">
        <f>IF(OR(L154="",M154="転出"),"",IFERROR(MATCH(L154,設定!$P$8:$P$27,0),""))</f>
        <v/>
      </c>
      <c r="V154" s="8">
        <f>IF(U154="","",COUNTIF($U$7:U154,U154))</f>
        <v/>
      </c>
      <c r="W154" s="8">
        <f>IF(U154="","",U154*1000+V154)</f>
        <v/>
      </c>
    </row>
    <row r="155">
      <c r="A155" s="44">
        <f>IF(P155="","",INDEX(前年度名簿!$H$2:$H$451,P155))</f>
        <v/>
      </c>
      <c r="B155" s="44">
        <f>IF(P155="","",IFERROR(INDEX(設定!$G$8:$G$31,INT(INDEX(前年度名簿!$G$2:$G$451,P155)/1000)),INDEX(前年度名簿!$A$2:$A$451,P155)&amp;INDEX(前年度名簿!$B$2:$B$451,P155)))</f>
        <v/>
      </c>
      <c r="C155" s="44">
        <f>IF(P155="","",INDEX(前年度名簿!$C$2:$C$451,P155))</f>
        <v/>
      </c>
      <c r="D155" s="3">
        <f>IF(P155="","",INDEX(前年度名簿!$D$2:$D$451,P155))</f>
        <v/>
      </c>
      <c r="E155" s="44">
        <f>IF(T155="","",INDEX(新年度名簿!$K$2:$K$451,T155))</f>
        <v/>
      </c>
      <c r="F155" s="44">
        <f>IF(T155="","",INDEX(新年度名簿!$C$2:$C$451,T155))</f>
        <v/>
      </c>
      <c r="G155" s="44">
        <f>IF(Q155="","",INDEX(希望入力!$H$2:$H$551,Q155)&amp;"")</f>
        <v/>
      </c>
      <c r="H155" s="44">
        <f>IF(Q155="","",INDEX(希望入力!$I$2:$I$551,Q155)&amp;"")</f>
        <v/>
      </c>
      <c r="I155" s="44">
        <f>IF(Q155="","",INDEX(希望入力!$J$2:$J$551,Q155)&amp;"")</f>
        <v/>
      </c>
      <c r="J155" s="44">
        <f>IF(Q155="","",IF(G155="","要調整",IFERROR(IF(IF(OR(設定!$C$14="〇",設定!$C$14="○"),COUNTIFS($A$7:$A$456,"&gt;="&amp;A155,$G$7:$G$456,G155),COUNTIF($G$7:$G$456,G155))&lt;=(INDEX(設定!$Q$8:$Q$27,MATCH(G155,設定!$P$8:$P$27,0))+N(INDEX(設定!$R$8:$R$27,MATCH(G155,設定!$P$8:$P$27,0)))),G155,"要調整"),"要調整")))</f>
        <v/>
      </c>
      <c r="K155" s="40" t="n"/>
      <c r="L155" s="52">
        <f>IF(P155="","",IF(K155&lt;&gt;"",K155,IF(OR(J155="",J155="要調整"),"",J155)))</f>
        <v/>
      </c>
      <c r="M155" s="44">
        <f>IF(P155="","",IF(AND(計算用!$B$1=1,T155=""),"転出",IF(L155&lt;&gt;"","決定",IF(Q155="","未提出","要調整"))))</f>
        <v/>
      </c>
      <c r="N155" s="44">
        <f>IF(OR(M155&lt;&gt;"要調整",H155=""),"",IFERROR((INDEX(設定!$Q$8:$Q$27,MATCH(H155,設定!$P$8:$P$27,0))+N(INDEX(設定!$R$8:$R$27,MATCH(H155,設定!$P$8:$P$27,0))))-INDEX(定員チェック!$F$7:$F$26,MATCH(H155,設定!$P$8:$P$27,0))-COUNTIFS($M$7:$M$456,"要調整",$G$7:$G$456,H155),""))</f>
        <v/>
      </c>
      <c r="O155" s="44">
        <f>IF(OR(M155&lt;&gt;"要調整",I155=""),"",IFERROR((INDEX(設定!$Q$8:$Q$27,MATCH(I155,設定!$P$8:$P$27,0))+N(INDEX(設定!$R$8:$R$27,MATCH(I155,設定!$P$8:$P$27,0))))-INDEX(定員チェック!$F$7:$F$26,MATCH(I155,設定!$P$8:$P$27,0))-COUNTIFS($M$7:$M$456,"要調整",$G$7:$G$456,I155),""))</f>
        <v/>
      </c>
      <c r="P155" s="8">
        <f>IFERROR(MATCH(SMALL(前年度名簿!$G$2:$G$451,149),前年度名簿!$G$2:$G$451,0),"")</f>
        <v/>
      </c>
      <c r="Q155" s="8">
        <f>IF(R155="","",IFERROR(MATCH(R155,希望入力!$M$2:$M$551,0),""))</f>
        <v/>
      </c>
      <c r="R155" s="8">
        <f>IF(P155="","",INDEX(前年度名簿!$F$2:$F$451,P155))</f>
        <v/>
      </c>
      <c r="S155" s="8">
        <f>IF(P155="","",INDEX(前年度名簿!$I$2:$I$451,P155))</f>
        <v/>
      </c>
      <c r="T155" s="8">
        <f>IF(OR(P155="",計算用!$B$1=0),"",IFERROR(MATCH(S155,新年度名簿!$H$2:$H$451,0),""))</f>
        <v/>
      </c>
      <c r="U155" s="8">
        <f>IF(OR(L155="",M155="転出"),"",IFERROR(MATCH(L155,設定!$P$8:$P$27,0),""))</f>
        <v/>
      </c>
      <c r="V155" s="8">
        <f>IF(U155="","",COUNTIF($U$7:U155,U155))</f>
        <v/>
      </c>
      <c r="W155" s="8">
        <f>IF(U155="","",U155*1000+V155)</f>
        <v/>
      </c>
    </row>
    <row r="156">
      <c r="A156" s="44">
        <f>IF(P156="","",INDEX(前年度名簿!$H$2:$H$451,P156))</f>
        <v/>
      </c>
      <c r="B156" s="44">
        <f>IF(P156="","",IFERROR(INDEX(設定!$G$8:$G$31,INT(INDEX(前年度名簿!$G$2:$G$451,P156)/1000)),INDEX(前年度名簿!$A$2:$A$451,P156)&amp;INDEX(前年度名簿!$B$2:$B$451,P156)))</f>
        <v/>
      </c>
      <c r="C156" s="44">
        <f>IF(P156="","",INDEX(前年度名簿!$C$2:$C$451,P156))</f>
        <v/>
      </c>
      <c r="D156" s="3">
        <f>IF(P156="","",INDEX(前年度名簿!$D$2:$D$451,P156))</f>
        <v/>
      </c>
      <c r="E156" s="44">
        <f>IF(T156="","",INDEX(新年度名簿!$K$2:$K$451,T156))</f>
        <v/>
      </c>
      <c r="F156" s="44">
        <f>IF(T156="","",INDEX(新年度名簿!$C$2:$C$451,T156))</f>
        <v/>
      </c>
      <c r="G156" s="44">
        <f>IF(Q156="","",INDEX(希望入力!$H$2:$H$551,Q156)&amp;"")</f>
        <v/>
      </c>
      <c r="H156" s="44">
        <f>IF(Q156="","",INDEX(希望入力!$I$2:$I$551,Q156)&amp;"")</f>
        <v/>
      </c>
      <c r="I156" s="44">
        <f>IF(Q156="","",INDEX(希望入力!$J$2:$J$551,Q156)&amp;"")</f>
        <v/>
      </c>
      <c r="J156" s="44">
        <f>IF(Q156="","",IF(G156="","要調整",IFERROR(IF(IF(OR(設定!$C$14="〇",設定!$C$14="○"),COUNTIFS($A$7:$A$456,"&gt;="&amp;A156,$G$7:$G$456,G156),COUNTIF($G$7:$G$456,G156))&lt;=(INDEX(設定!$Q$8:$Q$27,MATCH(G156,設定!$P$8:$P$27,0))+N(INDEX(設定!$R$8:$R$27,MATCH(G156,設定!$P$8:$P$27,0)))),G156,"要調整"),"要調整")))</f>
        <v/>
      </c>
      <c r="K156" s="40" t="n"/>
      <c r="L156" s="52">
        <f>IF(P156="","",IF(K156&lt;&gt;"",K156,IF(OR(J156="",J156="要調整"),"",J156)))</f>
        <v/>
      </c>
      <c r="M156" s="44">
        <f>IF(P156="","",IF(AND(計算用!$B$1=1,T156=""),"転出",IF(L156&lt;&gt;"","決定",IF(Q156="","未提出","要調整"))))</f>
        <v/>
      </c>
      <c r="N156" s="44">
        <f>IF(OR(M156&lt;&gt;"要調整",H156=""),"",IFERROR((INDEX(設定!$Q$8:$Q$27,MATCH(H156,設定!$P$8:$P$27,0))+N(INDEX(設定!$R$8:$R$27,MATCH(H156,設定!$P$8:$P$27,0))))-INDEX(定員チェック!$F$7:$F$26,MATCH(H156,設定!$P$8:$P$27,0))-COUNTIFS($M$7:$M$456,"要調整",$G$7:$G$456,H156),""))</f>
        <v/>
      </c>
      <c r="O156" s="44">
        <f>IF(OR(M156&lt;&gt;"要調整",I156=""),"",IFERROR((INDEX(設定!$Q$8:$Q$27,MATCH(I156,設定!$P$8:$P$27,0))+N(INDEX(設定!$R$8:$R$27,MATCH(I156,設定!$P$8:$P$27,0))))-INDEX(定員チェック!$F$7:$F$26,MATCH(I156,設定!$P$8:$P$27,0))-COUNTIFS($M$7:$M$456,"要調整",$G$7:$G$456,I156),""))</f>
        <v/>
      </c>
      <c r="P156" s="8">
        <f>IFERROR(MATCH(SMALL(前年度名簿!$G$2:$G$451,150),前年度名簿!$G$2:$G$451,0),"")</f>
        <v/>
      </c>
      <c r="Q156" s="8">
        <f>IF(R156="","",IFERROR(MATCH(R156,希望入力!$M$2:$M$551,0),""))</f>
        <v/>
      </c>
      <c r="R156" s="8">
        <f>IF(P156="","",INDEX(前年度名簿!$F$2:$F$451,P156))</f>
        <v/>
      </c>
      <c r="S156" s="8">
        <f>IF(P156="","",INDEX(前年度名簿!$I$2:$I$451,P156))</f>
        <v/>
      </c>
      <c r="T156" s="8">
        <f>IF(OR(P156="",計算用!$B$1=0),"",IFERROR(MATCH(S156,新年度名簿!$H$2:$H$451,0),""))</f>
        <v/>
      </c>
      <c r="U156" s="8">
        <f>IF(OR(L156="",M156="転出"),"",IFERROR(MATCH(L156,設定!$P$8:$P$27,0),""))</f>
        <v/>
      </c>
      <c r="V156" s="8">
        <f>IF(U156="","",COUNTIF($U$7:U156,U156))</f>
        <v/>
      </c>
      <c r="W156" s="8">
        <f>IF(U156="","",U156*1000+V156)</f>
        <v/>
      </c>
    </row>
    <row r="157">
      <c r="A157" s="44">
        <f>IF(P157="","",INDEX(前年度名簿!$H$2:$H$451,P157))</f>
        <v/>
      </c>
      <c r="B157" s="44">
        <f>IF(P157="","",IFERROR(INDEX(設定!$G$8:$G$31,INT(INDEX(前年度名簿!$G$2:$G$451,P157)/1000)),INDEX(前年度名簿!$A$2:$A$451,P157)&amp;INDEX(前年度名簿!$B$2:$B$451,P157)))</f>
        <v/>
      </c>
      <c r="C157" s="44">
        <f>IF(P157="","",INDEX(前年度名簿!$C$2:$C$451,P157))</f>
        <v/>
      </c>
      <c r="D157" s="3">
        <f>IF(P157="","",INDEX(前年度名簿!$D$2:$D$451,P157))</f>
        <v/>
      </c>
      <c r="E157" s="44">
        <f>IF(T157="","",INDEX(新年度名簿!$K$2:$K$451,T157))</f>
        <v/>
      </c>
      <c r="F157" s="44">
        <f>IF(T157="","",INDEX(新年度名簿!$C$2:$C$451,T157))</f>
        <v/>
      </c>
      <c r="G157" s="44">
        <f>IF(Q157="","",INDEX(希望入力!$H$2:$H$551,Q157)&amp;"")</f>
        <v/>
      </c>
      <c r="H157" s="44">
        <f>IF(Q157="","",INDEX(希望入力!$I$2:$I$551,Q157)&amp;"")</f>
        <v/>
      </c>
      <c r="I157" s="44">
        <f>IF(Q157="","",INDEX(希望入力!$J$2:$J$551,Q157)&amp;"")</f>
        <v/>
      </c>
      <c r="J157" s="44">
        <f>IF(Q157="","",IF(G157="","要調整",IFERROR(IF(IF(OR(設定!$C$14="〇",設定!$C$14="○"),COUNTIFS($A$7:$A$456,"&gt;="&amp;A157,$G$7:$G$456,G157),COUNTIF($G$7:$G$456,G157))&lt;=(INDEX(設定!$Q$8:$Q$27,MATCH(G157,設定!$P$8:$P$27,0))+N(INDEX(設定!$R$8:$R$27,MATCH(G157,設定!$P$8:$P$27,0)))),G157,"要調整"),"要調整")))</f>
        <v/>
      </c>
      <c r="K157" s="40" t="n"/>
      <c r="L157" s="52">
        <f>IF(P157="","",IF(K157&lt;&gt;"",K157,IF(OR(J157="",J157="要調整"),"",J157)))</f>
        <v/>
      </c>
      <c r="M157" s="44">
        <f>IF(P157="","",IF(AND(計算用!$B$1=1,T157=""),"転出",IF(L157&lt;&gt;"","決定",IF(Q157="","未提出","要調整"))))</f>
        <v/>
      </c>
      <c r="N157" s="44">
        <f>IF(OR(M157&lt;&gt;"要調整",H157=""),"",IFERROR((INDEX(設定!$Q$8:$Q$27,MATCH(H157,設定!$P$8:$P$27,0))+N(INDEX(設定!$R$8:$R$27,MATCH(H157,設定!$P$8:$P$27,0))))-INDEX(定員チェック!$F$7:$F$26,MATCH(H157,設定!$P$8:$P$27,0))-COUNTIFS($M$7:$M$456,"要調整",$G$7:$G$456,H157),""))</f>
        <v/>
      </c>
      <c r="O157" s="44">
        <f>IF(OR(M157&lt;&gt;"要調整",I157=""),"",IFERROR((INDEX(設定!$Q$8:$Q$27,MATCH(I157,設定!$P$8:$P$27,0))+N(INDEX(設定!$R$8:$R$27,MATCH(I157,設定!$P$8:$P$27,0))))-INDEX(定員チェック!$F$7:$F$26,MATCH(I157,設定!$P$8:$P$27,0))-COUNTIFS($M$7:$M$456,"要調整",$G$7:$G$456,I157),""))</f>
        <v/>
      </c>
      <c r="P157" s="8">
        <f>IFERROR(MATCH(SMALL(前年度名簿!$G$2:$G$451,151),前年度名簿!$G$2:$G$451,0),"")</f>
        <v/>
      </c>
      <c r="Q157" s="8">
        <f>IF(R157="","",IFERROR(MATCH(R157,希望入力!$M$2:$M$551,0),""))</f>
        <v/>
      </c>
      <c r="R157" s="8">
        <f>IF(P157="","",INDEX(前年度名簿!$F$2:$F$451,P157))</f>
        <v/>
      </c>
      <c r="S157" s="8">
        <f>IF(P157="","",INDEX(前年度名簿!$I$2:$I$451,P157))</f>
        <v/>
      </c>
      <c r="T157" s="8">
        <f>IF(OR(P157="",計算用!$B$1=0),"",IFERROR(MATCH(S157,新年度名簿!$H$2:$H$451,0),""))</f>
        <v/>
      </c>
      <c r="U157" s="8">
        <f>IF(OR(L157="",M157="転出"),"",IFERROR(MATCH(L157,設定!$P$8:$P$27,0),""))</f>
        <v/>
      </c>
      <c r="V157" s="8">
        <f>IF(U157="","",COUNTIF($U$7:U157,U157))</f>
        <v/>
      </c>
      <c r="W157" s="8">
        <f>IF(U157="","",U157*1000+V157)</f>
        <v/>
      </c>
    </row>
    <row r="158">
      <c r="A158" s="44">
        <f>IF(P158="","",INDEX(前年度名簿!$H$2:$H$451,P158))</f>
        <v/>
      </c>
      <c r="B158" s="44">
        <f>IF(P158="","",IFERROR(INDEX(設定!$G$8:$G$31,INT(INDEX(前年度名簿!$G$2:$G$451,P158)/1000)),INDEX(前年度名簿!$A$2:$A$451,P158)&amp;INDEX(前年度名簿!$B$2:$B$451,P158)))</f>
        <v/>
      </c>
      <c r="C158" s="44">
        <f>IF(P158="","",INDEX(前年度名簿!$C$2:$C$451,P158))</f>
        <v/>
      </c>
      <c r="D158" s="3">
        <f>IF(P158="","",INDEX(前年度名簿!$D$2:$D$451,P158))</f>
        <v/>
      </c>
      <c r="E158" s="44">
        <f>IF(T158="","",INDEX(新年度名簿!$K$2:$K$451,T158))</f>
        <v/>
      </c>
      <c r="F158" s="44">
        <f>IF(T158="","",INDEX(新年度名簿!$C$2:$C$451,T158))</f>
        <v/>
      </c>
      <c r="G158" s="44">
        <f>IF(Q158="","",INDEX(希望入力!$H$2:$H$551,Q158)&amp;"")</f>
        <v/>
      </c>
      <c r="H158" s="44">
        <f>IF(Q158="","",INDEX(希望入力!$I$2:$I$551,Q158)&amp;"")</f>
        <v/>
      </c>
      <c r="I158" s="44">
        <f>IF(Q158="","",INDEX(希望入力!$J$2:$J$551,Q158)&amp;"")</f>
        <v/>
      </c>
      <c r="J158" s="44">
        <f>IF(Q158="","",IF(G158="","要調整",IFERROR(IF(IF(OR(設定!$C$14="〇",設定!$C$14="○"),COUNTIFS($A$7:$A$456,"&gt;="&amp;A158,$G$7:$G$456,G158),COUNTIF($G$7:$G$456,G158))&lt;=(INDEX(設定!$Q$8:$Q$27,MATCH(G158,設定!$P$8:$P$27,0))+N(INDEX(設定!$R$8:$R$27,MATCH(G158,設定!$P$8:$P$27,0)))),G158,"要調整"),"要調整")))</f>
        <v/>
      </c>
      <c r="K158" s="40" t="n"/>
      <c r="L158" s="52">
        <f>IF(P158="","",IF(K158&lt;&gt;"",K158,IF(OR(J158="",J158="要調整"),"",J158)))</f>
        <v/>
      </c>
      <c r="M158" s="44">
        <f>IF(P158="","",IF(AND(計算用!$B$1=1,T158=""),"転出",IF(L158&lt;&gt;"","決定",IF(Q158="","未提出","要調整"))))</f>
        <v/>
      </c>
      <c r="N158" s="44">
        <f>IF(OR(M158&lt;&gt;"要調整",H158=""),"",IFERROR((INDEX(設定!$Q$8:$Q$27,MATCH(H158,設定!$P$8:$P$27,0))+N(INDEX(設定!$R$8:$R$27,MATCH(H158,設定!$P$8:$P$27,0))))-INDEX(定員チェック!$F$7:$F$26,MATCH(H158,設定!$P$8:$P$27,0))-COUNTIFS($M$7:$M$456,"要調整",$G$7:$G$456,H158),""))</f>
        <v/>
      </c>
      <c r="O158" s="44">
        <f>IF(OR(M158&lt;&gt;"要調整",I158=""),"",IFERROR((INDEX(設定!$Q$8:$Q$27,MATCH(I158,設定!$P$8:$P$27,0))+N(INDEX(設定!$R$8:$R$27,MATCH(I158,設定!$P$8:$P$27,0))))-INDEX(定員チェック!$F$7:$F$26,MATCH(I158,設定!$P$8:$P$27,0))-COUNTIFS($M$7:$M$456,"要調整",$G$7:$G$456,I158),""))</f>
        <v/>
      </c>
      <c r="P158" s="8">
        <f>IFERROR(MATCH(SMALL(前年度名簿!$G$2:$G$451,152),前年度名簿!$G$2:$G$451,0),"")</f>
        <v/>
      </c>
      <c r="Q158" s="8">
        <f>IF(R158="","",IFERROR(MATCH(R158,希望入力!$M$2:$M$551,0),""))</f>
        <v/>
      </c>
      <c r="R158" s="8">
        <f>IF(P158="","",INDEX(前年度名簿!$F$2:$F$451,P158))</f>
        <v/>
      </c>
      <c r="S158" s="8">
        <f>IF(P158="","",INDEX(前年度名簿!$I$2:$I$451,P158))</f>
        <v/>
      </c>
      <c r="T158" s="8">
        <f>IF(OR(P158="",計算用!$B$1=0),"",IFERROR(MATCH(S158,新年度名簿!$H$2:$H$451,0),""))</f>
        <v/>
      </c>
      <c r="U158" s="8">
        <f>IF(OR(L158="",M158="転出"),"",IFERROR(MATCH(L158,設定!$P$8:$P$27,0),""))</f>
        <v/>
      </c>
      <c r="V158" s="8">
        <f>IF(U158="","",COUNTIF($U$7:U158,U158))</f>
        <v/>
      </c>
      <c r="W158" s="8">
        <f>IF(U158="","",U158*1000+V158)</f>
        <v/>
      </c>
    </row>
    <row r="159">
      <c r="A159" s="44">
        <f>IF(P159="","",INDEX(前年度名簿!$H$2:$H$451,P159))</f>
        <v/>
      </c>
      <c r="B159" s="44">
        <f>IF(P159="","",IFERROR(INDEX(設定!$G$8:$G$31,INT(INDEX(前年度名簿!$G$2:$G$451,P159)/1000)),INDEX(前年度名簿!$A$2:$A$451,P159)&amp;INDEX(前年度名簿!$B$2:$B$451,P159)))</f>
        <v/>
      </c>
      <c r="C159" s="44">
        <f>IF(P159="","",INDEX(前年度名簿!$C$2:$C$451,P159))</f>
        <v/>
      </c>
      <c r="D159" s="3">
        <f>IF(P159="","",INDEX(前年度名簿!$D$2:$D$451,P159))</f>
        <v/>
      </c>
      <c r="E159" s="44">
        <f>IF(T159="","",INDEX(新年度名簿!$K$2:$K$451,T159))</f>
        <v/>
      </c>
      <c r="F159" s="44">
        <f>IF(T159="","",INDEX(新年度名簿!$C$2:$C$451,T159))</f>
        <v/>
      </c>
      <c r="G159" s="44">
        <f>IF(Q159="","",INDEX(希望入力!$H$2:$H$551,Q159)&amp;"")</f>
        <v/>
      </c>
      <c r="H159" s="44">
        <f>IF(Q159="","",INDEX(希望入力!$I$2:$I$551,Q159)&amp;"")</f>
        <v/>
      </c>
      <c r="I159" s="44">
        <f>IF(Q159="","",INDEX(希望入力!$J$2:$J$551,Q159)&amp;"")</f>
        <v/>
      </c>
      <c r="J159" s="44">
        <f>IF(Q159="","",IF(G159="","要調整",IFERROR(IF(IF(OR(設定!$C$14="〇",設定!$C$14="○"),COUNTIFS($A$7:$A$456,"&gt;="&amp;A159,$G$7:$G$456,G159),COUNTIF($G$7:$G$456,G159))&lt;=(INDEX(設定!$Q$8:$Q$27,MATCH(G159,設定!$P$8:$P$27,0))+N(INDEX(設定!$R$8:$R$27,MATCH(G159,設定!$P$8:$P$27,0)))),G159,"要調整"),"要調整")))</f>
        <v/>
      </c>
      <c r="K159" s="40" t="n"/>
      <c r="L159" s="52">
        <f>IF(P159="","",IF(K159&lt;&gt;"",K159,IF(OR(J159="",J159="要調整"),"",J159)))</f>
        <v/>
      </c>
      <c r="M159" s="44">
        <f>IF(P159="","",IF(AND(計算用!$B$1=1,T159=""),"転出",IF(L159&lt;&gt;"","決定",IF(Q159="","未提出","要調整"))))</f>
        <v/>
      </c>
      <c r="N159" s="44">
        <f>IF(OR(M159&lt;&gt;"要調整",H159=""),"",IFERROR((INDEX(設定!$Q$8:$Q$27,MATCH(H159,設定!$P$8:$P$27,0))+N(INDEX(設定!$R$8:$R$27,MATCH(H159,設定!$P$8:$P$27,0))))-INDEX(定員チェック!$F$7:$F$26,MATCH(H159,設定!$P$8:$P$27,0))-COUNTIFS($M$7:$M$456,"要調整",$G$7:$G$456,H159),""))</f>
        <v/>
      </c>
      <c r="O159" s="44">
        <f>IF(OR(M159&lt;&gt;"要調整",I159=""),"",IFERROR((INDEX(設定!$Q$8:$Q$27,MATCH(I159,設定!$P$8:$P$27,0))+N(INDEX(設定!$R$8:$R$27,MATCH(I159,設定!$P$8:$P$27,0))))-INDEX(定員チェック!$F$7:$F$26,MATCH(I159,設定!$P$8:$P$27,0))-COUNTIFS($M$7:$M$456,"要調整",$G$7:$G$456,I159),""))</f>
        <v/>
      </c>
      <c r="P159" s="8">
        <f>IFERROR(MATCH(SMALL(前年度名簿!$G$2:$G$451,153),前年度名簿!$G$2:$G$451,0),"")</f>
        <v/>
      </c>
      <c r="Q159" s="8">
        <f>IF(R159="","",IFERROR(MATCH(R159,希望入力!$M$2:$M$551,0),""))</f>
        <v/>
      </c>
      <c r="R159" s="8">
        <f>IF(P159="","",INDEX(前年度名簿!$F$2:$F$451,P159))</f>
        <v/>
      </c>
      <c r="S159" s="8">
        <f>IF(P159="","",INDEX(前年度名簿!$I$2:$I$451,P159))</f>
        <v/>
      </c>
      <c r="T159" s="8">
        <f>IF(OR(P159="",計算用!$B$1=0),"",IFERROR(MATCH(S159,新年度名簿!$H$2:$H$451,0),""))</f>
        <v/>
      </c>
      <c r="U159" s="8">
        <f>IF(OR(L159="",M159="転出"),"",IFERROR(MATCH(L159,設定!$P$8:$P$27,0),""))</f>
        <v/>
      </c>
      <c r="V159" s="8">
        <f>IF(U159="","",COUNTIF($U$7:U159,U159))</f>
        <v/>
      </c>
      <c r="W159" s="8">
        <f>IF(U159="","",U159*1000+V159)</f>
        <v/>
      </c>
    </row>
    <row r="160">
      <c r="A160" s="44">
        <f>IF(P160="","",INDEX(前年度名簿!$H$2:$H$451,P160))</f>
        <v/>
      </c>
      <c r="B160" s="44">
        <f>IF(P160="","",IFERROR(INDEX(設定!$G$8:$G$31,INT(INDEX(前年度名簿!$G$2:$G$451,P160)/1000)),INDEX(前年度名簿!$A$2:$A$451,P160)&amp;INDEX(前年度名簿!$B$2:$B$451,P160)))</f>
        <v/>
      </c>
      <c r="C160" s="44">
        <f>IF(P160="","",INDEX(前年度名簿!$C$2:$C$451,P160))</f>
        <v/>
      </c>
      <c r="D160" s="3">
        <f>IF(P160="","",INDEX(前年度名簿!$D$2:$D$451,P160))</f>
        <v/>
      </c>
      <c r="E160" s="44">
        <f>IF(T160="","",INDEX(新年度名簿!$K$2:$K$451,T160))</f>
        <v/>
      </c>
      <c r="F160" s="44">
        <f>IF(T160="","",INDEX(新年度名簿!$C$2:$C$451,T160))</f>
        <v/>
      </c>
      <c r="G160" s="44">
        <f>IF(Q160="","",INDEX(希望入力!$H$2:$H$551,Q160)&amp;"")</f>
        <v/>
      </c>
      <c r="H160" s="44">
        <f>IF(Q160="","",INDEX(希望入力!$I$2:$I$551,Q160)&amp;"")</f>
        <v/>
      </c>
      <c r="I160" s="44">
        <f>IF(Q160="","",INDEX(希望入力!$J$2:$J$551,Q160)&amp;"")</f>
        <v/>
      </c>
      <c r="J160" s="44">
        <f>IF(Q160="","",IF(G160="","要調整",IFERROR(IF(IF(OR(設定!$C$14="〇",設定!$C$14="○"),COUNTIFS($A$7:$A$456,"&gt;="&amp;A160,$G$7:$G$456,G160),COUNTIF($G$7:$G$456,G160))&lt;=(INDEX(設定!$Q$8:$Q$27,MATCH(G160,設定!$P$8:$P$27,0))+N(INDEX(設定!$R$8:$R$27,MATCH(G160,設定!$P$8:$P$27,0)))),G160,"要調整"),"要調整")))</f>
        <v/>
      </c>
      <c r="K160" s="40" t="n"/>
      <c r="L160" s="52">
        <f>IF(P160="","",IF(K160&lt;&gt;"",K160,IF(OR(J160="",J160="要調整"),"",J160)))</f>
        <v/>
      </c>
      <c r="M160" s="44">
        <f>IF(P160="","",IF(AND(計算用!$B$1=1,T160=""),"転出",IF(L160&lt;&gt;"","決定",IF(Q160="","未提出","要調整"))))</f>
        <v/>
      </c>
      <c r="N160" s="44">
        <f>IF(OR(M160&lt;&gt;"要調整",H160=""),"",IFERROR((INDEX(設定!$Q$8:$Q$27,MATCH(H160,設定!$P$8:$P$27,0))+N(INDEX(設定!$R$8:$R$27,MATCH(H160,設定!$P$8:$P$27,0))))-INDEX(定員チェック!$F$7:$F$26,MATCH(H160,設定!$P$8:$P$27,0))-COUNTIFS($M$7:$M$456,"要調整",$G$7:$G$456,H160),""))</f>
        <v/>
      </c>
      <c r="O160" s="44">
        <f>IF(OR(M160&lt;&gt;"要調整",I160=""),"",IFERROR((INDEX(設定!$Q$8:$Q$27,MATCH(I160,設定!$P$8:$P$27,0))+N(INDEX(設定!$R$8:$R$27,MATCH(I160,設定!$P$8:$P$27,0))))-INDEX(定員チェック!$F$7:$F$26,MATCH(I160,設定!$P$8:$P$27,0))-COUNTIFS($M$7:$M$456,"要調整",$G$7:$G$456,I160),""))</f>
        <v/>
      </c>
      <c r="P160" s="8">
        <f>IFERROR(MATCH(SMALL(前年度名簿!$G$2:$G$451,154),前年度名簿!$G$2:$G$451,0),"")</f>
        <v/>
      </c>
      <c r="Q160" s="8">
        <f>IF(R160="","",IFERROR(MATCH(R160,希望入力!$M$2:$M$551,0),""))</f>
        <v/>
      </c>
      <c r="R160" s="8">
        <f>IF(P160="","",INDEX(前年度名簿!$F$2:$F$451,P160))</f>
        <v/>
      </c>
      <c r="S160" s="8">
        <f>IF(P160="","",INDEX(前年度名簿!$I$2:$I$451,P160))</f>
        <v/>
      </c>
      <c r="T160" s="8">
        <f>IF(OR(P160="",計算用!$B$1=0),"",IFERROR(MATCH(S160,新年度名簿!$H$2:$H$451,0),""))</f>
        <v/>
      </c>
      <c r="U160" s="8">
        <f>IF(OR(L160="",M160="転出"),"",IFERROR(MATCH(L160,設定!$P$8:$P$27,0),""))</f>
        <v/>
      </c>
      <c r="V160" s="8">
        <f>IF(U160="","",COUNTIF($U$7:U160,U160))</f>
        <v/>
      </c>
      <c r="W160" s="8">
        <f>IF(U160="","",U160*1000+V160)</f>
        <v/>
      </c>
    </row>
    <row r="161">
      <c r="A161" s="44">
        <f>IF(P161="","",INDEX(前年度名簿!$H$2:$H$451,P161))</f>
        <v/>
      </c>
      <c r="B161" s="44">
        <f>IF(P161="","",IFERROR(INDEX(設定!$G$8:$G$31,INT(INDEX(前年度名簿!$G$2:$G$451,P161)/1000)),INDEX(前年度名簿!$A$2:$A$451,P161)&amp;INDEX(前年度名簿!$B$2:$B$451,P161)))</f>
        <v/>
      </c>
      <c r="C161" s="44">
        <f>IF(P161="","",INDEX(前年度名簿!$C$2:$C$451,P161))</f>
        <v/>
      </c>
      <c r="D161" s="3">
        <f>IF(P161="","",INDEX(前年度名簿!$D$2:$D$451,P161))</f>
        <v/>
      </c>
      <c r="E161" s="44">
        <f>IF(T161="","",INDEX(新年度名簿!$K$2:$K$451,T161))</f>
        <v/>
      </c>
      <c r="F161" s="44">
        <f>IF(T161="","",INDEX(新年度名簿!$C$2:$C$451,T161))</f>
        <v/>
      </c>
      <c r="G161" s="44">
        <f>IF(Q161="","",INDEX(希望入力!$H$2:$H$551,Q161)&amp;"")</f>
        <v/>
      </c>
      <c r="H161" s="44">
        <f>IF(Q161="","",INDEX(希望入力!$I$2:$I$551,Q161)&amp;"")</f>
        <v/>
      </c>
      <c r="I161" s="44">
        <f>IF(Q161="","",INDEX(希望入力!$J$2:$J$551,Q161)&amp;"")</f>
        <v/>
      </c>
      <c r="J161" s="44">
        <f>IF(Q161="","",IF(G161="","要調整",IFERROR(IF(IF(OR(設定!$C$14="〇",設定!$C$14="○"),COUNTIFS($A$7:$A$456,"&gt;="&amp;A161,$G$7:$G$456,G161),COUNTIF($G$7:$G$456,G161))&lt;=(INDEX(設定!$Q$8:$Q$27,MATCH(G161,設定!$P$8:$P$27,0))+N(INDEX(設定!$R$8:$R$27,MATCH(G161,設定!$P$8:$P$27,0)))),G161,"要調整"),"要調整")))</f>
        <v/>
      </c>
      <c r="K161" s="40" t="n"/>
      <c r="L161" s="52">
        <f>IF(P161="","",IF(K161&lt;&gt;"",K161,IF(OR(J161="",J161="要調整"),"",J161)))</f>
        <v/>
      </c>
      <c r="M161" s="44">
        <f>IF(P161="","",IF(AND(計算用!$B$1=1,T161=""),"転出",IF(L161&lt;&gt;"","決定",IF(Q161="","未提出","要調整"))))</f>
        <v/>
      </c>
      <c r="N161" s="44">
        <f>IF(OR(M161&lt;&gt;"要調整",H161=""),"",IFERROR((INDEX(設定!$Q$8:$Q$27,MATCH(H161,設定!$P$8:$P$27,0))+N(INDEX(設定!$R$8:$R$27,MATCH(H161,設定!$P$8:$P$27,0))))-INDEX(定員チェック!$F$7:$F$26,MATCH(H161,設定!$P$8:$P$27,0))-COUNTIFS($M$7:$M$456,"要調整",$G$7:$G$456,H161),""))</f>
        <v/>
      </c>
      <c r="O161" s="44">
        <f>IF(OR(M161&lt;&gt;"要調整",I161=""),"",IFERROR((INDEX(設定!$Q$8:$Q$27,MATCH(I161,設定!$P$8:$P$27,0))+N(INDEX(設定!$R$8:$R$27,MATCH(I161,設定!$P$8:$P$27,0))))-INDEX(定員チェック!$F$7:$F$26,MATCH(I161,設定!$P$8:$P$27,0))-COUNTIFS($M$7:$M$456,"要調整",$G$7:$G$456,I161),""))</f>
        <v/>
      </c>
      <c r="P161" s="8">
        <f>IFERROR(MATCH(SMALL(前年度名簿!$G$2:$G$451,155),前年度名簿!$G$2:$G$451,0),"")</f>
        <v/>
      </c>
      <c r="Q161" s="8">
        <f>IF(R161="","",IFERROR(MATCH(R161,希望入力!$M$2:$M$551,0),""))</f>
        <v/>
      </c>
      <c r="R161" s="8">
        <f>IF(P161="","",INDEX(前年度名簿!$F$2:$F$451,P161))</f>
        <v/>
      </c>
      <c r="S161" s="8">
        <f>IF(P161="","",INDEX(前年度名簿!$I$2:$I$451,P161))</f>
        <v/>
      </c>
      <c r="T161" s="8">
        <f>IF(OR(P161="",計算用!$B$1=0),"",IFERROR(MATCH(S161,新年度名簿!$H$2:$H$451,0),""))</f>
        <v/>
      </c>
      <c r="U161" s="8">
        <f>IF(OR(L161="",M161="転出"),"",IFERROR(MATCH(L161,設定!$P$8:$P$27,0),""))</f>
        <v/>
      </c>
      <c r="V161" s="8">
        <f>IF(U161="","",COUNTIF($U$7:U161,U161))</f>
        <v/>
      </c>
      <c r="W161" s="8">
        <f>IF(U161="","",U161*1000+V161)</f>
        <v/>
      </c>
    </row>
    <row r="162">
      <c r="A162" s="44">
        <f>IF(P162="","",INDEX(前年度名簿!$H$2:$H$451,P162))</f>
        <v/>
      </c>
      <c r="B162" s="44">
        <f>IF(P162="","",IFERROR(INDEX(設定!$G$8:$G$31,INT(INDEX(前年度名簿!$G$2:$G$451,P162)/1000)),INDEX(前年度名簿!$A$2:$A$451,P162)&amp;INDEX(前年度名簿!$B$2:$B$451,P162)))</f>
        <v/>
      </c>
      <c r="C162" s="44">
        <f>IF(P162="","",INDEX(前年度名簿!$C$2:$C$451,P162))</f>
        <v/>
      </c>
      <c r="D162" s="3">
        <f>IF(P162="","",INDEX(前年度名簿!$D$2:$D$451,P162))</f>
        <v/>
      </c>
      <c r="E162" s="44">
        <f>IF(T162="","",INDEX(新年度名簿!$K$2:$K$451,T162))</f>
        <v/>
      </c>
      <c r="F162" s="44">
        <f>IF(T162="","",INDEX(新年度名簿!$C$2:$C$451,T162))</f>
        <v/>
      </c>
      <c r="G162" s="44">
        <f>IF(Q162="","",INDEX(希望入力!$H$2:$H$551,Q162)&amp;"")</f>
        <v/>
      </c>
      <c r="H162" s="44">
        <f>IF(Q162="","",INDEX(希望入力!$I$2:$I$551,Q162)&amp;"")</f>
        <v/>
      </c>
      <c r="I162" s="44">
        <f>IF(Q162="","",INDEX(希望入力!$J$2:$J$551,Q162)&amp;"")</f>
        <v/>
      </c>
      <c r="J162" s="44">
        <f>IF(Q162="","",IF(G162="","要調整",IFERROR(IF(IF(OR(設定!$C$14="〇",設定!$C$14="○"),COUNTIFS($A$7:$A$456,"&gt;="&amp;A162,$G$7:$G$456,G162),COUNTIF($G$7:$G$456,G162))&lt;=(INDEX(設定!$Q$8:$Q$27,MATCH(G162,設定!$P$8:$P$27,0))+N(INDEX(設定!$R$8:$R$27,MATCH(G162,設定!$P$8:$P$27,0)))),G162,"要調整"),"要調整")))</f>
        <v/>
      </c>
      <c r="K162" s="40" t="n"/>
      <c r="L162" s="52">
        <f>IF(P162="","",IF(K162&lt;&gt;"",K162,IF(OR(J162="",J162="要調整"),"",J162)))</f>
        <v/>
      </c>
      <c r="M162" s="44">
        <f>IF(P162="","",IF(AND(計算用!$B$1=1,T162=""),"転出",IF(L162&lt;&gt;"","決定",IF(Q162="","未提出","要調整"))))</f>
        <v/>
      </c>
      <c r="N162" s="44">
        <f>IF(OR(M162&lt;&gt;"要調整",H162=""),"",IFERROR((INDEX(設定!$Q$8:$Q$27,MATCH(H162,設定!$P$8:$P$27,0))+N(INDEX(設定!$R$8:$R$27,MATCH(H162,設定!$P$8:$P$27,0))))-INDEX(定員チェック!$F$7:$F$26,MATCH(H162,設定!$P$8:$P$27,0))-COUNTIFS($M$7:$M$456,"要調整",$G$7:$G$456,H162),""))</f>
        <v/>
      </c>
      <c r="O162" s="44">
        <f>IF(OR(M162&lt;&gt;"要調整",I162=""),"",IFERROR((INDEX(設定!$Q$8:$Q$27,MATCH(I162,設定!$P$8:$P$27,0))+N(INDEX(設定!$R$8:$R$27,MATCH(I162,設定!$P$8:$P$27,0))))-INDEX(定員チェック!$F$7:$F$26,MATCH(I162,設定!$P$8:$P$27,0))-COUNTIFS($M$7:$M$456,"要調整",$G$7:$G$456,I162),""))</f>
        <v/>
      </c>
      <c r="P162" s="8">
        <f>IFERROR(MATCH(SMALL(前年度名簿!$G$2:$G$451,156),前年度名簿!$G$2:$G$451,0),"")</f>
        <v/>
      </c>
      <c r="Q162" s="8">
        <f>IF(R162="","",IFERROR(MATCH(R162,希望入力!$M$2:$M$551,0),""))</f>
        <v/>
      </c>
      <c r="R162" s="8">
        <f>IF(P162="","",INDEX(前年度名簿!$F$2:$F$451,P162))</f>
        <v/>
      </c>
      <c r="S162" s="8">
        <f>IF(P162="","",INDEX(前年度名簿!$I$2:$I$451,P162))</f>
        <v/>
      </c>
      <c r="T162" s="8">
        <f>IF(OR(P162="",計算用!$B$1=0),"",IFERROR(MATCH(S162,新年度名簿!$H$2:$H$451,0),""))</f>
        <v/>
      </c>
      <c r="U162" s="8">
        <f>IF(OR(L162="",M162="転出"),"",IFERROR(MATCH(L162,設定!$P$8:$P$27,0),""))</f>
        <v/>
      </c>
      <c r="V162" s="8">
        <f>IF(U162="","",COUNTIF($U$7:U162,U162))</f>
        <v/>
      </c>
      <c r="W162" s="8">
        <f>IF(U162="","",U162*1000+V162)</f>
        <v/>
      </c>
    </row>
    <row r="163">
      <c r="A163" s="44">
        <f>IF(P163="","",INDEX(前年度名簿!$H$2:$H$451,P163))</f>
        <v/>
      </c>
      <c r="B163" s="44">
        <f>IF(P163="","",IFERROR(INDEX(設定!$G$8:$G$31,INT(INDEX(前年度名簿!$G$2:$G$451,P163)/1000)),INDEX(前年度名簿!$A$2:$A$451,P163)&amp;INDEX(前年度名簿!$B$2:$B$451,P163)))</f>
        <v/>
      </c>
      <c r="C163" s="44">
        <f>IF(P163="","",INDEX(前年度名簿!$C$2:$C$451,P163))</f>
        <v/>
      </c>
      <c r="D163" s="3">
        <f>IF(P163="","",INDEX(前年度名簿!$D$2:$D$451,P163))</f>
        <v/>
      </c>
      <c r="E163" s="44">
        <f>IF(T163="","",INDEX(新年度名簿!$K$2:$K$451,T163))</f>
        <v/>
      </c>
      <c r="F163" s="44">
        <f>IF(T163="","",INDEX(新年度名簿!$C$2:$C$451,T163))</f>
        <v/>
      </c>
      <c r="G163" s="44">
        <f>IF(Q163="","",INDEX(希望入力!$H$2:$H$551,Q163)&amp;"")</f>
        <v/>
      </c>
      <c r="H163" s="44">
        <f>IF(Q163="","",INDEX(希望入力!$I$2:$I$551,Q163)&amp;"")</f>
        <v/>
      </c>
      <c r="I163" s="44">
        <f>IF(Q163="","",INDEX(希望入力!$J$2:$J$551,Q163)&amp;"")</f>
        <v/>
      </c>
      <c r="J163" s="44">
        <f>IF(Q163="","",IF(G163="","要調整",IFERROR(IF(IF(OR(設定!$C$14="〇",設定!$C$14="○"),COUNTIFS($A$7:$A$456,"&gt;="&amp;A163,$G$7:$G$456,G163),COUNTIF($G$7:$G$456,G163))&lt;=(INDEX(設定!$Q$8:$Q$27,MATCH(G163,設定!$P$8:$P$27,0))+N(INDEX(設定!$R$8:$R$27,MATCH(G163,設定!$P$8:$P$27,0)))),G163,"要調整"),"要調整")))</f>
        <v/>
      </c>
      <c r="K163" s="40" t="n"/>
      <c r="L163" s="52">
        <f>IF(P163="","",IF(K163&lt;&gt;"",K163,IF(OR(J163="",J163="要調整"),"",J163)))</f>
        <v/>
      </c>
      <c r="M163" s="44">
        <f>IF(P163="","",IF(AND(計算用!$B$1=1,T163=""),"転出",IF(L163&lt;&gt;"","決定",IF(Q163="","未提出","要調整"))))</f>
        <v/>
      </c>
      <c r="N163" s="44">
        <f>IF(OR(M163&lt;&gt;"要調整",H163=""),"",IFERROR((INDEX(設定!$Q$8:$Q$27,MATCH(H163,設定!$P$8:$P$27,0))+N(INDEX(設定!$R$8:$R$27,MATCH(H163,設定!$P$8:$P$27,0))))-INDEX(定員チェック!$F$7:$F$26,MATCH(H163,設定!$P$8:$P$27,0))-COUNTIFS($M$7:$M$456,"要調整",$G$7:$G$456,H163),""))</f>
        <v/>
      </c>
      <c r="O163" s="44">
        <f>IF(OR(M163&lt;&gt;"要調整",I163=""),"",IFERROR((INDEX(設定!$Q$8:$Q$27,MATCH(I163,設定!$P$8:$P$27,0))+N(INDEX(設定!$R$8:$R$27,MATCH(I163,設定!$P$8:$P$27,0))))-INDEX(定員チェック!$F$7:$F$26,MATCH(I163,設定!$P$8:$P$27,0))-COUNTIFS($M$7:$M$456,"要調整",$G$7:$G$456,I163),""))</f>
        <v/>
      </c>
      <c r="P163" s="8">
        <f>IFERROR(MATCH(SMALL(前年度名簿!$G$2:$G$451,157),前年度名簿!$G$2:$G$451,0),"")</f>
        <v/>
      </c>
      <c r="Q163" s="8">
        <f>IF(R163="","",IFERROR(MATCH(R163,希望入力!$M$2:$M$551,0),""))</f>
        <v/>
      </c>
      <c r="R163" s="8">
        <f>IF(P163="","",INDEX(前年度名簿!$F$2:$F$451,P163))</f>
        <v/>
      </c>
      <c r="S163" s="8">
        <f>IF(P163="","",INDEX(前年度名簿!$I$2:$I$451,P163))</f>
        <v/>
      </c>
      <c r="T163" s="8">
        <f>IF(OR(P163="",計算用!$B$1=0),"",IFERROR(MATCH(S163,新年度名簿!$H$2:$H$451,0),""))</f>
        <v/>
      </c>
      <c r="U163" s="8">
        <f>IF(OR(L163="",M163="転出"),"",IFERROR(MATCH(L163,設定!$P$8:$P$27,0),""))</f>
        <v/>
      </c>
      <c r="V163" s="8">
        <f>IF(U163="","",COUNTIF($U$7:U163,U163))</f>
        <v/>
      </c>
      <c r="W163" s="8">
        <f>IF(U163="","",U163*1000+V163)</f>
        <v/>
      </c>
    </row>
    <row r="164">
      <c r="A164" s="44">
        <f>IF(P164="","",INDEX(前年度名簿!$H$2:$H$451,P164))</f>
        <v/>
      </c>
      <c r="B164" s="44">
        <f>IF(P164="","",IFERROR(INDEX(設定!$G$8:$G$31,INT(INDEX(前年度名簿!$G$2:$G$451,P164)/1000)),INDEX(前年度名簿!$A$2:$A$451,P164)&amp;INDEX(前年度名簿!$B$2:$B$451,P164)))</f>
        <v/>
      </c>
      <c r="C164" s="44">
        <f>IF(P164="","",INDEX(前年度名簿!$C$2:$C$451,P164))</f>
        <v/>
      </c>
      <c r="D164" s="3">
        <f>IF(P164="","",INDEX(前年度名簿!$D$2:$D$451,P164))</f>
        <v/>
      </c>
      <c r="E164" s="44">
        <f>IF(T164="","",INDEX(新年度名簿!$K$2:$K$451,T164))</f>
        <v/>
      </c>
      <c r="F164" s="44">
        <f>IF(T164="","",INDEX(新年度名簿!$C$2:$C$451,T164))</f>
        <v/>
      </c>
      <c r="G164" s="44">
        <f>IF(Q164="","",INDEX(希望入力!$H$2:$H$551,Q164)&amp;"")</f>
        <v/>
      </c>
      <c r="H164" s="44">
        <f>IF(Q164="","",INDEX(希望入力!$I$2:$I$551,Q164)&amp;"")</f>
        <v/>
      </c>
      <c r="I164" s="44">
        <f>IF(Q164="","",INDEX(希望入力!$J$2:$J$551,Q164)&amp;"")</f>
        <v/>
      </c>
      <c r="J164" s="44">
        <f>IF(Q164="","",IF(G164="","要調整",IFERROR(IF(IF(OR(設定!$C$14="〇",設定!$C$14="○"),COUNTIFS($A$7:$A$456,"&gt;="&amp;A164,$G$7:$G$456,G164),COUNTIF($G$7:$G$456,G164))&lt;=(INDEX(設定!$Q$8:$Q$27,MATCH(G164,設定!$P$8:$P$27,0))+N(INDEX(設定!$R$8:$R$27,MATCH(G164,設定!$P$8:$P$27,0)))),G164,"要調整"),"要調整")))</f>
        <v/>
      </c>
      <c r="K164" s="40" t="n"/>
      <c r="L164" s="52">
        <f>IF(P164="","",IF(K164&lt;&gt;"",K164,IF(OR(J164="",J164="要調整"),"",J164)))</f>
        <v/>
      </c>
      <c r="M164" s="44">
        <f>IF(P164="","",IF(AND(計算用!$B$1=1,T164=""),"転出",IF(L164&lt;&gt;"","決定",IF(Q164="","未提出","要調整"))))</f>
        <v/>
      </c>
      <c r="N164" s="44">
        <f>IF(OR(M164&lt;&gt;"要調整",H164=""),"",IFERROR((INDEX(設定!$Q$8:$Q$27,MATCH(H164,設定!$P$8:$P$27,0))+N(INDEX(設定!$R$8:$R$27,MATCH(H164,設定!$P$8:$P$27,0))))-INDEX(定員チェック!$F$7:$F$26,MATCH(H164,設定!$P$8:$P$27,0))-COUNTIFS($M$7:$M$456,"要調整",$G$7:$G$456,H164),""))</f>
        <v/>
      </c>
      <c r="O164" s="44">
        <f>IF(OR(M164&lt;&gt;"要調整",I164=""),"",IFERROR((INDEX(設定!$Q$8:$Q$27,MATCH(I164,設定!$P$8:$P$27,0))+N(INDEX(設定!$R$8:$R$27,MATCH(I164,設定!$P$8:$P$27,0))))-INDEX(定員チェック!$F$7:$F$26,MATCH(I164,設定!$P$8:$P$27,0))-COUNTIFS($M$7:$M$456,"要調整",$G$7:$G$456,I164),""))</f>
        <v/>
      </c>
      <c r="P164" s="8">
        <f>IFERROR(MATCH(SMALL(前年度名簿!$G$2:$G$451,158),前年度名簿!$G$2:$G$451,0),"")</f>
        <v/>
      </c>
      <c r="Q164" s="8">
        <f>IF(R164="","",IFERROR(MATCH(R164,希望入力!$M$2:$M$551,0),""))</f>
        <v/>
      </c>
      <c r="R164" s="8">
        <f>IF(P164="","",INDEX(前年度名簿!$F$2:$F$451,P164))</f>
        <v/>
      </c>
      <c r="S164" s="8">
        <f>IF(P164="","",INDEX(前年度名簿!$I$2:$I$451,P164))</f>
        <v/>
      </c>
      <c r="T164" s="8">
        <f>IF(OR(P164="",計算用!$B$1=0),"",IFERROR(MATCH(S164,新年度名簿!$H$2:$H$451,0),""))</f>
        <v/>
      </c>
      <c r="U164" s="8">
        <f>IF(OR(L164="",M164="転出"),"",IFERROR(MATCH(L164,設定!$P$8:$P$27,0),""))</f>
        <v/>
      </c>
      <c r="V164" s="8">
        <f>IF(U164="","",COUNTIF($U$7:U164,U164))</f>
        <v/>
      </c>
      <c r="W164" s="8">
        <f>IF(U164="","",U164*1000+V164)</f>
        <v/>
      </c>
    </row>
    <row r="165">
      <c r="A165" s="44">
        <f>IF(P165="","",INDEX(前年度名簿!$H$2:$H$451,P165))</f>
        <v/>
      </c>
      <c r="B165" s="44">
        <f>IF(P165="","",IFERROR(INDEX(設定!$G$8:$G$31,INT(INDEX(前年度名簿!$G$2:$G$451,P165)/1000)),INDEX(前年度名簿!$A$2:$A$451,P165)&amp;INDEX(前年度名簿!$B$2:$B$451,P165)))</f>
        <v/>
      </c>
      <c r="C165" s="44">
        <f>IF(P165="","",INDEX(前年度名簿!$C$2:$C$451,P165))</f>
        <v/>
      </c>
      <c r="D165" s="3">
        <f>IF(P165="","",INDEX(前年度名簿!$D$2:$D$451,P165))</f>
        <v/>
      </c>
      <c r="E165" s="44">
        <f>IF(T165="","",INDEX(新年度名簿!$K$2:$K$451,T165))</f>
        <v/>
      </c>
      <c r="F165" s="44">
        <f>IF(T165="","",INDEX(新年度名簿!$C$2:$C$451,T165))</f>
        <v/>
      </c>
      <c r="G165" s="44">
        <f>IF(Q165="","",INDEX(希望入力!$H$2:$H$551,Q165)&amp;"")</f>
        <v/>
      </c>
      <c r="H165" s="44">
        <f>IF(Q165="","",INDEX(希望入力!$I$2:$I$551,Q165)&amp;"")</f>
        <v/>
      </c>
      <c r="I165" s="44">
        <f>IF(Q165="","",INDEX(希望入力!$J$2:$J$551,Q165)&amp;"")</f>
        <v/>
      </c>
      <c r="J165" s="44">
        <f>IF(Q165="","",IF(G165="","要調整",IFERROR(IF(IF(OR(設定!$C$14="〇",設定!$C$14="○"),COUNTIFS($A$7:$A$456,"&gt;="&amp;A165,$G$7:$G$456,G165),COUNTIF($G$7:$G$456,G165))&lt;=(INDEX(設定!$Q$8:$Q$27,MATCH(G165,設定!$P$8:$P$27,0))+N(INDEX(設定!$R$8:$R$27,MATCH(G165,設定!$P$8:$P$27,0)))),G165,"要調整"),"要調整")))</f>
        <v/>
      </c>
      <c r="K165" s="40" t="n"/>
      <c r="L165" s="52">
        <f>IF(P165="","",IF(K165&lt;&gt;"",K165,IF(OR(J165="",J165="要調整"),"",J165)))</f>
        <v/>
      </c>
      <c r="M165" s="44">
        <f>IF(P165="","",IF(AND(計算用!$B$1=1,T165=""),"転出",IF(L165&lt;&gt;"","決定",IF(Q165="","未提出","要調整"))))</f>
        <v/>
      </c>
      <c r="N165" s="44">
        <f>IF(OR(M165&lt;&gt;"要調整",H165=""),"",IFERROR((INDEX(設定!$Q$8:$Q$27,MATCH(H165,設定!$P$8:$P$27,0))+N(INDEX(設定!$R$8:$R$27,MATCH(H165,設定!$P$8:$P$27,0))))-INDEX(定員チェック!$F$7:$F$26,MATCH(H165,設定!$P$8:$P$27,0))-COUNTIFS($M$7:$M$456,"要調整",$G$7:$G$456,H165),""))</f>
        <v/>
      </c>
      <c r="O165" s="44">
        <f>IF(OR(M165&lt;&gt;"要調整",I165=""),"",IFERROR((INDEX(設定!$Q$8:$Q$27,MATCH(I165,設定!$P$8:$P$27,0))+N(INDEX(設定!$R$8:$R$27,MATCH(I165,設定!$P$8:$P$27,0))))-INDEX(定員チェック!$F$7:$F$26,MATCH(I165,設定!$P$8:$P$27,0))-COUNTIFS($M$7:$M$456,"要調整",$G$7:$G$456,I165),""))</f>
        <v/>
      </c>
      <c r="P165" s="8">
        <f>IFERROR(MATCH(SMALL(前年度名簿!$G$2:$G$451,159),前年度名簿!$G$2:$G$451,0),"")</f>
        <v/>
      </c>
      <c r="Q165" s="8">
        <f>IF(R165="","",IFERROR(MATCH(R165,希望入力!$M$2:$M$551,0),""))</f>
        <v/>
      </c>
      <c r="R165" s="8">
        <f>IF(P165="","",INDEX(前年度名簿!$F$2:$F$451,P165))</f>
        <v/>
      </c>
      <c r="S165" s="8">
        <f>IF(P165="","",INDEX(前年度名簿!$I$2:$I$451,P165))</f>
        <v/>
      </c>
      <c r="T165" s="8">
        <f>IF(OR(P165="",計算用!$B$1=0),"",IFERROR(MATCH(S165,新年度名簿!$H$2:$H$451,0),""))</f>
        <v/>
      </c>
      <c r="U165" s="8">
        <f>IF(OR(L165="",M165="転出"),"",IFERROR(MATCH(L165,設定!$P$8:$P$27,0),""))</f>
        <v/>
      </c>
      <c r="V165" s="8">
        <f>IF(U165="","",COUNTIF($U$7:U165,U165))</f>
        <v/>
      </c>
      <c r="W165" s="8">
        <f>IF(U165="","",U165*1000+V165)</f>
        <v/>
      </c>
    </row>
    <row r="166">
      <c r="A166" s="44">
        <f>IF(P166="","",INDEX(前年度名簿!$H$2:$H$451,P166))</f>
        <v/>
      </c>
      <c r="B166" s="44">
        <f>IF(P166="","",IFERROR(INDEX(設定!$G$8:$G$31,INT(INDEX(前年度名簿!$G$2:$G$451,P166)/1000)),INDEX(前年度名簿!$A$2:$A$451,P166)&amp;INDEX(前年度名簿!$B$2:$B$451,P166)))</f>
        <v/>
      </c>
      <c r="C166" s="44">
        <f>IF(P166="","",INDEX(前年度名簿!$C$2:$C$451,P166))</f>
        <v/>
      </c>
      <c r="D166" s="3">
        <f>IF(P166="","",INDEX(前年度名簿!$D$2:$D$451,P166))</f>
        <v/>
      </c>
      <c r="E166" s="44">
        <f>IF(T166="","",INDEX(新年度名簿!$K$2:$K$451,T166))</f>
        <v/>
      </c>
      <c r="F166" s="44">
        <f>IF(T166="","",INDEX(新年度名簿!$C$2:$C$451,T166))</f>
        <v/>
      </c>
      <c r="G166" s="44">
        <f>IF(Q166="","",INDEX(希望入力!$H$2:$H$551,Q166)&amp;"")</f>
        <v/>
      </c>
      <c r="H166" s="44">
        <f>IF(Q166="","",INDEX(希望入力!$I$2:$I$551,Q166)&amp;"")</f>
        <v/>
      </c>
      <c r="I166" s="44">
        <f>IF(Q166="","",INDEX(希望入力!$J$2:$J$551,Q166)&amp;"")</f>
        <v/>
      </c>
      <c r="J166" s="44">
        <f>IF(Q166="","",IF(G166="","要調整",IFERROR(IF(IF(OR(設定!$C$14="〇",設定!$C$14="○"),COUNTIFS($A$7:$A$456,"&gt;="&amp;A166,$G$7:$G$456,G166),COUNTIF($G$7:$G$456,G166))&lt;=(INDEX(設定!$Q$8:$Q$27,MATCH(G166,設定!$P$8:$P$27,0))+N(INDEX(設定!$R$8:$R$27,MATCH(G166,設定!$P$8:$P$27,0)))),G166,"要調整"),"要調整")))</f>
        <v/>
      </c>
      <c r="K166" s="40" t="n"/>
      <c r="L166" s="52">
        <f>IF(P166="","",IF(K166&lt;&gt;"",K166,IF(OR(J166="",J166="要調整"),"",J166)))</f>
        <v/>
      </c>
      <c r="M166" s="44">
        <f>IF(P166="","",IF(AND(計算用!$B$1=1,T166=""),"転出",IF(L166&lt;&gt;"","決定",IF(Q166="","未提出","要調整"))))</f>
        <v/>
      </c>
      <c r="N166" s="44">
        <f>IF(OR(M166&lt;&gt;"要調整",H166=""),"",IFERROR((INDEX(設定!$Q$8:$Q$27,MATCH(H166,設定!$P$8:$P$27,0))+N(INDEX(設定!$R$8:$R$27,MATCH(H166,設定!$P$8:$P$27,0))))-INDEX(定員チェック!$F$7:$F$26,MATCH(H166,設定!$P$8:$P$27,0))-COUNTIFS($M$7:$M$456,"要調整",$G$7:$G$456,H166),""))</f>
        <v/>
      </c>
      <c r="O166" s="44">
        <f>IF(OR(M166&lt;&gt;"要調整",I166=""),"",IFERROR((INDEX(設定!$Q$8:$Q$27,MATCH(I166,設定!$P$8:$P$27,0))+N(INDEX(設定!$R$8:$R$27,MATCH(I166,設定!$P$8:$P$27,0))))-INDEX(定員チェック!$F$7:$F$26,MATCH(I166,設定!$P$8:$P$27,0))-COUNTIFS($M$7:$M$456,"要調整",$G$7:$G$456,I166),""))</f>
        <v/>
      </c>
      <c r="P166" s="8">
        <f>IFERROR(MATCH(SMALL(前年度名簿!$G$2:$G$451,160),前年度名簿!$G$2:$G$451,0),"")</f>
        <v/>
      </c>
      <c r="Q166" s="8">
        <f>IF(R166="","",IFERROR(MATCH(R166,希望入力!$M$2:$M$551,0),""))</f>
        <v/>
      </c>
      <c r="R166" s="8">
        <f>IF(P166="","",INDEX(前年度名簿!$F$2:$F$451,P166))</f>
        <v/>
      </c>
      <c r="S166" s="8">
        <f>IF(P166="","",INDEX(前年度名簿!$I$2:$I$451,P166))</f>
        <v/>
      </c>
      <c r="T166" s="8">
        <f>IF(OR(P166="",計算用!$B$1=0),"",IFERROR(MATCH(S166,新年度名簿!$H$2:$H$451,0),""))</f>
        <v/>
      </c>
      <c r="U166" s="8">
        <f>IF(OR(L166="",M166="転出"),"",IFERROR(MATCH(L166,設定!$P$8:$P$27,0),""))</f>
        <v/>
      </c>
      <c r="V166" s="8">
        <f>IF(U166="","",COUNTIF($U$7:U166,U166))</f>
        <v/>
      </c>
      <c r="W166" s="8">
        <f>IF(U166="","",U166*1000+V166)</f>
        <v/>
      </c>
    </row>
    <row r="167">
      <c r="A167" s="44">
        <f>IF(P167="","",INDEX(前年度名簿!$H$2:$H$451,P167))</f>
        <v/>
      </c>
      <c r="B167" s="44">
        <f>IF(P167="","",IFERROR(INDEX(設定!$G$8:$G$31,INT(INDEX(前年度名簿!$G$2:$G$451,P167)/1000)),INDEX(前年度名簿!$A$2:$A$451,P167)&amp;INDEX(前年度名簿!$B$2:$B$451,P167)))</f>
        <v/>
      </c>
      <c r="C167" s="44">
        <f>IF(P167="","",INDEX(前年度名簿!$C$2:$C$451,P167))</f>
        <v/>
      </c>
      <c r="D167" s="3">
        <f>IF(P167="","",INDEX(前年度名簿!$D$2:$D$451,P167))</f>
        <v/>
      </c>
      <c r="E167" s="44">
        <f>IF(T167="","",INDEX(新年度名簿!$K$2:$K$451,T167))</f>
        <v/>
      </c>
      <c r="F167" s="44">
        <f>IF(T167="","",INDEX(新年度名簿!$C$2:$C$451,T167))</f>
        <v/>
      </c>
      <c r="G167" s="44">
        <f>IF(Q167="","",INDEX(希望入力!$H$2:$H$551,Q167)&amp;"")</f>
        <v/>
      </c>
      <c r="H167" s="44">
        <f>IF(Q167="","",INDEX(希望入力!$I$2:$I$551,Q167)&amp;"")</f>
        <v/>
      </c>
      <c r="I167" s="44">
        <f>IF(Q167="","",INDEX(希望入力!$J$2:$J$551,Q167)&amp;"")</f>
        <v/>
      </c>
      <c r="J167" s="44">
        <f>IF(Q167="","",IF(G167="","要調整",IFERROR(IF(IF(OR(設定!$C$14="〇",設定!$C$14="○"),COUNTIFS($A$7:$A$456,"&gt;="&amp;A167,$G$7:$G$456,G167),COUNTIF($G$7:$G$456,G167))&lt;=(INDEX(設定!$Q$8:$Q$27,MATCH(G167,設定!$P$8:$P$27,0))+N(INDEX(設定!$R$8:$R$27,MATCH(G167,設定!$P$8:$P$27,0)))),G167,"要調整"),"要調整")))</f>
        <v/>
      </c>
      <c r="K167" s="40" t="n"/>
      <c r="L167" s="52">
        <f>IF(P167="","",IF(K167&lt;&gt;"",K167,IF(OR(J167="",J167="要調整"),"",J167)))</f>
        <v/>
      </c>
      <c r="M167" s="44">
        <f>IF(P167="","",IF(AND(計算用!$B$1=1,T167=""),"転出",IF(L167&lt;&gt;"","決定",IF(Q167="","未提出","要調整"))))</f>
        <v/>
      </c>
      <c r="N167" s="44">
        <f>IF(OR(M167&lt;&gt;"要調整",H167=""),"",IFERROR((INDEX(設定!$Q$8:$Q$27,MATCH(H167,設定!$P$8:$P$27,0))+N(INDEX(設定!$R$8:$R$27,MATCH(H167,設定!$P$8:$P$27,0))))-INDEX(定員チェック!$F$7:$F$26,MATCH(H167,設定!$P$8:$P$27,0))-COUNTIFS($M$7:$M$456,"要調整",$G$7:$G$456,H167),""))</f>
        <v/>
      </c>
      <c r="O167" s="44">
        <f>IF(OR(M167&lt;&gt;"要調整",I167=""),"",IFERROR((INDEX(設定!$Q$8:$Q$27,MATCH(I167,設定!$P$8:$P$27,0))+N(INDEX(設定!$R$8:$R$27,MATCH(I167,設定!$P$8:$P$27,0))))-INDEX(定員チェック!$F$7:$F$26,MATCH(I167,設定!$P$8:$P$27,0))-COUNTIFS($M$7:$M$456,"要調整",$G$7:$G$456,I167),""))</f>
        <v/>
      </c>
      <c r="P167" s="8">
        <f>IFERROR(MATCH(SMALL(前年度名簿!$G$2:$G$451,161),前年度名簿!$G$2:$G$451,0),"")</f>
        <v/>
      </c>
      <c r="Q167" s="8">
        <f>IF(R167="","",IFERROR(MATCH(R167,希望入力!$M$2:$M$551,0),""))</f>
        <v/>
      </c>
      <c r="R167" s="8">
        <f>IF(P167="","",INDEX(前年度名簿!$F$2:$F$451,P167))</f>
        <v/>
      </c>
      <c r="S167" s="8">
        <f>IF(P167="","",INDEX(前年度名簿!$I$2:$I$451,P167))</f>
        <v/>
      </c>
      <c r="T167" s="8">
        <f>IF(OR(P167="",計算用!$B$1=0),"",IFERROR(MATCH(S167,新年度名簿!$H$2:$H$451,0),""))</f>
        <v/>
      </c>
      <c r="U167" s="8">
        <f>IF(OR(L167="",M167="転出"),"",IFERROR(MATCH(L167,設定!$P$8:$P$27,0),""))</f>
        <v/>
      </c>
      <c r="V167" s="8">
        <f>IF(U167="","",COUNTIF($U$7:U167,U167))</f>
        <v/>
      </c>
      <c r="W167" s="8">
        <f>IF(U167="","",U167*1000+V167)</f>
        <v/>
      </c>
    </row>
    <row r="168">
      <c r="A168" s="44">
        <f>IF(P168="","",INDEX(前年度名簿!$H$2:$H$451,P168))</f>
        <v/>
      </c>
      <c r="B168" s="44">
        <f>IF(P168="","",IFERROR(INDEX(設定!$G$8:$G$31,INT(INDEX(前年度名簿!$G$2:$G$451,P168)/1000)),INDEX(前年度名簿!$A$2:$A$451,P168)&amp;INDEX(前年度名簿!$B$2:$B$451,P168)))</f>
        <v/>
      </c>
      <c r="C168" s="44">
        <f>IF(P168="","",INDEX(前年度名簿!$C$2:$C$451,P168))</f>
        <v/>
      </c>
      <c r="D168" s="3">
        <f>IF(P168="","",INDEX(前年度名簿!$D$2:$D$451,P168))</f>
        <v/>
      </c>
      <c r="E168" s="44">
        <f>IF(T168="","",INDEX(新年度名簿!$K$2:$K$451,T168))</f>
        <v/>
      </c>
      <c r="F168" s="44">
        <f>IF(T168="","",INDEX(新年度名簿!$C$2:$C$451,T168))</f>
        <v/>
      </c>
      <c r="G168" s="44">
        <f>IF(Q168="","",INDEX(希望入力!$H$2:$H$551,Q168)&amp;"")</f>
        <v/>
      </c>
      <c r="H168" s="44">
        <f>IF(Q168="","",INDEX(希望入力!$I$2:$I$551,Q168)&amp;"")</f>
        <v/>
      </c>
      <c r="I168" s="44">
        <f>IF(Q168="","",INDEX(希望入力!$J$2:$J$551,Q168)&amp;"")</f>
        <v/>
      </c>
      <c r="J168" s="44">
        <f>IF(Q168="","",IF(G168="","要調整",IFERROR(IF(IF(OR(設定!$C$14="〇",設定!$C$14="○"),COUNTIFS($A$7:$A$456,"&gt;="&amp;A168,$G$7:$G$456,G168),COUNTIF($G$7:$G$456,G168))&lt;=(INDEX(設定!$Q$8:$Q$27,MATCH(G168,設定!$P$8:$P$27,0))+N(INDEX(設定!$R$8:$R$27,MATCH(G168,設定!$P$8:$P$27,0)))),G168,"要調整"),"要調整")))</f>
        <v/>
      </c>
      <c r="K168" s="40" t="n"/>
      <c r="L168" s="52">
        <f>IF(P168="","",IF(K168&lt;&gt;"",K168,IF(OR(J168="",J168="要調整"),"",J168)))</f>
        <v/>
      </c>
      <c r="M168" s="44">
        <f>IF(P168="","",IF(AND(計算用!$B$1=1,T168=""),"転出",IF(L168&lt;&gt;"","決定",IF(Q168="","未提出","要調整"))))</f>
        <v/>
      </c>
      <c r="N168" s="44">
        <f>IF(OR(M168&lt;&gt;"要調整",H168=""),"",IFERROR((INDEX(設定!$Q$8:$Q$27,MATCH(H168,設定!$P$8:$P$27,0))+N(INDEX(設定!$R$8:$R$27,MATCH(H168,設定!$P$8:$P$27,0))))-INDEX(定員チェック!$F$7:$F$26,MATCH(H168,設定!$P$8:$P$27,0))-COUNTIFS($M$7:$M$456,"要調整",$G$7:$G$456,H168),""))</f>
        <v/>
      </c>
      <c r="O168" s="44">
        <f>IF(OR(M168&lt;&gt;"要調整",I168=""),"",IFERROR((INDEX(設定!$Q$8:$Q$27,MATCH(I168,設定!$P$8:$P$27,0))+N(INDEX(設定!$R$8:$R$27,MATCH(I168,設定!$P$8:$P$27,0))))-INDEX(定員チェック!$F$7:$F$26,MATCH(I168,設定!$P$8:$P$27,0))-COUNTIFS($M$7:$M$456,"要調整",$G$7:$G$456,I168),""))</f>
        <v/>
      </c>
      <c r="P168" s="8">
        <f>IFERROR(MATCH(SMALL(前年度名簿!$G$2:$G$451,162),前年度名簿!$G$2:$G$451,0),"")</f>
        <v/>
      </c>
      <c r="Q168" s="8">
        <f>IF(R168="","",IFERROR(MATCH(R168,希望入力!$M$2:$M$551,0),""))</f>
        <v/>
      </c>
      <c r="R168" s="8">
        <f>IF(P168="","",INDEX(前年度名簿!$F$2:$F$451,P168))</f>
        <v/>
      </c>
      <c r="S168" s="8">
        <f>IF(P168="","",INDEX(前年度名簿!$I$2:$I$451,P168))</f>
        <v/>
      </c>
      <c r="T168" s="8">
        <f>IF(OR(P168="",計算用!$B$1=0),"",IFERROR(MATCH(S168,新年度名簿!$H$2:$H$451,0),""))</f>
        <v/>
      </c>
      <c r="U168" s="8">
        <f>IF(OR(L168="",M168="転出"),"",IFERROR(MATCH(L168,設定!$P$8:$P$27,0),""))</f>
        <v/>
      </c>
      <c r="V168" s="8">
        <f>IF(U168="","",COUNTIF($U$7:U168,U168))</f>
        <v/>
      </c>
      <c r="W168" s="8">
        <f>IF(U168="","",U168*1000+V168)</f>
        <v/>
      </c>
    </row>
    <row r="169">
      <c r="A169" s="44">
        <f>IF(P169="","",INDEX(前年度名簿!$H$2:$H$451,P169))</f>
        <v/>
      </c>
      <c r="B169" s="44">
        <f>IF(P169="","",IFERROR(INDEX(設定!$G$8:$G$31,INT(INDEX(前年度名簿!$G$2:$G$451,P169)/1000)),INDEX(前年度名簿!$A$2:$A$451,P169)&amp;INDEX(前年度名簿!$B$2:$B$451,P169)))</f>
        <v/>
      </c>
      <c r="C169" s="44">
        <f>IF(P169="","",INDEX(前年度名簿!$C$2:$C$451,P169))</f>
        <v/>
      </c>
      <c r="D169" s="3">
        <f>IF(P169="","",INDEX(前年度名簿!$D$2:$D$451,P169))</f>
        <v/>
      </c>
      <c r="E169" s="44">
        <f>IF(T169="","",INDEX(新年度名簿!$K$2:$K$451,T169))</f>
        <v/>
      </c>
      <c r="F169" s="44">
        <f>IF(T169="","",INDEX(新年度名簿!$C$2:$C$451,T169))</f>
        <v/>
      </c>
      <c r="G169" s="44">
        <f>IF(Q169="","",INDEX(希望入力!$H$2:$H$551,Q169)&amp;"")</f>
        <v/>
      </c>
      <c r="H169" s="44">
        <f>IF(Q169="","",INDEX(希望入力!$I$2:$I$551,Q169)&amp;"")</f>
        <v/>
      </c>
      <c r="I169" s="44">
        <f>IF(Q169="","",INDEX(希望入力!$J$2:$J$551,Q169)&amp;"")</f>
        <v/>
      </c>
      <c r="J169" s="44">
        <f>IF(Q169="","",IF(G169="","要調整",IFERROR(IF(IF(OR(設定!$C$14="〇",設定!$C$14="○"),COUNTIFS($A$7:$A$456,"&gt;="&amp;A169,$G$7:$G$456,G169),COUNTIF($G$7:$G$456,G169))&lt;=(INDEX(設定!$Q$8:$Q$27,MATCH(G169,設定!$P$8:$P$27,0))+N(INDEX(設定!$R$8:$R$27,MATCH(G169,設定!$P$8:$P$27,0)))),G169,"要調整"),"要調整")))</f>
        <v/>
      </c>
      <c r="K169" s="40" t="n"/>
      <c r="L169" s="52">
        <f>IF(P169="","",IF(K169&lt;&gt;"",K169,IF(OR(J169="",J169="要調整"),"",J169)))</f>
        <v/>
      </c>
      <c r="M169" s="44">
        <f>IF(P169="","",IF(AND(計算用!$B$1=1,T169=""),"転出",IF(L169&lt;&gt;"","決定",IF(Q169="","未提出","要調整"))))</f>
        <v/>
      </c>
      <c r="N169" s="44">
        <f>IF(OR(M169&lt;&gt;"要調整",H169=""),"",IFERROR((INDEX(設定!$Q$8:$Q$27,MATCH(H169,設定!$P$8:$P$27,0))+N(INDEX(設定!$R$8:$R$27,MATCH(H169,設定!$P$8:$P$27,0))))-INDEX(定員チェック!$F$7:$F$26,MATCH(H169,設定!$P$8:$P$27,0))-COUNTIFS($M$7:$M$456,"要調整",$G$7:$G$456,H169),""))</f>
        <v/>
      </c>
      <c r="O169" s="44">
        <f>IF(OR(M169&lt;&gt;"要調整",I169=""),"",IFERROR((INDEX(設定!$Q$8:$Q$27,MATCH(I169,設定!$P$8:$P$27,0))+N(INDEX(設定!$R$8:$R$27,MATCH(I169,設定!$P$8:$P$27,0))))-INDEX(定員チェック!$F$7:$F$26,MATCH(I169,設定!$P$8:$P$27,0))-COUNTIFS($M$7:$M$456,"要調整",$G$7:$G$456,I169),""))</f>
        <v/>
      </c>
      <c r="P169" s="8">
        <f>IFERROR(MATCH(SMALL(前年度名簿!$G$2:$G$451,163),前年度名簿!$G$2:$G$451,0),"")</f>
        <v/>
      </c>
      <c r="Q169" s="8">
        <f>IF(R169="","",IFERROR(MATCH(R169,希望入力!$M$2:$M$551,0),""))</f>
        <v/>
      </c>
      <c r="R169" s="8">
        <f>IF(P169="","",INDEX(前年度名簿!$F$2:$F$451,P169))</f>
        <v/>
      </c>
      <c r="S169" s="8">
        <f>IF(P169="","",INDEX(前年度名簿!$I$2:$I$451,P169))</f>
        <v/>
      </c>
      <c r="T169" s="8">
        <f>IF(OR(P169="",計算用!$B$1=0),"",IFERROR(MATCH(S169,新年度名簿!$H$2:$H$451,0),""))</f>
        <v/>
      </c>
      <c r="U169" s="8">
        <f>IF(OR(L169="",M169="転出"),"",IFERROR(MATCH(L169,設定!$P$8:$P$27,0),""))</f>
        <v/>
      </c>
      <c r="V169" s="8">
        <f>IF(U169="","",COUNTIF($U$7:U169,U169))</f>
        <v/>
      </c>
      <c r="W169" s="8">
        <f>IF(U169="","",U169*1000+V169)</f>
        <v/>
      </c>
    </row>
    <row r="170">
      <c r="A170" s="44">
        <f>IF(P170="","",INDEX(前年度名簿!$H$2:$H$451,P170))</f>
        <v/>
      </c>
      <c r="B170" s="44">
        <f>IF(P170="","",IFERROR(INDEX(設定!$G$8:$G$31,INT(INDEX(前年度名簿!$G$2:$G$451,P170)/1000)),INDEX(前年度名簿!$A$2:$A$451,P170)&amp;INDEX(前年度名簿!$B$2:$B$451,P170)))</f>
        <v/>
      </c>
      <c r="C170" s="44">
        <f>IF(P170="","",INDEX(前年度名簿!$C$2:$C$451,P170))</f>
        <v/>
      </c>
      <c r="D170" s="3">
        <f>IF(P170="","",INDEX(前年度名簿!$D$2:$D$451,P170))</f>
        <v/>
      </c>
      <c r="E170" s="44">
        <f>IF(T170="","",INDEX(新年度名簿!$K$2:$K$451,T170))</f>
        <v/>
      </c>
      <c r="F170" s="44">
        <f>IF(T170="","",INDEX(新年度名簿!$C$2:$C$451,T170))</f>
        <v/>
      </c>
      <c r="G170" s="44">
        <f>IF(Q170="","",INDEX(希望入力!$H$2:$H$551,Q170)&amp;"")</f>
        <v/>
      </c>
      <c r="H170" s="44">
        <f>IF(Q170="","",INDEX(希望入力!$I$2:$I$551,Q170)&amp;"")</f>
        <v/>
      </c>
      <c r="I170" s="44">
        <f>IF(Q170="","",INDEX(希望入力!$J$2:$J$551,Q170)&amp;"")</f>
        <v/>
      </c>
      <c r="J170" s="44">
        <f>IF(Q170="","",IF(G170="","要調整",IFERROR(IF(IF(OR(設定!$C$14="〇",設定!$C$14="○"),COUNTIFS($A$7:$A$456,"&gt;="&amp;A170,$G$7:$G$456,G170),COUNTIF($G$7:$G$456,G170))&lt;=(INDEX(設定!$Q$8:$Q$27,MATCH(G170,設定!$P$8:$P$27,0))+N(INDEX(設定!$R$8:$R$27,MATCH(G170,設定!$P$8:$P$27,0)))),G170,"要調整"),"要調整")))</f>
        <v/>
      </c>
      <c r="K170" s="40" t="n"/>
      <c r="L170" s="52">
        <f>IF(P170="","",IF(K170&lt;&gt;"",K170,IF(OR(J170="",J170="要調整"),"",J170)))</f>
        <v/>
      </c>
      <c r="M170" s="44">
        <f>IF(P170="","",IF(AND(計算用!$B$1=1,T170=""),"転出",IF(L170&lt;&gt;"","決定",IF(Q170="","未提出","要調整"))))</f>
        <v/>
      </c>
      <c r="N170" s="44">
        <f>IF(OR(M170&lt;&gt;"要調整",H170=""),"",IFERROR((INDEX(設定!$Q$8:$Q$27,MATCH(H170,設定!$P$8:$P$27,0))+N(INDEX(設定!$R$8:$R$27,MATCH(H170,設定!$P$8:$P$27,0))))-INDEX(定員チェック!$F$7:$F$26,MATCH(H170,設定!$P$8:$P$27,0))-COUNTIFS($M$7:$M$456,"要調整",$G$7:$G$456,H170),""))</f>
        <v/>
      </c>
      <c r="O170" s="44">
        <f>IF(OR(M170&lt;&gt;"要調整",I170=""),"",IFERROR((INDEX(設定!$Q$8:$Q$27,MATCH(I170,設定!$P$8:$P$27,0))+N(INDEX(設定!$R$8:$R$27,MATCH(I170,設定!$P$8:$P$27,0))))-INDEX(定員チェック!$F$7:$F$26,MATCH(I170,設定!$P$8:$P$27,0))-COUNTIFS($M$7:$M$456,"要調整",$G$7:$G$456,I170),""))</f>
        <v/>
      </c>
      <c r="P170" s="8">
        <f>IFERROR(MATCH(SMALL(前年度名簿!$G$2:$G$451,164),前年度名簿!$G$2:$G$451,0),"")</f>
        <v/>
      </c>
      <c r="Q170" s="8">
        <f>IF(R170="","",IFERROR(MATCH(R170,希望入力!$M$2:$M$551,0),""))</f>
        <v/>
      </c>
      <c r="R170" s="8">
        <f>IF(P170="","",INDEX(前年度名簿!$F$2:$F$451,P170))</f>
        <v/>
      </c>
      <c r="S170" s="8">
        <f>IF(P170="","",INDEX(前年度名簿!$I$2:$I$451,P170))</f>
        <v/>
      </c>
      <c r="T170" s="8">
        <f>IF(OR(P170="",計算用!$B$1=0),"",IFERROR(MATCH(S170,新年度名簿!$H$2:$H$451,0),""))</f>
        <v/>
      </c>
      <c r="U170" s="8">
        <f>IF(OR(L170="",M170="転出"),"",IFERROR(MATCH(L170,設定!$P$8:$P$27,0),""))</f>
        <v/>
      </c>
      <c r="V170" s="8">
        <f>IF(U170="","",COUNTIF($U$7:U170,U170))</f>
        <v/>
      </c>
      <c r="W170" s="8">
        <f>IF(U170="","",U170*1000+V170)</f>
        <v/>
      </c>
    </row>
    <row r="171">
      <c r="A171" s="44">
        <f>IF(P171="","",INDEX(前年度名簿!$H$2:$H$451,P171))</f>
        <v/>
      </c>
      <c r="B171" s="44">
        <f>IF(P171="","",IFERROR(INDEX(設定!$G$8:$G$31,INT(INDEX(前年度名簿!$G$2:$G$451,P171)/1000)),INDEX(前年度名簿!$A$2:$A$451,P171)&amp;INDEX(前年度名簿!$B$2:$B$451,P171)))</f>
        <v/>
      </c>
      <c r="C171" s="44">
        <f>IF(P171="","",INDEX(前年度名簿!$C$2:$C$451,P171))</f>
        <v/>
      </c>
      <c r="D171" s="3">
        <f>IF(P171="","",INDEX(前年度名簿!$D$2:$D$451,P171))</f>
        <v/>
      </c>
      <c r="E171" s="44">
        <f>IF(T171="","",INDEX(新年度名簿!$K$2:$K$451,T171))</f>
        <v/>
      </c>
      <c r="F171" s="44">
        <f>IF(T171="","",INDEX(新年度名簿!$C$2:$C$451,T171))</f>
        <v/>
      </c>
      <c r="G171" s="44">
        <f>IF(Q171="","",INDEX(希望入力!$H$2:$H$551,Q171)&amp;"")</f>
        <v/>
      </c>
      <c r="H171" s="44">
        <f>IF(Q171="","",INDEX(希望入力!$I$2:$I$551,Q171)&amp;"")</f>
        <v/>
      </c>
      <c r="I171" s="44">
        <f>IF(Q171="","",INDEX(希望入力!$J$2:$J$551,Q171)&amp;"")</f>
        <v/>
      </c>
      <c r="J171" s="44">
        <f>IF(Q171="","",IF(G171="","要調整",IFERROR(IF(IF(OR(設定!$C$14="〇",設定!$C$14="○"),COUNTIFS($A$7:$A$456,"&gt;="&amp;A171,$G$7:$G$456,G171),COUNTIF($G$7:$G$456,G171))&lt;=(INDEX(設定!$Q$8:$Q$27,MATCH(G171,設定!$P$8:$P$27,0))+N(INDEX(設定!$R$8:$R$27,MATCH(G171,設定!$P$8:$P$27,0)))),G171,"要調整"),"要調整")))</f>
        <v/>
      </c>
      <c r="K171" s="40" t="n"/>
      <c r="L171" s="52">
        <f>IF(P171="","",IF(K171&lt;&gt;"",K171,IF(OR(J171="",J171="要調整"),"",J171)))</f>
        <v/>
      </c>
      <c r="M171" s="44">
        <f>IF(P171="","",IF(AND(計算用!$B$1=1,T171=""),"転出",IF(L171&lt;&gt;"","決定",IF(Q171="","未提出","要調整"))))</f>
        <v/>
      </c>
      <c r="N171" s="44">
        <f>IF(OR(M171&lt;&gt;"要調整",H171=""),"",IFERROR((INDEX(設定!$Q$8:$Q$27,MATCH(H171,設定!$P$8:$P$27,0))+N(INDEX(設定!$R$8:$R$27,MATCH(H171,設定!$P$8:$P$27,0))))-INDEX(定員チェック!$F$7:$F$26,MATCH(H171,設定!$P$8:$P$27,0))-COUNTIFS($M$7:$M$456,"要調整",$G$7:$G$456,H171),""))</f>
        <v/>
      </c>
      <c r="O171" s="44">
        <f>IF(OR(M171&lt;&gt;"要調整",I171=""),"",IFERROR((INDEX(設定!$Q$8:$Q$27,MATCH(I171,設定!$P$8:$P$27,0))+N(INDEX(設定!$R$8:$R$27,MATCH(I171,設定!$P$8:$P$27,0))))-INDEX(定員チェック!$F$7:$F$26,MATCH(I171,設定!$P$8:$P$27,0))-COUNTIFS($M$7:$M$456,"要調整",$G$7:$G$456,I171),""))</f>
        <v/>
      </c>
      <c r="P171" s="8">
        <f>IFERROR(MATCH(SMALL(前年度名簿!$G$2:$G$451,165),前年度名簿!$G$2:$G$451,0),"")</f>
        <v/>
      </c>
      <c r="Q171" s="8">
        <f>IF(R171="","",IFERROR(MATCH(R171,希望入力!$M$2:$M$551,0),""))</f>
        <v/>
      </c>
      <c r="R171" s="8">
        <f>IF(P171="","",INDEX(前年度名簿!$F$2:$F$451,P171))</f>
        <v/>
      </c>
      <c r="S171" s="8">
        <f>IF(P171="","",INDEX(前年度名簿!$I$2:$I$451,P171))</f>
        <v/>
      </c>
      <c r="T171" s="8">
        <f>IF(OR(P171="",計算用!$B$1=0),"",IFERROR(MATCH(S171,新年度名簿!$H$2:$H$451,0),""))</f>
        <v/>
      </c>
      <c r="U171" s="8">
        <f>IF(OR(L171="",M171="転出"),"",IFERROR(MATCH(L171,設定!$P$8:$P$27,0),""))</f>
        <v/>
      </c>
      <c r="V171" s="8">
        <f>IF(U171="","",COUNTIF($U$7:U171,U171))</f>
        <v/>
      </c>
      <c r="W171" s="8">
        <f>IF(U171="","",U171*1000+V171)</f>
        <v/>
      </c>
    </row>
    <row r="172">
      <c r="A172" s="44">
        <f>IF(P172="","",INDEX(前年度名簿!$H$2:$H$451,P172))</f>
        <v/>
      </c>
      <c r="B172" s="44">
        <f>IF(P172="","",IFERROR(INDEX(設定!$G$8:$G$31,INT(INDEX(前年度名簿!$G$2:$G$451,P172)/1000)),INDEX(前年度名簿!$A$2:$A$451,P172)&amp;INDEX(前年度名簿!$B$2:$B$451,P172)))</f>
        <v/>
      </c>
      <c r="C172" s="44">
        <f>IF(P172="","",INDEX(前年度名簿!$C$2:$C$451,P172))</f>
        <v/>
      </c>
      <c r="D172" s="3">
        <f>IF(P172="","",INDEX(前年度名簿!$D$2:$D$451,P172))</f>
        <v/>
      </c>
      <c r="E172" s="44">
        <f>IF(T172="","",INDEX(新年度名簿!$K$2:$K$451,T172))</f>
        <v/>
      </c>
      <c r="F172" s="44">
        <f>IF(T172="","",INDEX(新年度名簿!$C$2:$C$451,T172))</f>
        <v/>
      </c>
      <c r="G172" s="44">
        <f>IF(Q172="","",INDEX(希望入力!$H$2:$H$551,Q172)&amp;"")</f>
        <v/>
      </c>
      <c r="H172" s="44">
        <f>IF(Q172="","",INDEX(希望入力!$I$2:$I$551,Q172)&amp;"")</f>
        <v/>
      </c>
      <c r="I172" s="44">
        <f>IF(Q172="","",INDEX(希望入力!$J$2:$J$551,Q172)&amp;"")</f>
        <v/>
      </c>
      <c r="J172" s="44">
        <f>IF(Q172="","",IF(G172="","要調整",IFERROR(IF(IF(OR(設定!$C$14="〇",設定!$C$14="○"),COUNTIFS($A$7:$A$456,"&gt;="&amp;A172,$G$7:$G$456,G172),COUNTIF($G$7:$G$456,G172))&lt;=(INDEX(設定!$Q$8:$Q$27,MATCH(G172,設定!$P$8:$P$27,0))+N(INDEX(設定!$R$8:$R$27,MATCH(G172,設定!$P$8:$P$27,0)))),G172,"要調整"),"要調整")))</f>
        <v/>
      </c>
      <c r="K172" s="40" t="n"/>
      <c r="L172" s="52">
        <f>IF(P172="","",IF(K172&lt;&gt;"",K172,IF(OR(J172="",J172="要調整"),"",J172)))</f>
        <v/>
      </c>
      <c r="M172" s="44">
        <f>IF(P172="","",IF(AND(計算用!$B$1=1,T172=""),"転出",IF(L172&lt;&gt;"","決定",IF(Q172="","未提出","要調整"))))</f>
        <v/>
      </c>
      <c r="N172" s="44">
        <f>IF(OR(M172&lt;&gt;"要調整",H172=""),"",IFERROR((INDEX(設定!$Q$8:$Q$27,MATCH(H172,設定!$P$8:$P$27,0))+N(INDEX(設定!$R$8:$R$27,MATCH(H172,設定!$P$8:$P$27,0))))-INDEX(定員チェック!$F$7:$F$26,MATCH(H172,設定!$P$8:$P$27,0))-COUNTIFS($M$7:$M$456,"要調整",$G$7:$G$456,H172),""))</f>
        <v/>
      </c>
      <c r="O172" s="44">
        <f>IF(OR(M172&lt;&gt;"要調整",I172=""),"",IFERROR((INDEX(設定!$Q$8:$Q$27,MATCH(I172,設定!$P$8:$P$27,0))+N(INDEX(設定!$R$8:$R$27,MATCH(I172,設定!$P$8:$P$27,0))))-INDEX(定員チェック!$F$7:$F$26,MATCH(I172,設定!$P$8:$P$27,0))-COUNTIFS($M$7:$M$456,"要調整",$G$7:$G$456,I172),""))</f>
        <v/>
      </c>
      <c r="P172" s="8">
        <f>IFERROR(MATCH(SMALL(前年度名簿!$G$2:$G$451,166),前年度名簿!$G$2:$G$451,0),"")</f>
        <v/>
      </c>
      <c r="Q172" s="8">
        <f>IF(R172="","",IFERROR(MATCH(R172,希望入力!$M$2:$M$551,0),""))</f>
        <v/>
      </c>
      <c r="R172" s="8">
        <f>IF(P172="","",INDEX(前年度名簿!$F$2:$F$451,P172))</f>
        <v/>
      </c>
      <c r="S172" s="8">
        <f>IF(P172="","",INDEX(前年度名簿!$I$2:$I$451,P172))</f>
        <v/>
      </c>
      <c r="T172" s="8">
        <f>IF(OR(P172="",計算用!$B$1=0),"",IFERROR(MATCH(S172,新年度名簿!$H$2:$H$451,0),""))</f>
        <v/>
      </c>
      <c r="U172" s="8">
        <f>IF(OR(L172="",M172="転出"),"",IFERROR(MATCH(L172,設定!$P$8:$P$27,0),""))</f>
        <v/>
      </c>
      <c r="V172" s="8">
        <f>IF(U172="","",COUNTIF($U$7:U172,U172))</f>
        <v/>
      </c>
      <c r="W172" s="8">
        <f>IF(U172="","",U172*1000+V172)</f>
        <v/>
      </c>
    </row>
    <row r="173">
      <c r="A173" s="44">
        <f>IF(P173="","",INDEX(前年度名簿!$H$2:$H$451,P173))</f>
        <v/>
      </c>
      <c r="B173" s="44">
        <f>IF(P173="","",IFERROR(INDEX(設定!$G$8:$G$31,INT(INDEX(前年度名簿!$G$2:$G$451,P173)/1000)),INDEX(前年度名簿!$A$2:$A$451,P173)&amp;INDEX(前年度名簿!$B$2:$B$451,P173)))</f>
        <v/>
      </c>
      <c r="C173" s="44">
        <f>IF(P173="","",INDEX(前年度名簿!$C$2:$C$451,P173))</f>
        <v/>
      </c>
      <c r="D173" s="3">
        <f>IF(P173="","",INDEX(前年度名簿!$D$2:$D$451,P173))</f>
        <v/>
      </c>
      <c r="E173" s="44">
        <f>IF(T173="","",INDEX(新年度名簿!$K$2:$K$451,T173))</f>
        <v/>
      </c>
      <c r="F173" s="44">
        <f>IF(T173="","",INDEX(新年度名簿!$C$2:$C$451,T173))</f>
        <v/>
      </c>
      <c r="G173" s="44">
        <f>IF(Q173="","",INDEX(希望入力!$H$2:$H$551,Q173)&amp;"")</f>
        <v/>
      </c>
      <c r="H173" s="44">
        <f>IF(Q173="","",INDEX(希望入力!$I$2:$I$551,Q173)&amp;"")</f>
        <v/>
      </c>
      <c r="I173" s="44">
        <f>IF(Q173="","",INDEX(希望入力!$J$2:$J$551,Q173)&amp;"")</f>
        <v/>
      </c>
      <c r="J173" s="44">
        <f>IF(Q173="","",IF(G173="","要調整",IFERROR(IF(IF(OR(設定!$C$14="〇",設定!$C$14="○"),COUNTIFS($A$7:$A$456,"&gt;="&amp;A173,$G$7:$G$456,G173),COUNTIF($G$7:$G$456,G173))&lt;=(INDEX(設定!$Q$8:$Q$27,MATCH(G173,設定!$P$8:$P$27,0))+N(INDEX(設定!$R$8:$R$27,MATCH(G173,設定!$P$8:$P$27,0)))),G173,"要調整"),"要調整")))</f>
        <v/>
      </c>
      <c r="K173" s="40" t="n"/>
      <c r="L173" s="52">
        <f>IF(P173="","",IF(K173&lt;&gt;"",K173,IF(OR(J173="",J173="要調整"),"",J173)))</f>
        <v/>
      </c>
      <c r="M173" s="44">
        <f>IF(P173="","",IF(AND(計算用!$B$1=1,T173=""),"転出",IF(L173&lt;&gt;"","決定",IF(Q173="","未提出","要調整"))))</f>
        <v/>
      </c>
      <c r="N173" s="44">
        <f>IF(OR(M173&lt;&gt;"要調整",H173=""),"",IFERROR((INDEX(設定!$Q$8:$Q$27,MATCH(H173,設定!$P$8:$P$27,0))+N(INDEX(設定!$R$8:$R$27,MATCH(H173,設定!$P$8:$P$27,0))))-INDEX(定員チェック!$F$7:$F$26,MATCH(H173,設定!$P$8:$P$27,0))-COUNTIFS($M$7:$M$456,"要調整",$G$7:$G$456,H173),""))</f>
        <v/>
      </c>
      <c r="O173" s="44">
        <f>IF(OR(M173&lt;&gt;"要調整",I173=""),"",IFERROR((INDEX(設定!$Q$8:$Q$27,MATCH(I173,設定!$P$8:$P$27,0))+N(INDEX(設定!$R$8:$R$27,MATCH(I173,設定!$P$8:$P$27,0))))-INDEX(定員チェック!$F$7:$F$26,MATCH(I173,設定!$P$8:$P$27,0))-COUNTIFS($M$7:$M$456,"要調整",$G$7:$G$456,I173),""))</f>
        <v/>
      </c>
      <c r="P173" s="8">
        <f>IFERROR(MATCH(SMALL(前年度名簿!$G$2:$G$451,167),前年度名簿!$G$2:$G$451,0),"")</f>
        <v/>
      </c>
      <c r="Q173" s="8">
        <f>IF(R173="","",IFERROR(MATCH(R173,希望入力!$M$2:$M$551,0),""))</f>
        <v/>
      </c>
      <c r="R173" s="8">
        <f>IF(P173="","",INDEX(前年度名簿!$F$2:$F$451,P173))</f>
        <v/>
      </c>
      <c r="S173" s="8">
        <f>IF(P173="","",INDEX(前年度名簿!$I$2:$I$451,P173))</f>
        <v/>
      </c>
      <c r="T173" s="8">
        <f>IF(OR(P173="",計算用!$B$1=0),"",IFERROR(MATCH(S173,新年度名簿!$H$2:$H$451,0),""))</f>
        <v/>
      </c>
      <c r="U173" s="8">
        <f>IF(OR(L173="",M173="転出"),"",IFERROR(MATCH(L173,設定!$P$8:$P$27,0),""))</f>
        <v/>
      </c>
      <c r="V173" s="8">
        <f>IF(U173="","",COUNTIF($U$7:U173,U173))</f>
        <v/>
      </c>
      <c r="W173" s="8">
        <f>IF(U173="","",U173*1000+V173)</f>
        <v/>
      </c>
    </row>
    <row r="174">
      <c r="A174" s="44">
        <f>IF(P174="","",INDEX(前年度名簿!$H$2:$H$451,P174))</f>
        <v/>
      </c>
      <c r="B174" s="44">
        <f>IF(P174="","",IFERROR(INDEX(設定!$G$8:$G$31,INT(INDEX(前年度名簿!$G$2:$G$451,P174)/1000)),INDEX(前年度名簿!$A$2:$A$451,P174)&amp;INDEX(前年度名簿!$B$2:$B$451,P174)))</f>
        <v/>
      </c>
      <c r="C174" s="44">
        <f>IF(P174="","",INDEX(前年度名簿!$C$2:$C$451,P174))</f>
        <v/>
      </c>
      <c r="D174" s="3">
        <f>IF(P174="","",INDEX(前年度名簿!$D$2:$D$451,P174))</f>
        <v/>
      </c>
      <c r="E174" s="44">
        <f>IF(T174="","",INDEX(新年度名簿!$K$2:$K$451,T174))</f>
        <v/>
      </c>
      <c r="F174" s="44">
        <f>IF(T174="","",INDEX(新年度名簿!$C$2:$C$451,T174))</f>
        <v/>
      </c>
      <c r="G174" s="44">
        <f>IF(Q174="","",INDEX(希望入力!$H$2:$H$551,Q174)&amp;"")</f>
        <v/>
      </c>
      <c r="H174" s="44">
        <f>IF(Q174="","",INDEX(希望入力!$I$2:$I$551,Q174)&amp;"")</f>
        <v/>
      </c>
      <c r="I174" s="44">
        <f>IF(Q174="","",INDEX(希望入力!$J$2:$J$551,Q174)&amp;"")</f>
        <v/>
      </c>
      <c r="J174" s="44">
        <f>IF(Q174="","",IF(G174="","要調整",IFERROR(IF(IF(OR(設定!$C$14="〇",設定!$C$14="○"),COUNTIFS($A$7:$A$456,"&gt;="&amp;A174,$G$7:$G$456,G174),COUNTIF($G$7:$G$456,G174))&lt;=(INDEX(設定!$Q$8:$Q$27,MATCH(G174,設定!$P$8:$P$27,0))+N(INDEX(設定!$R$8:$R$27,MATCH(G174,設定!$P$8:$P$27,0)))),G174,"要調整"),"要調整")))</f>
        <v/>
      </c>
      <c r="K174" s="40" t="n"/>
      <c r="L174" s="52">
        <f>IF(P174="","",IF(K174&lt;&gt;"",K174,IF(OR(J174="",J174="要調整"),"",J174)))</f>
        <v/>
      </c>
      <c r="M174" s="44">
        <f>IF(P174="","",IF(AND(計算用!$B$1=1,T174=""),"転出",IF(L174&lt;&gt;"","決定",IF(Q174="","未提出","要調整"))))</f>
        <v/>
      </c>
      <c r="N174" s="44">
        <f>IF(OR(M174&lt;&gt;"要調整",H174=""),"",IFERROR((INDEX(設定!$Q$8:$Q$27,MATCH(H174,設定!$P$8:$P$27,0))+N(INDEX(設定!$R$8:$R$27,MATCH(H174,設定!$P$8:$P$27,0))))-INDEX(定員チェック!$F$7:$F$26,MATCH(H174,設定!$P$8:$P$27,0))-COUNTIFS($M$7:$M$456,"要調整",$G$7:$G$456,H174),""))</f>
        <v/>
      </c>
      <c r="O174" s="44">
        <f>IF(OR(M174&lt;&gt;"要調整",I174=""),"",IFERROR((INDEX(設定!$Q$8:$Q$27,MATCH(I174,設定!$P$8:$P$27,0))+N(INDEX(設定!$R$8:$R$27,MATCH(I174,設定!$P$8:$P$27,0))))-INDEX(定員チェック!$F$7:$F$26,MATCH(I174,設定!$P$8:$P$27,0))-COUNTIFS($M$7:$M$456,"要調整",$G$7:$G$456,I174),""))</f>
        <v/>
      </c>
      <c r="P174" s="8">
        <f>IFERROR(MATCH(SMALL(前年度名簿!$G$2:$G$451,168),前年度名簿!$G$2:$G$451,0),"")</f>
        <v/>
      </c>
      <c r="Q174" s="8">
        <f>IF(R174="","",IFERROR(MATCH(R174,希望入力!$M$2:$M$551,0),""))</f>
        <v/>
      </c>
      <c r="R174" s="8">
        <f>IF(P174="","",INDEX(前年度名簿!$F$2:$F$451,P174))</f>
        <v/>
      </c>
      <c r="S174" s="8">
        <f>IF(P174="","",INDEX(前年度名簿!$I$2:$I$451,P174))</f>
        <v/>
      </c>
      <c r="T174" s="8">
        <f>IF(OR(P174="",計算用!$B$1=0),"",IFERROR(MATCH(S174,新年度名簿!$H$2:$H$451,0),""))</f>
        <v/>
      </c>
      <c r="U174" s="8">
        <f>IF(OR(L174="",M174="転出"),"",IFERROR(MATCH(L174,設定!$P$8:$P$27,0),""))</f>
        <v/>
      </c>
      <c r="V174" s="8">
        <f>IF(U174="","",COUNTIF($U$7:U174,U174))</f>
        <v/>
      </c>
      <c r="W174" s="8">
        <f>IF(U174="","",U174*1000+V174)</f>
        <v/>
      </c>
    </row>
    <row r="175">
      <c r="A175" s="44">
        <f>IF(P175="","",INDEX(前年度名簿!$H$2:$H$451,P175))</f>
        <v/>
      </c>
      <c r="B175" s="44">
        <f>IF(P175="","",IFERROR(INDEX(設定!$G$8:$G$31,INT(INDEX(前年度名簿!$G$2:$G$451,P175)/1000)),INDEX(前年度名簿!$A$2:$A$451,P175)&amp;INDEX(前年度名簿!$B$2:$B$451,P175)))</f>
        <v/>
      </c>
      <c r="C175" s="44">
        <f>IF(P175="","",INDEX(前年度名簿!$C$2:$C$451,P175))</f>
        <v/>
      </c>
      <c r="D175" s="3">
        <f>IF(P175="","",INDEX(前年度名簿!$D$2:$D$451,P175))</f>
        <v/>
      </c>
      <c r="E175" s="44">
        <f>IF(T175="","",INDEX(新年度名簿!$K$2:$K$451,T175))</f>
        <v/>
      </c>
      <c r="F175" s="44">
        <f>IF(T175="","",INDEX(新年度名簿!$C$2:$C$451,T175))</f>
        <v/>
      </c>
      <c r="G175" s="44">
        <f>IF(Q175="","",INDEX(希望入力!$H$2:$H$551,Q175)&amp;"")</f>
        <v/>
      </c>
      <c r="H175" s="44">
        <f>IF(Q175="","",INDEX(希望入力!$I$2:$I$551,Q175)&amp;"")</f>
        <v/>
      </c>
      <c r="I175" s="44">
        <f>IF(Q175="","",INDEX(希望入力!$J$2:$J$551,Q175)&amp;"")</f>
        <v/>
      </c>
      <c r="J175" s="44">
        <f>IF(Q175="","",IF(G175="","要調整",IFERROR(IF(IF(OR(設定!$C$14="〇",設定!$C$14="○"),COUNTIFS($A$7:$A$456,"&gt;="&amp;A175,$G$7:$G$456,G175),COUNTIF($G$7:$G$456,G175))&lt;=(INDEX(設定!$Q$8:$Q$27,MATCH(G175,設定!$P$8:$P$27,0))+N(INDEX(設定!$R$8:$R$27,MATCH(G175,設定!$P$8:$P$27,0)))),G175,"要調整"),"要調整")))</f>
        <v/>
      </c>
      <c r="K175" s="40" t="n"/>
      <c r="L175" s="52">
        <f>IF(P175="","",IF(K175&lt;&gt;"",K175,IF(OR(J175="",J175="要調整"),"",J175)))</f>
        <v/>
      </c>
      <c r="M175" s="44">
        <f>IF(P175="","",IF(AND(計算用!$B$1=1,T175=""),"転出",IF(L175&lt;&gt;"","決定",IF(Q175="","未提出","要調整"))))</f>
        <v/>
      </c>
      <c r="N175" s="44">
        <f>IF(OR(M175&lt;&gt;"要調整",H175=""),"",IFERROR((INDEX(設定!$Q$8:$Q$27,MATCH(H175,設定!$P$8:$P$27,0))+N(INDEX(設定!$R$8:$R$27,MATCH(H175,設定!$P$8:$P$27,0))))-INDEX(定員チェック!$F$7:$F$26,MATCH(H175,設定!$P$8:$P$27,0))-COUNTIFS($M$7:$M$456,"要調整",$G$7:$G$456,H175),""))</f>
        <v/>
      </c>
      <c r="O175" s="44">
        <f>IF(OR(M175&lt;&gt;"要調整",I175=""),"",IFERROR((INDEX(設定!$Q$8:$Q$27,MATCH(I175,設定!$P$8:$P$27,0))+N(INDEX(設定!$R$8:$R$27,MATCH(I175,設定!$P$8:$P$27,0))))-INDEX(定員チェック!$F$7:$F$26,MATCH(I175,設定!$P$8:$P$27,0))-COUNTIFS($M$7:$M$456,"要調整",$G$7:$G$456,I175),""))</f>
        <v/>
      </c>
      <c r="P175" s="8">
        <f>IFERROR(MATCH(SMALL(前年度名簿!$G$2:$G$451,169),前年度名簿!$G$2:$G$451,0),"")</f>
        <v/>
      </c>
      <c r="Q175" s="8">
        <f>IF(R175="","",IFERROR(MATCH(R175,希望入力!$M$2:$M$551,0),""))</f>
        <v/>
      </c>
      <c r="R175" s="8">
        <f>IF(P175="","",INDEX(前年度名簿!$F$2:$F$451,P175))</f>
        <v/>
      </c>
      <c r="S175" s="8">
        <f>IF(P175="","",INDEX(前年度名簿!$I$2:$I$451,P175))</f>
        <v/>
      </c>
      <c r="T175" s="8">
        <f>IF(OR(P175="",計算用!$B$1=0),"",IFERROR(MATCH(S175,新年度名簿!$H$2:$H$451,0),""))</f>
        <v/>
      </c>
      <c r="U175" s="8">
        <f>IF(OR(L175="",M175="転出"),"",IFERROR(MATCH(L175,設定!$P$8:$P$27,0),""))</f>
        <v/>
      </c>
      <c r="V175" s="8">
        <f>IF(U175="","",COUNTIF($U$7:U175,U175))</f>
        <v/>
      </c>
      <c r="W175" s="8">
        <f>IF(U175="","",U175*1000+V175)</f>
        <v/>
      </c>
    </row>
    <row r="176">
      <c r="A176" s="44">
        <f>IF(P176="","",INDEX(前年度名簿!$H$2:$H$451,P176))</f>
        <v/>
      </c>
      <c r="B176" s="44">
        <f>IF(P176="","",IFERROR(INDEX(設定!$G$8:$G$31,INT(INDEX(前年度名簿!$G$2:$G$451,P176)/1000)),INDEX(前年度名簿!$A$2:$A$451,P176)&amp;INDEX(前年度名簿!$B$2:$B$451,P176)))</f>
        <v/>
      </c>
      <c r="C176" s="44">
        <f>IF(P176="","",INDEX(前年度名簿!$C$2:$C$451,P176))</f>
        <v/>
      </c>
      <c r="D176" s="3">
        <f>IF(P176="","",INDEX(前年度名簿!$D$2:$D$451,P176))</f>
        <v/>
      </c>
      <c r="E176" s="44">
        <f>IF(T176="","",INDEX(新年度名簿!$K$2:$K$451,T176))</f>
        <v/>
      </c>
      <c r="F176" s="44">
        <f>IF(T176="","",INDEX(新年度名簿!$C$2:$C$451,T176))</f>
        <v/>
      </c>
      <c r="G176" s="44">
        <f>IF(Q176="","",INDEX(希望入力!$H$2:$H$551,Q176)&amp;"")</f>
        <v/>
      </c>
      <c r="H176" s="44">
        <f>IF(Q176="","",INDEX(希望入力!$I$2:$I$551,Q176)&amp;"")</f>
        <v/>
      </c>
      <c r="I176" s="44">
        <f>IF(Q176="","",INDEX(希望入力!$J$2:$J$551,Q176)&amp;"")</f>
        <v/>
      </c>
      <c r="J176" s="44">
        <f>IF(Q176="","",IF(G176="","要調整",IFERROR(IF(IF(OR(設定!$C$14="〇",設定!$C$14="○"),COUNTIFS($A$7:$A$456,"&gt;="&amp;A176,$G$7:$G$456,G176),COUNTIF($G$7:$G$456,G176))&lt;=(INDEX(設定!$Q$8:$Q$27,MATCH(G176,設定!$P$8:$P$27,0))+N(INDEX(設定!$R$8:$R$27,MATCH(G176,設定!$P$8:$P$27,0)))),G176,"要調整"),"要調整")))</f>
        <v/>
      </c>
      <c r="K176" s="40" t="n"/>
      <c r="L176" s="52">
        <f>IF(P176="","",IF(K176&lt;&gt;"",K176,IF(OR(J176="",J176="要調整"),"",J176)))</f>
        <v/>
      </c>
      <c r="M176" s="44">
        <f>IF(P176="","",IF(AND(計算用!$B$1=1,T176=""),"転出",IF(L176&lt;&gt;"","決定",IF(Q176="","未提出","要調整"))))</f>
        <v/>
      </c>
      <c r="N176" s="44">
        <f>IF(OR(M176&lt;&gt;"要調整",H176=""),"",IFERROR((INDEX(設定!$Q$8:$Q$27,MATCH(H176,設定!$P$8:$P$27,0))+N(INDEX(設定!$R$8:$R$27,MATCH(H176,設定!$P$8:$P$27,0))))-INDEX(定員チェック!$F$7:$F$26,MATCH(H176,設定!$P$8:$P$27,0))-COUNTIFS($M$7:$M$456,"要調整",$G$7:$G$456,H176),""))</f>
        <v/>
      </c>
      <c r="O176" s="44">
        <f>IF(OR(M176&lt;&gt;"要調整",I176=""),"",IFERROR((INDEX(設定!$Q$8:$Q$27,MATCH(I176,設定!$P$8:$P$27,0))+N(INDEX(設定!$R$8:$R$27,MATCH(I176,設定!$P$8:$P$27,0))))-INDEX(定員チェック!$F$7:$F$26,MATCH(I176,設定!$P$8:$P$27,0))-COUNTIFS($M$7:$M$456,"要調整",$G$7:$G$456,I176),""))</f>
        <v/>
      </c>
      <c r="P176" s="8">
        <f>IFERROR(MATCH(SMALL(前年度名簿!$G$2:$G$451,170),前年度名簿!$G$2:$G$451,0),"")</f>
        <v/>
      </c>
      <c r="Q176" s="8">
        <f>IF(R176="","",IFERROR(MATCH(R176,希望入力!$M$2:$M$551,0),""))</f>
        <v/>
      </c>
      <c r="R176" s="8">
        <f>IF(P176="","",INDEX(前年度名簿!$F$2:$F$451,P176))</f>
        <v/>
      </c>
      <c r="S176" s="8">
        <f>IF(P176="","",INDEX(前年度名簿!$I$2:$I$451,P176))</f>
        <v/>
      </c>
      <c r="T176" s="8">
        <f>IF(OR(P176="",計算用!$B$1=0),"",IFERROR(MATCH(S176,新年度名簿!$H$2:$H$451,0),""))</f>
        <v/>
      </c>
      <c r="U176" s="8">
        <f>IF(OR(L176="",M176="転出"),"",IFERROR(MATCH(L176,設定!$P$8:$P$27,0),""))</f>
        <v/>
      </c>
      <c r="V176" s="8">
        <f>IF(U176="","",COUNTIF($U$7:U176,U176))</f>
        <v/>
      </c>
      <c r="W176" s="8">
        <f>IF(U176="","",U176*1000+V176)</f>
        <v/>
      </c>
    </row>
    <row r="177">
      <c r="A177" s="44">
        <f>IF(P177="","",INDEX(前年度名簿!$H$2:$H$451,P177))</f>
        <v/>
      </c>
      <c r="B177" s="44">
        <f>IF(P177="","",IFERROR(INDEX(設定!$G$8:$G$31,INT(INDEX(前年度名簿!$G$2:$G$451,P177)/1000)),INDEX(前年度名簿!$A$2:$A$451,P177)&amp;INDEX(前年度名簿!$B$2:$B$451,P177)))</f>
        <v/>
      </c>
      <c r="C177" s="44">
        <f>IF(P177="","",INDEX(前年度名簿!$C$2:$C$451,P177))</f>
        <v/>
      </c>
      <c r="D177" s="3">
        <f>IF(P177="","",INDEX(前年度名簿!$D$2:$D$451,P177))</f>
        <v/>
      </c>
      <c r="E177" s="44">
        <f>IF(T177="","",INDEX(新年度名簿!$K$2:$K$451,T177))</f>
        <v/>
      </c>
      <c r="F177" s="44">
        <f>IF(T177="","",INDEX(新年度名簿!$C$2:$C$451,T177))</f>
        <v/>
      </c>
      <c r="G177" s="44">
        <f>IF(Q177="","",INDEX(希望入力!$H$2:$H$551,Q177)&amp;"")</f>
        <v/>
      </c>
      <c r="H177" s="44">
        <f>IF(Q177="","",INDEX(希望入力!$I$2:$I$551,Q177)&amp;"")</f>
        <v/>
      </c>
      <c r="I177" s="44">
        <f>IF(Q177="","",INDEX(希望入力!$J$2:$J$551,Q177)&amp;"")</f>
        <v/>
      </c>
      <c r="J177" s="44">
        <f>IF(Q177="","",IF(G177="","要調整",IFERROR(IF(IF(OR(設定!$C$14="〇",設定!$C$14="○"),COUNTIFS($A$7:$A$456,"&gt;="&amp;A177,$G$7:$G$456,G177),COUNTIF($G$7:$G$456,G177))&lt;=(INDEX(設定!$Q$8:$Q$27,MATCH(G177,設定!$P$8:$P$27,0))+N(INDEX(設定!$R$8:$R$27,MATCH(G177,設定!$P$8:$P$27,0)))),G177,"要調整"),"要調整")))</f>
        <v/>
      </c>
      <c r="K177" s="40" t="n"/>
      <c r="L177" s="52">
        <f>IF(P177="","",IF(K177&lt;&gt;"",K177,IF(OR(J177="",J177="要調整"),"",J177)))</f>
        <v/>
      </c>
      <c r="M177" s="44">
        <f>IF(P177="","",IF(AND(計算用!$B$1=1,T177=""),"転出",IF(L177&lt;&gt;"","決定",IF(Q177="","未提出","要調整"))))</f>
        <v/>
      </c>
      <c r="N177" s="44">
        <f>IF(OR(M177&lt;&gt;"要調整",H177=""),"",IFERROR((INDEX(設定!$Q$8:$Q$27,MATCH(H177,設定!$P$8:$P$27,0))+N(INDEX(設定!$R$8:$R$27,MATCH(H177,設定!$P$8:$P$27,0))))-INDEX(定員チェック!$F$7:$F$26,MATCH(H177,設定!$P$8:$P$27,0))-COUNTIFS($M$7:$M$456,"要調整",$G$7:$G$456,H177),""))</f>
        <v/>
      </c>
      <c r="O177" s="44">
        <f>IF(OR(M177&lt;&gt;"要調整",I177=""),"",IFERROR((INDEX(設定!$Q$8:$Q$27,MATCH(I177,設定!$P$8:$P$27,0))+N(INDEX(設定!$R$8:$R$27,MATCH(I177,設定!$P$8:$P$27,0))))-INDEX(定員チェック!$F$7:$F$26,MATCH(I177,設定!$P$8:$P$27,0))-COUNTIFS($M$7:$M$456,"要調整",$G$7:$G$456,I177),""))</f>
        <v/>
      </c>
      <c r="P177" s="8">
        <f>IFERROR(MATCH(SMALL(前年度名簿!$G$2:$G$451,171),前年度名簿!$G$2:$G$451,0),"")</f>
        <v/>
      </c>
      <c r="Q177" s="8">
        <f>IF(R177="","",IFERROR(MATCH(R177,希望入力!$M$2:$M$551,0),""))</f>
        <v/>
      </c>
      <c r="R177" s="8">
        <f>IF(P177="","",INDEX(前年度名簿!$F$2:$F$451,P177))</f>
        <v/>
      </c>
      <c r="S177" s="8">
        <f>IF(P177="","",INDEX(前年度名簿!$I$2:$I$451,P177))</f>
        <v/>
      </c>
      <c r="T177" s="8">
        <f>IF(OR(P177="",計算用!$B$1=0),"",IFERROR(MATCH(S177,新年度名簿!$H$2:$H$451,0),""))</f>
        <v/>
      </c>
      <c r="U177" s="8">
        <f>IF(OR(L177="",M177="転出"),"",IFERROR(MATCH(L177,設定!$P$8:$P$27,0),""))</f>
        <v/>
      </c>
      <c r="V177" s="8">
        <f>IF(U177="","",COUNTIF($U$7:U177,U177))</f>
        <v/>
      </c>
      <c r="W177" s="8">
        <f>IF(U177="","",U177*1000+V177)</f>
        <v/>
      </c>
    </row>
    <row r="178">
      <c r="A178" s="44">
        <f>IF(P178="","",INDEX(前年度名簿!$H$2:$H$451,P178))</f>
        <v/>
      </c>
      <c r="B178" s="44">
        <f>IF(P178="","",IFERROR(INDEX(設定!$G$8:$G$31,INT(INDEX(前年度名簿!$G$2:$G$451,P178)/1000)),INDEX(前年度名簿!$A$2:$A$451,P178)&amp;INDEX(前年度名簿!$B$2:$B$451,P178)))</f>
        <v/>
      </c>
      <c r="C178" s="44">
        <f>IF(P178="","",INDEX(前年度名簿!$C$2:$C$451,P178))</f>
        <v/>
      </c>
      <c r="D178" s="3">
        <f>IF(P178="","",INDEX(前年度名簿!$D$2:$D$451,P178))</f>
        <v/>
      </c>
      <c r="E178" s="44">
        <f>IF(T178="","",INDEX(新年度名簿!$K$2:$K$451,T178))</f>
        <v/>
      </c>
      <c r="F178" s="44">
        <f>IF(T178="","",INDEX(新年度名簿!$C$2:$C$451,T178))</f>
        <v/>
      </c>
      <c r="G178" s="44">
        <f>IF(Q178="","",INDEX(希望入力!$H$2:$H$551,Q178)&amp;"")</f>
        <v/>
      </c>
      <c r="H178" s="44">
        <f>IF(Q178="","",INDEX(希望入力!$I$2:$I$551,Q178)&amp;"")</f>
        <v/>
      </c>
      <c r="I178" s="44">
        <f>IF(Q178="","",INDEX(希望入力!$J$2:$J$551,Q178)&amp;"")</f>
        <v/>
      </c>
      <c r="J178" s="44">
        <f>IF(Q178="","",IF(G178="","要調整",IFERROR(IF(IF(OR(設定!$C$14="〇",設定!$C$14="○"),COUNTIFS($A$7:$A$456,"&gt;="&amp;A178,$G$7:$G$456,G178),COUNTIF($G$7:$G$456,G178))&lt;=(INDEX(設定!$Q$8:$Q$27,MATCH(G178,設定!$P$8:$P$27,0))+N(INDEX(設定!$R$8:$R$27,MATCH(G178,設定!$P$8:$P$27,0)))),G178,"要調整"),"要調整")))</f>
        <v/>
      </c>
      <c r="K178" s="40" t="n"/>
      <c r="L178" s="52">
        <f>IF(P178="","",IF(K178&lt;&gt;"",K178,IF(OR(J178="",J178="要調整"),"",J178)))</f>
        <v/>
      </c>
      <c r="M178" s="44">
        <f>IF(P178="","",IF(AND(計算用!$B$1=1,T178=""),"転出",IF(L178&lt;&gt;"","決定",IF(Q178="","未提出","要調整"))))</f>
        <v/>
      </c>
      <c r="N178" s="44">
        <f>IF(OR(M178&lt;&gt;"要調整",H178=""),"",IFERROR((INDEX(設定!$Q$8:$Q$27,MATCH(H178,設定!$P$8:$P$27,0))+N(INDEX(設定!$R$8:$R$27,MATCH(H178,設定!$P$8:$P$27,0))))-INDEX(定員チェック!$F$7:$F$26,MATCH(H178,設定!$P$8:$P$27,0))-COUNTIFS($M$7:$M$456,"要調整",$G$7:$G$456,H178),""))</f>
        <v/>
      </c>
      <c r="O178" s="44">
        <f>IF(OR(M178&lt;&gt;"要調整",I178=""),"",IFERROR((INDEX(設定!$Q$8:$Q$27,MATCH(I178,設定!$P$8:$P$27,0))+N(INDEX(設定!$R$8:$R$27,MATCH(I178,設定!$P$8:$P$27,0))))-INDEX(定員チェック!$F$7:$F$26,MATCH(I178,設定!$P$8:$P$27,0))-COUNTIFS($M$7:$M$456,"要調整",$G$7:$G$456,I178),""))</f>
        <v/>
      </c>
      <c r="P178" s="8">
        <f>IFERROR(MATCH(SMALL(前年度名簿!$G$2:$G$451,172),前年度名簿!$G$2:$G$451,0),"")</f>
        <v/>
      </c>
      <c r="Q178" s="8">
        <f>IF(R178="","",IFERROR(MATCH(R178,希望入力!$M$2:$M$551,0),""))</f>
        <v/>
      </c>
      <c r="R178" s="8">
        <f>IF(P178="","",INDEX(前年度名簿!$F$2:$F$451,P178))</f>
        <v/>
      </c>
      <c r="S178" s="8">
        <f>IF(P178="","",INDEX(前年度名簿!$I$2:$I$451,P178))</f>
        <v/>
      </c>
      <c r="T178" s="8">
        <f>IF(OR(P178="",計算用!$B$1=0),"",IFERROR(MATCH(S178,新年度名簿!$H$2:$H$451,0),""))</f>
        <v/>
      </c>
      <c r="U178" s="8">
        <f>IF(OR(L178="",M178="転出"),"",IFERROR(MATCH(L178,設定!$P$8:$P$27,0),""))</f>
        <v/>
      </c>
      <c r="V178" s="8">
        <f>IF(U178="","",COUNTIF($U$7:U178,U178))</f>
        <v/>
      </c>
      <c r="W178" s="8">
        <f>IF(U178="","",U178*1000+V178)</f>
        <v/>
      </c>
    </row>
    <row r="179">
      <c r="A179" s="44">
        <f>IF(P179="","",INDEX(前年度名簿!$H$2:$H$451,P179))</f>
        <v/>
      </c>
      <c r="B179" s="44">
        <f>IF(P179="","",IFERROR(INDEX(設定!$G$8:$G$31,INT(INDEX(前年度名簿!$G$2:$G$451,P179)/1000)),INDEX(前年度名簿!$A$2:$A$451,P179)&amp;INDEX(前年度名簿!$B$2:$B$451,P179)))</f>
        <v/>
      </c>
      <c r="C179" s="44">
        <f>IF(P179="","",INDEX(前年度名簿!$C$2:$C$451,P179))</f>
        <v/>
      </c>
      <c r="D179" s="3">
        <f>IF(P179="","",INDEX(前年度名簿!$D$2:$D$451,P179))</f>
        <v/>
      </c>
      <c r="E179" s="44">
        <f>IF(T179="","",INDEX(新年度名簿!$K$2:$K$451,T179))</f>
        <v/>
      </c>
      <c r="F179" s="44">
        <f>IF(T179="","",INDEX(新年度名簿!$C$2:$C$451,T179))</f>
        <v/>
      </c>
      <c r="G179" s="44">
        <f>IF(Q179="","",INDEX(希望入力!$H$2:$H$551,Q179)&amp;"")</f>
        <v/>
      </c>
      <c r="H179" s="44">
        <f>IF(Q179="","",INDEX(希望入力!$I$2:$I$551,Q179)&amp;"")</f>
        <v/>
      </c>
      <c r="I179" s="44">
        <f>IF(Q179="","",INDEX(希望入力!$J$2:$J$551,Q179)&amp;"")</f>
        <v/>
      </c>
      <c r="J179" s="44">
        <f>IF(Q179="","",IF(G179="","要調整",IFERROR(IF(IF(OR(設定!$C$14="〇",設定!$C$14="○"),COUNTIFS($A$7:$A$456,"&gt;="&amp;A179,$G$7:$G$456,G179),COUNTIF($G$7:$G$456,G179))&lt;=(INDEX(設定!$Q$8:$Q$27,MATCH(G179,設定!$P$8:$P$27,0))+N(INDEX(設定!$R$8:$R$27,MATCH(G179,設定!$P$8:$P$27,0)))),G179,"要調整"),"要調整")))</f>
        <v/>
      </c>
      <c r="K179" s="40" t="n"/>
      <c r="L179" s="52">
        <f>IF(P179="","",IF(K179&lt;&gt;"",K179,IF(OR(J179="",J179="要調整"),"",J179)))</f>
        <v/>
      </c>
      <c r="M179" s="44">
        <f>IF(P179="","",IF(AND(計算用!$B$1=1,T179=""),"転出",IF(L179&lt;&gt;"","決定",IF(Q179="","未提出","要調整"))))</f>
        <v/>
      </c>
      <c r="N179" s="44">
        <f>IF(OR(M179&lt;&gt;"要調整",H179=""),"",IFERROR((INDEX(設定!$Q$8:$Q$27,MATCH(H179,設定!$P$8:$P$27,0))+N(INDEX(設定!$R$8:$R$27,MATCH(H179,設定!$P$8:$P$27,0))))-INDEX(定員チェック!$F$7:$F$26,MATCH(H179,設定!$P$8:$P$27,0))-COUNTIFS($M$7:$M$456,"要調整",$G$7:$G$456,H179),""))</f>
        <v/>
      </c>
      <c r="O179" s="44">
        <f>IF(OR(M179&lt;&gt;"要調整",I179=""),"",IFERROR((INDEX(設定!$Q$8:$Q$27,MATCH(I179,設定!$P$8:$P$27,0))+N(INDEX(設定!$R$8:$R$27,MATCH(I179,設定!$P$8:$P$27,0))))-INDEX(定員チェック!$F$7:$F$26,MATCH(I179,設定!$P$8:$P$27,0))-COUNTIFS($M$7:$M$456,"要調整",$G$7:$G$456,I179),""))</f>
        <v/>
      </c>
      <c r="P179" s="8">
        <f>IFERROR(MATCH(SMALL(前年度名簿!$G$2:$G$451,173),前年度名簿!$G$2:$G$451,0),"")</f>
        <v/>
      </c>
      <c r="Q179" s="8">
        <f>IF(R179="","",IFERROR(MATCH(R179,希望入力!$M$2:$M$551,0),""))</f>
        <v/>
      </c>
      <c r="R179" s="8">
        <f>IF(P179="","",INDEX(前年度名簿!$F$2:$F$451,P179))</f>
        <v/>
      </c>
      <c r="S179" s="8">
        <f>IF(P179="","",INDEX(前年度名簿!$I$2:$I$451,P179))</f>
        <v/>
      </c>
      <c r="T179" s="8">
        <f>IF(OR(P179="",計算用!$B$1=0),"",IFERROR(MATCH(S179,新年度名簿!$H$2:$H$451,0),""))</f>
        <v/>
      </c>
      <c r="U179" s="8">
        <f>IF(OR(L179="",M179="転出"),"",IFERROR(MATCH(L179,設定!$P$8:$P$27,0),""))</f>
        <v/>
      </c>
      <c r="V179" s="8">
        <f>IF(U179="","",COUNTIF($U$7:U179,U179))</f>
        <v/>
      </c>
      <c r="W179" s="8">
        <f>IF(U179="","",U179*1000+V179)</f>
        <v/>
      </c>
    </row>
    <row r="180">
      <c r="A180" s="44">
        <f>IF(P180="","",INDEX(前年度名簿!$H$2:$H$451,P180))</f>
        <v/>
      </c>
      <c r="B180" s="44">
        <f>IF(P180="","",IFERROR(INDEX(設定!$G$8:$G$31,INT(INDEX(前年度名簿!$G$2:$G$451,P180)/1000)),INDEX(前年度名簿!$A$2:$A$451,P180)&amp;INDEX(前年度名簿!$B$2:$B$451,P180)))</f>
        <v/>
      </c>
      <c r="C180" s="44">
        <f>IF(P180="","",INDEX(前年度名簿!$C$2:$C$451,P180))</f>
        <v/>
      </c>
      <c r="D180" s="3">
        <f>IF(P180="","",INDEX(前年度名簿!$D$2:$D$451,P180))</f>
        <v/>
      </c>
      <c r="E180" s="44">
        <f>IF(T180="","",INDEX(新年度名簿!$K$2:$K$451,T180))</f>
        <v/>
      </c>
      <c r="F180" s="44">
        <f>IF(T180="","",INDEX(新年度名簿!$C$2:$C$451,T180))</f>
        <v/>
      </c>
      <c r="G180" s="44">
        <f>IF(Q180="","",INDEX(希望入力!$H$2:$H$551,Q180)&amp;"")</f>
        <v/>
      </c>
      <c r="H180" s="44">
        <f>IF(Q180="","",INDEX(希望入力!$I$2:$I$551,Q180)&amp;"")</f>
        <v/>
      </c>
      <c r="I180" s="44">
        <f>IF(Q180="","",INDEX(希望入力!$J$2:$J$551,Q180)&amp;"")</f>
        <v/>
      </c>
      <c r="J180" s="44">
        <f>IF(Q180="","",IF(G180="","要調整",IFERROR(IF(IF(OR(設定!$C$14="〇",設定!$C$14="○"),COUNTIFS($A$7:$A$456,"&gt;="&amp;A180,$G$7:$G$456,G180),COUNTIF($G$7:$G$456,G180))&lt;=(INDEX(設定!$Q$8:$Q$27,MATCH(G180,設定!$P$8:$P$27,0))+N(INDEX(設定!$R$8:$R$27,MATCH(G180,設定!$P$8:$P$27,0)))),G180,"要調整"),"要調整")))</f>
        <v/>
      </c>
      <c r="K180" s="40" t="n"/>
      <c r="L180" s="52">
        <f>IF(P180="","",IF(K180&lt;&gt;"",K180,IF(OR(J180="",J180="要調整"),"",J180)))</f>
        <v/>
      </c>
      <c r="M180" s="44">
        <f>IF(P180="","",IF(AND(計算用!$B$1=1,T180=""),"転出",IF(L180&lt;&gt;"","決定",IF(Q180="","未提出","要調整"))))</f>
        <v/>
      </c>
      <c r="N180" s="44">
        <f>IF(OR(M180&lt;&gt;"要調整",H180=""),"",IFERROR((INDEX(設定!$Q$8:$Q$27,MATCH(H180,設定!$P$8:$P$27,0))+N(INDEX(設定!$R$8:$R$27,MATCH(H180,設定!$P$8:$P$27,0))))-INDEX(定員チェック!$F$7:$F$26,MATCH(H180,設定!$P$8:$P$27,0))-COUNTIFS($M$7:$M$456,"要調整",$G$7:$G$456,H180),""))</f>
        <v/>
      </c>
      <c r="O180" s="44">
        <f>IF(OR(M180&lt;&gt;"要調整",I180=""),"",IFERROR((INDEX(設定!$Q$8:$Q$27,MATCH(I180,設定!$P$8:$P$27,0))+N(INDEX(設定!$R$8:$R$27,MATCH(I180,設定!$P$8:$P$27,0))))-INDEX(定員チェック!$F$7:$F$26,MATCH(I180,設定!$P$8:$P$27,0))-COUNTIFS($M$7:$M$456,"要調整",$G$7:$G$456,I180),""))</f>
        <v/>
      </c>
      <c r="P180" s="8">
        <f>IFERROR(MATCH(SMALL(前年度名簿!$G$2:$G$451,174),前年度名簿!$G$2:$G$451,0),"")</f>
        <v/>
      </c>
      <c r="Q180" s="8">
        <f>IF(R180="","",IFERROR(MATCH(R180,希望入力!$M$2:$M$551,0),""))</f>
        <v/>
      </c>
      <c r="R180" s="8">
        <f>IF(P180="","",INDEX(前年度名簿!$F$2:$F$451,P180))</f>
        <v/>
      </c>
      <c r="S180" s="8">
        <f>IF(P180="","",INDEX(前年度名簿!$I$2:$I$451,P180))</f>
        <v/>
      </c>
      <c r="T180" s="8">
        <f>IF(OR(P180="",計算用!$B$1=0),"",IFERROR(MATCH(S180,新年度名簿!$H$2:$H$451,0),""))</f>
        <v/>
      </c>
      <c r="U180" s="8">
        <f>IF(OR(L180="",M180="転出"),"",IFERROR(MATCH(L180,設定!$P$8:$P$27,0),""))</f>
        <v/>
      </c>
      <c r="V180" s="8">
        <f>IF(U180="","",COUNTIF($U$7:U180,U180))</f>
        <v/>
      </c>
      <c r="W180" s="8">
        <f>IF(U180="","",U180*1000+V180)</f>
        <v/>
      </c>
    </row>
    <row r="181">
      <c r="A181" s="44">
        <f>IF(P181="","",INDEX(前年度名簿!$H$2:$H$451,P181))</f>
        <v/>
      </c>
      <c r="B181" s="44">
        <f>IF(P181="","",IFERROR(INDEX(設定!$G$8:$G$31,INT(INDEX(前年度名簿!$G$2:$G$451,P181)/1000)),INDEX(前年度名簿!$A$2:$A$451,P181)&amp;INDEX(前年度名簿!$B$2:$B$451,P181)))</f>
        <v/>
      </c>
      <c r="C181" s="44">
        <f>IF(P181="","",INDEX(前年度名簿!$C$2:$C$451,P181))</f>
        <v/>
      </c>
      <c r="D181" s="3">
        <f>IF(P181="","",INDEX(前年度名簿!$D$2:$D$451,P181))</f>
        <v/>
      </c>
      <c r="E181" s="44">
        <f>IF(T181="","",INDEX(新年度名簿!$K$2:$K$451,T181))</f>
        <v/>
      </c>
      <c r="F181" s="44">
        <f>IF(T181="","",INDEX(新年度名簿!$C$2:$C$451,T181))</f>
        <v/>
      </c>
      <c r="G181" s="44">
        <f>IF(Q181="","",INDEX(希望入力!$H$2:$H$551,Q181)&amp;"")</f>
        <v/>
      </c>
      <c r="H181" s="44">
        <f>IF(Q181="","",INDEX(希望入力!$I$2:$I$551,Q181)&amp;"")</f>
        <v/>
      </c>
      <c r="I181" s="44">
        <f>IF(Q181="","",INDEX(希望入力!$J$2:$J$551,Q181)&amp;"")</f>
        <v/>
      </c>
      <c r="J181" s="44">
        <f>IF(Q181="","",IF(G181="","要調整",IFERROR(IF(IF(OR(設定!$C$14="〇",設定!$C$14="○"),COUNTIFS($A$7:$A$456,"&gt;="&amp;A181,$G$7:$G$456,G181),COUNTIF($G$7:$G$456,G181))&lt;=(INDEX(設定!$Q$8:$Q$27,MATCH(G181,設定!$P$8:$P$27,0))+N(INDEX(設定!$R$8:$R$27,MATCH(G181,設定!$P$8:$P$27,0)))),G181,"要調整"),"要調整")))</f>
        <v/>
      </c>
      <c r="K181" s="40" t="n"/>
      <c r="L181" s="52">
        <f>IF(P181="","",IF(K181&lt;&gt;"",K181,IF(OR(J181="",J181="要調整"),"",J181)))</f>
        <v/>
      </c>
      <c r="M181" s="44">
        <f>IF(P181="","",IF(AND(計算用!$B$1=1,T181=""),"転出",IF(L181&lt;&gt;"","決定",IF(Q181="","未提出","要調整"))))</f>
        <v/>
      </c>
      <c r="N181" s="44">
        <f>IF(OR(M181&lt;&gt;"要調整",H181=""),"",IFERROR((INDEX(設定!$Q$8:$Q$27,MATCH(H181,設定!$P$8:$P$27,0))+N(INDEX(設定!$R$8:$R$27,MATCH(H181,設定!$P$8:$P$27,0))))-INDEX(定員チェック!$F$7:$F$26,MATCH(H181,設定!$P$8:$P$27,0))-COUNTIFS($M$7:$M$456,"要調整",$G$7:$G$456,H181),""))</f>
        <v/>
      </c>
      <c r="O181" s="44">
        <f>IF(OR(M181&lt;&gt;"要調整",I181=""),"",IFERROR((INDEX(設定!$Q$8:$Q$27,MATCH(I181,設定!$P$8:$P$27,0))+N(INDEX(設定!$R$8:$R$27,MATCH(I181,設定!$P$8:$P$27,0))))-INDEX(定員チェック!$F$7:$F$26,MATCH(I181,設定!$P$8:$P$27,0))-COUNTIFS($M$7:$M$456,"要調整",$G$7:$G$456,I181),""))</f>
        <v/>
      </c>
      <c r="P181" s="8">
        <f>IFERROR(MATCH(SMALL(前年度名簿!$G$2:$G$451,175),前年度名簿!$G$2:$G$451,0),"")</f>
        <v/>
      </c>
      <c r="Q181" s="8">
        <f>IF(R181="","",IFERROR(MATCH(R181,希望入力!$M$2:$M$551,0),""))</f>
        <v/>
      </c>
      <c r="R181" s="8">
        <f>IF(P181="","",INDEX(前年度名簿!$F$2:$F$451,P181))</f>
        <v/>
      </c>
      <c r="S181" s="8">
        <f>IF(P181="","",INDEX(前年度名簿!$I$2:$I$451,P181))</f>
        <v/>
      </c>
      <c r="T181" s="8">
        <f>IF(OR(P181="",計算用!$B$1=0),"",IFERROR(MATCH(S181,新年度名簿!$H$2:$H$451,0),""))</f>
        <v/>
      </c>
      <c r="U181" s="8">
        <f>IF(OR(L181="",M181="転出"),"",IFERROR(MATCH(L181,設定!$P$8:$P$27,0),""))</f>
        <v/>
      </c>
      <c r="V181" s="8">
        <f>IF(U181="","",COUNTIF($U$7:U181,U181))</f>
        <v/>
      </c>
      <c r="W181" s="8">
        <f>IF(U181="","",U181*1000+V181)</f>
        <v/>
      </c>
    </row>
    <row r="182">
      <c r="A182" s="44">
        <f>IF(P182="","",INDEX(前年度名簿!$H$2:$H$451,P182))</f>
        <v/>
      </c>
      <c r="B182" s="44">
        <f>IF(P182="","",IFERROR(INDEX(設定!$G$8:$G$31,INT(INDEX(前年度名簿!$G$2:$G$451,P182)/1000)),INDEX(前年度名簿!$A$2:$A$451,P182)&amp;INDEX(前年度名簿!$B$2:$B$451,P182)))</f>
        <v/>
      </c>
      <c r="C182" s="44">
        <f>IF(P182="","",INDEX(前年度名簿!$C$2:$C$451,P182))</f>
        <v/>
      </c>
      <c r="D182" s="3">
        <f>IF(P182="","",INDEX(前年度名簿!$D$2:$D$451,P182))</f>
        <v/>
      </c>
      <c r="E182" s="44">
        <f>IF(T182="","",INDEX(新年度名簿!$K$2:$K$451,T182))</f>
        <v/>
      </c>
      <c r="F182" s="44">
        <f>IF(T182="","",INDEX(新年度名簿!$C$2:$C$451,T182))</f>
        <v/>
      </c>
      <c r="G182" s="44">
        <f>IF(Q182="","",INDEX(希望入力!$H$2:$H$551,Q182)&amp;"")</f>
        <v/>
      </c>
      <c r="H182" s="44">
        <f>IF(Q182="","",INDEX(希望入力!$I$2:$I$551,Q182)&amp;"")</f>
        <v/>
      </c>
      <c r="I182" s="44">
        <f>IF(Q182="","",INDEX(希望入力!$J$2:$J$551,Q182)&amp;"")</f>
        <v/>
      </c>
      <c r="J182" s="44">
        <f>IF(Q182="","",IF(G182="","要調整",IFERROR(IF(IF(OR(設定!$C$14="〇",設定!$C$14="○"),COUNTIFS($A$7:$A$456,"&gt;="&amp;A182,$G$7:$G$456,G182),COUNTIF($G$7:$G$456,G182))&lt;=(INDEX(設定!$Q$8:$Q$27,MATCH(G182,設定!$P$8:$P$27,0))+N(INDEX(設定!$R$8:$R$27,MATCH(G182,設定!$P$8:$P$27,0)))),G182,"要調整"),"要調整")))</f>
        <v/>
      </c>
      <c r="K182" s="40" t="n"/>
      <c r="L182" s="52">
        <f>IF(P182="","",IF(K182&lt;&gt;"",K182,IF(OR(J182="",J182="要調整"),"",J182)))</f>
        <v/>
      </c>
      <c r="M182" s="44">
        <f>IF(P182="","",IF(AND(計算用!$B$1=1,T182=""),"転出",IF(L182&lt;&gt;"","決定",IF(Q182="","未提出","要調整"))))</f>
        <v/>
      </c>
      <c r="N182" s="44">
        <f>IF(OR(M182&lt;&gt;"要調整",H182=""),"",IFERROR((INDEX(設定!$Q$8:$Q$27,MATCH(H182,設定!$P$8:$P$27,0))+N(INDEX(設定!$R$8:$R$27,MATCH(H182,設定!$P$8:$P$27,0))))-INDEX(定員チェック!$F$7:$F$26,MATCH(H182,設定!$P$8:$P$27,0))-COUNTIFS($M$7:$M$456,"要調整",$G$7:$G$456,H182),""))</f>
        <v/>
      </c>
      <c r="O182" s="44">
        <f>IF(OR(M182&lt;&gt;"要調整",I182=""),"",IFERROR((INDEX(設定!$Q$8:$Q$27,MATCH(I182,設定!$P$8:$P$27,0))+N(INDEX(設定!$R$8:$R$27,MATCH(I182,設定!$P$8:$P$27,0))))-INDEX(定員チェック!$F$7:$F$26,MATCH(I182,設定!$P$8:$P$27,0))-COUNTIFS($M$7:$M$456,"要調整",$G$7:$G$456,I182),""))</f>
        <v/>
      </c>
      <c r="P182" s="8">
        <f>IFERROR(MATCH(SMALL(前年度名簿!$G$2:$G$451,176),前年度名簿!$G$2:$G$451,0),"")</f>
        <v/>
      </c>
      <c r="Q182" s="8">
        <f>IF(R182="","",IFERROR(MATCH(R182,希望入力!$M$2:$M$551,0),""))</f>
        <v/>
      </c>
      <c r="R182" s="8">
        <f>IF(P182="","",INDEX(前年度名簿!$F$2:$F$451,P182))</f>
        <v/>
      </c>
      <c r="S182" s="8">
        <f>IF(P182="","",INDEX(前年度名簿!$I$2:$I$451,P182))</f>
        <v/>
      </c>
      <c r="T182" s="8">
        <f>IF(OR(P182="",計算用!$B$1=0),"",IFERROR(MATCH(S182,新年度名簿!$H$2:$H$451,0),""))</f>
        <v/>
      </c>
      <c r="U182" s="8">
        <f>IF(OR(L182="",M182="転出"),"",IFERROR(MATCH(L182,設定!$P$8:$P$27,0),""))</f>
        <v/>
      </c>
      <c r="V182" s="8">
        <f>IF(U182="","",COUNTIF($U$7:U182,U182))</f>
        <v/>
      </c>
      <c r="W182" s="8">
        <f>IF(U182="","",U182*1000+V182)</f>
        <v/>
      </c>
    </row>
    <row r="183">
      <c r="A183" s="44">
        <f>IF(P183="","",INDEX(前年度名簿!$H$2:$H$451,P183))</f>
        <v/>
      </c>
      <c r="B183" s="44">
        <f>IF(P183="","",IFERROR(INDEX(設定!$G$8:$G$31,INT(INDEX(前年度名簿!$G$2:$G$451,P183)/1000)),INDEX(前年度名簿!$A$2:$A$451,P183)&amp;INDEX(前年度名簿!$B$2:$B$451,P183)))</f>
        <v/>
      </c>
      <c r="C183" s="44">
        <f>IF(P183="","",INDEX(前年度名簿!$C$2:$C$451,P183))</f>
        <v/>
      </c>
      <c r="D183" s="3">
        <f>IF(P183="","",INDEX(前年度名簿!$D$2:$D$451,P183))</f>
        <v/>
      </c>
      <c r="E183" s="44">
        <f>IF(T183="","",INDEX(新年度名簿!$K$2:$K$451,T183))</f>
        <v/>
      </c>
      <c r="F183" s="44">
        <f>IF(T183="","",INDEX(新年度名簿!$C$2:$C$451,T183))</f>
        <v/>
      </c>
      <c r="G183" s="44">
        <f>IF(Q183="","",INDEX(希望入力!$H$2:$H$551,Q183)&amp;"")</f>
        <v/>
      </c>
      <c r="H183" s="44">
        <f>IF(Q183="","",INDEX(希望入力!$I$2:$I$551,Q183)&amp;"")</f>
        <v/>
      </c>
      <c r="I183" s="44">
        <f>IF(Q183="","",INDEX(希望入力!$J$2:$J$551,Q183)&amp;"")</f>
        <v/>
      </c>
      <c r="J183" s="44">
        <f>IF(Q183="","",IF(G183="","要調整",IFERROR(IF(IF(OR(設定!$C$14="〇",設定!$C$14="○"),COUNTIFS($A$7:$A$456,"&gt;="&amp;A183,$G$7:$G$456,G183),COUNTIF($G$7:$G$456,G183))&lt;=(INDEX(設定!$Q$8:$Q$27,MATCH(G183,設定!$P$8:$P$27,0))+N(INDEX(設定!$R$8:$R$27,MATCH(G183,設定!$P$8:$P$27,0)))),G183,"要調整"),"要調整")))</f>
        <v/>
      </c>
      <c r="K183" s="40" t="n"/>
      <c r="L183" s="52">
        <f>IF(P183="","",IF(K183&lt;&gt;"",K183,IF(OR(J183="",J183="要調整"),"",J183)))</f>
        <v/>
      </c>
      <c r="M183" s="44">
        <f>IF(P183="","",IF(AND(計算用!$B$1=1,T183=""),"転出",IF(L183&lt;&gt;"","決定",IF(Q183="","未提出","要調整"))))</f>
        <v/>
      </c>
      <c r="N183" s="44">
        <f>IF(OR(M183&lt;&gt;"要調整",H183=""),"",IFERROR((INDEX(設定!$Q$8:$Q$27,MATCH(H183,設定!$P$8:$P$27,0))+N(INDEX(設定!$R$8:$R$27,MATCH(H183,設定!$P$8:$P$27,0))))-INDEX(定員チェック!$F$7:$F$26,MATCH(H183,設定!$P$8:$P$27,0))-COUNTIFS($M$7:$M$456,"要調整",$G$7:$G$456,H183),""))</f>
        <v/>
      </c>
      <c r="O183" s="44">
        <f>IF(OR(M183&lt;&gt;"要調整",I183=""),"",IFERROR((INDEX(設定!$Q$8:$Q$27,MATCH(I183,設定!$P$8:$P$27,0))+N(INDEX(設定!$R$8:$R$27,MATCH(I183,設定!$P$8:$P$27,0))))-INDEX(定員チェック!$F$7:$F$26,MATCH(I183,設定!$P$8:$P$27,0))-COUNTIFS($M$7:$M$456,"要調整",$G$7:$G$456,I183),""))</f>
        <v/>
      </c>
      <c r="P183" s="8">
        <f>IFERROR(MATCH(SMALL(前年度名簿!$G$2:$G$451,177),前年度名簿!$G$2:$G$451,0),"")</f>
        <v/>
      </c>
      <c r="Q183" s="8">
        <f>IF(R183="","",IFERROR(MATCH(R183,希望入力!$M$2:$M$551,0),""))</f>
        <v/>
      </c>
      <c r="R183" s="8">
        <f>IF(P183="","",INDEX(前年度名簿!$F$2:$F$451,P183))</f>
        <v/>
      </c>
      <c r="S183" s="8">
        <f>IF(P183="","",INDEX(前年度名簿!$I$2:$I$451,P183))</f>
        <v/>
      </c>
      <c r="T183" s="8">
        <f>IF(OR(P183="",計算用!$B$1=0),"",IFERROR(MATCH(S183,新年度名簿!$H$2:$H$451,0),""))</f>
        <v/>
      </c>
      <c r="U183" s="8">
        <f>IF(OR(L183="",M183="転出"),"",IFERROR(MATCH(L183,設定!$P$8:$P$27,0),""))</f>
        <v/>
      </c>
      <c r="V183" s="8">
        <f>IF(U183="","",COUNTIF($U$7:U183,U183))</f>
        <v/>
      </c>
      <c r="W183" s="8">
        <f>IF(U183="","",U183*1000+V183)</f>
        <v/>
      </c>
    </row>
    <row r="184">
      <c r="A184" s="44">
        <f>IF(P184="","",INDEX(前年度名簿!$H$2:$H$451,P184))</f>
        <v/>
      </c>
      <c r="B184" s="44">
        <f>IF(P184="","",IFERROR(INDEX(設定!$G$8:$G$31,INT(INDEX(前年度名簿!$G$2:$G$451,P184)/1000)),INDEX(前年度名簿!$A$2:$A$451,P184)&amp;INDEX(前年度名簿!$B$2:$B$451,P184)))</f>
        <v/>
      </c>
      <c r="C184" s="44">
        <f>IF(P184="","",INDEX(前年度名簿!$C$2:$C$451,P184))</f>
        <v/>
      </c>
      <c r="D184" s="3">
        <f>IF(P184="","",INDEX(前年度名簿!$D$2:$D$451,P184))</f>
        <v/>
      </c>
      <c r="E184" s="44">
        <f>IF(T184="","",INDEX(新年度名簿!$K$2:$K$451,T184))</f>
        <v/>
      </c>
      <c r="F184" s="44">
        <f>IF(T184="","",INDEX(新年度名簿!$C$2:$C$451,T184))</f>
        <v/>
      </c>
      <c r="G184" s="44">
        <f>IF(Q184="","",INDEX(希望入力!$H$2:$H$551,Q184)&amp;"")</f>
        <v/>
      </c>
      <c r="H184" s="44">
        <f>IF(Q184="","",INDEX(希望入力!$I$2:$I$551,Q184)&amp;"")</f>
        <v/>
      </c>
      <c r="I184" s="44">
        <f>IF(Q184="","",INDEX(希望入力!$J$2:$J$551,Q184)&amp;"")</f>
        <v/>
      </c>
      <c r="J184" s="44">
        <f>IF(Q184="","",IF(G184="","要調整",IFERROR(IF(IF(OR(設定!$C$14="〇",設定!$C$14="○"),COUNTIFS($A$7:$A$456,"&gt;="&amp;A184,$G$7:$G$456,G184),COUNTIF($G$7:$G$456,G184))&lt;=(INDEX(設定!$Q$8:$Q$27,MATCH(G184,設定!$P$8:$P$27,0))+N(INDEX(設定!$R$8:$R$27,MATCH(G184,設定!$P$8:$P$27,0)))),G184,"要調整"),"要調整")))</f>
        <v/>
      </c>
      <c r="K184" s="40" t="n"/>
      <c r="L184" s="52">
        <f>IF(P184="","",IF(K184&lt;&gt;"",K184,IF(OR(J184="",J184="要調整"),"",J184)))</f>
        <v/>
      </c>
      <c r="M184" s="44">
        <f>IF(P184="","",IF(AND(計算用!$B$1=1,T184=""),"転出",IF(L184&lt;&gt;"","決定",IF(Q184="","未提出","要調整"))))</f>
        <v/>
      </c>
      <c r="N184" s="44">
        <f>IF(OR(M184&lt;&gt;"要調整",H184=""),"",IFERROR((INDEX(設定!$Q$8:$Q$27,MATCH(H184,設定!$P$8:$P$27,0))+N(INDEX(設定!$R$8:$R$27,MATCH(H184,設定!$P$8:$P$27,0))))-INDEX(定員チェック!$F$7:$F$26,MATCH(H184,設定!$P$8:$P$27,0))-COUNTIFS($M$7:$M$456,"要調整",$G$7:$G$456,H184),""))</f>
        <v/>
      </c>
      <c r="O184" s="44">
        <f>IF(OR(M184&lt;&gt;"要調整",I184=""),"",IFERROR((INDEX(設定!$Q$8:$Q$27,MATCH(I184,設定!$P$8:$P$27,0))+N(INDEX(設定!$R$8:$R$27,MATCH(I184,設定!$P$8:$P$27,0))))-INDEX(定員チェック!$F$7:$F$26,MATCH(I184,設定!$P$8:$P$27,0))-COUNTIFS($M$7:$M$456,"要調整",$G$7:$G$456,I184),""))</f>
        <v/>
      </c>
      <c r="P184" s="8">
        <f>IFERROR(MATCH(SMALL(前年度名簿!$G$2:$G$451,178),前年度名簿!$G$2:$G$451,0),"")</f>
        <v/>
      </c>
      <c r="Q184" s="8">
        <f>IF(R184="","",IFERROR(MATCH(R184,希望入力!$M$2:$M$551,0),""))</f>
        <v/>
      </c>
      <c r="R184" s="8">
        <f>IF(P184="","",INDEX(前年度名簿!$F$2:$F$451,P184))</f>
        <v/>
      </c>
      <c r="S184" s="8">
        <f>IF(P184="","",INDEX(前年度名簿!$I$2:$I$451,P184))</f>
        <v/>
      </c>
      <c r="T184" s="8">
        <f>IF(OR(P184="",計算用!$B$1=0),"",IFERROR(MATCH(S184,新年度名簿!$H$2:$H$451,0),""))</f>
        <v/>
      </c>
      <c r="U184" s="8">
        <f>IF(OR(L184="",M184="転出"),"",IFERROR(MATCH(L184,設定!$P$8:$P$27,0),""))</f>
        <v/>
      </c>
      <c r="V184" s="8">
        <f>IF(U184="","",COUNTIF($U$7:U184,U184))</f>
        <v/>
      </c>
      <c r="W184" s="8">
        <f>IF(U184="","",U184*1000+V184)</f>
        <v/>
      </c>
    </row>
    <row r="185">
      <c r="A185" s="44">
        <f>IF(P185="","",INDEX(前年度名簿!$H$2:$H$451,P185))</f>
        <v/>
      </c>
      <c r="B185" s="44">
        <f>IF(P185="","",IFERROR(INDEX(設定!$G$8:$G$31,INT(INDEX(前年度名簿!$G$2:$G$451,P185)/1000)),INDEX(前年度名簿!$A$2:$A$451,P185)&amp;INDEX(前年度名簿!$B$2:$B$451,P185)))</f>
        <v/>
      </c>
      <c r="C185" s="44">
        <f>IF(P185="","",INDEX(前年度名簿!$C$2:$C$451,P185))</f>
        <v/>
      </c>
      <c r="D185" s="3">
        <f>IF(P185="","",INDEX(前年度名簿!$D$2:$D$451,P185))</f>
        <v/>
      </c>
      <c r="E185" s="44">
        <f>IF(T185="","",INDEX(新年度名簿!$K$2:$K$451,T185))</f>
        <v/>
      </c>
      <c r="F185" s="44">
        <f>IF(T185="","",INDEX(新年度名簿!$C$2:$C$451,T185))</f>
        <v/>
      </c>
      <c r="G185" s="44">
        <f>IF(Q185="","",INDEX(希望入力!$H$2:$H$551,Q185)&amp;"")</f>
        <v/>
      </c>
      <c r="H185" s="44">
        <f>IF(Q185="","",INDEX(希望入力!$I$2:$I$551,Q185)&amp;"")</f>
        <v/>
      </c>
      <c r="I185" s="44">
        <f>IF(Q185="","",INDEX(希望入力!$J$2:$J$551,Q185)&amp;"")</f>
        <v/>
      </c>
      <c r="J185" s="44">
        <f>IF(Q185="","",IF(G185="","要調整",IFERROR(IF(IF(OR(設定!$C$14="〇",設定!$C$14="○"),COUNTIFS($A$7:$A$456,"&gt;="&amp;A185,$G$7:$G$456,G185),COUNTIF($G$7:$G$456,G185))&lt;=(INDEX(設定!$Q$8:$Q$27,MATCH(G185,設定!$P$8:$P$27,0))+N(INDEX(設定!$R$8:$R$27,MATCH(G185,設定!$P$8:$P$27,0)))),G185,"要調整"),"要調整")))</f>
        <v/>
      </c>
      <c r="K185" s="40" t="n"/>
      <c r="L185" s="52">
        <f>IF(P185="","",IF(K185&lt;&gt;"",K185,IF(OR(J185="",J185="要調整"),"",J185)))</f>
        <v/>
      </c>
      <c r="M185" s="44">
        <f>IF(P185="","",IF(AND(計算用!$B$1=1,T185=""),"転出",IF(L185&lt;&gt;"","決定",IF(Q185="","未提出","要調整"))))</f>
        <v/>
      </c>
      <c r="N185" s="44">
        <f>IF(OR(M185&lt;&gt;"要調整",H185=""),"",IFERROR((INDEX(設定!$Q$8:$Q$27,MATCH(H185,設定!$P$8:$P$27,0))+N(INDEX(設定!$R$8:$R$27,MATCH(H185,設定!$P$8:$P$27,0))))-INDEX(定員チェック!$F$7:$F$26,MATCH(H185,設定!$P$8:$P$27,0))-COUNTIFS($M$7:$M$456,"要調整",$G$7:$G$456,H185),""))</f>
        <v/>
      </c>
      <c r="O185" s="44">
        <f>IF(OR(M185&lt;&gt;"要調整",I185=""),"",IFERROR((INDEX(設定!$Q$8:$Q$27,MATCH(I185,設定!$P$8:$P$27,0))+N(INDEX(設定!$R$8:$R$27,MATCH(I185,設定!$P$8:$P$27,0))))-INDEX(定員チェック!$F$7:$F$26,MATCH(I185,設定!$P$8:$P$27,0))-COUNTIFS($M$7:$M$456,"要調整",$G$7:$G$456,I185),""))</f>
        <v/>
      </c>
      <c r="P185" s="8">
        <f>IFERROR(MATCH(SMALL(前年度名簿!$G$2:$G$451,179),前年度名簿!$G$2:$G$451,0),"")</f>
        <v/>
      </c>
      <c r="Q185" s="8">
        <f>IF(R185="","",IFERROR(MATCH(R185,希望入力!$M$2:$M$551,0),""))</f>
        <v/>
      </c>
      <c r="R185" s="8">
        <f>IF(P185="","",INDEX(前年度名簿!$F$2:$F$451,P185))</f>
        <v/>
      </c>
      <c r="S185" s="8">
        <f>IF(P185="","",INDEX(前年度名簿!$I$2:$I$451,P185))</f>
        <v/>
      </c>
      <c r="T185" s="8">
        <f>IF(OR(P185="",計算用!$B$1=0),"",IFERROR(MATCH(S185,新年度名簿!$H$2:$H$451,0),""))</f>
        <v/>
      </c>
      <c r="U185" s="8">
        <f>IF(OR(L185="",M185="転出"),"",IFERROR(MATCH(L185,設定!$P$8:$P$27,0),""))</f>
        <v/>
      </c>
      <c r="V185" s="8">
        <f>IF(U185="","",COUNTIF($U$7:U185,U185))</f>
        <v/>
      </c>
      <c r="W185" s="8">
        <f>IF(U185="","",U185*1000+V185)</f>
        <v/>
      </c>
    </row>
    <row r="186">
      <c r="A186" s="44">
        <f>IF(P186="","",INDEX(前年度名簿!$H$2:$H$451,P186))</f>
        <v/>
      </c>
      <c r="B186" s="44">
        <f>IF(P186="","",IFERROR(INDEX(設定!$G$8:$G$31,INT(INDEX(前年度名簿!$G$2:$G$451,P186)/1000)),INDEX(前年度名簿!$A$2:$A$451,P186)&amp;INDEX(前年度名簿!$B$2:$B$451,P186)))</f>
        <v/>
      </c>
      <c r="C186" s="44">
        <f>IF(P186="","",INDEX(前年度名簿!$C$2:$C$451,P186))</f>
        <v/>
      </c>
      <c r="D186" s="3">
        <f>IF(P186="","",INDEX(前年度名簿!$D$2:$D$451,P186))</f>
        <v/>
      </c>
      <c r="E186" s="44">
        <f>IF(T186="","",INDEX(新年度名簿!$K$2:$K$451,T186))</f>
        <v/>
      </c>
      <c r="F186" s="44">
        <f>IF(T186="","",INDEX(新年度名簿!$C$2:$C$451,T186))</f>
        <v/>
      </c>
      <c r="G186" s="44">
        <f>IF(Q186="","",INDEX(希望入力!$H$2:$H$551,Q186)&amp;"")</f>
        <v/>
      </c>
      <c r="H186" s="44">
        <f>IF(Q186="","",INDEX(希望入力!$I$2:$I$551,Q186)&amp;"")</f>
        <v/>
      </c>
      <c r="I186" s="44">
        <f>IF(Q186="","",INDEX(希望入力!$J$2:$J$551,Q186)&amp;"")</f>
        <v/>
      </c>
      <c r="J186" s="44">
        <f>IF(Q186="","",IF(G186="","要調整",IFERROR(IF(IF(OR(設定!$C$14="〇",設定!$C$14="○"),COUNTIFS($A$7:$A$456,"&gt;="&amp;A186,$G$7:$G$456,G186),COUNTIF($G$7:$G$456,G186))&lt;=(INDEX(設定!$Q$8:$Q$27,MATCH(G186,設定!$P$8:$P$27,0))+N(INDEX(設定!$R$8:$R$27,MATCH(G186,設定!$P$8:$P$27,0)))),G186,"要調整"),"要調整")))</f>
        <v/>
      </c>
      <c r="K186" s="40" t="n"/>
      <c r="L186" s="52">
        <f>IF(P186="","",IF(K186&lt;&gt;"",K186,IF(OR(J186="",J186="要調整"),"",J186)))</f>
        <v/>
      </c>
      <c r="M186" s="44">
        <f>IF(P186="","",IF(AND(計算用!$B$1=1,T186=""),"転出",IF(L186&lt;&gt;"","決定",IF(Q186="","未提出","要調整"))))</f>
        <v/>
      </c>
      <c r="N186" s="44">
        <f>IF(OR(M186&lt;&gt;"要調整",H186=""),"",IFERROR((INDEX(設定!$Q$8:$Q$27,MATCH(H186,設定!$P$8:$P$27,0))+N(INDEX(設定!$R$8:$R$27,MATCH(H186,設定!$P$8:$P$27,0))))-INDEX(定員チェック!$F$7:$F$26,MATCH(H186,設定!$P$8:$P$27,0))-COUNTIFS($M$7:$M$456,"要調整",$G$7:$G$456,H186),""))</f>
        <v/>
      </c>
      <c r="O186" s="44">
        <f>IF(OR(M186&lt;&gt;"要調整",I186=""),"",IFERROR((INDEX(設定!$Q$8:$Q$27,MATCH(I186,設定!$P$8:$P$27,0))+N(INDEX(設定!$R$8:$R$27,MATCH(I186,設定!$P$8:$P$27,0))))-INDEX(定員チェック!$F$7:$F$26,MATCH(I186,設定!$P$8:$P$27,0))-COUNTIFS($M$7:$M$456,"要調整",$G$7:$G$456,I186),""))</f>
        <v/>
      </c>
      <c r="P186" s="8">
        <f>IFERROR(MATCH(SMALL(前年度名簿!$G$2:$G$451,180),前年度名簿!$G$2:$G$451,0),"")</f>
        <v/>
      </c>
      <c r="Q186" s="8">
        <f>IF(R186="","",IFERROR(MATCH(R186,希望入力!$M$2:$M$551,0),""))</f>
        <v/>
      </c>
      <c r="R186" s="8">
        <f>IF(P186="","",INDEX(前年度名簿!$F$2:$F$451,P186))</f>
        <v/>
      </c>
      <c r="S186" s="8">
        <f>IF(P186="","",INDEX(前年度名簿!$I$2:$I$451,P186))</f>
        <v/>
      </c>
      <c r="T186" s="8">
        <f>IF(OR(P186="",計算用!$B$1=0),"",IFERROR(MATCH(S186,新年度名簿!$H$2:$H$451,0),""))</f>
        <v/>
      </c>
      <c r="U186" s="8">
        <f>IF(OR(L186="",M186="転出"),"",IFERROR(MATCH(L186,設定!$P$8:$P$27,0),""))</f>
        <v/>
      </c>
      <c r="V186" s="8">
        <f>IF(U186="","",COUNTIF($U$7:U186,U186))</f>
        <v/>
      </c>
      <c r="W186" s="8">
        <f>IF(U186="","",U186*1000+V186)</f>
        <v/>
      </c>
    </row>
    <row r="187">
      <c r="A187" s="44">
        <f>IF(P187="","",INDEX(前年度名簿!$H$2:$H$451,P187))</f>
        <v/>
      </c>
      <c r="B187" s="44">
        <f>IF(P187="","",IFERROR(INDEX(設定!$G$8:$G$31,INT(INDEX(前年度名簿!$G$2:$G$451,P187)/1000)),INDEX(前年度名簿!$A$2:$A$451,P187)&amp;INDEX(前年度名簿!$B$2:$B$451,P187)))</f>
        <v/>
      </c>
      <c r="C187" s="44">
        <f>IF(P187="","",INDEX(前年度名簿!$C$2:$C$451,P187))</f>
        <v/>
      </c>
      <c r="D187" s="3">
        <f>IF(P187="","",INDEX(前年度名簿!$D$2:$D$451,P187))</f>
        <v/>
      </c>
      <c r="E187" s="44">
        <f>IF(T187="","",INDEX(新年度名簿!$K$2:$K$451,T187))</f>
        <v/>
      </c>
      <c r="F187" s="44">
        <f>IF(T187="","",INDEX(新年度名簿!$C$2:$C$451,T187))</f>
        <v/>
      </c>
      <c r="G187" s="44">
        <f>IF(Q187="","",INDEX(希望入力!$H$2:$H$551,Q187)&amp;"")</f>
        <v/>
      </c>
      <c r="H187" s="44">
        <f>IF(Q187="","",INDEX(希望入力!$I$2:$I$551,Q187)&amp;"")</f>
        <v/>
      </c>
      <c r="I187" s="44">
        <f>IF(Q187="","",INDEX(希望入力!$J$2:$J$551,Q187)&amp;"")</f>
        <v/>
      </c>
      <c r="J187" s="44">
        <f>IF(Q187="","",IF(G187="","要調整",IFERROR(IF(IF(OR(設定!$C$14="〇",設定!$C$14="○"),COUNTIFS($A$7:$A$456,"&gt;="&amp;A187,$G$7:$G$456,G187),COUNTIF($G$7:$G$456,G187))&lt;=(INDEX(設定!$Q$8:$Q$27,MATCH(G187,設定!$P$8:$P$27,0))+N(INDEX(設定!$R$8:$R$27,MATCH(G187,設定!$P$8:$P$27,0)))),G187,"要調整"),"要調整")))</f>
        <v/>
      </c>
      <c r="K187" s="40" t="n"/>
      <c r="L187" s="52">
        <f>IF(P187="","",IF(K187&lt;&gt;"",K187,IF(OR(J187="",J187="要調整"),"",J187)))</f>
        <v/>
      </c>
      <c r="M187" s="44">
        <f>IF(P187="","",IF(AND(計算用!$B$1=1,T187=""),"転出",IF(L187&lt;&gt;"","決定",IF(Q187="","未提出","要調整"))))</f>
        <v/>
      </c>
      <c r="N187" s="44">
        <f>IF(OR(M187&lt;&gt;"要調整",H187=""),"",IFERROR((INDEX(設定!$Q$8:$Q$27,MATCH(H187,設定!$P$8:$P$27,0))+N(INDEX(設定!$R$8:$R$27,MATCH(H187,設定!$P$8:$P$27,0))))-INDEX(定員チェック!$F$7:$F$26,MATCH(H187,設定!$P$8:$P$27,0))-COUNTIFS($M$7:$M$456,"要調整",$G$7:$G$456,H187),""))</f>
        <v/>
      </c>
      <c r="O187" s="44">
        <f>IF(OR(M187&lt;&gt;"要調整",I187=""),"",IFERROR((INDEX(設定!$Q$8:$Q$27,MATCH(I187,設定!$P$8:$P$27,0))+N(INDEX(設定!$R$8:$R$27,MATCH(I187,設定!$P$8:$P$27,0))))-INDEX(定員チェック!$F$7:$F$26,MATCH(I187,設定!$P$8:$P$27,0))-COUNTIFS($M$7:$M$456,"要調整",$G$7:$G$456,I187),""))</f>
        <v/>
      </c>
      <c r="P187" s="8">
        <f>IFERROR(MATCH(SMALL(前年度名簿!$G$2:$G$451,181),前年度名簿!$G$2:$G$451,0),"")</f>
        <v/>
      </c>
      <c r="Q187" s="8">
        <f>IF(R187="","",IFERROR(MATCH(R187,希望入力!$M$2:$M$551,0),""))</f>
        <v/>
      </c>
      <c r="R187" s="8">
        <f>IF(P187="","",INDEX(前年度名簿!$F$2:$F$451,P187))</f>
        <v/>
      </c>
      <c r="S187" s="8">
        <f>IF(P187="","",INDEX(前年度名簿!$I$2:$I$451,P187))</f>
        <v/>
      </c>
      <c r="T187" s="8">
        <f>IF(OR(P187="",計算用!$B$1=0),"",IFERROR(MATCH(S187,新年度名簿!$H$2:$H$451,0),""))</f>
        <v/>
      </c>
      <c r="U187" s="8">
        <f>IF(OR(L187="",M187="転出"),"",IFERROR(MATCH(L187,設定!$P$8:$P$27,0),""))</f>
        <v/>
      </c>
      <c r="V187" s="8">
        <f>IF(U187="","",COUNTIF($U$7:U187,U187))</f>
        <v/>
      </c>
      <c r="W187" s="8">
        <f>IF(U187="","",U187*1000+V187)</f>
        <v/>
      </c>
    </row>
    <row r="188">
      <c r="A188" s="44">
        <f>IF(P188="","",INDEX(前年度名簿!$H$2:$H$451,P188))</f>
        <v/>
      </c>
      <c r="B188" s="44">
        <f>IF(P188="","",IFERROR(INDEX(設定!$G$8:$G$31,INT(INDEX(前年度名簿!$G$2:$G$451,P188)/1000)),INDEX(前年度名簿!$A$2:$A$451,P188)&amp;INDEX(前年度名簿!$B$2:$B$451,P188)))</f>
        <v/>
      </c>
      <c r="C188" s="44">
        <f>IF(P188="","",INDEX(前年度名簿!$C$2:$C$451,P188))</f>
        <v/>
      </c>
      <c r="D188" s="3">
        <f>IF(P188="","",INDEX(前年度名簿!$D$2:$D$451,P188))</f>
        <v/>
      </c>
      <c r="E188" s="44">
        <f>IF(T188="","",INDEX(新年度名簿!$K$2:$K$451,T188))</f>
        <v/>
      </c>
      <c r="F188" s="44">
        <f>IF(T188="","",INDEX(新年度名簿!$C$2:$C$451,T188))</f>
        <v/>
      </c>
      <c r="G188" s="44">
        <f>IF(Q188="","",INDEX(希望入力!$H$2:$H$551,Q188)&amp;"")</f>
        <v/>
      </c>
      <c r="H188" s="44">
        <f>IF(Q188="","",INDEX(希望入力!$I$2:$I$551,Q188)&amp;"")</f>
        <v/>
      </c>
      <c r="I188" s="44">
        <f>IF(Q188="","",INDEX(希望入力!$J$2:$J$551,Q188)&amp;"")</f>
        <v/>
      </c>
      <c r="J188" s="44">
        <f>IF(Q188="","",IF(G188="","要調整",IFERROR(IF(IF(OR(設定!$C$14="〇",設定!$C$14="○"),COUNTIFS($A$7:$A$456,"&gt;="&amp;A188,$G$7:$G$456,G188),COUNTIF($G$7:$G$456,G188))&lt;=(INDEX(設定!$Q$8:$Q$27,MATCH(G188,設定!$P$8:$P$27,0))+N(INDEX(設定!$R$8:$R$27,MATCH(G188,設定!$P$8:$P$27,0)))),G188,"要調整"),"要調整")))</f>
        <v/>
      </c>
      <c r="K188" s="40" t="n"/>
      <c r="L188" s="52">
        <f>IF(P188="","",IF(K188&lt;&gt;"",K188,IF(OR(J188="",J188="要調整"),"",J188)))</f>
        <v/>
      </c>
      <c r="M188" s="44">
        <f>IF(P188="","",IF(AND(計算用!$B$1=1,T188=""),"転出",IF(L188&lt;&gt;"","決定",IF(Q188="","未提出","要調整"))))</f>
        <v/>
      </c>
      <c r="N188" s="44">
        <f>IF(OR(M188&lt;&gt;"要調整",H188=""),"",IFERROR((INDEX(設定!$Q$8:$Q$27,MATCH(H188,設定!$P$8:$P$27,0))+N(INDEX(設定!$R$8:$R$27,MATCH(H188,設定!$P$8:$P$27,0))))-INDEX(定員チェック!$F$7:$F$26,MATCH(H188,設定!$P$8:$P$27,0))-COUNTIFS($M$7:$M$456,"要調整",$G$7:$G$456,H188),""))</f>
        <v/>
      </c>
      <c r="O188" s="44">
        <f>IF(OR(M188&lt;&gt;"要調整",I188=""),"",IFERROR((INDEX(設定!$Q$8:$Q$27,MATCH(I188,設定!$P$8:$P$27,0))+N(INDEX(設定!$R$8:$R$27,MATCH(I188,設定!$P$8:$P$27,0))))-INDEX(定員チェック!$F$7:$F$26,MATCH(I188,設定!$P$8:$P$27,0))-COUNTIFS($M$7:$M$456,"要調整",$G$7:$G$456,I188),""))</f>
        <v/>
      </c>
      <c r="P188" s="8">
        <f>IFERROR(MATCH(SMALL(前年度名簿!$G$2:$G$451,182),前年度名簿!$G$2:$G$451,0),"")</f>
        <v/>
      </c>
      <c r="Q188" s="8">
        <f>IF(R188="","",IFERROR(MATCH(R188,希望入力!$M$2:$M$551,0),""))</f>
        <v/>
      </c>
      <c r="R188" s="8">
        <f>IF(P188="","",INDEX(前年度名簿!$F$2:$F$451,P188))</f>
        <v/>
      </c>
      <c r="S188" s="8">
        <f>IF(P188="","",INDEX(前年度名簿!$I$2:$I$451,P188))</f>
        <v/>
      </c>
      <c r="T188" s="8">
        <f>IF(OR(P188="",計算用!$B$1=0),"",IFERROR(MATCH(S188,新年度名簿!$H$2:$H$451,0),""))</f>
        <v/>
      </c>
      <c r="U188" s="8">
        <f>IF(OR(L188="",M188="転出"),"",IFERROR(MATCH(L188,設定!$P$8:$P$27,0),""))</f>
        <v/>
      </c>
      <c r="V188" s="8">
        <f>IF(U188="","",COUNTIF($U$7:U188,U188))</f>
        <v/>
      </c>
      <c r="W188" s="8">
        <f>IF(U188="","",U188*1000+V188)</f>
        <v/>
      </c>
    </row>
    <row r="189">
      <c r="A189" s="44">
        <f>IF(P189="","",INDEX(前年度名簿!$H$2:$H$451,P189))</f>
        <v/>
      </c>
      <c r="B189" s="44">
        <f>IF(P189="","",IFERROR(INDEX(設定!$G$8:$G$31,INT(INDEX(前年度名簿!$G$2:$G$451,P189)/1000)),INDEX(前年度名簿!$A$2:$A$451,P189)&amp;INDEX(前年度名簿!$B$2:$B$451,P189)))</f>
        <v/>
      </c>
      <c r="C189" s="44">
        <f>IF(P189="","",INDEX(前年度名簿!$C$2:$C$451,P189))</f>
        <v/>
      </c>
      <c r="D189" s="3">
        <f>IF(P189="","",INDEX(前年度名簿!$D$2:$D$451,P189))</f>
        <v/>
      </c>
      <c r="E189" s="44">
        <f>IF(T189="","",INDEX(新年度名簿!$K$2:$K$451,T189))</f>
        <v/>
      </c>
      <c r="F189" s="44">
        <f>IF(T189="","",INDEX(新年度名簿!$C$2:$C$451,T189))</f>
        <v/>
      </c>
      <c r="G189" s="44">
        <f>IF(Q189="","",INDEX(希望入力!$H$2:$H$551,Q189)&amp;"")</f>
        <v/>
      </c>
      <c r="H189" s="44">
        <f>IF(Q189="","",INDEX(希望入力!$I$2:$I$551,Q189)&amp;"")</f>
        <v/>
      </c>
      <c r="I189" s="44">
        <f>IF(Q189="","",INDEX(希望入力!$J$2:$J$551,Q189)&amp;"")</f>
        <v/>
      </c>
      <c r="J189" s="44">
        <f>IF(Q189="","",IF(G189="","要調整",IFERROR(IF(IF(OR(設定!$C$14="〇",設定!$C$14="○"),COUNTIFS($A$7:$A$456,"&gt;="&amp;A189,$G$7:$G$456,G189),COUNTIF($G$7:$G$456,G189))&lt;=(INDEX(設定!$Q$8:$Q$27,MATCH(G189,設定!$P$8:$P$27,0))+N(INDEX(設定!$R$8:$R$27,MATCH(G189,設定!$P$8:$P$27,0)))),G189,"要調整"),"要調整")))</f>
        <v/>
      </c>
      <c r="K189" s="40" t="n"/>
      <c r="L189" s="52">
        <f>IF(P189="","",IF(K189&lt;&gt;"",K189,IF(OR(J189="",J189="要調整"),"",J189)))</f>
        <v/>
      </c>
      <c r="M189" s="44">
        <f>IF(P189="","",IF(AND(計算用!$B$1=1,T189=""),"転出",IF(L189&lt;&gt;"","決定",IF(Q189="","未提出","要調整"))))</f>
        <v/>
      </c>
      <c r="N189" s="44">
        <f>IF(OR(M189&lt;&gt;"要調整",H189=""),"",IFERROR((INDEX(設定!$Q$8:$Q$27,MATCH(H189,設定!$P$8:$P$27,0))+N(INDEX(設定!$R$8:$R$27,MATCH(H189,設定!$P$8:$P$27,0))))-INDEX(定員チェック!$F$7:$F$26,MATCH(H189,設定!$P$8:$P$27,0))-COUNTIFS($M$7:$M$456,"要調整",$G$7:$G$456,H189),""))</f>
        <v/>
      </c>
      <c r="O189" s="44">
        <f>IF(OR(M189&lt;&gt;"要調整",I189=""),"",IFERROR((INDEX(設定!$Q$8:$Q$27,MATCH(I189,設定!$P$8:$P$27,0))+N(INDEX(設定!$R$8:$R$27,MATCH(I189,設定!$P$8:$P$27,0))))-INDEX(定員チェック!$F$7:$F$26,MATCH(I189,設定!$P$8:$P$27,0))-COUNTIFS($M$7:$M$456,"要調整",$G$7:$G$456,I189),""))</f>
        <v/>
      </c>
      <c r="P189" s="8">
        <f>IFERROR(MATCH(SMALL(前年度名簿!$G$2:$G$451,183),前年度名簿!$G$2:$G$451,0),"")</f>
        <v/>
      </c>
      <c r="Q189" s="8">
        <f>IF(R189="","",IFERROR(MATCH(R189,希望入力!$M$2:$M$551,0),""))</f>
        <v/>
      </c>
      <c r="R189" s="8">
        <f>IF(P189="","",INDEX(前年度名簿!$F$2:$F$451,P189))</f>
        <v/>
      </c>
      <c r="S189" s="8">
        <f>IF(P189="","",INDEX(前年度名簿!$I$2:$I$451,P189))</f>
        <v/>
      </c>
      <c r="T189" s="8">
        <f>IF(OR(P189="",計算用!$B$1=0),"",IFERROR(MATCH(S189,新年度名簿!$H$2:$H$451,0),""))</f>
        <v/>
      </c>
      <c r="U189" s="8">
        <f>IF(OR(L189="",M189="転出"),"",IFERROR(MATCH(L189,設定!$P$8:$P$27,0),""))</f>
        <v/>
      </c>
      <c r="V189" s="8">
        <f>IF(U189="","",COUNTIF($U$7:U189,U189))</f>
        <v/>
      </c>
      <c r="W189" s="8">
        <f>IF(U189="","",U189*1000+V189)</f>
        <v/>
      </c>
    </row>
    <row r="190">
      <c r="A190" s="44">
        <f>IF(P190="","",INDEX(前年度名簿!$H$2:$H$451,P190))</f>
        <v/>
      </c>
      <c r="B190" s="44">
        <f>IF(P190="","",IFERROR(INDEX(設定!$G$8:$G$31,INT(INDEX(前年度名簿!$G$2:$G$451,P190)/1000)),INDEX(前年度名簿!$A$2:$A$451,P190)&amp;INDEX(前年度名簿!$B$2:$B$451,P190)))</f>
        <v/>
      </c>
      <c r="C190" s="44">
        <f>IF(P190="","",INDEX(前年度名簿!$C$2:$C$451,P190))</f>
        <v/>
      </c>
      <c r="D190" s="3">
        <f>IF(P190="","",INDEX(前年度名簿!$D$2:$D$451,P190))</f>
        <v/>
      </c>
      <c r="E190" s="44">
        <f>IF(T190="","",INDEX(新年度名簿!$K$2:$K$451,T190))</f>
        <v/>
      </c>
      <c r="F190" s="44">
        <f>IF(T190="","",INDEX(新年度名簿!$C$2:$C$451,T190))</f>
        <v/>
      </c>
      <c r="G190" s="44">
        <f>IF(Q190="","",INDEX(希望入力!$H$2:$H$551,Q190)&amp;"")</f>
        <v/>
      </c>
      <c r="H190" s="44">
        <f>IF(Q190="","",INDEX(希望入力!$I$2:$I$551,Q190)&amp;"")</f>
        <v/>
      </c>
      <c r="I190" s="44">
        <f>IF(Q190="","",INDEX(希望入力!$J$2:$J$551,Q190)&amp;"")</f>
        <v/>
      </c>
      <c r="J190" s="44">
        <f>IF(Q190="","",IF(G190="","要調整",IFERROR(IF(IF(OR(設定!$C$14="〇",設定!$C$14="○"),COUNTIFS($A$7:$A$456,"&gt;="&amp;A190,$G$7:$G$456,G190),COUNTIF($G$7:$G$456,G190))&lt;=(INDEX(設定!$Q$8:$Q$27,MATCH(G190,設定!$P$8:$P$27,0))+N(INDEX(設定!$R$8:$R$27,MATCH(G190,設定!$P$8:$P$27,0)))),G190,"要調整"),"要調整")))</f>
        <v/>
      </c>
      <c r="K190" s="40" t="n"/>
      <c r="L190" s="52">
        <f>IF(P190="","",IF(K190&lt;&gt;"",K190,IF(OR(J190="",J190="要調整"),"",J190)))</f>
        <v/>
      </c>
      <c r="M190" s="44">
        <f>IF(P190="","",IF(AND(計算用!$B$1=1,T190=""),"転出",IF(L190&lt;&gt;"","決定",IF(Q190="","未提出","要調整"))))</f>
        <v/>
      </c>
      <c r="N190" s="44">
        <f>IF(OR(M190&lt;&gt;"要調整",H190=""),"",IFERROR((INDEX(設定!$Q$8:$Q$27,MATCH(H190,設定!$P$8:$P$27,0))+N(INDEX(設定!$R$8:$R$27,MATCH(H190,設定!$P$8:$P$27,0))))-INDEX(定員チェック!$F$7:$F$26,MATCH(H190,設定!$P$8:$P$27,0))-COUNTIFS($M$7:$M$456,"要調整",$G$7:$G$456,H190),""))</f>
        <v/>
      </c>
      <c r="O190" s="44">
        <f>IF(OR(M190&lt;&gt;"要調整",I190=""),"",IFERROR((INDEX(設定!$Q$8:$Q$27,MATCH(I190,設定!$P$8:$P$27,0))+N(INDEX(設定!$R$8:$R$27,MATCH(I190,設定!$P$8:$P$27,0))))-INDEX(定員チェック!$F$7:$F$26,MATCH(I190,設定!$P$8:$P$27,0))-COUNTIFS($M$7:$M$456,"要調整",$G$7:$G$456,I190),""))</f>
        <v/>
      </c>
      <c r="P190" s="8">
        <f>IFERROR(MATCH(SMALL(前年度名簿!$G$2:$G$451,184),前年度名簿!$G$2:$G$451,0),"")</f>
        <v/>
      </c>
      <c r="Q190" s="8">
        <f>IF(R190="","",IFERROR(MATCH(R190,希望入力!$M$2:$M$551,0),""))</f>
        <v/>
      </c>
      <c r="R190" s="8">
        <f>IF(P190="","",INDEX(前年度名簿!$F$2:$F$451,P190))</f>
        <v/>
      </c>
      <c r="S190" s="8">
        <f>IF(P190="","",INDEX(前年度名簿!$I$2:$I$451,P190))</f>
        <v/>
      </c>
      <c r="T190" s="8">
        <f>IF(OR(P190="",計算用!$B$1=0),"",IFERROR(MATCH(S190,新年度名簿!$H$2:$H$451,0),""))</f>
        <v/>
      </c>
      <c r="U190" s="8">
        <f>IF(OR(L190="",M190="転出"),"",IFERROR(MATCH(L190,設定!$P$8:$P$27,0),""))</f>
        <v/>
      </c>
      <c r="V190" s="8">
        <f>IF(U190="","",COUNTIF($U$7:U190,U190))</f>
        <v/>
      </c>
      <c r="W190" s="8">
        <f>IF(U190="","",U190*1000+V190)</f>
        <v/>
      </c>
    </row>
    <row r="191">
      <c r="A191" s="44">
        <f>IF(P191="","",INDEX(前年度名簿!$H$2:$H$451,P191))</f>
        <v/>
      </c>
      <c r="B191" s="44">
        <f>IF(P191="","",IFERROR(INDEX(設定!$G$8:$G$31,INT(INDEX(前年度名簿!$G$2:$G$451,P191)/1000)),INDEX(前年度名簿!$A$2:$A$451,P191)&amp;INDEX(前年度名簿!$B$2:$B$451,P191)))</f>
        <v/>
      </c>
      <c r="C191" s="44">
        <f>IF(P191="","",INDEX(前年度名簿!$C$2:$C$451,P191))</f>
        <v/>
      </c>
      <c r="D191" s="3">
        <f>IF(P191="","",INDEX(前年度名簿!$D$2:$D$451,P191))</f>
        <v/>
      </c>
      <c r="E191" s="44">
        <f>IF(T191="","",INDEX(新年度名簿!$K$2:$K$451,T191))</f>
        <v/>
      </c>
      <c r="F191" s="44">
        <f>IF(T191="","",INDEX(新年度名簿!$C$2:$C$451,T191))</f>
        <v/>
      </c>
      <c r="G191" s="44">
        <f>IF(Q191="","",INDEX(希望入力!$H$2:$H$551,Q191)&amp;"")</f>
        <v/>
      </c>
      <c r="H191" s="44">
        <f>IF(Q191="","",INDEX(希望入力!$I$2:$I$551,Q191)&amp;"")</f>
        <v/>
      </c>
      <c r="I191" s="44">
        <f>IF(Q191="","",INDEX(希望入力!$J$2:$J$551,Q191)&amp;"")</f>
        <v/>
      </c>
      <c r="J191" s="44">
        <f>IF(Q191="","",IF(G191="","要調整",IFERROR(IF(IF(OR(設定!$C$14="〇",設定!$C$14="○"),COUNTIFS($A$7:$A$456,"&gt;="&amp;A191,$G$7:$G$456,G191),COUNTIF($G$7:$G$456,G191))&lt;=(INDEX(設定!$Q$8:$Q$27,MATCH(G191,設定!$P$8:$P$27,0))+N(INDEX(設定!$R$8:$R$27,MATCH(G191,設定!$P$8:$P$27,0)))),G191,"要調整"),"要調整")))</f>
        <v/>
      </c>
      <c r="K191" s="40" t="n"/>
      <c r="L191" s="52">
        <f>IF(P191="","",IF(K191&lt;&gt;"",K191,IF(OR(J191="",J191="要調整"),"",J191)))</f>
        <v/>
      </c>
      <c r="M191" s="44">
        <f>IF(P191="","",IF(AND(計算用!$B$1=1,T191=""),"転出",IF(L191&lt;&gt;"","決定",IF(Q191="","未提出","要調整"))))</f>
        <v/>
      </c>
      <c r="N191" s="44">
        <f>IF(OR(M191&lt;&gt;"要調整",H191=""),"",IFERROR((INDEX(設定!$Q$8:$Q$27,MATCH(H191,設定!$P$8:$P$27,0))+N(INDEX(設定!$R$8:$R$27,MATCH(H191,設定!$P$8:$P$27,0))))-INDEX(定員チェック!$F$7:$F$26,MATCH(H191,設定!$P$8:$P$27,0))-COUNTIFS($M$7:$M$456,"要調整",$G$7:$G$456,H191),""))</f>
        <v/>
      </c>
      <c r="O191" s="44">
        <f>IF(OR(M191&lt;&gt;"要調整",I191=""),"",IFERROR((INDEX(設定!$Q$8:$Q$27,MATCH(I191,設定!$P$8:$P$27,0))+N(INDEX(設定!$R$8:$R$27,MATCH(I191,設定!$P$8:$P$27,0))))-INDEX(定員チェック!$F$7:$F$26,MATCH(I191,設定!$P$8:$P$27,0))-COUNTIFS($M$7:$M$456,"要調整",$G$7:$G$456,I191),""))</f>
        <v/>
      </c>
      <c r="P191" s="8">
        <f>IFERROR(MATCH(SMALL(前年度名簿!$G$2:$G$451,185),前年度名簿!$G$2:$G$451,0),"")</f>
        <v/>
      </c>
      <c r="Q191" s="8">
        <f>IF(R191="","",IFERROR(MATCH(R191,希望入力!$M$2:$M$551,0),""))</f>
        <v/>
      </c>
      <c r="R191" s="8">
        <f>IF(P191="","",INDEX(前年度名簿!$F$2:$F$451,P191))</f>
        <v/>
      </c>
      <c r="S191" s="8">
        <f>IF(P191="","",INDEX(前年度名簿!$I$2:$I$451,P191))</f>
        <v/>
      </c>
      <c r="T191" s="8">
        <f>IF(OR(P191="",計算用!$B$1=0),"",IFERROR(MATCH(S191,新年度名簿!$H$2:$H$451,0),""))</f>
        <v/>
      </c>
      <c r="U191" s="8">
        <f>IF(OR(L191="",M191="転出"),"",IFERROR(MATCH(L191,設定!$P$8:$P$27,0),""))</f>
        <v/>
      </c>
      <c r="V191" s="8">
        <f>IF(U191="","",COUNTIF($U$7:U191,U191))</f>
        <v/>
      </c>
      <c r="W191" s="8">
        <f>IF(U191="","",U191*1000+V191)</f>
        <v/>
      </c>
    </row>
    <row r="192">
      <c r="A192" s="44">
        <f>IF(P192="","",INDEX(前年度名簿!$H$2:$H$451,P192))</f>
        <v/>
      </c>
      <c r="B192" s="44">
        <f>IF(P192="","",IFERROR(INDEX(設定!$G$8:$G$31,INT(INDEX(前年度名簿!$G$2:$G$451,P192)/1000)),INDEX(前年度名簿!$A$2:$A$451,P192)&amp;INDEX(前年度名簿!$B$2:$B$451,P192)))</f>
        <v/>
      </c>
      <c r="C192" s="44">
        <f>IF(P192="","",INDEX(前年度名簿!$C$2:$C$451,P192))</f>
        <v/>
      </c>
      <c r="D192" s="3">
        <f>IF(P192="","",INDEX(前年度名簿!$D$2:$D$451,P192))</f>
        <v/>
      </c>
      <c r="E192" s="44">
        <f>IF(T192="","",INDEX(新年度名簿!$K$2:$K$451,T192))</f>
        <v/>
      </c>
      <c r="F192" s="44">
        <f>IF(T192="","",INDEX(新年度名簿!$C$2:$C$451,T192))</f>
        <v/>
      </c>
      <c r="G192" s="44">
        <f>IF(Q192="","",INDEX(希望入力!$H$2:$H$551,Q192)&amp;"")</f>
        <v/>
      </c>
      <c r="H192" s="44">
        <f>IF(Q192="","",INDEX(希望入力!$I$2:$I$551,Q192)&amp;"")</f>
        <v/>
      </c>
      <c r="I192" s="44">
        <f>IF(Q192="","",INDEX(希望入力!$J$2:$J$551,Q192)&amp;"")</f>
        <v/>
      </c>
      <c r="J192" s="44">
        <f>IF(Q192="","",IF(G192="","要調整",IFERROR(IF(IF(OR(設定!$C$14="〇",設定!$C$14="○"),COUNTIFS($A$7:$A$456,"&gt;="&amp;A192,$G$7:$G$456,G192),COUNTIF($G$7:$G$456,G192))&lt;=(INDEX(設定!$Q$8:$Q$27,MATCH(G192,設定!$P$8:$P$27,0))+N(INDEX(設定!$R$8:$R$27,MATCH(G192,設定!$P$8:$P$27,0)))),G192,"要調整"),"要調整")))</f>
        <v/>
      </c>
      <c r="K192" s="40" t="n"/>
      <c r="L192" s="52">
        <f>IF(P192="","",IF(K192&lt;&gt;"",K192,IF(OR(J192="",J192="要調整"),"",J192)))</f>
        <v/>
      </c>
      <c r="M192" s="44">
        <f>IF(P192="","",IF(AND(計算用!$B$1=1,T192=""),"転出",IF(L192&lt;&gt;"","決定",IF(Q192="","未提出","要調整"))))</f>
        <v/>
      </c>
      <c r="N192" s="44">
        <f>IF(OR(M192&lt;&gt;"要調整",H192=""),"",IFERROR((INDEX(設定!$Q$8:$Q$27,MATCH(H192,設定!$P$8:$P$27,0))+N(INDEX(設定!$R$8:$R$27,MATCH(H192,設定!$P$8:$P$27,0))))-INDEX(定員チェック!$F$7:$F$26,MATCH(H192,設定!$P$8:$P$27,0))-COUNTIFS($M$7:$M$456,"要調整",$G$7:$G$456,H192),""))</f>
        <v/>
      </c>
      <c r="O192" s="44">
        <f>IF(OR(M192&lt;&gt;"要調整",I192=""),"",IFERROR((INDEX(設定!$Q$8:$Q$27,MATCH(I192,設定!$P$8:$P$27,0))+N(INDEX(設定!$R$8:$R$27,MATCH(I192,設定!$P$8:$P$27,0))))-INDEX(定員チェック!$F$7:$F$26,MATCH(I192,設定!$P$8:$P$27,0))-COUNTIFS($M$7:$M$456,"要調整",$G$7:$G$456,I192),""))</f>
        <v/>
      </c>
      <c r="P192" s="8">
        <f>IFERROR(MATCH(SMALL(前年度名簿!$G$2:$G$451,186),前年度名簿!$G$2:$G$451,0),"")</f>
        <v/>
      </c>
      <c r="Q192" s="8">
        <f>IF(R192="","",IFERROR(MATCH(R192,希望入力!$M$2:$M$551,0),""))</f>
        <v/>
      </c>
      <c r="R192" s="8">
        <f>IF(P192="","",INDEX(前年度名簿!$F$2:$F$451,P192))</f>
        <v/>
      </c>
      <c r="S192" s="8">
        <f>IF(P192="","",INDEX(前年度名簿!$I$2:$I$451,P192))</f>
        <v/>
      </c>
      <c r="T192" s="8">
        <f>IF(OR(P192="",計算用!$B$1=0),"",IFERROR(MATCH(S192,新年度名簿!$H$2:$H$451,0),""))</f>
        <v/>
      </c>
      <c r="U192" s="8">
        <f>IF(OR(L192="",M192="転出"),"",IFERROR(MATCH(L192,設定!$P$8:$P$27,0),""))</f>
        <v/>
      </c>
      <c r="V192" s="8">
        <f>IF(U192="","",COUNTIF($U$7:U192,U192))</f>
        <v/>
      </c>
      <c r="W192" s="8">
        <f>IF(U192="","",U192*1000+V192)</f>
        <v/>
      </c>
    </row>
    <row r="193">
      <c r="A193" s="44">
        <f>IF(P193="","",INDEX(前年度名簿!$H$2:$H$451,P193))</f>
        <v/>
      </c>
      <c r="B193" s="44">
        <f>IF(P193="","",IFERROR(INDEX(設定!$G$8:$G$31,INT(INDEX(前年度名簿!$G$2:$G$451,P193)/1000)),INDEX(前年度名簿!$A$2:$A$451,P193)&amp;INDEX(前年度名簿!$B$2:$B$451,P193)))</f>
        <v/>
      </c>
      <c r="C193" s="44">
        <f>IF(P193="","",INDEX(前年度名簿!$C$2:$C$451,P193))</f>
        <v/>
      </c>
      <c r="D193" s="3">
        <f>IF(P193="","",INDEX(前年度名簿!$D$2:$D$451,P193))</f>
        <v/>
      </c>
      <c r="E193" s="44">
        <f>IF(T193="","",INDEX(新年度名簿!$K$2:$K$451,T193))</f>
        <v/>
      </c>
      <c r="F193" s="44">
        <f>IF(T193="","",INDEX(新年度名簿!$C$2:$C$451,T193))</f>
        <v/>
      </c>
      <c r="G193" s="44">
        <f>IF(Q193="","",INDEX(希望入力!$H$2:$H$551,Q193)&amp;"")</f>
        <v/>
      </c>
      <c r="H193" s="44">
        <f>IF(Q193="","",INDEX(希望入力!$I$2:$I$551,Q193)&amp;"")</f>
        <v/>
      </c>
      <c r="I193" s="44">
        <f>IF(Q193="","",INDEX(希望入力!$J$2:$J$551,Q193)&amp;"")</f>
        <v/>
      </c>
      <c r="J193" s="44">
        <f>IF(Q193="","",IF(G193="","要調整",IFERROR(IF(IF(OR(設定!$C$14="〇",設定!$C$14="○"),COUNTIFS($A$7:$A$456,"&gt;="&amp;A193,$G$7:$G$456,G193),COUNTIF($G$7:$G$456,G193))&lt;=(INDEX(設定!$Q$8:$Q$27,MATCH(G193,設定!$P$8:$P$27,0))+N(INDEX(設定!$R$8:$R$27,MATCH(G193,設定!$P$8:$P$27,0)))),G193,"要調整"),"要調整")))</f>
        <v/>
      </c>
      <c r="K193" s="40" t="n"/>
      <c r="L193" s="52">
        <f>IF(P193="","",IF(K193&lt;&gt;"",K193,IF(OR(J193="",J193="要調整"),"",J193)))</f>
        <v/>
      </c>
      <c r="M193" s="44">
        <f>IF(P193="","",IF(AND(計算用!$B$1=1,T193=""),"転出",IF(L193&lt;&gt;"","決定",IF(Q193="","未提出","要調整"))))</f>
        <v/>
      </c>
      <c r="N193" s="44">
        <f>IF(OR(M193&lt;&gt;"要調整",H193=""),"",IFERROR((INDEX(設定!$Q$8:$Q$27,MATCH(H193,設定!$P$8:$P$27,0))+N(INDEX(設定!$R$8:$R$27,MATCH(H193,設定!$P$8:$P$27,0))))-INDEX(定員チェック!$F$7:$F$26,MATCH(H193,設定!$P$8:$P$27,0))-COUNTIFS($M$7:$M$456,"要調整",$G$7:$G$456,H193),""))</f>
        <v/>
      </c>
      <c r="O193" s="44">
        <f>IF(OR(M193&lt;&gt;"要調整",I193=""),"",IFERROR((INDEX(設定!$Q$8:$Q$27,MATCH(I193,設定!$P$8:$P$27,0))+N(INDEX(設定!$R$8:$R$27,MATCH(I193,設定!$P$8:$P$27,0))))-INDEX(定員チェック!$F$7:$F$26,MATCH(I193,設定!$P$8:$P$27,0))-COUNTIFS($M$7:$M$456,"要調整",$G$7:$G$456,I193),""))</f>
        <v/>
      </c>
      <c r="P193" s="8">
        <f>IFERROR(MATCH(SMALL(前年度名簿!$G$2:$G$451,187),前年度名簿!$G$2:$G$451,0),"")</f>
        <v/>
      </c>
      <c r="Q193" s="8">
        <f>IF(R193="","",IFERROR(MATCH(R193,希望入力!$M$2:$M$551,0),""))</f>
        <v/>
      </c>
      <c r="R193" s="8">
        <f>IF(P193="","",INDEX(前年度名簿!$F$2:$F$451,P193))</f>
        <v/>
      </c>
      <c r="S193" s="8">
        <f>IF(P193="","",INDEX(前年度名簿!$I$2:$I$451,P193))</f>
        <v/>
      </c>
      <c r="T193" s="8">
        <f>IF(OR(P193="",計算用!$B$1=0),"",IFERROR(MATCH(S193,新年度名簿!$H$2:$H$451,0),""))</f>
        <v/>
      </c>
      <c r="U193" s="8">
        <f>IF(OR(L193="",M193="転出"),"",IFERROR(MATCH(L193,設定!$P$8:$P$27,0),""))</f>
        <v/>
      </c>
      <c r="V193" s="8">
        <f>IF(U193="","",COUNTIF($U$7:U193,U193))</f>
        <v/>
      </c>
      <c r="W193" s="8">
        <f>IF(U193="","",U193*1000+V193)</f>
        <v/>
      </c>
    </row>
    <row r="194">
      <c r="A194" s="44">
        <f>IF(P194="","",INDEX(前年度名簿!$H$2:$H$451,P194))</f>
        <v/>
      </c>
      <c r="B194" s="44">
        <f>IF(P194="","",IFERROR(INDEX(設定!$G$8:$G$31,INT(INDEX(前年度名簿!$G$2:$G$451,P194)/1000)),INDEX(前年度名簿!$A$2:$A$451,P194)&amp;INDEX(前年度名簿!$B$2:$B$451,P194)))</f>
        <v/>
      </c>
      <c r="C194" s="44">
        <f>IF(P194="","",INDEX(前年度名簿!$C$2:$C$451,P194))</f>
        <v/>
      </c>
      <c r="D194" s="3">
        <f>IF(P194="","",INDEX(前年度名簿!$D$2:$D$451,P194))</f>
        <v/>
      </c>
      <c r="E194" s="44">
        <f>IF(T194="","",INDEX(新年度名簿!$K$2:$K$451,T194))</f>
        <v/>
      </c>
      <c r="F194" s="44">
        <f>IF(T194="","",INDEX(新年度名簿!$C$2:$C$451,T194))</f>
        <v/>
      </c>
      <c r="G194" s="44">
        <f>IF(Q194="","",INDEX(希望入力!$H$2:$H$551,Q194)&amp;"")</f>
        <v/>
      </c>
      <c r="H194" s="44">
        <f>IF(Q194="","",INDEX(希望入力!$I$2:$I$551,Q194)&amp;"")</f>
        <v/>
      </c>
      <c r="I194" s="44">
        <f>IF(Q194="","",INDEX(希望入力!$J$2:$J$551,Q194)&amp;"")</f>
        <v/>
      </c>
      <c r="J194" s="44">
        <f>IF(Q194="","",IF(G194="","要調整",IFERROR(IF(IF(OR(設定!$C$14="〇",設定!$C$14="○"),COUNTIFS($A$7:$A$456,"&gt;="&amp;A194,$G$7:$G$456,G194),COUNTIF($G$7:$G$456,G194))&lt;=(INDEX(設定!$Q$8:$Q$27,MATCH(G194,設定!$P$8:$P$27,0))+N(INDEX(設定!$R$8:$R$27,MATCH(G194,設定!$P$8:$P$27,0)))),G194,"要調整"),"要調整")))</f>
        <v/>
      </c>
      <c r="K194" s="40" t="n"/>
      <c r="L194" s="52">
        <f>IF(P194="","",IF(K194&lt;&gt;"",K194,IF(OR(J194="",J194="要調整"),"",J194)))</f>
        <v/>
      </c>
      <c r="M194" s="44">
        <f>IF(P194="","",IF(AND(計算用!$B$1=1,T194=""),"転出",IF(L194&lt;&gt;"","決定",IF(Q194="","未提出","要調整"))))</f>
        <v/>
      </c>
      <c r="N194" s="44">
        <f>IF(OR(M194&lt;&gt;"要調整",H194=""),"",IFERROR((INDEX(設定!$Q$8:$Q$27,MATCH(H194,設定!$P$8:$P$27,0))+N(INDEX(設定!$R$8:$R$27,MATCH(H194,設定!$P$8:$P$27,0))))-INDEX(定員チェック!$F$7:$F$26,MATCH(H194,設定!$P$8:$P$27,0))-COUNTIFS($M$7:$M$456,"要調整",$G$7:$G$456,H194),""))</f>
        <v/>
      </c>
      <c r="O194" s="44">
        <f>IF(OR(M194&lt;&gt;"要調整",I194=""),"",IFERROR((INDEX(設定!$Q$8:$Q$27,MATCH(I194,設定!$P$8:$P$27,0))+N(INDEX(設定!$R$8:$R$27,MATCH(I194,設定!$P$8:$P$27,0))))-INDEX(定員チェック!$F$7:$F$26,MATCH(I194,設定!$P$8:$P$27,0))-COUNTIFS($M$7:$M$456,"要調整",$G$7:$G$456,I194),""))</f>
        <v/>
      </c>
      <c r="P194" s="8">
        <f>IFERROR(MATCH(SMALL(前年度名簿!$G$2:$G$451,188),前年度名簿!$G$2:$G$451,0),"")</f>
        <v/>
      </c>
      <c r="Q194" s="8">
        <f>IF(R194="","",IFERROR(MATCH(R194,希望入力!$M$2:$M$551,0),""))</f>
        <v/>
      </c>
      <c r="R194" s="8">
        <f>IF(P194="","",INDEX(前年度名簿!$F$2:$F$451,P194))</f>
        <v/>
      </c>
      <c r="S194" s="8">
        <f>IF(P194="","",INDEX(前年度名簿!$I$2:$I$451,P194))</f>
        <v/>
      </c>
      <c r="T194" s="8">
        <f>IF(OR(P194="",計算用!$B$1=0),"",IFERROR(MATCH(S194,新年度名簿!$H$2:$H$451,0),""))</f>
        <v/>
      </c>
      <c r="U194" s="8">
        <f>IF(OR(L194="",M194="転出"),"",IFERROR(MATCH(L194,設定!$P$8:$P$27,0),""))</f>
        <v/>
      </c>
      <c r="V194" s="8">
        <f>IF(U194="","",COUNTIF($U$7:U194,U194))</f>
        <v/>
      </c>
      <c r="W194" s="8">
        <f>IF(U194="","",U194*1000+V194)</f>
        <v/>
      </c>
    </row>
    <row r="195">
      <c r="A195" s="44">
        <f>IF(P195="","",INDEX(前年度名簿!$H$2:$H$451,P195))</f>
        <v/>
      </c>
      <c r="B195" s="44">
        <f>IF(P195="","",IFERROR(INDEX(設定!$G$8:$G$31,INT(INDEX(前年度名簿!$G$2:$G$451,P195)/1000)),INDEX(前年度名簿!$A$2:$A$451,P195)&amp;INDEX(前年度名簿!$B$2:$B$451,P195)))</f>
        <v/>
      </c>
      <c r="C195" s="44">
        <f>IF(P195="","",INDEX(前年度名簿!$C$2:$C$451,P195))</f>
        <v/>
      </c>
      <c r="D195" s="3">
        <f>IF(P195="","",INDEX(前年度名簿!$D$2:$D$451,P195))</f>
        <v/>
      </c>
      <c r="E195" s="44">
        <f>IF(T195="","",INDEX(新年度名簿!$K$2:$K$451,T195))</f>
        <v/>
      </c>
      <c r="F195" s="44">
        <f>IF(T195="","",INDEX(新年度名簿!$C$2:$C$451,T195))</f>
        <v/>
      </c>
      <c r="G195" s="44">
        <f>IF(Q195="","",INDEX(希望入力!$H$2:$H$551,Q195)&amp;"")</f>
        <v/>
      </c>
      <c r="H195" s="44">
        <f>IF(Q195="","",INDEX(希望入力!$I$2:$I$551,Q195)&amp;"")</f>
        <v/>
      </c>
      <c r="I195" s="44">
        <f>IF(Q195="","",INDEX(希望入力!$J$2:$J$551,Q195)&amp;"")</f>
        <v/>
      </c>
      <c r="J195" s="44">
        <f>IF(Q195="","",IF(G195="","要調整",IFERROR(IF(IF(OR(設定!$C$14="〇",設定!$C$14="○"),COUNTIFS($A$7:$A$456,"&gt;="&amp;A195,$G$7:$G$456,G195),COUNTIF($G$7:$G$456,G195))&lt;=(INDEX(設定!$Q$8:$Q$27,MATCH(G195,設定!$P$8:$P$27,0))+N(INDEX(設定!$R$8:$R$27,MATCH(G195,設定!$P$8:$P$27,0)))),G195,"要調整"),"要調整")))</f>
        <v/>
      </c>
      <c r="K195" s="40" t="n"/>
      <c r="L195" s="52">
        <f>IF(P195="","",IF(K195&lt;&gt;"",K195,IF(OR(J195="",J195="要調整"),"",J195)))</f>
        <v/>
      </c>
      <c r="M195" s="44">
        <f>IF(P195="","",IF(AND(計算用!$B$1=1,T195=""),"転出",IF(L195&lt;&gt;"","決定",IF(Q195="","未提出","要調整"))))</f>
        <v/>
      </c>
      <c r="N195" s="44">
        <f>IF(OR(M195&lt;&gt;"要調整",H195=""),"",IFERROR((INDEX(設定!$Q$8:$Q$27,MATCH(H195,設定!$P$8:$P$27,0))+N(INDEX(設定!$R$8:$R$27,MATCH(H195,設定!$P$8:$P$27,0))))-INDEX(定員チェック!$F$7:$F$26,MATCH(H195,設定!$P$8:$P$27,0))-COUNTIFS($M$7:$M$456,"要調整",$G$7:$G$456,H195),""))</f>
        <v/>
      </c>
      <c r="O195" s="44">
        <f>IF(OR(M195&lt;&gt;"要調整",I195=""),"",IFERROR((INDEX(設定!$Q$8:$Q$27,MATCH(I195,設定!$P$8:$P$27,0))+N(INDEX(設定!$R$8:$R$27,MATCH(I195,設定!$P$8:$P$27,0))))-INDEX(定員チェック!$F$7:$F$26,MATCH(I195,設定!$P$8:$P$27,0))-COUNTIFS($M$7:$M$456,"要調整",$G$7:$G$456,I195),""))</f>
        <v/>
      </c>
      <c r="P195" s="8">
        <f>IFERROR(MATCH(SMALL(前年度名簿!$G$2:$G$451,189),前年度名簿!$G$2:$G$451,0),"")</f>
        <v/>
      </c>
      <c r="Q195" s="8">
        <f>IF(R195="","",IFERROR(MATCH(R195,希望入力!$M$2:$M$551,0),""))</f>
        <v/>
      </c>
      <c r="R195" s="8">
        <f>IF(P195="","",INDEX(前年度名簿!$F$2:$F$451,P195))</f>
        <v/>
      </c>
      <c r="S195" s="8">
        <f>IF(P195="","",INDEX(前年度名簿!$I$2:$I$451,P195))</f>
        <v/>
      </c>
      <c r="T195" s="8">
        <f>IF(OR(P195="",計算用!$B$1=0),"",IFERROR(MATCH(S195,新年度名簿!$H$2:$H$451,0),""))</f>
        <v/>
      </c>
      <c r="U195" s="8">
        <f>IF(OR(L195="",M195="転出"),"",IFERROR(MATCH(L195,設定!$P$8:$P$27,0),""))</f>
        <v/>
      </c>
      <c r="V195" s="8">
        <f>IF(U195="","",COUNTIF($U$7:U195,U195))</f>
        <v/>
      </c>
      <c r="W195" s="8">
        <f>IF(U195="","",U195*1000+V195)</f>
        <v/>
      </c>
    </row>
    <row r="196">
      <c r="A196" s="44">
        <f>IF(P196="","",INDEX(前年度名簿!$H$2:$H$451,P196))</f>
        <v/>
      </c>
      <c r="B196" s="44">
        <f>IF(P196="","",IFERROR(INDEX(設定!$G$8:$G$31,INT(INDEX(前年度名簿!$G$2:$G$451,P196)/1000)),INDEX(前年度名簿!$A$2:$A$451,P196)&amp;INDEX(前年度名簿!$B$2:$B$451,P196)))</f>
        <v/>
      </c>
      <c r="C196" s="44">
        <f>IF(P196="","",INDEX(前年度名簿!$C$2:$C$451,P196))</f>
        <v/>
      </c>
      <c r="D196" s="3">
        <f>IF(P196="","",INDEX(前年度名簿!$D$2:$D$451,P196))</f>
        <v/>
      </c>
      <c r="E196" s="44">
        <f>IF(T196="","",INDEX(新年度名簿!$K$2:$K$451,T196))</f>
        <v/>
      </c>
      <c r="F196" s="44">
        <f>IF(T196="","",INDEX(新年度名簿!$C$2:$C$451,T196))</f>
        <v/>
      </c>
      <c r="G196" s="44">
        <f>IF(Q196="","",INDEX(希望入力!$H$2:$H$551,Q196)&amp;"")</f>
        <v/>
      </c>
      <c r="H196" s="44">
        <f>IF(Q196="","",INDEX(希望入力!$I$2:$I$551,Q196)&amp;"")</f>
        <v/>
      </c>
      <c r="I196" s="44">
        <f>IF(Q196="","",INDEX(希望入力!$J$2:$J$551,Q196)&amp;"")</f>
        <v/>
      </c>
      <c r="J196" s="44">
        <f>IF(Q196="","",IF(G196="","要調整",IFERROR(IF(IF(OR(設定!$C$14="〇",設定!$C$14="○"),COUNTIFS($A$7:$A$456,"&gt;="&amp;A196,$G$7:$G$456,G196),COUNTIF($G$7:$G$456,G196))&lt;=(INDEX(設定!$Q$8:$Q$27,MATCH(G196,設定!$P$8:$P$27,0))+N(INDEX(設定!$R$8:$R$27,MATCH(G196,設定!$P$8:$P$27,0)))),G196,"要調整"),"要調整")))</f>
        <v/>
      </c>
      <c r="K196" s="40" t="n"/>
      <c r="L196" s="52">
        <f>IF(P196="","",IF(K196&lt;&gt;"",K196,IF(OR(J196="",J196="要調整"),"",J196)))</f>
        <v/>
      </c>
      <c r="M196" s="44">
        <f>IF(P196="","",IF(AND(計算用!$B$1=1,T196=""),"転出",IF(L196&lt;&gt;"","決定",IF(Q196="","未提出","要調整"))))</f>
        <v/>
      </c>
      <c r="N196" s="44">
        <f>IF(OR(M196&lt;&gt;"要調整",H196=""),"",IFERROR((INDEX(設定!$Q$8:$Q$27,MATCH(H196,設定!$P$8:$P$27,0))+N(INDEX(設定!$R$8:$R$27,MATCH(H196,設定!$P$8:$P$27,0))))-INDEX(定員チェック!$F$7:$F$26,MATCH(H196,設定!$P$8:$P$27,0))-COUNTIFS($M$7:$M$456,"要調整",$G$7:$G$456,H196),""))</f>
        <v/>
      </c>
      <c r="O196" s="44">
        <f>IF(OR(M196&lt;&gt;"要調整",I196=""),"",IFERROR((INDEX(設定!$Q$8:$Q$27,MATCH(I196,設定!$P$8:$P$27,0))+N(INDEX(設定!$R$8:$R$27,MATCH(I196,設定!$P$8:$P$27,0))))-INDEX(定員チェック!$F$7:$F$26,MATCH(I196,設定!$P$8:$P$27,0))-COUNTIFS($M$7:$M$456,"要調整",$G$7:$G$456,I196),""))</f>
        <v/>
      </c>
      <c r="P196" s="8">
        <f>IFERROR(MATCH(SMALL(前年度名簿!$G$2:$G$451,190),前年度名簿!$G$2:$G$451,0),"")</f>
        <v/>
      </c>
      <c r="Q196" s="8">
        <f>IF(R196="","",IFERROR(MATCH(R196,希望入力!$M$2:$M$551,0),""))</f>
        <v/>
      </c>
      <c r="R196" s="8">
        <f>IF(P196="","",INDEX(前年度名簿!$F$2:$F$451,P196))</f>
        <v/>
      </c>
      <c r="S196" s="8">
        <f>IF(P196="","",INDEX(前年度名簿!$I$2:$I$451,P196))</f>
        <v/>
      </c>
      <c r="T196" s="8">
        <f>IF(OR(P196="",計算用!$B$1=0),"",IFERROR(MATCH(S196,新年度名簿!$H$2:$H$451,0),""))</f>
        <v/>
      </c>
      <c r="U196" s="8">
        <f>IF(OR(L196="",M196="転出"),"",IFERROR(MATCH(L196,設定!$P$8:$P$27,0),""))</f>
        <v/>
      </c>
      <c r="V196" s="8">
        <f>IF(U196="","",COUNTIF($U$7:U196,U196))</f>
        <v/>
      </c>
      <c r="W196" s="8">
        <f>IF(U196="","",U196*1000+V196)</f>
        <v/>
      </c>
    </row>
    <row r="197">
      <c r="A197" s="44">
        <f>IF(P197="","",INDEX(前年度名簿!$H$2:$H$451,P197))</f>
        <v/>
      </c>
      <c r="B197" s="44">
        <f>IF(P197="","",IFERROR(INDEX(設定!$G$8:$G$31,INT(INDEX(前年度名簿!$G$2:$G$451,P197)/1000)),INDEX(前年度名簿!$A$2:$A$451,P197)&amp;INDEX(前年度名簿!$B$2:$B$451,P197)))</f>
        <v/>
      </c>
      <c r="C197" s="44">
        <f>IF(P197="","",INDEX(前年度名簿!$C$2:$C$451,P197))</f>
        <v/>
      </c>
      <c r="D197" s="3">
        <f>IF(P197="","",INDEX(前年度名簿!$D$2:$D$451,P197))</f>
        <v/>
      </c>
      <c r="E197" s="44">
        <f>IF(T197="","",INDEX(新年度名簿!$K$2:$K$451,T197))</f>
        <v/>
      </c>
      <c r="F197" s="44">
        <f>IF(T197="","",INDEX(新年度名簿!$C$2:$C$451,T197))</f>
        <v/>
      </c>
      <c r="G197" s="44">
        <f>IF(Q197="","",INDEX(希望入力!$H$2:$H$551,Q197)&amp;"")</f>
        <v/>
      </c>
      <c r="H197" s="44">
        <f>IF(Q197="","",INDEX(希望入力!$I$2:$I$551,Q197)&amp;"")</f>
        <v/>
      </c>
      <c r="I197" s="44">
        <f>IF(Q197="","",INDEX(希望入力!$J$2:$J$551,Q197)&amp;"")</f>
        <v/>
      </c>
      <c r="J197" s="44">
        <f>IF(Q197="","",IF(G197="","要調整",IFERROR(IF(IF(OR(設定!$C$14="〇",設定!$C$14="○"),COUNTIFS($A$7:$A$456,"&gt;="&amp;A197,$G$7:$G$456,G197),COUNTIF($G$7:$G$456,G197))&lt;=(INDEX(設定!$Q$8:$Q$27,MATCH(G197,設定!$P$8:$P$27,0))+N(INDEX(設定!$R$8:$R$27,MATCH(G197,設定!$P$8:$P$27,0)))),G197,"要調整"),"要調整")))</f>
        <v/>
      </c>
      <c r="K197" s="40" t="n"/>
      <c r="L197" s="52">
        <f>IF(P197="","",IF(K197&lt;&gt;"",K197,IF(OR(J197="",J197="要調整"),"",J197)))</f>
        <v/>
      </c>
      <c r="M197" s="44">
        <f>IF(P197="","",IF(AND(計算用!$B$1=1,T197=""),"転出",IF(L197&lt;&gt;"","決定",IF(Q197="","未提出","要調整"))))</f>
        <v/>
      </c>
      <c r="N197" s="44">
        <f>IF(OR(M197&lt;&gt;"要調整",H197=""),"",IFERROR((INDEX(設定!$Q$8:$Q$27,MATCH(H197,設定!$P$8:$P$27,0))+N(INDEX(設定!$R$8:$R$27,MATCH(H197,設定!$P$8:$P$27,0))))-INDEX(定員チェック!$F$7:$F$26,MATCH(H197,設定!$P$8:$P$27,0))-COUNTIFS($M$7:$M$456,"要調整",$G$7:$G$456,H197),""))</f>
        <v/>
      </c>
      <c r="O197" s="44">
        <f>IF(OR(M197&lt;&gt;"要調整",I197=""),"",IFERROR((INDEX(設定!$Q$8:$Q$27,MATCH(I197,設定!$P$8:$P$27,0))+N(INDEX(設定!$R$8:$R$27,MATCH(I197,設定!$P$8:$P$27,0))))-INDEX(定員チェック!$F$7:$F$26,MATCH(I197,設定!$P$8:$P$27,0))-COUNTIFS($M$7:$M$456,"要調整",$G$7:$G$456,I197),""))</f>
        <v/>
      </c>
      <c r="P197" s="8">
        <f>IFERROR(MATCH(SMALL(前年度名簿!$G$2:$G$451,191),前年度名簿!$G$2:$G$451,0),"")</f>
        <v/>
      </c>
      <c r="Q197" s="8">
        <f>IF(R197="","",IFERROR(MATCH(R197,希望入力!$M$2:$M$551,0),""))</f>
        <v/>
      </c>
      <c r="R197" s="8">
        <f>IF(P197="","",INDEX(前年度名簿!$F$2:$F$451,P197))</f>
        <v/>
      </c>
      <c r="S197" s="8">
        <f>IF(P197="","",INDEX(前年度名簿!$I$2:$I$451,P197))</f>
        <v/>
      </c>
      <c r="T197" s="8">
        <f>IF(OR(P197="",計算用!$B$1=0),"",IFERROR(MATCH(S197,新年度名簿!$H$2:$H$451,0),""))</f>
        <v/>
      </c>
      <c r="U197" s="8">
        <f>IF(OR(L197="",M197="転出"),"",IFERROR(MATCH(L197,設定!$P$8:$P$27,0),""))</f>
        <v/>
      </c>
      <c r="V197" s="8">
        <f>IF(U197="","",COUNTIF($U$7:U197,U197))</f>
        <v/>
      </c>
      <c r="W197" s="8">
        <f>IF(U197="","",U197*1000+V197)</f>
        <v/>
      </c>
    </row>
    <row r="198">
      <c r="A198" s="44">
        <f>IF(P198="","",INDEX(前年度名簿!$H$2:$H$451,P198))</f>
        <v/>
      </c>
      <c r="B198" s="44">
        <f>IF(P198="","",IFERROR(INDEX(設定!$G$8:$G$31,INT(INDEX(前年度名簿!$G$2:$G$451,P198)/1000)),INDEX(前年度名簿!$A$2:$A$451,P198)&amp;INDEX(前年度名簿!$B$2:$B$451,P198)))</f>
        <v/>
      </c>
      <c r="C198" s="44">
        <f>IF(P198="","",INDEX(前年度名簿!$C$2:$C$451,P198))</f>
        <v/>
      </c>
      <c r="D198" s="3">
        <f>IF(P198="","",INDEX(前年度名簿!$D$2:$D$451,P198))</f>
        <v/>
      </c>
      <c r="E198" s="44">
        <f>IF(T198="","",INDEX(新年度名簿!$K$2:$K$451,T198))</f>
        <v/>
      </c>
      <c r="F198" s="44">
        <f>IF(T198="","",INDEX(新年度名簿!$C$2:$C$451,T198))</f>
        <v/>
      </c>
      <c r="G198" s="44">
        <f>IF(Q198="","",INDEX(希望入力!$H$2:$H$551,Q198)&amp;"")</f>
        <v/>
      </c>
      <c r="H198" s="44">
        <f>IF(Q198="","",INDEX(希望入力!$I$2:$I$551,Q198)&amp;"")</f>
        <v/>
      </c>
      <c r="I198" s="44">
        <f>IF(Q198="","",INDEX(希望入力!$J$2:$J$551,Q198)&amp;"")</f>
        <v/>
      </c>
      <c r="J198" s="44">
        <f>IF(Q198="","",IF(G198="","要調整",IFERROR(IF(IF(OR(設定!$C$14="〇",設定!$C$14="○"),COUNTIFS($A$7:$A$456,"&gt;="&amp;A198,$G$7:$G$456,G198),COUNTIF($G$7:$G$456,G198))&lt;=(INDEX(設定!$Q$8:$Q$27,MATCH(G198,設定!$P$8:$P$27,0))+N(INDEX(設定!$R$8:$R$27,MATCH(G198,設定!$P$8:$P$27,0)))),G198,"要調整"),"要調整")))</f>
        <v/>
      </c>
      <c r="K198" s="40" t="n"/>
      <c r="L198" s="52">
        <f>IF(P198="","",IF(K198&lt;&gt;"",K198,IF(OR(J198="",J198="要調整"),"",J198)))</f>
        <v/>
      </c>
      <c r="M198" s="44">
        <f>IF(P198="","",IF(AND(計算用!$B$1=1,T198=""),"転出",IF(L198&lt;&gt;"","決定",IF(Q198="","未提出","要調整"))))</f>
        <v/>
      </c>
      <c r="N198" s="44">
        <f>IF(OR(M198&lt;&gt;"要調整",H198=""),"",IFERROR((INDEX(設定!$Q$8:$Q$27,MATCH(H198,設定!$P$8:$P$27,0))+N(INDEX(設定!$R$8:$R$27,MATCH(H198,設定!$P$8:$P$27,0))))-INDEX(定員チェック!$F$7:$F$26,MATCH(H198,設定!$P$8:$P$27,0))-COUNTIFS($M$7:$M$456,"要調整",$G$7:$G$456,H198),""))</f>
        <v/>
      </c>
      <c r="O198" s="44">
        <f>IF(OR(M198&lt;&gt;"要調整",I198=""),"",IFERROR((INDEX(設定!$Q$8:$Q$27,MATCH(I198,設定!$P$8:$P$27,0))+N(INDEX(設定!$R$8:$R$27,MATCH(I198,設定!$P$8:$P$27,0))))-INDEX(定員チェック!$F$7:$F$26,MATCH(I198,設定!$P$8:$P$27,0))-COUNTIFS($M$7:$M$456,"要調整",$G$7:$G$456,I198),""))</f>
        <v/>
      </c>
      <c r="P198" s="8">
        <f>IFERROR(MATCH(SMALL(前年度名簿!$G$2:$G$451,192),前年度名簿!$G$2:$G$451,0),"")</f>
        <v/>
      </c>
      <c r="Q198" s="8">
        <f>IF(R198="","",IFERROR(MATCH(R198,希望入力!$M$2:$M$551,0),""))</f>
        <v/>
      </c>
      <c r="R198" s="8">
        <f>IF(P198="","",INDEX(前年度名簿!$F$2:$F$451,P198))</f>
        <v/>
      </c>
      <c r="S198" s="8">
        <f>IF(P198="","",INDEX(前年度名簿!$I$2:$I$451,P198))</f>
        <v/>
      </c>
      <c r="T198" s="8">
        <f>IF(OR(P198="",計算用!$B$1=0),"",IFERROR(MATCH(S198,新年度名簿!$H$2:$H$451,0),""))</f>
        <v/>
      </c>
      <c r="U198" s="8">
        <f>IF(OR(L198="",M198="転出"),"",IFERROR(MATCH(L198,設定!$P$8:$P$27,0),""))</f>
        <v/>
      </c>
      <c r="V198" s="8">
        <f>IF(U198="","",COUNTIF($U$7:U198,U198))</f>
        <v/>
      </c>
      <c r="W198" s="8">
        <f>IF(U198="","",U198*1000+V198)</f>
        <v/>
      </c>
    </row>
    <row r="199">
      <c r="A199" s="44">
        <f>IF(P199="","",INDEX(前年度名簿!$H$2:$H$451,P199))</f>
        <v/>
      </c>
      <c r="B199" s="44">
        <f>IF(P199="","",IFERROR(INDEX(設定!$G$8:$G$31,INT(INDEX(前年度名簿!$G$2:$G$451,P199)/1000)),INDEX(前年度名簿!$A$2:$A$451,P199)&amp;INDEX(前年度名簿!$B$2:$B$451,P199)))</f>
        <v/>
      </c>
      <c r="C199" s="44">
        <f>IF(P199="","",INDEX(前年度名簿!$C$2:$C$451,P199))</f>
        <v/>
      </c>
      <c r="D199" s="3">
        <f>IF(P199="","",INDEX(前年度名簿!$D$2:$D$451,P199))</f>
        <v/>
      </c>
      <c r="E199" s="44">
        <f>IF(T199="","",INDEX(新年度名簿!$K$2:$K$451,T199))</f>
        <v/>
      </c>
      <c r="F199" s="44">
        <f>IF(T199="","",INDEX(新年度名簿!$C$2:$C$451,T199))</f>
        <v/>
      </c>
      <c r="G199" s="44">
        <f>IF(Q199="","",INDEX(希望入力!$H$2:$H$551,Q199)&amp;"")</f>
        <v/>
      </c>
      <c r="H199" s="44">
        <f>IF(Q199="","",INDEX(希望入力!$I$2:$I$551,Q199)&amp;"")</f>
        <v/>
      </c>
      <c r="I199" s="44">
        <f>IF(Q199="","",INDEX(希望入力!$J$2:$J$551,Q199)&amp;"")</f>
        <v/>
      </c>
      <c r="J199" s="44">
        <f>IF(Q199="","",IF(G199="","要調整",IFERROR(IF(IF(OR(設定!$C$14="〇",設定!$C$14="○"),COUNTIFS($A$7:$A$456,"&gt;="&amp;A199,$G$7:$G$456,G199),COUNTIF($G$7:$G$456,G199))&lt;=(INDEX(設定!$Q$8:$Q$27,MATCH(G199,設定!$P$8:$P$27,0))+N(INDEX(設定!$R$8:$R$27,MATCH(G199,設定!$P$8:$P$27,0)))),G199,"要調整"),"要調整")))</f>
        <v/>
      </c>
      <c r="K199" s="40" t="n"/>
      <c r="L199" s="52">
        <f>IF(P199="","",IF(K199&lt;&gt;"",K199,IF(OR(J199="",J199="要調整"),"",J199)))</f>
        <v/>
      </c>
      <c r="M199" s="44">
        <f>IF(P199="","",IF(AND(計算用!$B$1=1,T199=""),"転出",IF(L199&lt;&gt;"","決定",IF(Q199="","未提出","要調整"))))</f>
        <v/>
      </c>
      <c r="N199" s="44">
        <f>IF(OR(M199&lt;&gt;"要調整",H199=""),"",IFERROR((INDEX(設定!$Q$8:$Q$27,MATCH(H199,設定!$P$8:$P$27,0))+N(INDEX(設定!$R$8:$R$27,MATCH(H199,設定!$P$8:$P$27,0))))-INDEX(定員チェック!$F$7:$F$26,MATCH(H199,設定!$P$8:$P$27,0))-COUNTIFS($M$7:$M$456,"要調整",$G$7:$G$456,H199),""))</f>
        <v/>
      </c>
      <c r="O199" s="44">
        <f>IF(OR(M199&lt;&gt;"要調整",I199=""),"",IFERROR((INDEX(設定!$Q$8:$Q$27,MATCH(I199,設定!$P$8:$P$27,0))+N(INDEX(設定!$R$8:$R$27,MATCH(I199,設定!$P$8:$P$27,0))))-INDEX(定員チェック!$F$7:$F$26,MATCH(I199,設定!$P$8:$P$27,0))-COUNTIFS($M$7:$M$456,"要調整",$G$7:$G$456,I199),""))</f>
        <v/>
      </c>
      <c r="P199" s="8">
        <f>IFERROR(MATCH(SMALL(前年度名簿!$G$2:$G$451,193),前年度名簿!$G$2:$G$451,0),"")</f>
        <v/>
      </c>
      <c r="Q199" s="8">
        <f>IF(R199="","",IFERROR(MATCH(R199,希望入力!$M$2:$M$551,0),""))</f>
        <v/>
      </c>
      <c r="R199" s="8">
        <f>IF(P199="","",INDEX(前年度名簿!$F$2:$F$451,P199))</f>
        <v/>
      </c>
      <c r="S199" s="8">
        <f>IF(P199="","",INDEX(前年度名簿!$I$2:$I$451,P199))</f>
        <v/>
      </c>
      <c r="T199" s="8">
        <f>IF(OR(P199="",計算用!$B$1=0),"",IFERROR(MATCH(S199,新年度名簿!$H$2:$H$451,0),""))</f>
        <v/>
      </c>
      <c r="U199" s="8">
        <f>IF(OR(L199="",M199="転出"),"",IFERROR(MATCH(L199,設定!$P$8:$P$27,0),""))</f>
        <v/>
      </c>
      <c r="V199" s="8">
        <f>IF(U199="","",COUNTIF($U$7:U199,U199))</f>
        <v/>
      </c>
      <c r="W199" s="8">
        <f>IF(U199="","",U199*1000+V199)</f>
        <v/>
      </c>
    </row>
    <row r="200">
      <c r="A200" s="44">
        <f>IF(P200="","",INDEX(前年度名簿!$H$2:$H$451,P200))</f>
        <v/>
      </c>
      <c r="B200" s="44">
        <f>IF(P200="","",IFERROR(INDEX(設定!$G$8:$G$31,INT(INDEX(前年度名簿!$G$2:$G$451,P200)/1000)),INDEX(前年度名簿!$A$2:$A$451,P200)&amp;INDEX(前年度名簿!$B$2:$B$451,P200)))</f>
        <v/>
      </c>
      <c r="C200" s="44">
        <f>IF(P200="","",INDEX(前年度名簿!$C$2:$C$451,P200))</f>
        <v/>
      </c>
      <c r="D200" s="3">
        <f>IF(P200="","",INDEX(前年度名簿!$D$2:$D$451,P200))</f>
        <v/>
      </c>
      <c r="E200" s="44">
        <f>IF(T200="","",INDEX(新年度名簿!$K$2:$K$451,T200))</f>
        <v/>
      </c>
      <c r="F200" s="44">
        <f>IF(T200="","",INDEX(新年度名簿!$C$2:$C$451,T200))</f>
        <v/>
      </c>
      <c r="G200" s="44">
        <f>IF(Q200="","",INDEX(希望入力!$H$2:$H$551,Q200)&amp;"")</f>
        <v/>
      </c>
      <c r="H200" s="44">
        <f>IF(Q200="","",INDEX(希望入力!$I$2:$I$551,Q200)&amp;"")</f>
        <v/>
      </c>
      <c r="I200" s="44">
        <f>IF(Q200="","",INDEX(希望入力!$J$2:$J$551,Q200)&amp;"")</f>
        <v/>
      </c>
      <c r="J200" s="44">
        <f>IF(Q200="","",IF(G200="","要調整",IFERROR(IF(IF(OR(設定!$C$14="〇",設定!$C$14="○"),COUNTIFS($A$7:$A$456,"&gt;="&amp;A200,$G$7:$G$456,G200),COUNTIF($G$7:$G$456,G200))&lt;=(INDEX(設定!$Q$8:$Q$27,MATCH(G200,設定!$P$8:$P$27,0))+N(INDEX(設定!$R$8:$R$27,MATCH(G200,設定!$P$8:$P$27,0)))),G200,"要調整"),"要調整")))</f>
        <v/>
      </c>
      <c r="K200" s="40" t="n"/>
      <c r="L200" s="52">
        <f>IF(P200="","",IF(K200&lt;&gt;"",K200,IF(OR(J200="",J200="要調整"),"",J200)))</f>
        <v/>
      </c>
      <c r="M200" s="44">
        <f>IF(P200="","",IF(AND(計算用!$B$1=1,T200=""),"転出",IF(L200&lt;&gt;"","決定",IF(Q200="","未提出","要調整"))))</f>
        <v/>
      </c>
      <c r="N200" s="44">
        <f>IF(OR(M200&lt;&gt;"要調整",H200=""),"",IFERROR((INDEX(設定!$Q$8:$Q$27,MATCH(H200,設定!$P$8:$P$27,0))+N(INDEX(設定!$R$8:$R$27,MATCH(H200,設定!$P$8:$P$27,0))))-INDEX(定員チェック!$F$7:$F$26,MATCH(H200,設定!$P$8:$P$27,0))-COUNTIFS($M$7:$M$456,"要調整",$G$7:$G$456,H200),""))</f>
        <v/>
      </c>
      <c r="O200" s="44">
        <f>IF(OR(M200&lt;&gt;"要調整",I200=""),"",IFERROR((INDEX(設定!$Q$8:$Q$27,MATCH(I200,設定!$P$8:$P$27,0))+N(INDEX(設定!$R$8:$R$27,MATCH(I200,設定!$P$8:$P$27,0))))-INDEX(定員チェック!$F$7:$F$26,MATCH(I200,設定!$P$8:$P$27,0))-COUNTIFS($M$7:$M$456,"要調整",$G$7:$G$456,I200),""))</f>
        <v/>
      </c>
      <c r="P200" s="8">
        <f>IFERROR(MATCH(SMALL(前年度名簿!$G$2:$G$451,194),前年度名簿!$G$2:$G$451,0),"")</f>
        <v/>
      </c>
      <c r="Q200" s="8">
        <f>IF(R200="","",IFERROR(MATCH(R200,希望入力!$M$2:$M$551,0),""))</f>
        <v/>
      </c>
      <c r="R200" s="8">
        <f>IF(P200="","",INDEX(前年度名簿!$F$2:$F$451,P200))</f>
        <v/>
      </c>
      <c r="S200" s="8">
        <f>IF(P200="","",INDEX(前年度名簿!$I$2:$I$451,P200))</f>
        <v/>
      </c>
      <c r="T200" s="8">
        <f>IF(OR(P200="",計算用!$B$1=0),"",IFERROR(MATCH(S200,新年度名簿!$H$2:$H$451,0),""))</f>
        <v/>
      </c>
      <c r="U200" s="8">
        <f>IF(OR(L200="",M200="転出"),"",IFERROR(MATCH(L200,設定!$P$8:$P$27,0),""))</f>
        <v/>
      </c>
      <c r="V200" s="8">
        <f>IF(U200="","",COUNTIF($U$7:U200,U200))</f>
        <v/>
      </c>
      <c r="W200" s="8">
        <f>IF(U200="","",U200*1000+V200)</f>
        <v/>
      </c>
    </row>
    <row r="201">
      <c r="A201" s="44">
        <f>IF(P201="","",INDEX(前年度名簿!$H$2:$H$451,P201))</f>
        <v/>
      </c>
      <c r="B201" s="44">
        <f>IF(P201="","",IFERROR(INDEX(設定!$G$8:$G$31,INT(INDEX(前年度名簿!$G$2:$G$451,P201)/1000)),INDEX(前年度名簿!$A$2:$A$451,P201)&amp;INDEX(前年度名簿!$B$2:$B$451,P201)))</f>
        <v/>
      </c>
      <c r="C201" s="44">
        <f>IF(P201="","",INDEX(前年度名簿!$C$2:$C$451,P201))</f>
        <v/>
      </c>
      <c r="D201" s="3">
        <f>IF(P201="","",INDEX(前年度名簿!$D$2:$D$451,P201))</f>
        <v/>
      </c>
      <c r="E201" s="44">
        <f>IF(T201="","",INDEX(新年度名簿!$K$2:$K$451,T201))</f>
        <v/>
      </c>
      <c r="F201" s="44">
        <f>IF(T201="","",INDEX(新年度名簿!$C$2:$C$451,T201))</f>
        <v/>
      </c>
      <c r="G201" s="44">
        <f>IF(Q201="","",INDEX(希望入力!$H$2:$H$551,Q201)&amp;"")</f>
        <v/>
      </c>
      <c r="H201" s="44">
        <f>IF(Q201="","",INDEX(希望入力!$I$2:$I$551,Q201)&amp;"")</f>
        <v/>
      </c>
      <c r="I201" s="44">
        <f>IF(Q201="","",INDEX(希望入力!$J$2:$J$551,Q201)&amp;"")</f>
        <v/>
      </c>
      <c r="J201" s="44">
        <f>IF(Q201="","",IF(G201="","要調整",IFERROR(IF(IF(OR(設定!$C$14="〇",設定!$C$14="○"),COUNTIFS($A$7:$A$456,"&gt;="&amp;A201,$G$7:$G$456,G201),COUNTIF($G$7:$G$456,G201))&lt;=(INDEX(設定!$Q$8:$Q$27,MATCH(G201,設定!$P$8:$P$27,0))+N(INDEX(設定!$R$8:$R$27,MATCH(G201,設定!$P$8:$P$27,0)))),G201,"要調整"),"要調整")))</f>
        <v/>
      </c>
      <c r="K201" s="40" t="n"/>
      <c r="L201" s="52">
        <f>IF(P201="","",IF(K201&lt;&gt;"",K201,IF(OR(J201="",J201="要調整"),"",J201)))</f>
        <v/>
      </c>
      <c r="M201" s="44">
        <f>IF(P201="","",IF(AND(計算用!$B$1=1,T201=""),"転出",IF(L201&lt;&gt;"","決定",IF(Q201="","未提出","要調整"))))</f>
        <v/>
      </c>
      <c r="N201" s="44">
        <f>IF(OR(M201&lt;&gt;"要調整",H201=""),"",IFERROR((INDEX(設定!$Q$8:$Q$27,MATCH(H201,設定!$P$8:$P$27,0))+N(INDEX(設定!$R$8:$R$27,MATCH(H201,設定!$P$8:$P$27,0))))-INDEX(定員チェック!$F$7:$F$26,MATCH(H201,設定!$P$8:$P$27,0))-COUNTIFS($M$7:$M$456,"要調整",$G$7:$G$456,H201),""))</f>
        <v/>
      </c>
      <c r="O201" s="44">
        <f>IF(OR(M201&lt;&gt;"要調整",I201=""),"",IFERROR((INDEX(設定!$Q$8:$Q$27,MATCH(I201,設定!$P$8:$P$27,0))+N(INDEX(設定!$R$8:$R$27,MATCH(I201,設定!$P$8:$P$27,0))))-INDEX(定員チェック!$F$7:$F$26,MATCH(I201,設定!$P$8:$P$27,0))-COUNTIFS($M$7:$M$456,"要調整",$G$7:$G$456,I201),""))</f>
        <v/>
      </c>
      <c r="P201" s="8">
        <f>IFERROR(MATCH(SMALL(前年度名簿!$G$2:$G$451,195),前年度名簿!$G$2:$G$451,0),"")</f>
        <v/>
      </c>
      <c r="Q201" s="8">
        <f>IF(R201="","",IFERROR(MATCH(R201,希望入力!$M$2:$M$551,0),""))</f>
        <v/>
      </c>
      <c r="R201" s="8">
        <f>IF(P201="","",INDEX(前年度名簿!$F$2:$F$451,P201))</f>
        <v/>
      </c>
      <c r="S201" s="8">
        <f>IF(P201="","",INDEX(前年度名簿!$I$2:$I$451,P201))</f>
        <v/>
      </c>
      <c r="T201" s="8">
        <f>IF(OR(P201="",計算用!$B$1=0),"",IFERROR(MATCH(S201,新年度名簿!$H$2:$H$451,0),""))</f>
        <v/>
      </c>
      <c r="U201" s="8">
        <f>IF(OR(L201="",M201="転出"),"",IFERROR(MATCH(L201,設定!$P$8:$P$27,0),""))</f>
        <v/>
      </c>
      <c r="V201" s="8">
        <f>IF(U201="","",COUNTIF($U$7:U201,U201))</f>
        <v/>
      </c>
      <c r="W201" s="8">
        <f>IF(U201="","",U201*1000+V201)</f>
        <v/>
      </c>
    </row>
    <row r="202">
      <c r="A202" s="44">
        <f>IF(P202="","",INDEX(前年度名簿!$H$2:$H$451,P202))</f>
        <v/>
      </c>
      <c r="B202" s="44">
        <f>IF(P202="","",IFERROR(INDEX(設定!$G$8:$G$31,INT(INDEX(前年度名簿!$G$2:$G$451,P202)/1000)),INDEX(前年度名簿!$A$2:$A$451,P202)&amp;INDEX(前年度名簿!$B$2:$B$451,P202)))</f>
        <v/>
      </c>
      <c r="C202" s="44">
        <f>IF(P202="","",INDEX(前年度名簿!$C$2:$C$451,P202))</f>
        <v/>
      </c>
      <c r="D202" s="3">
        <f>IF(P202="","",INDEX(前年度名簿!$D$2:$D$451,P202))</f>
        <v/>
      </c>
      <c r="E202" s="44">
        <f>IF(T202="","",INDEX(新年度名簿!$K$2:$K$451,T202))</f>
        <v/>
      </c>
      <c r="F202" s="44">
        <f>IF(T202="","",INDEX(新年度名簿!$C$2:$C$451,T202))</f>
        <v/>
      </c>
      <c r="G202" s="44">
        <f>IF(Q202="","",INDEX(希望入力!$H$2:$H$551,Q202)&amp;"")</f>
        <v/>
      </c>
      <c r="H202" s="44">
        <f>IF(Q202="","",INDEX(希望入力!$I$2:$I$551,Q202)&amp;"")</f>
        <v/>
      </c>
      <c r="I202" s="44">
        <f>IF(Q202="","",INDEX(希望入力!$J$2:$J$551,Q202)&amp;"")</f>
        <v/>
      </c>
      <c r="J202" s="44">
        <f>IF(Q202="","",IF(G202="","要調整",IFERROR(IF(IF(OR(設定!$C$14="〇",設定!$C$14="○"),COUNTIFS($A$7:$A$456,"&gt;="&amp;A202,$G$7:$G$456,G202),COUNTIF($G$7:$G$456,G202))&lt;=(INDEX(設定!$Q$8:$Q$27,MATCH(G202,設定!$P$8:$P$27,0))+N(INDEX(設定!$R$8:$R$27,MATCH(G202,設定!$P$8:$P$27,0)))),G202,"要調整"),"要調整")))</f>
        <v/>
      </c>
      <c r="K202" s="40" t="n"/>
      <c r="L202" s="52">
        <f>IF(P202="","",IF(K202&lt;&gt;"",K202,IF(OR(J202="",J202="要調整"),"",J202)))</f>
        <v/>
      </c>
      <c r="M202" s="44">
        <f>IF(P202="","",IF(AND(計算用!$B$1=1,T202=""),"転出",IF(L202&lt;&gt;"","決定",IF(Q202="","未提出","要調整"))))</f>
        <v/>
      </c>
      <c r="N202" s="44">
        <f>IF(OR(M202&lt;&gt;"要調整",H202=""),"",IFERROR((INDEX(設定!$Q$8:$Q$27,MATCH(H202,設定!$P$8:$P$27,0))+N(INDEX(設定!$R$8:$R$27,MATCH(H202,設定!$P$8:$P$27,0))))-INDEX(定員チェック!$F$7:$F$26,MATCH(H202,設定!$P$8:$P$27,0))-COUNTIFS($M$7:$M$456,"要調整",$G$7:$G$456,H202),""))</f>
        <v/>
      </c>
      <c r="O202" s="44">
        <f>IF(OR(M202&lt;&gt;"要調整",I202=""),"",IFERROR((INDEX(設定!$Q$8:$Q$27,MATCH(I202,設定!$P$8:$P$27,0))+N(INDEX(設定!$R$8:$R$27,MATCH(I202,設定!$P$8:$P$27,0))))-INDEX(定員チェック!$F$7:$F$26,MATCH(I202,設定!$P$8:$P$27,0))-COUNTIFS($M$7:$M$456,"要調整",$G$7:$G$456,I202),""))</f>
        <v/>
      </c>
      <c r="P202" s="8">
        <f>IFERROR(MATCH(SMALL(前年度名簿!$G$2:$G$451,196),前年度名簿!$G$2:$G$451,0),"")</f>
        <v/>
      </c>
      <c r="Q202" s="8">
        <f>IF(R202="","",IFERROR(MATCH(R202,希望入力!$M$2:$M$551,0),""))</f>
        <v/>
      </c>
      <c r="R202" s="8">
        <f>IF(P202="","",INDEX(前年度名簿!$F$2:$F$451,P202))</f>
        <v/>
      </c>
      <c r="S202" s="8">
        <f>IF(P202="","",INDEX(前年度名簿!$I$2:$I$451,P202))</f>
        <v/>
      </c>
      <c r="T202" s="8">
        <f>IF(OR(P202="",計算用!$B$1=0),"",IFERROR(MATCH(S202,新年度名簿!$H$2:$H$451,0),""))</f>
        <v/>
      </c>
      <c r="U202" s="8">
        <f>IF(OR(L202="",M202="転出"),"",IFERROR(MATCH(L202,設定!$P$8:$P$27,0),""))</f>
        <v/>
      </c>
      <c r="V202" s="8">
        <f>IF(U202="","",COUNTIF($U$7:U202,U202))</f>
        <v/>
      </c>
      <c r="W202" s="8">
        <f>IF(U202="","",U202*1000+V202)</f>
        <v/>
      </c>
    </row>
    <row r="203">
      <c r="A203" s="44">
        <f>IF(P203="","",INDEX(前年度名簿!$H$2:$H$451,P203))</f>
        <v/>
      </c>
      <c r="B203" s="44">
        <f>IF(P203="","",IFERROR(INDEX(設定!$G$8:$G$31,INT(INDEX(前年度名簿!$G$2:$G$451,P203)/1000)),INDEX(前年度名簿!$A$2:$A$451,P203)&amp;INDEX(前年度名簿!$B$2:$B$451,P203)))</f>
        <v/>
      </c>
      <c r="C203" s="44">
        <f>IF(P203="","",INDEX(前年度名簿!$C$2:$C$451,P203))</f>
        <v/>
      </c>
      <c r="D203" s="3">
        <f>IF(P203="","",INDEX(前年度名簿!$D$2:$D$451,P203))</f>
        <v/>
      </c>
      <c r="E203" s="44">
        <f>IF(T203="","",INDEX(新年度名簿!$K$2:$K$451,T203))</f>
        <v/>
      </c>
      <c r="F203" s="44">
        <f>IF(T203="","",INDEX(新年度名簿!$C$2:$C$451,T203))</f>
        <v/>
      </c>
      <c r="G203" s="44">
        <f>IF(Q203="","",INDEX(希望入力!$H$2:$H$551,Q203)&amp;"")</f>
        <v/>
      </c>
      <c r="H203" s="44">
        <f>IF(Q203="","",INDEX(希望入力!$I$2:$I$551,Q203)&amp;"")</f>
        <v/>
      </c>
      <c r="I203" s="44">
        <f>IF(Q203="","",INDEX(希望入力!$J$2:$J$551,Q203)&amp;"")</f>
        <v/>
      </c>
      <c r="J203" s="44">
        <f>IF(Q203="","",IF(G203="","要調整",IFERROR(IF(IF(OR(設定!$C$14="〇",設定!$C$14="○"),COUNTIFS($A$7:$A$456,"&gt;="&amp;A203,$G$7:$G$456,G203),COUNTIF($G$7:$G$456,G203))&lt;=(INDEX(設定!$Q$8:$Q$27,MATCH(G203,設定!$P$8:$P$27,0))+N(INDEX(設定!$R$8:$R$27,MATCH(G203,設定!$P$8:$P$27,0)))),G203,"要調整"),"要調整")))</f>
        <v/>
      </c>
      <c r="K203" s="40" t="n"/>
      <c r="L203" s="52">
        <f>IF(P203="","",IF(K203&lt;&gt;"",K203,IF(OR(J203="",J203="要調整"),"",J203)))</f>
        <v/>
      </c>
      <c r="M203" s="44">
        <f>IF(P203="","",IF(AND(計算用!$B$1=1,T203=""),"転出",IF(L203&lt;&gt;"","決定",IF(Q203="","未提出","要調整"))))</f>
        <v/>
      </c>
      <c r="N203" s="44">
        <f>IF(OR(M203&lt;&gt;"要調整",H203=""),"",IFERROR((INDEX(設定!$Q$8:$Q$27,MATCH(H203,設定!$P$8:$P$27,0))+N(INDEX(設定!$R$8:$R$27,MATCH(H203,設定!$P$8:$P$27,0))))-INDEX(定員チェック!$F$7:$F$26,MATCH(H203,設定!$P$8:$P$27,0))-COUNTIFS($M$7:$M$456,"要調整",$G$7:$G$456,H203),""))</f>
        <v/>
      </c>
      <c r="O203" s="44">
        <f>IF(OR(M203&lt;&gt;"要調整",I203=""),"",IFERROR((INDEX(設定!$Q$8:$Q$27,MATCH(I203,設定!$P$8:$P$27,0))+N(INDEX(設定!$R$8:$R$27,MATCH(I203,設定!$P$8:$P$27,0))))-INDEX(定員チェック!$F$7:$F$26,MATCH(I203,設定!$P$8:$P$27,0))-COUNTIFS($M$7:$M$456,"要調整",$G$7:$G$456,I203),""))</f>
        <v/>
      </c>
      <c r="P203" s="8">
        <f>IFERROR(MATCH(SMALL(前年度名簿!$G$2:$G$451,197),前年度名簿!$G$2:$G$451,0),"")</f>
        <v/>
      </c>
      <c r="Q203" s="8">
        <f>IF(R203="","",IFERROR(MATCH(R203,希望入力!$M$2:$M$551,0),""))</f>
        <v/>
      </c>
      <c r="R203" s="8">
        <f>IF(P203="","",INDEX(前年度名簿!$F$2:$F$451,P203))</f>
        <v/>
      </c>
      <c r="S203" s="8">
        <f>IF(P203="","",INDEX(前年度名簿!$I$2:$I$451,P203))</f>
        <v/>
      </c>
      <c r="T203" s="8">
        <f>IF(OR(P203="",計算用!$B$1=0),"",IFERROR(MATCH(S203,新年度名簿!$H$2:$H$451,0),""))</f>
        <v/>
      </c>
      <c r="U203" s="8">
        <f>IF(OR(L203="",M203="転出"),"",IFERROR(MATCH(L203,設定!$P$8:$P$27,0),""))</f>
        <v/>
      </c>
      <c r="V203" s="8">
        <f>IF(U203="","",COUNTIF($U$7:U203,U203))</f>
        <v/>
      </c>
      <c r="W203" s="8">
        <f>IF(U203="","",U203*1000+V203)</f>
        <v/>
      </c>
    </row>
    <row r="204">
      <c r="A204" s="44">
        <f>IF(P204="","",INDEX(前年度名簿!$H$2:$H$451,P204))</f>
        <v/>
      </c>
      <c r="B204" s="44">
        <f>IF(P204="","",IFERROR(INDEX(設定!$G$8:$G$31,INT(INDEX(前年度名簿!$G$2:$G$451,P204)/1000)),INDEX(前年度名簿!$A$2:$A$451,P204)&amp;INDEX(前年度名簿!$B$2:$B$451,P204)))</f>
        <v/>
      </c>
      <c r="C204" s="44">
        <f>IF(P204="","",INDEX(前年度名簿!$C$2:$C$451,P204))</f>
        <v/>
      </c>
      <c r="D204" s="3">
        <f>IF(P204="","",INDEX(前年度名簿!$D$2:$D$451,P204))</f>
        <v/>
      </c>
      <c r="E204" s="44">
        <f>IF(T204="","",INDEX(新年度名簿!$K$2:$K$451,T204))</f>
        <v/>
      </c>
      <c r="F204" s="44">
        <f>IF(T204="","",INDEX(新年度名簿!$C$2:$C$451,T204))</f>
        <v/>
      </c>
      <c r="G204" s="44">
        <f>IF(Q204="","",INDEX(希望入力!$H$2:$H$551,Q204)&amp;"")</f>
        <v/>
      </c>
      <c r="H204" s="44">
        <f>IF(Q204="","",INDEX(希望入力!$I$2:$I$551,Q204)&amp;"")</f>
        <v/>
      </c>
      <c r="I204" s="44">
        <f>IF(Q204="","",INDEX(希望入力!$J$2:$J$551,Q204)&amp;"")</f>
        <v/>
      </c>
      <c r="J204" s="44">
        <f>IF(Q204="","",IF(G204="","要調整",IFERROR(IF(IF(OR(設定!$C$14="〇",設定!$C$14="○"),COUNTIFS($A$7:$A$456,"&gt;="&amp;A204,$G$7:$G$456,G204),COUNTIF($G$7:$G$456,G204))&lt;=(INDEX(設定!$Q$8:$Q$27,MATCH(G204,設定!$P$8:$P$27,0))+N(INDEX(設定!$R$8:$R$27,MATCH(G204,設定!$P$8:$P$27,0)))),G204,"要調整"),"要調整")))</f>
        <v/>
      </c>
      <c r="K204" s="40" t="n"/>
      <c r="L204" s="52">
        <f>IF(P204="","",IF(K204&lt;&gt;"",K204,IF(OR(J204="",J204="要調整"),"",J204)))</f>
        <v/>
      </c>
      <c r="M204" s="44">
        <f>IF(P204="","",IF(AND(計算用!$B$1=1,T204=""),"転出",IF(L204&lt;&gt;"","決定",IF(Q204="","未提出","要調整"))))</f>
        <v/>
      </c>
      <c r="N204" s="44">
        <f>IF(OR(M204&lt;&gt;"要調整",H204=""),"",IFERROR((INDEX(設定!$Q$8:$Q$27,MATCH(H204,設定!$P$8:$P$27,0))+N(INDEX(設定!$R$8:$R$27,MATCH(H204,設定!$P$8:$P$27,0))))-INDEX(定員チェック!$F$7:$F$26,MATCH(H204,設定!$P$8:$P$27,0))-COUNTIFS($M$7:$M$456,"要調整",$G$7:$G$456,H204),""))</f>
        <v/>
      </c>
      <c r="O204" s="44">
        <f>IF(OR(M204&lt;&gt;"要調整",I204=""),"",IFERROR((INDEX(設定!$Q$8:$Q$27,MATCH(I204,設定!$P$8:$P$27,0))+N(INDEX(設定!$R$8:$R$27,MATCH(I204,設定!$P$8:$P$27,0))))-INDEX(定員チェック!$F$7:$F$26,MATCH(I204,設定!$P$8:$P$27,0))-COUNTIFS($M$7:$M$456,"要調整",$G$7:$G$456,I204),""))</f>
        <v/>
      </c>
      <c r="P204" s="8">
        <f>IFERROR(MATCH(SMALL(前年度名簿!$G$2:$G$451,198),前年度名簿!$G$2:$G$451,0),"")</f>
        <v/>
      </c>
      <c r="Q204" s="8">
        <f>IF(R204="","",IFERROR(MATCH(R204,希望入力!$M$2:$M$551,0),""))</f>
        <v/>
      </c>
      <c r="R204" s="8">
        <f>IF(P204="","",INDEX(前年度名簿!$F$2:$F$451,P204))</f>
        <v/>
      </c>
      <c r="S204" s="8">
        <f>IF(P204="","",INDEX(前年度名簿!$I$2:$I$451,P204))</f>
        <v/>
      </c>
      <c r="T204" s="8">
        <f>IF(OR(P204="",計算用!$B$1=0),"",IFERROR(MATCH(S204,新年度名簿!$H$2:$H$451,0),""))</f>
        <v/>
      </c>
      <c r="U204" s="8">
        <f>IF(OR(L204="",M204="転出"),"",IFERROR(MATCH(L204,設定!$P$8:$P$27,0),""))</f>
        <v/>
      </c>
      <c r="V204" s="8">
        <f>IF(U204="","",COUNTIF($U$7:U204,U204))</f>
        <v/>
      </c>
      <c r="W204" s="8">
        <f>IF(U204="","",U204*1000+V204)</f>
        <v/>
      </c>
    </row>
    <row r="205">
      <c r="A205" s="44">
        <f>IF(P205="","",INDEX(前年度名簿!$H$2:$H$451,P205))</f>
        <v/>
      </c>
      <c r="B205" s="44">
        <f>IF(P205="","",IFERROR(INDEX(設定!$G$8:$G$31,INT(INDEX(前年度名簿!$G$2:$G$451,P205)/1000)),INDEX(前年度名簿!$A$2:$A$451,P205)&amp;INDEX(前年度名簿!$B$2:$B$451,P205)))</f>
        <v/>
      </c>
      <c r="C205" s="44">
        <f>IF(P205="","",INDEX(前年度名簿!$C$2:$C$451,P205))</f>
        <v/>
      </c>
      <c r="D205" s="3">
        <f>IF(P205="","",INDEX(前年度名簿!$D$2:$D$451,P205))</f>
        <v/>
      </c>
      <c r="E205" s="44">
        <f>IF(T205="","",INDEX(新年度名簿!$K$2:$K$451,T205))</f>
        <v/>
      </c>
      <c r="F205" s="44">
        <f>IF(T205="","",INDEX(新年度名簿!$C$2:$C$451,T205))</f>
        <v/>
      </c>
      <c r="G205" s="44">
        <f>IF(Q205="","",INDEX(希望入力!$H$2:$H$551,Q205)&amp;"")</f>
        <v/>
      </c>
      <c r="H205" s="44">
        <f>IF(Q205="","",INDEX(希望入力!$I$2:$I$551,Q205)&amp;"")</f>
        <v/>
      </c>
      <c r="I205" s="44">
        <f>IF(Q205="","",INDEX(希望入力!$J$2:$J$551,Q205)&amp;"")</f>
        <v/>
      </c>
      <c r="J205" s="44">
        <f>IF(Q205="","",IF(G205="","要調整",IFERROR(IF(IF(OR(設定!$C$14="〇",設定!$C$14="○"),COUNTIFS($A$7:$A$456,"&gt;="&amp;A205,$G$7:$G$456,G205),COUNTIF($G$7:$G$456,G205))&lt;=(INDEX(設定!$Q$8:$Q$27,MATCH(G205,設定!$P$8:$P$27,0))+N(INDEX(設定!$R$8:$R$27,MATCH(G205,設定!$P$8:$P$27,0)))),G205,"要調整"),"要調整")))</f>
        <v/>
      </c>
      <c r="K205" s="40" t="n"/>
      <c r="L205" s="52">
        <f>IF(P205="","",IF(K205&lt;&gt;"",K205,IF(OR(J205="",J205="要調整"),"",J205)))</f>
        <v/>
      </c>
      <c r="M205" s="44">
        <f>IF(P205="","",IF(AND(計算用!$B$1=1,T205=""),"転出",IF(L205&lt;&gt;"","決定",IF(Q205="","未提出","要調整"))))</f>
        <v/>
      </c>
      <c r="N205" s="44">
        <f>IF(OR(M205&lt;&gt;"要調整",H205=""),"",IFERROR((INDEX(設定!$Q$8:$Q$27,MATCH(H205,設定!$P$8:$P$27,0))+N(INDEX(設定!$R$8:$R$27,MATCH(H205,設定!$P$8:$P$27,0))))-INDEX(定員チェック!$F$7:$F$26,MATCH(H205,設定!$P$8:$P$27,0))-COUNTIFS($M$7:$M$456,"要調整",$G$7:$G$456,H205),""))</f>
        <v/>
      </c>
      <c r="O205" s="44">
        <f>IF(OR(M205&lt;&gt;"要調整",I205=""),"",IFERROR((INDEX(設定!$Q$8:$Q$27,MATCH(I205,設定!$P$8:$P$27,0))+N(INDEX(設定!$R$8:$R$27,MATCH(I205,設定!$P$8:$P$27,0))))-INDEX(定員チェック!$F$7:$F$26,MATCH(I205,設定!$P$8:$P$27,0))-COUNTIFS($M$7:$M$456,"要調整",$G$7:$G$456,I205),""))</f>
        <v/>
      </c>
      <c r="P205" s="8">
        <f>IFERROR(MATCH(SMALL(前年度名簿!$G$2:$G$451,199),前年度名簿!$G$2:$G$451,0),"")</f>
        <v/>
      </c>
      <c r="Q205" s="8">
        <f>IF(R205="","",IFERROR(MATCH(R205,希望入力!$M$2:$M$551,0),""))</f>
        <v/>
      </c>
      <c r="R205" s="8">
        <f>IF(P205="","",INDEX(前年度名簿!$F$2:$F$451,P205))</f>
        <v/>
      </c>
      <c r="S205" s="8">
        <f>IF(P205="","",INDEX(前年度名簿!$I$2:$I$451,P205))</f>
        <v/>
      </c>
      <c r="T205" s="8">
        <f>IF(OR(P205="",計算用!$B$1=0),"",IFERROR(MATCH(S205,新年度名簿!$H$2:$H$451,0),""))</f>
        <v/>
      </c>
      <c r="U205" s="8">
        <f>IF(OR(L205="",M205="転出"),"",IFERROR(MATCH(L205,設定!$P$8:$P$27,0),""))</f>
        <v/>
      </c>
      <c r="V205" s="8">
        <f>IF(U205="","",COUNTIF($U$7:U205,U205))</f>
        <v/>
      </c>
      <c r="W205" s="8">
        <f>IF(U205="","",U205*1000+V205)</f>
        <v/>
      </c>
    </row>
    <row r="206">
      <c r="A206" s="44">
        <f>IF(P206="","",INDEX(前年度名簿!$H$2:$H$451,P206))</f>
        <v/>
      </c>
      <c r="B206" s="44">
        <f>IF(P206="","",IFERROR(INDEX(設定!$G$8:$G$31,INT(INDEX(前年度名簿!$G$2:$G$451,P206)/1000)),INDEX(前年度名簿!$A$2:$A$451,P206)&amp;INDEX(前年度名簿!$B$2:$B$451,P206)))</f>
        <v/>
      </c>
      <c r="C206" s="44">
        <f>IF(P206="","",INDEX(前年度名簿!$C$2:$C$451,P206))</f>
        <v/>
      </c>
      <c r="D206" s="3">
        <f>IF(P206="","",INDEX(前年度名簿!$D$2:$D$451,P206))</f>
        <v/>
      </c>
      <c r="E206" s="44">
        <f>IF(T206="","",INDEX(新年度名簿!$K$2:$K$451,T206))</f>
        <v/>
      </c>
      <c r="F206" s="44">
        <f>IF(T206="","",INDEX(新年度名簿!$C$2:$C$451,T206))</f>
        <v/>
      </c>
      <c r="G206" s="44">
        <f>IF(Q206="","",INDEX(希望入力!$H$2:$H$551,Q206)&amp;"")</f>
        <v/>
      </c>
      <c r="H206" s="44">
        <f>IF(Q206="","",INDEX(希望入力!$I$2:$I$551,Q206)&amp;"")</f>
        <v/>
      </c>
      <c r="I206" s="44">
        <f>IF(Q206="","",INDEX(希望入力!$J$2:$J$551,Q206)&amp;"")</f>
        <v/>
      </c>
      <c r="J206" s="44">
        <f>IF(Q206="","",IF(G206="","要調整",IFERROR(IF(IF(OR(設定!$C$14="〇",設定!$C$14="○"),COUNTIFS($A$7:$A$456,"&gt;="&amp;A206,$G$7:$G$456,G206),COUNTIF($G$7:$G$456,G206))&lt;=(INDEX(設定!$Q$8:$Q$27,MATCH(G206,設定!$P$8:$P$27,0))+N(INDEX(設定!$R$8:$R$27,MATCH(G206,設定!$P$8:$P$27,0)))),G206,"要調整"),"要調整")))</f>
        <v/>
      </c>
      <c r="K206" s="40" t="n"/>
      <c r="L206" s="52">
        <f>IF(P206="","",IF(K206&lt;&gt;"",K206,IF(OR(J206="",J206="要調整"),"",J206)))</f>
        <v/>
      </c>
      <c r="M206" s="44">
        <f>IF(P206="","",IF(AND(計算用!$B$1=1,T206=""),"転出",IF(L206&lt;&gt;"","決定",IF(Q206="","未提出","要調整"))))</f>
        <v/>
      </c>
      <c r="N206" s="44">
        <f>IF(OR(M206&lt;&gt;"要調整",H206=""),"",IFERROR((INDEX(設定!$Q$8:$Q$27,MATCH(H206,設定!$P$8:$P$27,0))+N(INDEX(設定!$R$8:$R$27,MATCH(H206,設定!$P$8:$P$27,0))))-INDEX(定員チェック!$F$7:$F$26,MATCH(H206,設定!$P$8:$P$27,0))-COUNTIFS($M$7:$M$456,"要調整",$G$7:$G$456,H206),""))</f>
        <v/>
      </c>
      <c r="O206" s="44">
        <f>IF(OR(M206&lt;&gt;"要調整",I206=""),"",IFERROR((INDEX(設定!$Q$8:$Q$27,MATCH(I206,設定!$P$8:$P$27,0))+N(INDEX(設定!$R$8:$R$27,MATCH(I206,設定!$P$8:$P$27,0))))-INDEX(定員チェック!$F$7:$F$26,MATCH(I206,設定!$P$8:$P$27,0))-COUNTIFS($M$7:$M$456,"要調整",$G$7:$G$456,I206),""))</f>
        <v/>
      </c>
      <c r="P206" s="8">
        <f>IFERROR(MATCH(SMALL(前年度名簿!$G$2:$G$451,200),前年度名簿!$G$2:$G$451,0),"")</f>
        <v/>
      </c>
      <c r="Q206" s="8">
        <f>IF(R206="","",IFERROR(MATCH(R206,希望入力!$M$2:$M$551,0),""))</f>
        <v/>
      </c>
      <c r="R206" s="8">
        <f>IF(P206="","",INDEX(前年度名簿!$F$2:$F$451,P206))</f>
        <v/>
      </c>
      <c r="S206" s="8">
        <f>IF(P206="","",INDEX(前年度名簿!$I$2:$I$451,P206))</f>
        <v/>
      </c>
      <c r="T206" s="8">
        <f>IF(OR(P206="",計算用!$B$1=0),"",IFERROR(MATCH(S206,新年度名簿!$H$2:$H$451,0),""))</f>
        <v/>
      </c>
      <c r="U206" s="8">
        <f>IF(OR(L206="",M206="転出"),"",IFERROR(MATCH(L206,設定!$P$8:$P$27,0),""))</f>
        <v/>
      </c>
      <c r="V206" s="8">
        <f>IF(U206="","",COUNTIF($U$7:U206,U206))</f>
        <v/>
      </c>
      <c r="W206" s="8">
        <f>IF(U206="","",U206*1000+V206)</f>
        <v/>
      </c>
    </row>
    <row r="207">
      <c r="A207" s="44">
        <f>IF(P207="","",INDEX(前年度名簿!$H$2:$H$451,P207))</f>
        <v/>
      </c>
      <c r="B207" s="44">
        <f>IF(P207="","",IFERROR(INDEX(設定!$G$8:$G$31,INT(INDEX(前年度名簿!$G$2:$G$451,P207)/1000)),INDEX(前年度名簿!$A$2:$A$451,P207)&amp;INDEX(前年度名簿!$B$2:$B$451,P207)))</f>
        <v/>
      </c>
      <c r="C207" s="44">
        <f>IF(P207="","",INDEX(前年度名簿!$C$2:$C$451,P207))</f>
        <v/>
      </c>
      <c r="D207" s="3">
        <f>IF(P207="","",INDEX(前年度名簿!$D$2:$D$451,P207))</f>
        <v/>
      </c>
      <c r="E207" s="44">
        <f>IF(T207="","",INDEX(新年度名簿!$K$2:$K$451,T207))</f>
        <v/>
      </c>
      <c r="F207" s="44">
        <f>IF(T207="","",INDEX(新年度名簿!$C$2:$C$451,T207))</f>
        <v/>
      </c>
      <c r="G207" s="44">
        <f>IF(Q207="","",INDEX(希望入力!$H$2:$H$551,Q207)&amp;"")</f>
        <v/>
      </c>
      <c r="H207" s="44">
        <f>IF(Q207="","",INDEX(希望入力!$I$2:$I$551,Q207)&amp;"")</f>
        <v/>
      </c>
      <c r="I207" s="44">
        <f>IF(Q207="","",INDEX(希望入力!$J$2:$J$551,Q207)&amp;"")</f>
        <v/>
      </c>
      <c r="J207" s="44">
        <f>IF(Q207="","",IF(G207="","要調整",IFERROR(IF(IF(OR(設定!$C$14="〇",設定!$C$14="○"),COUNTIFS($A$7:$A$456,"&gt;="&amp;A207,$G$7:$G$456,G207),COUNTIF($G$7:$G$456,G207))&lt;=(INDEX(設定!$Q$8:$Q$27,MATCH(G207,設定!$P$8:$P$27,0))+N(INDEX(設定!$R$8:$R$27,MATCH(G207,設定!$P$8:$P$27,0)))),G207,"要調整"),"要調整")))</f>
        <v/>
      </c>
      <c r="K207" s="40" t="n"/>
      <c r="L207" s="52">
        <f>IF(P207="","",IF(K207&lt;&gt;"",K207,IF(OR(J207="",J207="要調整"),"",J207)))</f>
        <v/>
      </c>
      <c r="M207" s="44">
        <f>IF(P207="","",IF(AND(計算用!$B$1=1,T207=""),"転出",IF(L207&lt;&gt;"","決定",IF(Q207="","未提出","要調整"))))</f>
        <v/>
      </c>
      <c r="N207" s="44">
        <f>IF(OR(M207&lt;&gt;"要調整",H207=""),"",IFERROR((INDEX(設定!$Q$8:$Q$27,MATCH(H207,設定!$P$8:$P$27,0))+N(INDEX(設定!$R$8:$R$27,MATCH(H207,設定!$P$8:$P$27,0))))-INDEX(定員チェック!$F$7:$F$26,MATCH(H207,設定!$P$8:$P$27,0))-COUNTIFS($M$7:$M$456,"要調整",$G$7:$G$456,H207),""))</f>
        <v/>
      </c>
      <c r="O207" s="44">
        <f>IF(OR(M207&lt;&gt;"要調整",I207=""),"",IFERROR((INDEX(設定!$Q$8:$Q$27,MATCH(I207,設定!$P$8:$P$27,0))+N(INDEX(設定!$R$8:$R$27,MATCH(I207,設定!$P$8:$P$27,0))))-INDEX(定員チェック!$F$7:$F$26,MATCH(I207,設定!$P$8:$P$27,0))-COUNTIFS($M$7:$M$456,"要調整",$G$7:$G$456,I207),""))</f>
        <v/>
      </c>
      <c r="P207" s="8">
        <f>IFERROR(MATCH(SMALL(前年度名簿!$G$2:$G$451,201),前年度名簿!$G$2:$G$451,0),"")</f>
        <v/>
      </c>
      <c r="Q207" s="8">
        <f>IF(R207="","",IFERROR(MATCH(R207,希望入力!$M$2:$M$551,0),""))</f>
        <v/>
      </c>
      <c r="R207" s="8">
        <f>IF(P207="","",INDEX(前年度名簿!$F$2:$F$451,P207))</f>
        <v/>
      </c>
      <c r="S207" s="8">
        <f>IF(P207="","",INDEX(前年度名簿!$I$2:$I$451,P207))</f>
        <v/>
      </c>
      <c r="T207" s="8">
        <f>IF(OR(P207="",計算用!$B$1=0),"",IFERROR(MATCH(S207,新年度名簿!$H$2:$H$451,0),""))</f>
        <v/>
      </c>
      <c r="U207" s="8">
        <f>IF(OR(L207="",M207="転出"),"",IFERROR(MATCH(L207,設定!$P$8:$P$27,0),""))</f>
        <v/>
      </c>
      <c r="V207" s="8">
        <f>IF(U207="","",COUNTIF($U$7:U207,U207))</f>
        <v/>
      </c>
      <c r="W207" s="8">
        <f>IF(U207="","",U207*1000+V207)</f>
        <v/>
      </c>
    </row>
    <row r="208">
      <c r="A208" s="44">
        <f>IF(P208="","",INDEX(前年度名簿!$H$2:$H$451,P208))</f>
        <v/>
      </c>
      <c r="B208" s="44">
        <f>IF(P208="","",IFERROR(INDEX(設定!$G$8:$G$31,INT(INDEX(前年度名簿!$G$2:$G$451,P208)/1000)),INDEX(前年度名簿!$A$2:$A$451,P208)&amp;INDEX(前年度名簿!$B$2:$B$451,P208)))</f>
        <v/>
      </c>
      <c r="C208" s="44">
        <f>IF(P208="","",INDEX(前年度名簿!$C$2:$C$451,P208))</f>
        <v/>
      </c>
      <c r="D208" s="3">
        <f>IF(P208="","",INDEX(前年度名簿!$D$2:$D$451,P208))</f>
        <v/>
      </c>
      <c r="E208" s="44">
        <f>IF(T208="","",INDEX(新年度名簿!$K$2:$K$451,T208))</f>
        <v/>
      </c>
      <c r="F208" s="44">
        <f>IF(T208="","",INDEX(新年度名簿!$C$2:$C$451,T208))</f>
        <v/>
      </c>
      <c r="G208" s="44">
        <f>IF(Q208="","",INDEX(希望入力!$H$2:$H$551,Q208)&amp;"")</f>
        <v/>
      </c>
      <c r="H208" s="44">
        <f>IF(Q208="","",INDEX(希望入力!$I$2:$I$551,Q208)&amp;"")</f>
        <v/>
      </c>
      <c r="I208" s="44">
        <f>IF(Q208="","",INDEX(希望入力!$J$2:$J$551,Q208)&amp;"")</f>
        <v/>
      </c>
      <c r="J208" s="44">
        <f>IF(Q208="","",IF(G208="","要調整",IFERROR(IF(IF(OR(設定!$C$14="〇",設定!$C$14="○"),COUNTIFS($A$7:$A$456,"&gt;="&amp;A208,$G$7:$G$456,G208),COUNTIF($G$7:$G$456,G208))&lt;=(INDEX(設定!$Q$8:$Q$27,MATCH(G208,設定!$P$8:$P$27,0))+N(INDEX(設定!$R$8:$R$27,MATCH(G208,設定!$P$8:$P$27,0)))),G208,"要調整"),"要調整")))</f>
        <v/>
      </c>
      <c r="K208" s="40" t="n"/>
      <c r="L208" s="52">
        <f>IF(P208="","",IF(K208&lt;&gt;"",K208,IF(OR(J208="",J208="要調整"),"",J208)))</f>
        <v/>
      </c>
      <c r="M208" s="44">
        <f>IF(P208="","",IF(AND(計算用!$B$1=1,T208=""),"転出",IF(L208&lt;&gt;"","決定",IF(Q208="","未提出","要調整"))))</f>
        <v/>
      </c>
      <c r="N208" s="44">
        <f>IF(OR(M208&lt;&gt;"要調整",H208=""),"",IFERROR((INDEX(設定!$Q$8:$Q$27,MATCH(H208,設定!$P$8:$P$27,0))+N(INDEX(設定!$R$8:$R$27,MATCH(H208,設定!$P$8:$P$27,0))))-INDEX(定員チェック!$F$7:$F$26,MATCH(H208,設定!$P$8:$P$27,0))-COUNTIFS($M$7:$M$456,"要調整",$G$7:$G$456,H208),""))</f>
        <v/>
      </c>
      <c r="O208" s="44">
        <f>IF(OR(M208&lt;&gt;"要調整",I208=""),"",IFERROR((INDEX(設定!$Q$8:$Q$27,MATCH(I208,設定!$P$8:$P$27,0))+N(INDEX(設定!$R$8:$R$27,MATCH(I208,設定!$P$8:$P$27,0))))-INDEX(定員チェック!$F$7:$F$26,MATCH(I208,設定!$P$8:$P$27,0))-COUNTIFS($M$7:$M$456,"要調整",$G$7:$G$456,I208),""))</f>
        <v/>
      </c>
      <c r="P208" s="8">
        <f>IFERROR(MATCH(SMALL(前年度名簿!$G$2:$G$451,202),前年度名簿!$G$2:$G$451,0),"")</f>
        <v/>
      </c>
      <c r="Q208" s="8">
        <f>IF(R208="","",IFERROR(MATCH(R208,希望入力!$M$2:$M$551,0),""))</f>
        <v/>
      </c>
      <c r="R208" s="8">
        <f>IF(P208="","",INDEX(前年度名簿!$F$2:$F$451,P208))</f>
        <v/>
      </c>
      <c r="S208" s="8">
        <f>IF(P208="","",INDEX(前年度名簿!$I$2:$I$451,P208))</f>
        <v/>
      </c>
      <c r="T208" s="8">
        <f>IF(OR(P208="",計算用!$B$1=0),"",IFERROR(MATCH(S208,新年度名簿!$H$2:$H$451,0),""))</f>
        <v/>
      </c>
      <c r="U208" s="8">
        <f>IF(OR(L208="",M208="転出"),"",IFERROR(MATCH(L208,設定!$P$8:$P$27,0),""))</f>
        <v/>
      </c>
      <c r="V208" s="8">
        <f>IF(U208="","",COUNTIF($U$7:U208,U208))</f>
        <v/>
      </c>
      <c r="W208" s="8">
        <f>IF(U208="","",U208*1000+V208)</f>
        <v/>
      </c>
    </row>
    <row r="209">
      <c r="A209" s="44">
        <f>IF(P209="","",INDEX(前年度名簿!$H$2:$H$451,P209))</f>
        <v/>
      </c>
      <c r="B209" s="44">
        <f>IF(P209="","",IFERROR(INDEX(設定!$G$8:$G$31,INT(INDEX(前年度名簿!$G$2:$G$451,P209)/1000)),INDEX(前年度名簿!$A$2:$A$451,P209)&amp;INDEX(前年度名簿!$B$2:$B$451,P209)))</f>
        <v/>
      </c>
      <c r="C209" s="44">
        <f>IF(P209="","",INDEX(前年度名簿!$C$2:$C$451,P209))</f>
        <v/>
      </c>
      <c r="D209" s="3">
        <f>IF(P209="","",INDEX(前年度名簿!$D$2:$D$451,P209))</f>
        <v/>
      </c>
      <c r="E209" s="44">
        <f>IF(T209="","",INDEX(新年度名簿!$K$2:$K$451,T209))</f>
        <v/>
      </c>
      <c r="F209" s="44">
        <f>IF(T209="","",INDEX(新年度名簿!$C$2:$C$451,T209))</f>
        <v/>
      </c>
      <c r="G209" s="44">
        <f>IF(Q209="","",INDEX(希望入力!$H$2:$H$551,Q209)&amp;"")</f>
        <v/>
      </c>
      <c r="H209" s="44">
        <f>IF(Q209="","",INDEX(希望入力!$I$2:$I$551,Q209)&amp;"")</f>
        <v/>
      </c>
      <c r="I209" s="44">
        <f>IF(Q209="","",INDEX(希望入力!$J$2:$J$551,Q209)&amp;"")</f>
        <v/>
      </c>
      <c r="J209" s="44">
        <f>IF(Q209="","",IF(G209="","要調整",IFERROR(IF(IF(OR(設定!$C$14="〇",設定!$C$14="○"),COUNTIFS($A$7:$A$456,"&gt;="&amp;A209,$G$7:$G$456,G209),COUNTIF($G$7:$G$456,G209))&lt;=(INDEX(設定!$Q$8:$Q$27,MATCH(G209,設定!$P$8:$P$27,0))+N(INDEX(設定!$R$8:$R$27,MATCH(G209,設定!$P$8:$P$27,0)))),G209,"要調整"),"要調整")))</f>
        <v/>
      </c>
      <c r="K209" s="40" t="n"/>
      <c r="L209" s="52">
        <f>IF(P209="","",IF(K209&lt;&gt;"",K209,IF(OR(J209="",J209="要調整"),"",J209)))</f>
        <v/>
      </c>
      <c r="M209" s="44">
        <f>IF(P209="","",IF(AND(計算用!$B$1=1,T209=""),"転出",IF(L209&lt;&gt;"","決定",IF(Q209="","未提出","要調整"))))</f>
        <v/>
      </c>
      <c r="N209" s="44">
        <f>IF(OR(M209&lt;&gt;"要調整",H209=""),"",IFERROR((INDEX(設定!$Q$8:$Q$27,MATCH(H209,設定!$P$8:$P$27,0))+N(INDEX(設定!$R$8:$R$27,MATCH(H209,設定!$P$8:$P$27,0))))-INDEX(定員チェック!$F$7:$F$26,MATCH(H209,設定!$P$8:$P$27,0))-COUNTIFS($M$7:$M$456,"要調整",$G$7:$G$456,H209),""))</f>
        <v/>
      </c>
      <c r="O209" s="44">
        <f>IF(OR(M209&lt;&gt;"要調整",I209=""),"",IFERROR((INDEX(設定!$Q$8:$Q$27,MATCH(I209,設定!$P$8:$P$27,0))+N(INDEX(設定!$R$8:$R$27,MATCH(I209,設定!$P$8:$P$27,0))))-INDEX(定員チェック!$F$7:$F$26,MATCH(I209,設定!$P$8:$P$27,0))-COUNTIFS($M$7:$M$456,"要調整",$G$7:$G$456,I209),""))</f>
        <v/>
      </c>
      <c r="P209" s="8">
        <f>IFERROR(MATCH(SMALL(前年度名簿!$G$2:$G$451,203),前年度名簿!$G$2:$G$451,0),"")</f>
        <v/>
      </c>
      <c r="Q209" s="8">
        <f>IF(R209="","",IFERROR(MATCH(R209,希望入力!$M$2:$M$551,0),""))</f>
        <v/>
      </c>
      <c r="R209" s="8">
        <f>IF(P209="","",INDEX(前年度名簿!$F$2:$F$451,P209))</f>
        <v/>
      </c>
      <c r="S209" s="8">
        <f>IF(P209="","",INDEX(前年度名簿!$I$2:$I$451,P209))</f>
        <v/>
      </c>
      <c r="T209" s="8">
        <f>IF(OR(P209="",計算用!$B$1=0),"",IFERROR(MATCH(S209,新年度名簿!$H$2:$H$451,0),""))</f>
        <v/>
      </c>
      <c r="U209" s="8">
        <f>IF(OR(L209="",M209="転出"),"",IFERROR(MATCH(L209,設定!$P$8:$P$27,0),""))</f>
        <v/>
      </c>
      <c r="V209" s="8">
        <f>IF(U209="","",COUNTIF($U$7:U209,U209))</f>
        <v/>
      </c>
      <c r="W209" s="8">
        <f>IF(U209="","",U209*1000+V209)</f>
        <v/>
      </c>
    </row>
    <row r="210">
      <c r="A210" s="44">
        <f>IF(P210="","",INDEX(前年度名簿!$H$2:$H$451,P210))</f>
        <v/>
      </c>
      <c r="B210" s="44">
        <f>IF(P210="","",IFERROR(INDEX(設定!$G$8:$G$31,INT(INDEX(前年度名簿!$G$2:$G$451,P210)/1000)),INDEX(前年度名簿!$A$2:$A$451,P210)&amp;INDEX(前年度名簿!$B$2:$B$451,P210)))</f>
        <v/>
      </c>
      <c r="C210" s="44">
        <f>IF(P210="","",INDEX(前年度名簿!$C$2:$C$451,P210))</f>
        <v/>
      </c>
      <c r="D210" s="3">
        <f>IF(P210="","",INDEX(前年度名簿!$D$2:$D$451,P210))</f>
        <v/>
      </c>
      <c r="E210" s="44">
        <f>IF(T210="","",INDEX(新年度名簿!$K$2:$K$451,T210))</f>
        <v/>
      </c>
      <c r="F210" s="44">
        <f>IF(T210="","",INDEX(新年度名簿!$C$2:$C$451,T210))</f>
        <v/>
      </c>
      <c r="G210" s="44">
        <f>IF(Q210="","",INDEX(希望入力!$H$2:$H$551,Q210)&amp;"")</f>
        <v/>
      </c>
      <c r="H210" s="44">
        <f>IF(Q210="","",INDEX(希望入力!$I$2:$I$551,Q210)&amp;"")</f>
        <v/>
      </c>
      <c r="I210" s="44">
        <f>IF(Q210="","",INDEX(希望入力!$J$2:$J$551,Q210)&amp;"")</f>
        <v/>
      </c>
      <c r="J210" s="44">
        <f>IF(Q210="","",IF(G210="","要調整",IFERROR(IF(IF(OR(設定!$C$14="〇",設定!$C$14="○"),COUNTIFS($A$7:$A$456,"&gt;="&amp;A210,$G$7:$G$456,G210),COUNTIF($G$7:$G$456,G210))&lt;=(INDEX(設定!$Q$8:$Q$27,MATCH(G210,設定!$P$8:$P$27,0))+N(INDEX(設定!$R$8:$R$27,MATCH(G210,設定!$P$8:$P$27,0)))),G210,"要調整"),"要調整")))</f>
        <v/>
      </c>
      <c r="K210" s="40" t="n"/>
      <c r="L210" s="52">
        <f>IF(P210="","",IF(K210&lt;&gt;"",K210,IF(OR(J210="",J210="要調整"),"",J210)))</f>
        <v/>
      </c>
      <c r="M210" s="44">
        <f>IF(P210="","",IF(AND(計算用!$B$1=1,T210=""),"転出",IF(L210&lt;&gt;"","決定",IF(Q210="","未提出","要調整"))))</f>
        <v/>
      </c>
      <c r="N210" s="44">
        <f>IF(OR(M210&lt;&gt;"要調整",H210=""),"",IFERROR((INDEX(設定!$Q$8:$Q$27,MATCH(H210,設定!$P$8:$P$27,0))+N(INDEX(設定!$R$8:$R$27,MATCH(H210,設定!$P$8:$P$27,0))))-INDEX(定員チェック!$F$7:$F$26,MATCH(H210,設定!$P$8:$P$27,0))-COUNTIFS($M$7:$M$456,"要調整",$G$7:$G$456,H210),""))</f>
        <v/>
      </c>
      <c r="O210" s="44">
        <f>IF(OR(M210&lt;&gt;"要調整",I210=""),"",IFERROR((INDEX(設定!$Q$8:$Q$27,MATCH(I210,設定!$P$8:$P$27,0))+N(INDEX(設定!$R$8:$R$27,MATCH(I210,設定!$P$8:$P$27,0))))-INDEX(定員チェック!$F$7:$F$26,MATCH(I210,設定!$P$8:$P$27,0))-COUNTIFS($M$7:$M$456,"要調整",$G$7:$G$456,I210),""))</f>
        <v/>
      </c>
      <c r="P210" s="8">
        <f>IFERROR(MATCH(SMALL(前年度名簿!$G$2:$G$451,204),前年度名簿!$G$2:$G$451,0),"")</f>
        <v/>
      </c>
      <c r="Q210" s="8">
        <f>IF(R210="","",IFERROR(MATCH(R210,希望入力!$M$2:$M$551,0),""))</f>
        <v/>
      </c>
      <c r="R210" s="8">
        <f>IF(P210="","",INDEX(前年度名簿!$F$2:$F$451,P210))</f>
        <v/>
      </c>
      <c r="S210" s="8">
        <f>IF(P210="","",INDEX(前年度名簿!$I$2:$I$451,P210))</f>
        <v/>
      </c>
      <c r="T210" s="8">
        <f>IF(OR(P210="",計算用!$B$1=0),"",IFERROR(MATCH(S210,新年度名簿!$H$2:$H$451,0),""))</f>
        <v/>
      </c>
      <c r="U210" s="8">
        <f>IF(OR(L210="",M210="転出"),"",IFERROR(MATCH(L210,設定!$P$8:$P$27,0),""))</f>
        <v/>
      </c>
      <c r="V210" s="8">
        <f>IF(U210="","",COUNTIF($U$7:U210,U210))</f>
        <v/>
      </c>
      <c r="W210" s="8">
        <f>IF(U210="","",U210*1000+V210)</f>
        <v/>
      </c>
    </row>
    <row r="211">
      <c r="A211" s="44">
        <f>IF(P211="","",INDEX(前年度名簿!$H$2:$H$451,P211))</f>
        <v/>
      </c>
      <c r="B211" s="44">
        <f>IF(P211="","",IFERROR(INDEX(設定!$G$8:$G$31,INT(INDEX(前年度名簿!$G$2:$G$451,P211)/1000)),INDEX(前年度名簿!$A$2:$A$451,P211)&amp;INDEX(前年度名簿!$B$2:$B$451,P211)))</f>
        <v/>
      </c>
      <c r="C211" s="44">
        <f>IF(P211="","",INDEX(前年度名簿!$C$2:$C$451,P211))</f>
        <v/>
      </c>
      <c r="D211" s="3">
        <f>IF(P211="","",INDEX(前年度名簿!$D$2:$D$451,P211))</f>
        <v/>
      </c>
      <c r="E211" s="44">
        <f>IF(T211="","",INDEX(新年度名簿!$K$2:$K$451,T211))</f>
        <v/>
      </c>
      <c r="F211" s="44">
        <f>IF(T211="","",INDEX(新年度名簿!$C$2:$C$451,T211))</f>
        <v/>
      </c>
      <c r="G211" s="44">
        <f>IF(Q211="","",INDEX(希望入力!$H$2:$H$551,Q211)&amp;"")</f>
        <v/>
      </c>
      <c r="H211" s="44">
        <f>IF(Q211="","",INDEX(希望入力!$I$2:$I$551,Q211)&amp;"")</f>
        <v/>
      </c>
      <c r="I211" s="44">
        <f>IF(Q211="","",INDEX(希望入力!$J$2:$J$551,Q211)&amp;"")</f>
        <v/>
      </c>
      <c r="J211" s="44">
        <f>IF(Q211="","",IF(G211="","要調整",IFERROR(IF(IF(OR(設定!$C$14="〇",設定!$C$14="○"),COUNTIFS($A$7:$A$456,"&gt;="&amp;A211,$G$7:$G$456,G211),COUNTIF($G$7:$G$456,G211))&lt;=(INDEX(設定!$Q$8:$Q$27,MATCH(G211,設定!$P$8:$P$27,0))+N(INDEX(設定!$R$8:$R$27,MATCH(G211,設定!$P$8:$P$27,0)))),G211,"要調整"),"要調整")))</f>
        <v/>
      </c>
      <c r="K211" s="40" t="n"/>
      <c r="L211" s="52">
        <f>IF(P211="","",IF(K211&lt;&gt;"",K211,IF(OR(J211="",J211="要調整"),"",J211)))</f>
        <v/>
      </c>
      <c r="M211" s="44">
        <f>IF(P211="","",IF(AND(計算用!$B$1=1,T211=""),"転出",IF(L211&lt;&gt;"","決定",IF(Q211="","未提出","要調整"))))</f>
        <v/>
      </c>
      <c r="N211" s="44">
        <f>IF(OR(M211&lt;&gt;"要調整",H211=""),"",IFERROR((INDEX(設定!$Q$8:$Q$27,MATCH(H211,設定!$P$8:$P$27,0))+N(INDEX(設定!$R$8:$R$27,MATCH(H211,設定!$P$8:$P$27,0))))-INDEX(定員チェック!$F$7:$F$26,MATCH(H211,設定!$P$8:$P$27,0))-COUNTIFS($M$7:$M$456,"要調整",$G$7:$G$456,H211),""))</f>
        <v/>
      </c>
      <c r="O211" s="44">
        <f>IF(OR(M211&lt;&gt;"要調整",I211=""),"",IFERROR((INDEX(設定!$Q$8:$Q$27,MATCH(I211,設定!$P$8:$P$27,0))+N(INDEX(設定!$R$8:$R$27,MATCH(I211,設定!$P$8:$P$27,0))))-INDEX(定員チェック!$F$7:$F$26,MATCH(I211,設定!$P$8:$P$27,0))-COUNTIFS($M$7:$M$456,"要調整",$G$7:$G$456,I211),""))</f>
        <v/>
      </c>
      <c r="P211" s="8">
        <f>IFERROR(MATCH(SMALL(前年度名簿!$G$2:$G$451,205),前年度名簿!$G$2:$G$451,0),"")</f>
        <v/>
      </c>
      <c r="Q211" s="8">
        <f>IF(R211="","",IFERROR(MATCH(R211,希望入力!$M$2:$M$551,0),""))</f>
        <v/>
      </c>
      <c r="R211" s="8">
        <f>IF(P211="","",INDEX(前年度名簿!$F$2:$F$451,P211))</f>
        <v/>
      </c>
      <c r="S211" s="8">
        <f>IF(P211="","",INDEX(前年度名簿!$I$2:$I$451,P211))</f>
        <v/>
      </c>
      <c r="T211" s="8">
        <f>IF(OR(P211="",計算用!$B$1=0),"",IFERROR(MATCH(S211,新年度名簿!$H$2:$H$451,0),""))</f>
        <v/>
      </c>
      <c r="U211" s="8">
        <f>IF(OR(L211="",M211="転出"),"",IFERROR(MATCH(L211,設定!$P$8:$P$27,0),""))</f>
        <v/>
      </c>
      <c r="V211" s="8">
        <f>IF(U211="","",COUNTIF($U$7:U211,U211))</f>
        <v/>
      </c>
      <c r="W211" s="8">
        <f>IF(U211="","",U211*1000+V211)</f>
        <v/>
      </c>
    </row>
    <row r="212">
      <c r="A212" s="44">
        <f>IF(P212="","",INDEX(前年度名簿!$H$2:$H$451,P212))</f>
        <v/>
      </c>
      <c r="B212" s="44">
        <f>IF(P212="","",IFERROR(INDEX(設定!$G$8:$G$31,INT(INDEX(前年度名簿!$G$2:$G$451,P212)/1000)),INDEX(前年度名簿!$A$2:$A$451,P212)&amp;INDEX(前年度名簿!$B$2:$B$451,P212)))</f>
        <v/>
      </c>
      <c r="C212" s="44">
        <f>IF(P212="","",INDEX(前年度名簿!$C$2:$C$451,P212))</f>
        <v/>
      </c>
      <c r="D212" s="3">
        <f>IF(P212="","",INDEX(前年度名簿!$D$2:$D$451,P212))</f>
        <v/>
      </c>
      <c r="E212" s="44">
        <f>IF(T212="","",INDEX(新年度名簿!$K$2:$K$451,T212))</f>
        <v/>
      </c>
      <c r="F212" s="44">
        <f>IF(T212="","",INDEX(新年度名簿!$C$2:$C$451,T212))</f>
        <v/>
      </c>
      <c r="G212" s="44">
        <f>IF(Q212="","",INDEX(希望入力!$H$2:$H$551,Q212)&amp;"")</f>
        <v/>
      </c>
      <c r="H212" s="44">
        <f>IF(Q212="","",INDEX(希望入力!$I$2:$I$551,Q212)&amp;"")</f>
        <v/>
      </c>
      <c r="I212" s="44">
        <f>IF(Q212="","",INDEX(希望入力!$J$2:$J$551,Q212)&amp;"")</f>
        <v/>
      </c>
      <c r="J212" s="44">
        <f>IF(Q212="","",IF(G212="","要調整",IFERROR(IF(IF(OR(設定!$C$14="〇",設定!$C$14="○"),COUNTIFS($A$7:$A$456,"&gt;="&amp;A212,$G$7:$G$456,G212),COUNTIF($G$7:$G$456,G212))&lt;=(INDEX(設定!$Q$8:$Q$27,MATCH(G212,設定!$P$8:$P$27,0))+N(INDEX(設定!$R$8:$R$27,MATCH(G212,設定!$P$8:$P$27,0)))),G212,"要調整"),"要調整")))</f>
        <v/>
      </c>
      <c r="K212" s="40" t="n"/>
      <c r="L212" s="52">
        <f>IF(P212="","",IF(K212&lt;&gt;"",K212,IF(OR(J212="",J212="要調整"),"",J212)))</f>
        <v/>
      </c>
      <c r="M212" s="44">
        <f>IF(P212="","",IF(AND(計算用!$B$1=1,T212=""),"転出",IF(L212&lt;&gt;"","決定",IF(Q212="","未提出","要調整"))))</f>
        <v/>
      </c>
      <c r="N212" s="44">
        <f>IF(OR(M212&lt;&gt;"要調整",H212=""),"",IFERROR((INDEX(設定!$Q$8:$Q$27,MATCH(H212,設定!$P$8:$P$27,0))+N(INDEX(設定!$R$8:$R$27,MATCH(H212,設定!$P$8:$P$27,0))))-INDEX(定員チェック!$F$7:$F$26,MATCH(H212,設定!$P$8:$P$27,0))-COUNTIFS($M$7:$M$456,"要調整",$G$7:$G$456,H212),""))</f>
        <v/>
      </c>
      <c r="O212" s="44">
        <f>IF(OR(M212&lt;&gt;"要調整",I212=""),"",IFERROR((INDEX(設定!$Q$8:$Q$27,MATCH(I212,設定!$P$8:$P$27,0))+N(INDEX(設定!$R$8:$R$27,MATCH(I212,設定!$P$8:$P$27,0))))-INDEX(定員チェック!$F$7:$F$26,MATCH(I212,設定!$P$8:$P$27,0))-COUNTIFS($M$7:$M$456,"要調整",$G$7:$G$456,I212),""))</f>
        <v/>
      </c>
      <c r="P212" s="8">
        <f>IFERROR(MATCH(SMALL(前年度名簿!$G$2:$G$451,206),前年度名簿!$G$2:$G$451,0),"")</f>
        <v/>
      </c>
      <c r="Q212" s="8">
        <f>IF(R212="","",IFERROR(MATCH(R212,希望入力!$M$2:$M$551,0),""))</f>
        <v/>
      </c>
      <c r="R212" s="8">
        <f>IF(P212="","",INDEX(前年度名簿!$F$2:$F$451,P212))</f>
        <v/>
      </c>
      <c r="S212" s="8">
        <f>IF(P212="","",INDEX(前年度名簿!$I$2:$I$451,P212))</f>
        <v/>
      </c>
      <c r="T212" s="8">
        <f>IF(OR(P212="",計算用!$B$1=0),"",IFERROR(MATCH(S212,新年度名簿!$H$2:$H$451,0),""))</f>
        <v/>
      </c>
      <c r="U212" s="8">
        <f>IF(OR(L212="",M212="転出"),"",IFERROR(MATCH(L212,設定!$P$8:$P$27,0),""))</f>
        <v/>
      </c>
      <c r="V212" s="8">
        <f>IF(U212="","",COUNTIF($U$7:U212,U212))</f>
        <v/>
      </c>
      <c r="W212" s="8">
        <f>IF(U212="","",U212*1000+V212)</f>
        <v/>
      </c>
    </row>
    <row r="213">
      <c r="A213" s="44">
        <f>IF(P213="","",INDEX(前年度名簿!$H$2:$H$451,P213))</f>
        <v/>
      </c>
      <c r="B213" s="44">
        <f>IF(P213="","",IFERROR(INDEX(設定!$G$8:$G$31,INT(INDEX(前年度名簿!$G$2:$G$451,P213)/1000)),INDEX(前年度名簿!$A$2:$A$451,P213)&amp;INDEX(前年度名簿!$B$2:$B$451,P213)))</f>
        <v/>
      </c>
      <c r="C213" s="44">
        <f>IF(P213="","",INDEX(前年度名簿!$C$2:$C$451,P213))</f>
        <v/>
      </c>
      <c r="D213" s="3">
        <f>IF(P213="","",INDEX(前年度名簿!$D$2:$D$451,P213))</f>
        <v/>
      </c>
      <c r="E213" s="44">
        <f>IF(T213="","",INDEX(新年度名簿!$K$2:$K$451,T213))</f>
        <v/>
      </c>
      <c r="F213" s="44">
        <f>IF(T213="","",INDEX(新年度名簿!$C$2:$C$451,T213))</f>
        <v/>
      </c>
      <c r="G213" s="44">
        <f>IF(Q213="","",INDEX(希望入力!$H$2:$H$551,Q213)&amp;"")</f>
        <v/>
      </c>
      <c r="H213" s="44">
        <f>IF(Q213="","",INDEX(希望入力!$I$2:$I$551,Q213)&amp;"")</f>
        <v/>
      </c>
      <c r="I213" s="44">
        <f>IF(Q213="","",INDEX(希望入力!$J$2:$J$551,Q213)&amp;"")</f>
        <v/>
      </c>
      <c r="J213" s="44">
        <f>IF(Q213="","",IF(G213="","要調整",IFERROR(IF(IF(OR(設定!$C$14="〇",設定!$C$14="○"),COUNTIFS($A$7:$A$456,"&gt;="&amp;A213,$G$7:$G$456,G213),COUNTIF($G$7:$G$456,G213))&lt;=(INDEX(設定!$Q$8:$Q$27,MATCH(G213,設定!$P$8:$P$27,0))+N(INDEX(設定!$R$8:$R$27,MATCH(G213,設定!$P$8:$P$27,0)))),G213,"要調整"),"要調整")))</f>
        <v/>
      </c>
      <c r="K213" s="40" t="n"/>
      <c r="L213" s="52">
        <f>IF(P213="","",IF(K213&lt;&gt;"",K213,IF(OR(J213="",J213="要調整"),"",J213)))</f>
        <v/>
      </c>
      <c r="M213" s="44">
        <f>IF(P213="","",IF(AND(計算用!$B$1=1,T213=""),"転出",IF(L213&lt;&gt;"","決定",IF(Q213="","未提出","要調整"))))</f>
        <v/>
      </c>
      <c r="N213" s="44">
        <f>IF(OR(M213&lt;&gt;"要調整",H213=""),"",IFERROR((INDEX(設定!$Q$8:$Q$27,MATCH(H213,設定!$P$8:$P$27,0))+N(INDEX(設定!$R$8:$R$27,MATCH(H213,設定!$P$8:$P$27,0))))-INDEX(定員チェック!$F$7:$F$26,MATCH(H213,設定!$P$8:$P$27,0))-COUNTIFS($M$7:$M$456,"要調整",$G$7:$G$456,H213),""))</f>
        <v/>
      </c>
      <c r="O213" s="44">
        <f>IF(OR(M213&lt;&gt;"要調整",I213=""),"",IFERROR((INDEX(設定!$Q$8:$Q$27,MATCH(I213,設定!$P$8:$P$27,0))+N(INDEX(設定!$R$8:$R$27,MATCH(I213,設定!$P$8:$P$27,0))))-INDEX(定員チェック!$F$7:$F$26,MATCH(I213,設定!$P$8:$P$27,0))-COUNTIFS($M$7:$M$456,"要調整",$G$7:$G$456,I213),""))</f>
        <v/>
      </c>
      <c r="P213" s="8">
        <f>IFERROR(MATCH(SMALL(前年度名簿!$G$2:$G$451,207),前年度名簿!$G$2:$G$451,0),"")</f>
        <v/>
      </c>
      <c r="Q213" s="8">
        <f>IF(R213="","",IFERROR(MATCH(R213,希望入力!$M$2:$M$551,0),""))</f>
        <v/>
      </c>
      <c r="R213" s="8">
        <f>IF(P213="","",INDEX(前年度名簿!$F$2:$F$451,P213))</f>
        <v/>
      </c>
      <c r="S213" s="8">
        <f>IF(P213="","",INDEX(前年度名簿!$I$2:$I$451,P213))</f>
        <v/>
      </c>
      <c r="T213" s="8">
        <f>IF(OR(P213="",計算用!$B$1=0),"",IFERROR(MATCH(S213,新年度名簿!$H$2:$H$451,0),""))</f>
        <v/>
      </c>
      <c r="U213" s="8">
        <f>IF(OR(L213="",M213="転出"),"",IFERROR(MATCH(L213,設定!$P$8:$P$27,0),""))</f>
        <v/>
      </c>
      <c r="V213" s="8">
        <f>IF(U213="","",COUNTIF($U$7:U213,U213))</f>
        <v/>
      </c>
      <c r="W213" s="8">
        <f>IF(U213="","",U213*1000+V213)</f>
        <v/>
      </c>
    </row>
    <row r="214">
      <c r="A214" s="44">
        <f>IF(P214="","",INDEX(前年度名簿!$H$2:$H$451,P214))</f>
        <v/>
      </c>
      <c r="B214" s="44">
        <f>IF(P214="","",IFERROR(INDEX(設定!$G$8:$G$31,INT(INDEX(前年度名簿!$G$2:$G$451,P214)/1000)),INDEX(前年度名簿!$A$2:$A$451,P214)&amp;INDEX(前年度名簿!$B$2:$B$451,P214)))</f>
        <v/>
      </c>
      <c r="C214" s="44">
        <f>IF(P214="","",INDEX(前年度名簿!$C$2:$C$451,P214))</f>
        <v/>
      </c>
      <c r="D214" s="3">
        <f>IF(P214="","",INDEX(前年度名簿!$D$2:$D$451,P214))</f>
        <v/>
      </c>
      <c r="E214" s="44">
        <f>IF(T214="","",INDEX(新年度名簿!$K$2:$K$451,T214))</f>
        <v/>
      </c>
      <c r="F214" s="44">
        <f>IF(T214="","",INDEX(新年度名簿!$C$2:$C$451,T214))</f>
        <v/>
      </c>
      <c r="G214" s="44">
        <f>IF(Q214="","",INDEX(希望入力!$H$2:$H$551,Q214)&amp;"")</f>
        <v/>
      </c>
      <c r="H214" s="44">
        <f>IF(Q214="","",INDEX(希望入力!$I$2:$I$551,Q214)&amp;"")</f>
        <v/>
      </c>
      <c r="I214" s="44">
        <f>IF(Q214="","",INDEX(希望入力!$J$2:$J$551,Q214)&amp;"")</f>
        <v/>
      </c>
      <c r="J214" s="44">
        <f>IF(Q214="","",IF(G214="","要調整",IFERROR(IF(IF(OR(設定!$C$14="〇",設定!$C$14="○"),COUNTIFS($A$7:$A$456,"&gt;="&amp;A214,$G$7:$G$456,G214),COUNTIF($G$7:$G$456,G214))&lt;=(INDEX(設定!$Q$8:$Q$27,MATCH(G214,設定!$P$8:$P$27,0))+N(INDEX(設定!$R$8:$R$27,MATCH(G214,設定!$P$8:$P$27,0)))),G214,"要調整"),"要調整")))</f>
        <v/>
      </c>
      <c r="K214" s="40" t="n"/>
      <c r="L214" s="52">
        <f>IF(P214="","",IF(K214&lt;&gt;"",K214,IF(OR(J214="",J214="要調整"),"",J214)))</f>
        <v/>
      </c>
      <c r="M214" s="44">
        <f>IF(P214="","",IF(AND(計算用!$B$1=1,T214=""),"転出",IF(L214&lt;&gt;"","決定",IF(Q214="","未提出","要調整"))))</f>
        <v/>
      </c>
      <c r="N214" s="44">
        <f>IF(OR(M214&lt;&gt;"要調整",H214=""),"",IFERROR((INDEX(設定!$Q$8:$Q$27,MATCH(H214,設定!$P$8:$P$27,0))+N(INDEX(設定!$R$8:$R$27,MATCH(H214,設定!$P$8:$P$27,0))))-INDEX(定員チェック!$F$7:$F$26,MATCH(H214,設定!$P$8:$P$27,0))-COUNTIFS($M$7:$M$456,"要調整",$G$7:$G$456,H214),""))</f>
        <v/>
      </c>
      <c r="O214" s="44">
        <f>IF(OR(M214&lt;&gt;"要調整",I214=""),"",IFERROR((INDEX(設定!$Q$8:$Q$27,MATCH(I214,設定!$P$8:$P$27,0))+N(INDEX(設定!$R$8:$R$27,MATCH(I214,設定!$P$8:$P$27,0))))-INDEX(定員チェック!$F$7:$F$26,MATCH(I214,設定!$P$8:$P$27,0))-COUNTIFS($M$7:$M$456,"要調整",$G$7:$G$456,I214),""))</f>
        <v/>
      </c>
      <c r="P214" s="8">
        <f>IFERROR(MATCH(SMALL(前年度名簿!$G$2:$G$451,208),前年度名簿!$G$2:$G$451,0),"")</f>
        <v/>
      </c>
      <c r="Q214" s="8">
        <f>IF(R214="","",IFERROR(MATCH(R214,希望入力!$M$2:$M$551,0),""))</f>
        <v/>
      </c>
      <c r="R214" s="8">
        <f>IF(P214="","",INDEX(前年度名簿!$F$2:$F$451,P214))</f>
        <v/>
      </c>
      <c r="S214" s="8">
        <f>IF(P214="","",INDEX(前年度名簿!$I$2:$I$451,P214))</f>
        <v/>
      </c>
      <c r="T214" s="8">
        <f>IF(OR(P214="",計算用!$B$1=0),"",IFERROR(MATCH(S214,新年度名簿!$H$2:$H$451,0),""))</f>
        <v/>
      </c>
      <c r="U214" s="8">
        <f>IF(OR(L214="",M214="転出"),"",IFERROR(MATCH(L214,設定!$P$8:$P$27,0),""))</f>
        <v/>
      </c>
      <c r="V214" s="8">
        <f>IF(U214="","",COUNTIF($U$7:U214,U214))</f>
        <v/>
      </c>
      <c r="W214" s="8">
        <f>IF(U214="","",U214*1000+V214)</f>
        <v/>
      </c>
    </row>
    <row r="215">
      <c r="A215" s="44">
        <f>IF(P215="","",INDEX(前年度名簿!$H$2:$H$451,P215))</f>
        <v/>
      </c>
      <c r="B215" s="44">
        <f>IF(P215="","",IFERROR(INDEX(設定!$G$8:$G$31,INT(INDEX(前年度名簿!$G$2:$G$451,P215)/1000)),INDEX(前年度名簿!$A$2:$A$451,P215)&amp;INDEX(前年度名簿!$B$2:$B$451,P215)))</f>
        <v/>
      </c>
      <c r="C215" s="44">
        <f>IF(P215="","",INDEX(前年度名簿!$C$2:$C$451,P215))</f>
        <v/>
      </c>
      <c r="D215" s="3">
        <f>IF(P215="","",INDEX(前年度名簿!$D$2:$D$451,P215))</f>
        <v/>
      </c>
      <c r="E215" s="44">
        <f>IF(T215="","",INDEX(新年度名簿!$K$2:$K$451,T215))</f>
        <v/>
      </c>
      <c r="F215" s="44">
        <f>IF(T215="","",INDEX(新年度名簿!$C$2:$C$451,T215))</f>
        <v/>
      </c>
      <c r="G215" s="44">
        <f>IF(Q215="","",INDEX(希望入力!$H$2:$H$551,Q215)&amp;"")</f>
        <v/>
      </c>
      <c r="H215" s="44">
        <f>IF(Q215="","",INDEX(希望入力!$I$2:$I$551,Q215)&amp;"")</f>
        <v/>
      </c>
      <c r="I215" s="44">
        <f>IF(Q215="","",INDEX(希望入力!$J$2:$J$551,Q215)&amp;"")</f>
        <v/>
      </c>
      <c r="J215" s="44">
        <f>IF(Q215="","",IF(G215="","要調整",IFERROR(IF(IF(OR(設定!$C$14="〇",設定!$C$14="○"),COUNTIFS($A$7:$A$456,"&gt;="&amp;A215,$G$7:$G$456,G215),COUNTIF($G$7:$G$456,G215))&lt;=(INDEX(設定!$Q$8:$Q$27,MATCH(G215,設定!$P$8:$P$27,0))+N(INDEX(設定!$R$8:$R$27,MATCH(G215,設定!$P$8:$P$27,0)))),G215,"要調整"),"要調整")))</f>
        <v/>
      </c>
      <c r="K215" s="40" t="n"/>
      <c r="L215" s="52">
        <f>IF(P215="","",IF(K215&lt;&gt;"",K215,IF(OR(J215="",J215="要調整"),"",J215)))</f>
        <v/>
      </c>
      <c r="M215" s="44">
        <f>IF(P215="","",IF(AND(計算用!$B$1=1,T215=""),"転出",IF(L215&lt;&gt;"","決定",IF(Q215="","未提出","要調整"))))</f>
        <v/>
      </c>
      <c r="N215" s="44">
        <f>IF(OR(M215&lt;&gt;"要調整",H215=""),"",IFERROR((INDEX(設定!$Q$8:$Q$27,MATCH(H215,設定!$P$8:$P$27,0))+N(INDEX(設定!$R$8:$R$27,MATCH(H215,設定!$P$8:$P$27,0))))-INDEX(定員チェック!$F$7:$F$26,MATCH(H215,設定!$P$8:$P$27,0))-COUNTIFS($M$7:$M$456,"要調整",$G$7:$G$456,H215),""))</f>
        <v/>
      </c>
      <c r="O215" s="44">
        <f>IF(OR(M215&lt;&gt;"要調整",I215=""),"",IFERROR((INDEX(設定!$Q$8:$Q$27,MATCH(I215,設定!$P$8:$P$27,0))+N(INDEX(設定!$R$8:$R$27,MATCH(I215,設定!$P$8:$P$27,0))))-INDEX(定員チェック!$F$7:$F$26,MATCH(I215,設定!$P$8:$P$27,0))-COUNTIFS($M$7:$M$456,"要調整",$G$7:$G$456,I215),""))</f>
        <v/>
      </c>
      <c r="P215" s="8">
        <f>IFERROR(MATCH(SMALL(前年度名簿!$G$2:$G$451,209),前年度名簿!$G$2:$G$451,0),"")</f>
        <v/>
      </c>
      <c r="Q215" s="8">
        <f>IF(R215="","",IFERROR(MATCH(R215,希望入力!$M$2:$M$551,0),""))</f>
        <v/>
      </c>
      <c r="R215" s="8">
        <f>IF(P215="","",INDEX(前年度名簿!$F$2:$F$451,P215))</f>
        <v/>
      </c>
      <c r="S215" s="8">
        <f>IF(P215="","",INDEX(前年度名簿!$I$2:$I$451,P215))</f>
        <v/>
      </c>
      <c r="T215" s="8">
        <f>IF(OR(P215="",計算用!$B$1=0),"",IFERROR(MATCH(S215,新年度名簿!$H$2:$H$451,0),""))</f>
        <v/>
      </c>
      <c r="U215" s="8">
        <f>IF(OR(L215="",M215="転出"),"",IFERROR(MATCH(L215,設定!$P$8:$P$27,0),""))</f>
        <v/>
      </c>
      <c r="V215" s="8">
        <f>IF(U215="","",COUNTIF($U$7:U215,U215))</f>
        <v/>
      </c>
      <c r="W215" s="8">
        <f>IF(U215="","",U215*1000+V215)</f>
        <v/>
      </c>
    </row>
    <row r="216">
      <c r="A216" s="44">
        <f>IF(P216="","",INDEX(前年度名簿!$H$2:$H$451,P216))</f>
        <v/>
      </c>
      <c r="B216" s="44">
        <f>IF(P216="","",IFERROR(INDEX(設定!$G$8:$G$31,INT(INDEX(前年度名簿!$G$2:$G$451,P216)/1000)),INDEX(前年度名簿!$A$2:$A$451,P216)&amp;INDEX(前年度名簿!$B$2:$B$451,P216)))</f>
        <v/>
      </c>
      <c r="C216" s="44">
        <f>IF(P216="","",INDEX(前年度名簿!$C$2:$C$451,P216))</f>
        <v/>
      </c>
      <c r="D216" s="3">
        <f>IF(P216="","",INDEX(前年度名簿!$D$2:$D$451,P216))</f>
        <v/>
      </c>
      <c r="E216" s="44">
        <f>IF(T216="","",INDEX(新年度名簿!$K$2:$K$451,T216))</f>
        <v/>
      </c>
      <c r="F216" s="44">
        <f>IF(T216="","",INDEX(新年度名簿!$C$2:$C$451,T216))</f>
        <v/>
      </c>
      <c r="G216" s="44">
        <f>IF(Q216="","",INDEX(希望入力!$H$2:$H$551,Q216)&amp;"")</f>
        <v/>
      </c>
      <c r="H216" s="44">
        <f>IF(Q216="","",INDEX(希望入力!$I$2:$I$551,Q216)&amp;"")</f>
        <v/>
      </c>
      <c r="I216" s="44">
        <f>IF(Q216="","",INDEX(希望入力!$J$2:$J$551,Q216)&amp;"")</f>
        <v/>
      </c>
      <c r="J216" s="44">
        <f>IF(Q216="","",IF(G216="","要調整",IFERROR(IF(IF(OR(設定!$C$14="〇",設定!$C$14="○"),COUNTIFS($A$7:$A$456,"&gt;="&amp;A216,$G$7:$G$456,G216),COUNTIF($G$7:$G$456,G216))&lt;=(INDEX(設定!$Q$8:$Q$27,MATCH(G216,設定!$P$8:$P$27,0))+N(INDEX(設定!$R$8:$R$27,MATCH(G216,設定!$P$8:$P$27,0)))),G216,"要調整"),"要調整")))</f>
        <v/>
      </c>
      <c r="K216" s="40" t="n"/>
      <c r="L216" s="52">
        <f>IF(P216="","",IF(K216&lt;&gt;"",K216,IF(OR(J216="",J216="要調整"),"",J216)))</f>
        <v/>
      </c>
      <c r="M216" s="44">
        <f>IF(P216="","",IF(AND(計算用!$B$1=1,T216=""),"転出",IF(L216&lt;&gt;"","決定",IF(Q216="","未提出","要調整"))))</f>
        <v/>
      </c>
      <c r="N216" s="44">
        <f>IF(OR(M216&lt;&gt;"要調整",H216=""),"",IFERROR((INDEX(設定!$Q$8:$Q$27,MATCH(H216,設定!$P$8:$P$27,0))+N(INDEX(設定!$R$8:$R$27,MATCH(H216,設定!$P$8:$P$27,0))))-INDEX(定員チェック!$F$7:$F$26,MATCH(H216,設定!$P$8:$P$27,0))-COUNTIFS($M$7:$M$456,"要調整",$G$7:$G$456,H216),""))</f>
        <v/>
      </c>
      <c r="O216" s="44">
        <f>IF(OR(M216&lt;&gt;"要調整",I216=""),"",IFERROR((INDEX(設定!$Q$8:$Q$27,MATCH(I216,設定!$P$8:$P$27,0))+N(INDEX(設定!$R$8:$R$27,MATCH(I216,設定!$P$8:$P$27,0))))-INDEX(定員チェック!$F$7:$F$26,MATCH(I216,設定!$P$8:$P$27,0))-COUNTIFS($M$7:$M$456,"要調整",$G$7:$G$456,I216),""))</f>
        <v/>
      </c>
      <c r="P216" s="8">
        <f>IFERROR(MATCH(SMALL(前年度名簿!$G$2:$G$451,210),前年度名簿!$G$2:$G$451,0),"")</f>
        <v/>
      </c>
      <c r="Q216" s="8">
        <f>IF(R216="","",IFERROR(MATCH(R216,希望入力!$M$2:$M$551,0),""))</f>
        <v/>
      </c>
      <c r="R216" s="8">
        <f>IF(P216="","",INDEX(前年度名簿!$F$2:$F$451,P216))</f>
        <v/>
      </c>
      <c r="S216" s="8">
        <f>IF(P216="","",INDEX(前年度名簿!$I$2:$I$451,P216))</f>
        <v/>
      </c>
      <c r="T216" s="8">
        <f>IF(OR(P216="",計算用!$B$1=0),"",IFERROR(MATCH(S216,新年度名簿!$H$2:$H$451,0),""))</f>
        <v/>
      </c>
      <c r="U216" s="8">
        <f>IF(OR(L216="",M216="転出"),"",IFERROR(MATCH(L216,設定!$P$8:$P$27,0),""))</f>
        <v/>
      </c>
      <c r="V216" s="8">
        <f>IF(U216="","",COUNTIF($U$7:U216,U216))</f>
        <v/>
      </c>
      <c r="W216" s="8">
        <f>IF(U216="","",U216*1000+V216)</f>
        <v/>
      </c>
    </row>
    <row r="217">
      <c r="A217" s="44">
        <f>IF(P217="","",INDEX(前年度名簿!$H$2:$H$451,P217))</f>
        <v/>
      </c>
      <c r="B217" s="44">
        <f>IF(P217="","",IFERROR(INDEX(設定!$G$8:$G$31,INT(INDEX(前年度名簿!$G$2:$G$451,P217)/1000)),INDEX(前年度名簿!$A$2:$A$451,P217)&amp;INDEX(前年度名簿!$B$2:$B$451,P217)))</f>
        <v/>
      </c>
      <c r="C217" s="44">
        <f>IF(P217="","",INDEX(前年度名簿!$C$2:$C$451,P217))</f>
        <v/>
      </c>
      <c r="D217" s="3">
        <f>IF(P217="","",INDEX(前年度名簿!$D$2:$D$451,P217))</f>
        <v/>
      </c>
      <c r="E217" s="44">
        <f>IF(T217="","",INDEX(新年度名簿!$K$2:$K$451,T217))</f>
        <v/>
      </c>
      <c r="F217" s="44">
        <f>IF(T217="","",INDEX(新年度名簿!$C$2:$C$451,T217))</f>
        <v/>
      </c>
      <c r="G217" s="44">
        <f>IF(Q217="","",INDEX(希望入力!$H$2:$H$551,Q217)&amp;"")</f>
        <v/>
      </c>
      <c r="H217" s="44">
        <f>IF(Q217="","",INDEX(希望入力!$I$2:$I$551,Q217)&amp;"")</f>
        <v/>
      </c>
      <c r="I217" s="44">
        <f>IF(Q217="","",INDEX(希望入力!$J$2:$J$551,Q217)&amp;"")</f>
        <v/>
      </c>
      <c r="J217" s="44">
        <f>IF(Q217="","",IF(G217="","要調整",IFERROR(IF(IF(OR(設定!$C$14="〇",設定!$C$14="○"),COUNTIFS($A$7:$A$456,"&gt;="&amp;A217,$G$7:$G$456,G217),COUNTIF($G$7:$G$456,G217))&lt;=(INDEX(設定!$Q$8:$Q$27,MATCH(G217,設定!$P$8:$P$27,0))+N(INDEX(設定!$R$8:$R$27,MATCH(G217,設定!$P$8:$P$27,0)))),G217,"要調整"),"要調整")))</f>
        <v/>
      </c>
      <c r="K217" s="40" t="n"/>
      <c r="L217" s="52">
        <f>IF(P217="","",IF(K217&lt;&gt;"",K217,IF(OR(J217="",J217="要調整"),"",J217)))</f>
        <v/>
      </c>
      <c r="M217" s="44">
        <f>IF(P217="","",IF(AND(計算用!$B$1=1,T217=""),"転出",IF(L217&lt;&gt;"","決定",IF(Q217="","未提出","要調整"))))</f>
        <v/>
      </c>
      <c r="N217" s="44">
        <f>IF(OR(M217&lt;&gt;"要調整",H217=""),"",IFERROR((INDEX(設定!$Q$8:$Q$27,MATCH(H217,設定!$P$8:$P$27,0))+N(INDEX(設定!$R$8:$R$27,MATCH(H217,設定!$P$8:$P$27,0))))-INDEX(定員チェック!$F$7:$F$26,MATCH(H217,設定!$P$8:$P$27,0))-COUNTIFS($M$7:$M$456,"要調整",$G$7:$G$456,H217),""))</f>
        <v/>
      </c>
      <c r="O217" s="44">
        <f>IF(OR(M217&lt;&gt;"要調整",I217=""),"",IFERROR((INDEX(設定!$Q$8:$Q$27,MATCH(I217,設定!$P$8:$P$27,0))+N(INDEX(設定!$R$8:$R$27,MATCH(I217,設定!$P$8:$P$27,0))))-INDEX(定員チェック!$F$7:$F$26,MATCH(I217,設定!$P$8:$P$27,0))-COUNTIFS($M$7:$M$456,"要調整",$G$7:$G$456,I217),""))</f>
        <v/>
      </c>
      <c r="P217" s="8">
        <f>IFERROR(MATCH(SMALL(前年度名簿!$G$2:$G$451,211),前年度名簿!$G$2:$G$451,0),"")</f>
        <v/>
      </c>
      <c r="Q217" s="8">
        <f>IF(R217="","",IFERROR(MATCH(R217,希望入力!$M$2:$M$551,0),""))</f>
        <v/>
      </c>
      <c r="R217" s="8">
        <f>IF(P217="","",INDEX(前年度名簿!$F$2:$F$451,P217))</f>
        <v/>
      </c>
      <c r="S217" s="8">
        <f>IF(P217="","",INDEX(前年度名簿!$I$2:$I$451,P217))</f>
        <v/>
      </c>
      <c r="T217" s="8">
        <f>IF(OR(P217="",計算用!$B$1=0),"",IFERROR(MATCH(S217,新年度名簿!$H$2:$H$451,0),""))</f>
        <v/>
      </c>
      <c r="U217" s="8">
        <f>IF(OR(L217="",M217="転出"),"",IFERROR(MATCH(L217,設定!$P$8:$P$27,0),""))</f>
        <v/>
      </c>
      <c r="V217" s="8">
        <f>IF(U217="","",COUNTIF($U$7:U217,U217))</f>
        <v/>
      </c>
      <c r="W217" s="8">
        <f>IF(U217="","",U217*1000+V217)</f>
        <v/>
      </c>
    </row>
    <row r="218">
      <c r="A218" s="44">
        <f>IF(P218="","",INDEX(前年度名簿!$H$2:$H$451,P218))</f>
        <v/>
      </c>
      <c r="B218" s="44">
        <f>IF(P218="","",IFERROR(INDEX(設定!$G$8:$G$31,INT(INDEX(前年度名簿!$G$2:$G$451,P218)/1000)),INDEX(前年度名簿!$A$2:$A$451,P218)&amp;INDEX(前年度名簿!$B$2:$B$451,P218)))</f>
        <v/>
      </c>
      <c r="C218" s="44">
        <f>IF(P218="","",INDEX(前年度名簿!$C$2:$C$451,P218))</f>
        <v/>
      </c>
      <c r="D218" s="3">
        <f>IF(P218="","",INDEX(前年度名簿!$D$2:$D$451,P218))</f>
        <v/>
      </c>
      <c r="E218" s="44">
        <f>IF(T218="","",INDEX(新年度名簿!$K$2:$K$451,T218))</f>
        <v/>
      </c>
      <c r="F218" s="44">
        <f>IF(T218="","",INDEX(新年度名簿!$C$2:$C$451,T218))</f>
        <v/>
      </c>
      <c r="G218" s="44">
        <f>IF(Q218="","",INDEX(希望入力!$H$2:$H$551,Q218)&amp;"")</f>
        <v/>
      </c>
      <c r="H218" s="44">
        <f>IF(Q218="","",INDEX(希望入力!$I$2:$I$551,Q218)&amp;"")</f>
        <v/>
      </c>
      <c r="I218" s="44">
        <f>IF(Q218="","",INDEX(希望入力!$J$2:$J$551,Q218)&amp;"")</f>
        <v/>
      </c>
      <c r="J218" s="44">
        <f>IF(Q218="","",IF(G218="","要調整",IFERROR(IF(IF(OR(設定!$C$14="〇",設定!$C$14="○"),COUNTIFS($A$7:$A$456,"&gt;="&amp;A218,$G$7:$G$456,G218),COUNTIF($G$7:$G$456,G218))&lt;=(INDEX(設定!$Q$8:$Q$27,MATCH(G218,設定!$P$8:$P$27,0))+N(INDEX(設定!$R$8:$R$27,MATCH(G218,設定!$P$8:$P$27,0)))),G218,"要調整"),"要調整")))</f>
        <v/>
      </c>
      <c r="K218" s="40" t="n"/>
      <c r="L218" s="52">
        <f>IF(P218="","",IF(K218&lt;&gt;"",K218,IF(OR(J218="",J218="要調整"),"",J218)))</f>
        <v/>
      </c>
      <c r="M218" s="44">
        <f>IF(P218="","",IF(AND(計算用!$B$1=1,T218=""),"転出",IF(L218&lt;&gt;"","決定",IF(Q218="","未提出","要調整"))))</f>
        <v/>
      </c>
      <c r="N218" s="44">
        <f>IF(OR(M218&lt;&gt;"要調整",H218=""),"",IFERROR((INDEX(設定!$Q$8:$Q$27,MATCH(H218,設定!$P$8:$P$27,0))+N(INDEX(設定!$R$8:$R$27,MATCH(H218,設定!$P$8:$P$27,0))))-INDEX(定員チェック!$F$7:$F$26,MATCH(H218,設定!$P$8:$P$27,0))-COUNTIFS($M$7:$M$456,"要調整",$G$7:$G$456,H218),""))</f>
        <v/>
      </c>
      <c r="O218" s="44">
        <f>IF(OR(M218&lt;&gt;"要調整",I218=""),"",IFERROR((INDEX(設定!$Q$8:$Q$27,MATCH(I218,設定!$P$8:$P$27,0))+N(INDEX(設定!$R$8:$R$27,MATCH(I218,設定!$P$8:$P$27,0))))-INDEX(定員チェック!$F$7:$F$26,MATCH(I218,設定!$P$8:$P$27,0))-COUNTIFS($M$7:$M$456,"要調整",$G$7:$G$456,I218),""))</f>
        <v/>
      </c>
      <c r="P218" s="8">
        <f>IFERROR(MATCH(SMALL(前年度名簿!$G$2:$G$451,212),前年度名簿!$G$2:$G$451,0),"")</f>
        <v/>
      </c>
      <c r="Q218" s="8">
        <f>IF(R218="","",IFERROR(MATCH(R218,希望入力!$M$2:$M$551,0),""))</f>
        <v/>
      </c>
      <c r="R218" s="8">
        <f>IF(P218="","",INDEX(前年度名簿!$F$2:$F$451,P218))</f>
        <v/>
      </c>
      <c r="S218" s="8">
        <f>IF(P218="","",INDEX(前年度名簿!$I$2:$I$451,P218))</f>
        <v/>
      </c>
      <c r="T218" s="8">
        <f>IF(OR(P218="",計算用!$B$1=0),"",IFERROR(MATCH(S218,新年度名簿!$H$2:$H$451,0),""))</f>
        <v/>
      </c>
      <c r="U218" s="8">
        <f>IF(OR(L218="",M218="転出"),"",IFERROR(MATCH(L218,設定!$P$8:$P$27,0),""))</f>
        <v/>
      </c>
      <c r="V218" s="8">
        <f>IF(U218="","",COUNTIF($U$7:U218,U218))</f>
        <v/>
      </c>
      <c r="W218" s="8">
        <f>IF(U218="","",U218*1000+V218)</f>
        <v/>
      </c>
    </row>
    <row r="219">
      <c r="A219" s="44">
        <f>IF(P219="","",INDEX(前年度名簿!$H$2:$H$451,P219))</f>
        <v/>
      </c>
      <c r="B219" s="44">
        <f>IF(P219="","",IFERROR(INDEX(設定!$G$8:$G$31,INT(INDEX(前年度名簿!$G$2:$G$451,P219)/1000)),INDEX(前年度名簿!$A$2:$A$451,P219)&amp;INDEX(前年度名簿!$B$2:$B$451,P219)))</f>
        <v/>
      </c>
      <c r="C219" s="44">
        <f>IF(P219="","",INDEX(前年度名簿!$C$2:$C$451,P219))</f>
        <v/>
      </c>
      <c r="D219" s="3">
        <f>IF(P219="","",INDEX(前年度名簿!$D$2:$D$451,P219))</f>
        <v/>
      </c>
      <c r="E219" s="44">
        <f>IF(T219="","",INDEX(新年度名簿!$K$2:$K$451,T219))</f>
        <v/>
      </c>
      <c r="F219" s="44">
        <f>IF(T219="","",INDEX(新年度名簿!$C$2:$C$451,T219))</f>
        <v/>
      </c>
      <c r="G219" s="44">
        <f>IF(Q219="","",INDEX(希望入力!$H$2:$H$551,Q219)&amp;"")</f>
        <v/>
      </c>
      <c r="H219" s="44">
        <f>IF(Q219="","",INDEX(希望入力!$I$2:$I$551,Q219)&amp;"")</f>
        <v/>
      </c>
      <c r="I219" s="44">
        <f>IF(Q219="","",INDEX(希望入力!$J$2:$J$551,Q219)&amp;"")</f>
        <v/>
      </c>
      <c r="J219" s="44">
        <f>IF(Q219="","",IF(G219="","要調整",IFERROR(IF(IF(OR(設定!$C$14="〇",設定!$C$14="○"),COUNTIFS($A$7:$A$456,"&gt;="&amp;A219,$G$7:$G$456,G219),COUNTIF($G$7:$G$456,G219))&lt;=(INDEX(設定!$Q$8:$Q$27,MATCH(G219,設定!$P$8:$P$27,0))+N(INDEX(設定!$R$8:$R$27,MATCH(G219,設定!$P$8:$P$27,0)))),G219,"要調整"),"要調整")))</f>
        <v/>
      </c>
      <c r="K219" s="40" t="n"/>
      <c r="L219" s="52">
        <f>IF(P219="","",IF(K219&lt;&gt;"",K219,IF(OR(J219="",J219="要調整"),"",J219)))</f>
        <v/>
      </c>
      <c r="M219" s="44">
        <f>IF(P219="","",IF(AND(計算用!$B$1=1,T219=""),"転出",IF(L219&lt;&gt;"","決定",IF(Q219="","未提出","要調整"))))</f>
        <v/>
      </c>
      <c r="N219" s="44">
        <f>IF(OR(M219&lt;&gt;"要調整",H219=""),"",IFERROR((INDEX(設定!$Q$8:$Q$27,MATCH(H219,設定!$P$8:$P$27,0))+N(INDEX(設定!$R$8:$R$27,MATCH(H219,設定!$P$8:$P$27,0))))-INDEX(定員チェック!$F$7:$F$26,MATCH(H219,設定!$P$8:$P$27,0))-COUNTIFS($M$7:$M$456,"要調整",$G$7:$G$456,H219),""))</f>
        <v/>
      </c>
      <c r="O219" s="44">
        <f>IF(OR(M219&lt;&gt;"要調整",I219=""),"",IFERROR((INDEX(設定!$Q$8:$Q$27,MATCH(I219,設定!$P$8:$P$27,0))+N(INDEX(設定!$R$8:$R$27,MATCH(I219,設定!$P$8:$P$27,0))))-INDEX(定員チェック!$F$7:$F$26,MATCH(I219,設定!$P$8:$P$27,0))-COUNTIFS($M$7:$M$456,"要調整",$G$7:$G$456,I219),""))</f>
        <v/>
      </c>
      <c r="P219" s="8">
        <f>IFERROR(MATCH(SMALL(前年度名簿!$G$2:$G$451,213),前年度名簿!$G$2:$G$451,0),"")</f>
        <v/>
      </c>
      <c r="Q219" s="8">
        <f>IF(R219="","",IFERROR(MATCH(R219,希望入力!$M$2:$M$551,0),""))</f>
        <v/>
      </c>
      <c r="R219" s="8">
        <f>IF(P219="","",INDEX(前年度名簿!$F$2:$F$451,P219))</f>
        <v/>
      </c>
      <c r="S219" s="8">
        <f>IF(P219="","",INDEX(前年度名簿!$I$2:$I$451,P219))</f>
        <v/>
      </c>
      <c r="T219" s="8">
        <f>IF(OR(P219="",計算用!$B$1=0),"",IFERROR(MATCH(S219,新年度名簿!$H$2:$H$451,0),""))</f>
        <v/>
      </c>
      <c r="U219" s="8">
        <f>IF(OR(L219="",M219="転出"),"",IFERROR(MATCH(L219,設定!$P$8:$P$27,0),""))</f>
        <v/>
      </c>
      <c r="V219" s="8">
        <f>IF(U219="","",COUNTIF($U$7:U219,U219))</f>
        <v/>
      </c>
      <c r="W219" s="8">
        <f>IF(U219="","",U219*1000+V219)</f>
        <v/>
      </c>
    </row>
    <row r="220">
      <c r="A220" s="44">
        <f>IF(P220="","",INDEX(前年度名簿!$H$2:$H$451,P220))</f>
        <v/>
      </c>
      <c r="B220" s="44">
        <f>IF(P220="","",IFERROR(INDEX(設定!$G$8:$G$31,INT(INDEX(前年度名簿!$G$2:$G$451,P220)/1000)),INDEX(前年度名簿!$A$2:$A$451,P220)&amp;INDEX(前年度名簿!$B$2:$B$451,P220)))</f>
        <v/>
      </c>
      <c r="C220" s="44">
        <f>IF(P220="","",INDEX(前年度名簿!$C$2:$C$451,P220))</f>
        <v/>
      </c>
      <c r="D220" s="3">
        <f>IF(P220="","",INDEX(前年度名簿!$D$2:$D$451,P220))</f>
        <v/>
      </c>
      <c r="E220" s="44">
        <f>IF(T220="","",INDEX(新年度名簿!$K$2:$K$451,T220))</f>
        <v/>
      </c>
      <c r="F220" s="44">
        <f>IF(T220="","",INDEX(新年度名簿!$C$2:$C$451,T220))</f>
        <v/>
      </c>
      <c r="G220" s="44">
        <f>IF(Q220="","",INDEX(希望入力!$H$2:$H$551,Q220)&amp;"")</f>
        <v/>
      </c>
      <c r="H220" s="44">
        <f>IF(Q220="","",INDEX(希望入力!$I$2:$I$551,Q220)&amp;"")</f>
        <v/>
      </c>
      <c r="I220" s="44">
        <f>IF(Q220="","",INDEX(希望入力!$J$2:$J$551,Q220)&amp;"")</f>
        <v/>
      </c>
      <c r="J220" s="44">
        <f>IF(Q220="","",IF(G220="","要調整",IFERROR(IF(IF(OR(設定!$C$14="〇",設定!$C$14="○"),COUNTIFS($A$7:$A$456,"&gt;="&amp;A220,$G$7:$G$456,G220),COUNTIF($G$7:$G$456,G220))&lt;=(INDEX(設定!$Q$8:$Q$27,MATCH(G220,設定!$P$8:$P$27,0))+N(INDEX(設定!$R$8:$R$27,MATCH(G220,設定!$P$8:$P$27,0)))),G220,"要調整"),"要調整")))</f>
        <v/>
      </c>
      <c r="K220" s="40" t="n"/>
      <c r="L220" s="52">
        <f>IF(P220="","",IF(K220&lt;&gt;"",K220,IF(OR(J220="",J220="要調整"),"",J220)))</f>
        <v/>
      </c>
      <c r="M220" s="44">
        <f>IF(P220="","",IF(AND(計算用!$B$1=1,T220=""),"転出",IF(L220&lt;&gt;"","決定",IF(Q220="","未提出","要調整"))))</f>
        <v/>
      </c>
      <c r="N220" s="44">
        <f>IF(OR(M220&lt;&gt;"要調整",H220=""),"",IFERROR((INDEX(設定!$Q$8:$Q$27,MATCH(H220,設定!$P$8:$P$27,0))+N(INDEX(設定!$R$8:$R$27,MATCH(H220,設定!$P$8:$P$27,0))))-INDEX(定員チェック!$F$7:$F$26,MATCH(H220,設定!$P$8:$P$27,0))-COUNTIFS($M$7:$M$456,"要調整",$G$7:$G$456,H220),""))</f>
        <v/>
      </c>
      <c r="O220" s="44">
        <f>IF(OR(M220&lt;&gt;"要調整",I220=""),"",IFERROR((INDEX(設定!$Q$8:$Q$27,MATCH(I220,設定!$P$8:$P$27,0))+N(INDEX(設定!$R$8:$R$27,MATCH(I220,設定!$P$8:$P$27,0))))-INDEX(定員チェック!$F$7:$F$26,MATCH(I220,設定!$P$8:$P$27,0))-COUNTIFS($M$7:$M$456,"要調整",$G$7:$G$456,I220),""))</f>
        <v/>
      </c>
      <c r="P220" s="8">
        <f>IFERROR(MATCH(SMALL(前年度名簿!$G$2:$G$451,214),前年度名簿!$G$2:$G$451,0),"")</f>
        <v/>
      </c>
      <c r="Q220" s="8">
        <f>IF(R220="","",IFERROR(MATCH(R220,希望入力!$M$2:$M$551,0),""))</f>
        <v/>
      </c>
      <c r="R220" s="8">
        <f>IF(P220="","",INDEX(前年度名簿!$F$2:$F$451,P220))</f>
        <v/>
      </c>
      <c r="S220" s="8">
        <f>IF(P220="","",INDEX(前年度名簿!$I$2:$I$451,P220))</f>
        <v/>
      </c>
      <c r="T220" s="8">
        <f>IF(OR(P220="",計算用!$B$1=0),"",IFERROR(MATCH(S220,新年度名簿!$H$2:$H$451,0),""))</f>
        <v/>
      </c>
      <c r="U220" s="8">
        <f>IF(OR(L220="",M220="転出"),"",IFERROR(MATCH(L220,設定!$P$8:$P$27,0),""))</f>
        <v/>
      </c>
      <c r="V220" s="8">
        <f>IF(U220="","",COUNTIF($U$7:U220,U220))</f>
        <v/>
      </c>
      <c r="W220" s="8">
        <f>IF(U220="","",U220*1000+V220)</f>
        <v/>
      </c>
    </row>
    <row r="221">
      <c r="A221" s="44">
        <f>IF(P221="","",INDEX(前年度名簿!$H$2:$H$451,P221))</f>
        <v/>
      </c>
      <c r="B221" s="44">
        <f>IF(P221="","",IFERROR(INDEX(設定!$G$8:$G$31,INT(INDEX(前年度名簿!$G$2:$G$451,P221)/1000)),INDEX(前年度名簿!$A$2:$A$451,P221)&amp;INDEX(前年度名簿!$B$2:$B$451,P221)))</f>
        <v/>
      </c>
      <c r="C221" s="44">
        <f>IF(P221="","",INDEX(前年度名簿!$C$2:$C$451,P221))</f>
        <v/>
      </c>
      <c r="D221" s="3">
        <f>IF(P221="","",INDEX(前年度名簿!$D$2:$D$451,P221))</f>
        <v/>
      </c>
      <c r="E221" s="44">
        <f>IF(T221="","",INDEX(新年度名簿!$K$2:$K$451,T221))</f>
        <v/>
      </c>
      <c r="F221" s="44">
        <f>IF(T221="","",INDEX(新年度名簿!$C$2:$C$451,T221))</f>
        <v/>
      </c>
      <c r="G221" s="44">
        <f>IF(Q221="","",INDEX(希望入力!$H$2:$H$551,Q221)&amp;"")</f>
        <v/>
      </c>
      <c r="H221" s="44">
        <f>IF(Q221="","",INDEX(希望入力!$I$2:$I$551,Q221)&amp;"")</f>
        <v/>
      </c>
      <c r="I221" s="44">
        <f>IF(Q221="","",INDEX(希望入力!$J$2:$J$551,Q221)&amp;"")</f>
        <v/>
      </c>
      <c r="J221" s="44">
        <f>IF(Q221="","",IF(G221="","要調整",IFERROR(IF(IF(OR(設定!$C$14="〇",設定!$C$14="○"),COUNTIFS($A$7:$A$456,"&gt;="&amp;A221,$G$7:$G$456,G221),COUNTIF($G$7:$G$456,G221))&lt;=(INDEX(設定!$Q$8:$Q$27,MATCH(G221,設定!$P$8:$P$27,0))+N(INDEX(設定!$R$8:$R$27,MATCH(G221,設定!$P$8:$P$27,0)))),G221,"要調整"),"要調整")))</f>
        <v/>
      </c>
      <c r="K221" s="40" t="n"/>
      <c r="L221" s="52">
        <f>IF(P221="","",IF(K221&lt;&gt;"",K221,IF(OR(J221="",J221="要調整"),"",J221)))</f>
        <v/>
      </c>
      <c r="M221" s="44">
        <f>IF(P221="","",IF(AND(計算用!$B$1=1,T221=""),"転出",IF(L221&lt;&gt;"","決定",IF(Q221="","未提出","要調整"))))</f>
        <v/>
      </c>
      <c r="N221" s="44">
        <f>IF(OR(M221&lt;&gt;"要調整",H221=""),"",IFERROR((INDEX(設定!$Q$8:$Q$27,MATCH(H221,設定!$P$8:$P$27,0))+N(INDEX(設定!$R$8:$R$27,MATCH(H221,設定!$P$8:$P$27,0))))-INDEX(定員チェック!$F$7:$F$26,MATCH(H221,設定!$P$8:$P$27,0))-COUNTIFS($M$7:$M$456,"要調整",$G$7:$G$456,H221),""))</f>
        <v/>
      </c>
      <c r="O221" s="44">
        <f>IF(OR(M221&lt;&gt;"要調整",I221=""),"",IFERROR((INDEX(設定!$Q$8:$Q$27,MATCH(I221,設定!$P$8:$P$27,0))+N(INDEX(設定!$R$8:$R$27,MATCH(I221,設定!$P$8:$P$27,0))))-INDEX(定員チェック!$F$7:$F$26,MATCH(I221,設定!$P$8:$P$27,0))-COUNTIFS($M$7:$M$456,"要調整",$G$7:$G$456,I221),""))</f>
        <v/>
      </c>
      <c r="P221" s="8">
        <f>IFERROR(MATCH(SMALL(前年度名簿!$G$2:$G$451,215),前年度名簿!$G$2:$G$451,0),"")</f>
        <v/>
      </c>
      <c r="Q221" s="8">
        <f>IF(R221="","",IFERROR(MATCH(R221,希望入力!$M$2:$M$551,0),""))</f>
        <v/>
      </c>
      <c r="R221" s="8">
        <f>IF(P221="","",INDEX(前年度名簿!$F$2:$F$451,P221))</f>
        <v/>
      </c>
      <c r="S221" s="8">
        <f>IF(P221="","",INDEX(前年度名簿!$I$2:$I$451,P221))</f>
        <v/>
      </c>
      <c r="T221" s="8">
        <f>IF(OR(P221="",計算用!$B$1=0),"",IFERROR(MATCH(S221,新年度名簿!$H$2:$H$451,0),""))</f>
        <v/>
      </c>
      <c r="U221" s="8">
        <f>IF(OR(L221="",M221="転出"),"",IFERROR(MATCH(L221,設定!$P$8:$P$27,0),""))</f>
        <v/>
      </c>
      <c r="V221" s="8">
        <f>IF(U221="","",COUNTIF($U$7:U221,U221))</f>
        <v/>
      </c>
      <c r="W221" s="8">
        <f>IF(U221="","",U221*1000+V221)</f>
        <v/>
      </c>
    </row>
    <row r="222">
      <c r="A222" s="44">
        <f>IF(P222="","",INDEX(前年度名簿!$H$2:$H$451,P222))</f>
        <v/>
      </c>
      <c r="B222" s="44">
        <f>IF(P222="","",IFERROR(INDEX(設定!$G$8:$G$31,INT(INDEX(前年度名簿!$G$2:$G$451,P222)/1000)),INDEX(前年度名簿!$A$2:$A$451,P222)&amp;INDEX(前年度名簿!$B$2:$B$451,P222)))</f>
        <v/>
      </c>
      <c r="C222" s="44">
        <f>IF(P222="","",INDEX(前年度名簿!$C$2:$C$451,P222))</f>
        <v/>
      </c>
      <c r="D222" s="3">
        <f>IF(P222="","",INDEX(前年度名簿!$D$2:$D$451,P222))</f>
        <v/>
      </c>
      <c r="E222" s="44">
        <f>IF(T222="","",INDEX(新年度名簿!$K$2:$K$451,T222))</f>
        <v/>
      </c>
      <c r="F222" s="44">
        <f>IF(T222="","",INDEX(新年度名簿!$C$2:$C$451,T222))</f>
        <v/>
      </c>
      <c r="G222" s="44">
        <f>IF(Q222="","",INDEX(希望入力!$H$2:$H$551,Q222)&amp;"")</f>
        <v/>
      </c>
      <c r="H222" s="44">
        <f>IF(Q222="","",INDEX(希望入力!$I$2:$I$551,Q222)&amp;"")</f>
        <v/>
      </c>
      <c r="I222" s="44">
        <f>IF(Q222="","",INDEX(希望入力!$J$2:$J$551,Q222)&amp;"")</f>
        <v/>
      </c>
      <c r="J222" s="44">
        <f>IF(Q222="","",IF(G222="","要調整",IFERROR(IF(IF(OR(設定!$C$14="〇",設定!$C$14="○"),COUNTIFS($A$7:$A$456,"&gt;="&amp;A222,$G$7:$G$456,G222),COUNTIF($G$7:$G$456,G222))&lt;=(INDEX(設定!$Q$8:$Q$27,MATCH(G222,設定!$P$8:$P$27,0))+N(INDEX(設定!$R$8:$R$27,MATCH(G222,設定!$P$8:$P$27,0)))),G222,"要調整"),"要調整")))</f>
        <v/>
      </c>
      <c r="K222" s="40" t="n"/>
      <c r="L222" s="52">
        <f>IF(P222="","",IF(K222&lt;&gt;"",K222,IF(OR(J222="",J222="要調整"),"",J222)))</f>
        <v/>
      </c>
      <c r="M222" s="44">
        <f>IF(P222="","",IF(AND(計算用!$B$1=1,T222=""),"転出",IF(L222&lt;&gt;"","決定",IF(Q222="","未提出","要調整"))))</f>
        <v/>
      </c>
      <c r="N222" s="44">
        <f>IF(OR(M222&lt;&gt;"要調整",H222=""),"",IFERROR((INDEX(設定!$Q$8:$Q$27,MATCH(H222,設定!$P$8:$P$27,0))+N(INDEX(設定!$R$8:$R$27,MATCH(H222,設定!$P$8:$P$27,0))))-INDEX(定員チェック!$F$7:$F$26,MATCH(H222,設定!$P$8:$P$27,0))-COUNTIFS($M$7:$M$456,"要調整",$G$7:$G$456,H222),""))</f>
        <v/>
      </c>
      <c r="O222" s="44">
        <f>IF(OR(M222&lt;&gt;"要調整",I222=""),"",IFERROR((INDEX(設定!$Q$8:$Q$27,MATCH(I222,設定!$P$8:$P$27,0))+N(INDEX(設定!$R$8:$R$27,MATCH(I222,設定!$P$8:$P$27,0))))-INDEX(定員チェック!$F$7:$F$26,MATCH(I222,設定!$P$8:$P$27,0))-COUNTIFS($M$7:$M$456,"要調整",$G$7:$G$456,I222),""))</f>
        <v/>
      </c>
      <c r="P222" s="8">
        <f>IFERROR(MATCH(SMALL(前年度名簿!$G$2:$G$451,216),前年度名簿!$G$2:$G$451,0),"")</f>
        <v/>
      </c>
      <c r="Q222" s="8">
        <f>IF(R222="","",IFERROR(MATCH(R222,希望入力!$M$2:$M$551,0),""))</f>
        <v/>
      </c>
      <c r="R222" s="8">
        <f>IF(P222="","",INDEX(前年度名簿!$F$2:$F$451,P222))</f>
        <v/>
      </c>
      <c r="S222" s="8">
        <f>IF(P222="","",INDEX(前年度名簿!$I$2:$I$451,P222))</f>
        <v/>
      </c>
      <c r="T222" s="8">
        <f>IF(OR(P222="",計算用!$B$1=0),"",IFERROR(MATCH(S222,新年度名簿!$H$2:$H$451,0),""))</f>
        <v/>
      </c>
      <c r="U222" s="8">
        <f>IF(OR(L222="",M222="転出"),"",IFERROR(MATCH(L222,設定!$P$8:$P$27,0),""))</f>
        <v/>
      </c>
      <c r="V222" s="8">
        <f>IF(U222="","",COUNTIF($U$7:U222,U222))</f>
        <v/>
      </c>
      <c r="W222" s="8">
        <f>IF(U222="","",U222*1000+V222)</f>
        <v/>
      </c>
    </row>
    <row r="223">
      <c r="A223" s="44">
        <f>IF(P223="","",INDEX(前年度名簿!$H$2:$H$451,P223))</f>
        <v/>
      </c>
      <c r="B223" s="44">
        <f>IF(P223="","",IFERROR(INDEX(設定!$G$8:$G$31,INT(INDEX(前年度名簿!$G$2:$G$451,P223)/1000)),INDEX(前年度名簿!$A$2:$A$451,P223)&amp;INDEX(前年度名簿!$B$2:$B$451,P223)))</f>
        <v/>
      </c>
      <c r="C223" s="44">
        <f>IF(P223="","",INDEX(前年度名簿!$C$2:$C$451,P223))</f>
        <v/>
      </c>
      <c r="D223" s="3">
        <f>IF(P223="","",INDEX(前年度名簿!$D$2:$D$451,P223))</f>
        <v/>
      </c>
      <c r="E223" s="44">
        <f>IF(T223="","",INDEX(新年度名簿!$K$2:$K$451,T223))</f>
        <v/>
      </c>
      <c r="F223" s="44">
        <f>IF(T223="","",INDEX(新年度名簿!$C$2:$C$451,T223))</f>
        <v/>
      </c>
      <c r="G223" s="44">
        <f>IF(Q223="","",INDEX(希望入力!$H$2:$H$551,Q223)&amp;"")</f>
        <v/>
      </c>
      <c r="H223" s="44">
        <f>IF(Q223="","",INDEX(希望入力!$I$2:$I$551,Q223)&amp;"")</f>
        <v/>
      </c>
      <c r="I223" s="44">
        <f>IF(Q223="","",INDEX(希望入力!$J$2:$J$551,Q223)&amp;"")</f>
        <v/>
      </c>
      <c r="J223" s="44">
        <f>IF(Q223="","",IF(G223="","要調整",IFERROR(IF(IF(OR(設定!$C$14="〇",設定!$C$14="○"),COUNTIFS($A$7:$A$456,"&gt;="&amp;A223,$G$7:$G$456,G223),COUNTIF($G$7:$G$456,G223))&lt;=(INDEX(設定!$Q$8:$Q$27,MATCH(G223,設定!$P$8:$P$27,0))+N(INDEX(設定!$R$8:$R$27,MATCH(G223,設定!$P$8:$P$27,0)))),G223,"要調整"),"要調整")))</f>
        <v/>
      </c>
      <c r="K223" s="40" t="n"/>
      <c r="L223" s="52">
        <f>IF(P223="","",IF(K223&lt;&gt;"",K223,IF(OR(J223="",J223="要調整"),"",J223)))</f>
        <v/>
      </c>
      <c r="M223" s="44">
        <f>IF(P223="","",IF(AND(計算用!$B$1=1,T223=""),"転出",IF(L223&lt;&gt;"","決定",IF(Q223="","未提出","要調整"))))</f>
        <v/>
      </c>
      <c r="N223" s="44">
        <f>IF(OR(M223&lt;&gt;"要調整",H223=""),"",IFERROR((INDEX(設定!$Q$8:$Q$27,MATCH(H223,設定!$P$8:$P$27,0))+N(INDEX(設定!$R$8:$R$27,MATCH(H223,設定!$P$8:$P$27,0))))-INDEX(定員チェック!$F$7:$F$26,MATCH(H223,設定!$P$8:$P$27,0))-COUNTIFS($M$7:$M$456,"要調整",$G$7:$G$456,H223),""))</f>
        <v/>
      </c>
      <c r="O223" s="44">
        <f>IF(OR(M223&lt;&gt;"要調整",I223=""),"",IFERROR((INDEX(設定!$Q$8:$Q$27,MATCH(I223,設定!$P$8:$P$27,0))+N(INDEX(設定!$R$8:$R$27,MATCH(I223,設定!$P$8:$P$27,0))))-INDEX(定員チェック!$F$7:$F$26,MATCH(I223,設定!$P$8:$P$27,0))-COUNTIFS($M$7:$M$456,"要調整",$G$7:$G$456,I223),""))</f>
        <v/>
      </c>
      <c r="P223" s="8">
        <f>IFERROR(MATCH(SMALL(前年度名簿!$G$2:$G$451,217),前年度名簿!$G$2:$G$451,0),"")</f>
        <v/>
      </c>
      <c r="Q223" s="8">
        <f>IF(R223="","",IFERROR(MATCH(R223,希望入力!$M$2:$M$551,0),""))</f>
        <v/>
      </c>
      <c r="R223" s="8">
        <f>IF(P223="","",INDEX(前年度名簿!$F$2:$F$451,P223))</f>
        <v/>
      </c>
      <c r="S223" s="8">
        <f>IF(P223="","",INDEX(前年度名簿!$I$2:$I$451,P223))</f>
        <v/>
      </c>
      <c r="T223" s="8">
        <f>IF(OR(P223="",計算用!$B$1=0),"",IFERROR(MATCH(S223,新年度名簿!$H$2:$H$451,0),""))</f>
        <v/>
      </c>
      <c r="U223" s="8">
        <f>IF(OR(L223="",M223="転出"),"",IFERROR(MATCH(L223,設定!$P$8:$P$27,0),""))</f>
        <v/>
      </c>
      <c r="V223" s="8">
        <f>IF(U223="","",COUNTIF($U$7:U223,U223))</f>
        <v/>
      </c>
      <c r="W223" s="8">
        <f>IF(U223="","",U223*1000+V223)</f>
        <v/>
      </c>
    </row>
    <row r="224">
      <c r="A224" s="44">
        <f>IF(P224="","",INDEX(前年度名簿!$H$2:$H$451,P224))</f>
        <v/>
      </c>
      <c r="B224" s="44">
        <f>IF(P224="","",IFERROR(INDEX(設定!$G$8:$G$31,INT(INDEX(前年度名簿!$G$2:$G$451,P224)/1000)),INDEX(前年度名簿!$A$2:$A$451,P224)&amp;INDEX(前年度名簿!$B$2:$B$451,P224)))</f>
        <v/>
      </c>
      <c r="C224" s="44">
        <f>IF(P224="","",INDEX(前年度名簿!$C$2:$C$451,P224))</f>
        <v/>
      </c>
      <c r="D224" s="3">
        <f>IF(P224="","",INDEX(前年度名簿!$D$2:$D$451,P224))</f>
        <v/>
      </c>
      <c r="E224" s="44">
        <f>IF(T224="","",INDEX(新年度名簿!$K$2:$K$451,T224))</f>
        <v/>
      </c>
      <c r="F224" s="44">
        <f>IF(T224="","",INDEX(新年度名簿!$C$2:$C$451,T224))</f>
        <v/>
      </c>
      <c r="G224" s="44">
        <f>IF(Q224="","",INDEX(希望入力!$H$2:$H$551,Q224)&amp;"")</f>
        <v/>
      </c>
      <c r="H224" s="44">
        <f>IF(Q224="","",INDEX(希望入力!$I$2:$I$551,Q224)&amp;"")</f>
        <v/>
      </c>
      <c r="I224" s="44">
        <f>IF(Q224="","",INDEX(希望入力!$J$2:$J$551,Q224)&amp;"")</f>
        <v/>
      </c>
      <c r="J224" s="44">
        <f>IF(Q224="","",IF(G224="","要調整",IFERROR(IF(IF(OR(設定!$C$14="〇",設定!$C$14="○"),COUNTIFS($A$7:$A$456,"&gt;="&amp;A224,$G$7:$G$456,G224),COUNTIF($G$7:$G$456,G224))&lt;=(INDEX(設定!$Q$8:$Q$27,MATCH(G224,設定!$P$8:$P$27,0))+N(INDEX(設定!$R$8:$R$27,MATCH(G224,設定!$P$8:$P$27,0)))),G224,"要調整"),"要調整")))</f>
        <v/>
      </c>
      <c r="K224" s="40" t="n"/>
      <c r="L224" s="52">
        <f>IF(P224="","",IF(K224&lt;&gt;"",K224,IF(OR(J224="",J224="要調整"),"",J224)))</f>
        <v/>
      </c>
      <c r="M224" s="44">
        <f>IF(P224="","",IF(AND(計算用!$B$1=1,T224=""),"転出",IF(L224&lt;&gt;"","決定",IF(Q224="","未提出","要調整"))))</f>
        <v/>
      </c>
      <c r="N224" s="44">
        <f>IF(OR(M224&lt;&gt;"要調整",H224=""),"",IFERROR((INDEX(設定!$Q$8:$Q$27,MATCH(H224,設定!$P$8:$P$27,0))+N(INDEX(設定!$R$8:$R$27,MATCH(H224,設定!$P$8:$P$27,0))))-INDEX(定員チェック!$F$7:$F$26,MATCH(H224,設定!$P$8:$P$27,0))-COUNTIFS($M$7:$M$456,"要調整",$G$7:$G$456,H224),""))</f>
        <v/>
      </c>
      <c r="O224" s="44">
        <f>IF(OR(M224&lt;&gt;"要調整",I224=""),"",IFERROR((INDEX(設定!$Q$8:$Q$27,MATCH(I224,設定!$P$8:$P$27,0))+N(INDEX(設定!$R$8:$R$27,MATCH(I224,設定!$P$8:$P$27,0))))-INDEX(定員チェック!$F$7:$F$26,MATCH(I224,設定!$P$8:$P$27,0))-COUNTIFS($M$7:$M$456,"要調整",$G$7:$G$456,I224),""))</f>
        <v/>
      </c>
      <c r="P224" s="8">
        <f>IFERROR(MATCH(SMALL(前年度名簿!$G$2:$G$451,218),前年度名簿!$G$2:$G$451,0),"")</f>
        <v/>
      </c>
      <c r="Q224" s="8">
        <f>IF(R224="","",IFERROR(MATCH(R224,希望入力!$M$2:$M$551,0),""))</f>
        <v/>
      </c>
      <c r="R224" s="8">
        <f>IF(P224="","",INDEX(前年度名簿!$F$2:$F$451,P224))</f>
        <v/>
      </c>
      <c r="S224" s="8">
        <f>IF(P224="","",INDEX(前年度名簿!$I$2:$I$451,P224))</f>
        <v/>
      </c>
      <c r="T224" s="8">
        <f>IF(OR(P224="",計算用!$B$1=0),"",IFERROR(MATCH(S224,新年度名簿!$H$2:$H$451,0),""))</f>
        <v/>
      </c>
      <c r="U224" s="8">
        <f>IF(OR(L224="",M224="転出"),"",IFERROR(MATCH(L224,設定!$P$8:$P$27,0),""))</f>
        <v/>
      </c>
      <c r="V224" s="8">
        <f>IF(U224="","",COUNTIF($U$7:U224,U224))</f>
        <v/>
      </c>
      <c r="W224" s="8">
        <f>IF(U224="","",U224*1000+V224)</f>
        <v/>
      </c>
    </row>
    <row r="225">
      <c r="A225" s="44">
        <f>IF(P225="","",INDEX(前年度名簿!$H$2:$H$451,P225))</f>
        <v/>
      </c>
      <c r="B225" s="44">
        <f>IF(P225="","",IFERROR(INDEX(設定!$G$8:$G$31,INT(INDEX(前年度名簿!$G$2:$G$451,P225)/1000)),INDEX(前年度名簿!$A$2:$A$451,P225)&amp;INDEX(前年度名簿!$B$2:$B$451,P225)))</f>
        <v/>
      </c>
      <c r="C225" s="44">
        <f>IF(P225="","",INDEX(前年度名簿!$C$2:$C$451,P225))</f>
        <v/>
      </c>
      <c r="D225" s="3">
        <f>IF(P225="","",INDEX(前年度名簿!$D$2:$D$451,P225))</f>
        <v/>
      </c>
      <c r="E225" s="44">
        <f>IF(T225="","",INDEX(新年度名簿!$K$2:$K$451,T225))</f>
        <v/>
      </c>
      <c r="F225" s="44">
        <f>IF(T225="","",INDEX(新年度名簿!$C$2:$C$451,T225))</f>
        <v/>
      </c>
      <c r="G225" s="44">
        <f>IF(Q225="","",INDEX(希望入力!$H$2:$H$551,Q225)&amp;"")</f>
        <v/>
      </c>
      <c r="H225" s="44">
        <f>IF(Q225="","",INDEX(希望入力!$I$2:$I$551,Q225)&amp;"")</f>
        <v/>
      </c>
      <c r="I225" s="44">
        <f>IF(Q225="","",INDEX(希望入力!$J$2:$J$551,Q225)&amp;"")</f>
        <v/>
      </c>
      <c r="J225" s="44">
        <f>IF(Q225="","",IF(G225="","要調整",IFERROR(IF(IF(OR(設定!$C$14="〇",設定!$C$14="○"),COUNTIFS($A$7:$A$456,"&gt;="&amp;A225,$G$7:$G$456,G225),COUNTIF($G$7:$G$456,G225))&lt;=(INDEX(設定!$Q$8:$Q$27,MATCH(G225,設定!$P$8:$P$27,0))+N(INDEX(設定!$R$8:$R$27,MATCH(G225,設定!$P$8:$P$27,0)))),G225,"要調整"),"要調整")))</f>
        <v/>
      </c>
      <c r="K225" s="40" t="n"/>
      <c r="L225" s="52">
        <f>IF(P225="","",IF(K225&lt;&gt;"",K225,IF(OR(J225="",J225="要調整"),"",J225)))</f>
        <v/>
      </c>
      <c r="M225" s="44">
        <f>IF(P225="","",IF(AND(計算用!$B$1=1,T225=""),"転出",IF(L225&lt;&gt;"","決定",IF(Q225="","未提出","要調整"))))</f>
        <v/>
      </c>
      <c r="N225" s="44">
        <f>IF(OR(M225&lt;&gt;"要調整",H225=""),"",IFERROR((INDEX(設定!$Q$8:$Q$27,MATCH(H225,設定!$P$8:$P$27,0))+N(INDEX(設定!$R$8:$R$27,MATCH(H225,設定!$P$8:$P$27,0))))-INDEX(定員チェック!$F$7:$F$26,MATCH(H225,設定!$P$8:$P$27,0))-COUNTIFS($M$7:$M$456,"要調整",$G$7:$G$456,H225),""))</f>
        <v/>
      </c>
      <c r="O225" s="44">
        <f>IF(OR(M225&lt;&gt;"要調整",I225=""),"",IFERROR((INDEX(設定!$Q$8:$Q$27,MATCH(I225,設定!$P$8:$P$27,0))+N(INDEX(設定!$R$8:$R$27,MATCH(I225,設定!$P$8:$P$27,0))))-INDEX(定員チェック!$F$7:$F$26,MATCH(I225,設定!$P$8:$P$27,0))-COUNTIFS($M$7:$M$456,"要調整",$G$7:$G$456,I225),""))</f>
        <v/>
      </c>
      <c r="P225" s="8">
        <f>IFERROR(MATCH(SMALL(前年度名簿!$G$2:$G$451,219),前年度名簿!$G$2:$G$451,0),"")</f>
        <v/>
      </c>
      <c r="Q225" s="8">
        <f>IF(R225="","",IFERROR(MATCH(R225,希望入力!$M$2:$M$551,0),""))</f>
        <v/>
      </c>
      <c r="R225" s="8">
        <f>IF(P225="","",INDEX(前年度名簿!$F$2:$F$451,P225))</f>
        <v/>
      </c>
      <c r="S225" s="8">
        <f>IF(P225="","",INDEX(前年度名簿!$I$2:$I$451,P225))</f>
        <v/>
      </c>
      <c r="T225" s="8">
        <f>IF(OR(P225="",計算用!$B$1=0),"",IFERROR(MATCH(S225,新年度名簿!$H$2:$H$451,0),""))</f>
        <v/>
      </c>
      <c r="U225" s="8">
        <f>IF(OR(L225="",M225="転出"),"",IFERROR(MATCH(L225,設定!$P$8:$P$27,0),""))</f>
        <v/>
      </c>
      <c r="V225" s="8">
        <f>IF(U225="","",COUNTIF($U$7:U225,U225))</f>
        <v/>
      </c>
      <c r="W225" s="8">
        <f>IF(U225="","",U225*1000+V225)</f>
        <v/>
      </c>
    </row>
    <row r="226">
      <c r="A226" s="44">
        <f>IF(P226="","",INDEX(前年度名簿!$H$2:$H$451,P226))</f>
        <v/>
      </c>
      <c r="B226" s="44">
        <f>IF(P226="","",IFERROR(INDEX(設定!$G$8:$G$31,INT(INDEX(前年度名簿!$G$2:$G$451,P226)/1000)),INDEX(前年度名簿!$A$2:$A$451,P226)&amp;INDEX(前年度名簿!$B$2:$B$451,P226)))</f>
        <v/>
      </c>
      <c r="C226" s="44">
        <f>IF(P226="","",INDEX(前年度名簿!$C$2:$C$451,P226))</f>
        <v/>
      </c>
      <c r="D226" s="3">
        <f>IF(P226="","",INDEX(前年度名簿!$D$2:$D$451,P226))</f>
        <v/>
      </c>
      <c r="E226" s="44">
        <f>IF(T226="","",INDEX(新年度名簿!$K$2:$K$451,T226))</f>
        <v/>
      </c>
      <c r="F226" s="44">
        <f>IF(T226="","",INDEX(新年度名簿!$C$2:$C$451,T226))</f>
        <v/>
      </c>
      <c r="G226" s="44">
        <f>IF(Q226="","",INDEX(希望入力!$H$2:$H$551,Q226)&amp;"")</f>
        <v/>
      </c>
      <c r="H226" s="44">
        <f>IF(Q226="","",INDEX(希望入力!$I$2:$I$551,Q226)&amp;"")</f>
        <v/>
      </c>
      <c r="I226" s="44">
        <f>IF(Q226="","",INDEX(希望入力!$J$2:$J$551,Q226)&amp;"")</f>
        <v/>
      </c>
      <c r="J226" s="44">
        <f>IF(Q226="","",IF(G226="","要調整",IFERROR(IF(IF(OR(設定!$C$14="〇",設定!$C$14="○"),COUNTIFS($A$7:$A$456,"&gt;="&amp;A226,$G$7:$G$456,G226),COUNTIF($G$7:$G$456,G226))&lt;=(INDEX(設定!$Q$8:$Q$27,MATCH(G226,設定!$P$8:$P$27,0))+N(INDEX(設定!$R$8:$R$27,MATCH(G226,設定!$P$8:$P$27,0)))),G226,"要調整"),"要調整")))</f>
        <v/>
      </c>
      <c r="K226" s="40" t="n"/>
      <c r="L226" s="52">
        <f>IF(P226="","",IF(K226&lt;&gt;"",K226,IF(OR(J226="",J226="要調整"),"",J226)))</f>
        <v/>
      </c>
      <c r="M226" s="44">
        <f>IF(P226="","",IF(AND(計算用!$B$1=1,T226=""),"転出",IF(L226&lt;&gt;"","決定",IF(Q226="","未提出","要調整"))))</f>
        <v/>
      </c>
      <c r="N226" s="44">
        <f>IF(OR(M226&lt;&gt;"要調整",H226=""),"",IFERROR((INDEX(設定!$Q$8:$Q$27,MATCH(H226,設定!$P$8:$P$27,0))+N(INDEX(設定!$R$8:$R$27,MATCH(H226,設定!$P$8:$P$27,0))))-INDEX(定員チェック!$F$7:$F$26,MATCH(H226,設定!$P$8:$P$27,0))-COUNTIFS($M$7:$M$456,"要調整",$G$7:$G$456,H226),""))</f>
        <v/>
      </c>
      <c r="O226" s="44">
        <f>IF(OR(M226&lt;&gt;"要調整",I226=""),"",IFERROR((INDEX(設定!$Q$8:$Q$27,MATCH(I226,設定!$P$8:$P$27,0))+N(INDEX(設定!$R$8:$R$27,MATCH(I226,設定!$P$8:$P$27,0))))-INDEX(定員チェック!$F$7:$F$26,MATCH(I226,設定!$P$8:$P$27,0))-COUNTIFS($M$7:$M$456,"要調整",$G$7:$G$456,I226),""))</f>
        <v/>
      </c>
      <c r="P226" s="8">
        <f>IFERROR(MATCH(SMALL(前年度名簿!$G$2:$G$451,220),前年度名簿!$G$2:$G$451,0),"")</f>
        <v/>
      </c>
      <c r="Q226" s="8">
        <f>IF(R226="","",IFERROR(MATCH(R226,希望入力!$M$2:$M$551,0),""))</f>
        <v/>
      </c>
      <c r="R226" s="8">
        <f>IF(P226="","",INDEX(前年度名簿!$F$2:$F$451,P226))</f>
        <v/>
      </c>
      <c r="S226" s="8">
        <f>IF(P226="","",INDEX(前年度名簿!$I$2:$I$451,P226))</f>
        <v/>
      </c>
      <c r="T226" s="8">
        <f>IF(OR(P226="",計算用!$B$1=0),"",IFERROR(MATCH(S226,新年度名簿!$H$2:$H$451,0),""))</f>
        <v/>
      </c>
      <c r="U226" s="8">
        <f>IF(OR(L226="",M226="転出"),"",IFERROR(MATCH(L226,設定!$P$8:$P$27,0),""))</f>
        <v/>
      </c>
      <c r="V226" s="8">
        <f>IF(U226="","",COUNTIF($U$7:U226,U226))</f>
        <v/>
      </c>
      <c r="W226" s="8">
        <f>IF(U226="","",U226*1000+V226)</f>
        <v/>
      </c>
    </row>
    <row r="227">
      <c r="A227" s="44">
        <f>IF(P227="","",INDEX(前年度名簿!$H$2:$H$451,P227))</f>
        <v/>
      </c>
      <c r="B227" s="44">
        <f>IF(P227="","",IFERROR(INDEX(設定!$G$8:$G$31,INT(INDEX(前年度名簿!$G$2:$G$451,P227)/1000)),INDEX(前年度名簿!$A$2:$A$451,P227)&amp;INDEX(前年度名簿!$B$2:$B$451,P227)))</f>
        <v/>
      </c>
      <c r="C227" s="44">
        <f>IF(P227="","",INDEX(前年度名簿!$C$2:$C$451,P227))</f>
        <v/>
      </c>
      <c r="D227" s="3">
        <f>IF(P227="","",INDEX(前年度名簿!$D$2:$D$451,P227))</f>
        <v/>
      </c>
      <c r="E227" s="44">
        <f>IF(T227="","",INDEX(新年度名簿!$K$2:$K$451,T227))</f>
        <v/>
      </c>
      <c r="F227" s="44">
        <f>IF(T227="","",INDEX(新年度名簿!$C$2:$C$451,T227))</f>
        <v/>
      </c>
      <c r="G227" s="44">
        <f>IF(Q227="","",INDEX(希望入力!$H$2:$H$551,Q227)&amp;"")</f>
        <v/>
      </c>
      <c r="H227" s="44">
        <f>IF(Q227="","",INDEX(希望入力!$I$2:$I$551,Q227)&amp;"")</f>
        <v/>
      </c>
      <c r="I227" s="44">
        <f>IF(Q227="","",INDEX(希望入力!$J$2:$J$551,Q227)&amp;"")</f>
        <v/>
      </c>
      <c r="J227" s="44">
        <f>IF(Q227="","",IF(G227="","要調整",IFERROR(IF(IF(OR(設定!$C$14="〇",設定!$C$14="○"),COUNTIFS($A$7:$A$456,"&gt;="&amp;A227,$G$7:$G$456,G227),COUNTIF($G$7:$G$456,G227))&lt;=(INDEX(設定!$Q$8:$Q$27,MATCH(G227,設定!$P$8:$P$27,0))+N(INDEX(設定!$R$8:$R$27,MATCH(G227,設定!$P$8:$P$27,0)))),G227,"要調整"),"要調整")))</f>
        <v/>
      </c>
      <c r="K227" s="40" t="n"/>
      <c r="L227" s="52">
        <f>IF(P227="","",IF(K227&lt;&gt;"",K227,IF(OR(J227="",J227="要調整"),"",J227)))</f>
        <v/>
      </c>
      <c r="M227" s="44">
        <f>IF(P227="","",IF(AND(計算用!$B$1=1,T227=""),"転出",IF(L227&lt;&gt;"","決定",IF(Q227="","未提出","要調整"))))</f>
        <v/>
      </c>
      <c r="N227" s="44">
        <f>IF(OR(M227&lt;&gt;"要調整",H227=""),"",IFERROR((INDEX(設定!$Q$8:$Q$27,MATCH(H227,設定!$P$8:$P$27,0))+N(INDEX(設定!$R$8:$R$27,MATCH(H227,設定!$P$8:$P$27,0))))-INDEX(定員チェック!$F$7:$F$26,MATCH(H227,設定!$P$8:$P$27,0))-COUNTIFS($M$7:$M$456,"要調整",$G$7:$G$456,H227),""))</f>
        <v/>
      </c>
      <c r="O227" s="44">
        <f>IF(OR(M227&lt;&gt;"要調整",I227=""),"",IFERROR((INDEX(設定!$Q$8:$Q$27,MATCH(I227,設定!$P$8:$P$27,0))+N(INDEX(設定!$R$8:$R$27,MATCH(I227,設定!$P$8:$P$27,0))))-INDEX(定員チェック!$F$7:$F$26,MATCH(I227,設定!$P$8:$P$27,0))-COUNTIFS($M$7:$M$456,"要調整",$G$7:$G$456,I227),""))</f>
        <v/>
      </c>
      <c r="P227" s="8">
        <f>IFERROR(MATCH(SMALL(前年度名簿!$G$2:$G$451,221),前年度名簿!$G$2:$G$451,0),"")</f>
        <v/>
      </c>
      <c r="Q227" s="8">
        <f>IF(R227="","",IFERROR(MATCH(R227,希望入力!$M$2:$M$551,0),""))</f>
        <v/>
      </c>
      <c r="R227" s="8">
        <f>IF(P227="","",INDEX(前年度名簿!$F$2:$F$451,P227))</f>
        <v/>
      </c>
      <c r="S227" s="8">
        <f>IF(P227="","",INDEX(前年度名簿!$I$2:$I$451,P227))</f>
        <v/>
      </c>
      <c r="T227" s="8">
        <f>IF(OR(P227="",計算用!$B$1=0),"",IFERROR(MATCH(S227,新年度名簿!$H$2:$H$451,0),""))</f>
        <v/>
      </c>
      <c r="U227" s="8">
        <f>IF(OR(L227="",M227="転出"),"",IFERROR(MATCH(L227,設定!$P$8:$P$27,0),""))</f>
        <v/>
      </c>
      <c r="V227" s="8">
        <f>IF(U227="","",COUNTIF($U$7:U227,U227))</f>
        <v/>
      </c>
      <c r="W227" s="8">
        <f>IF(U227="","",U227*1000+V227)</f>
        <v/>
      </c>
    </row>
    <row r="228">
      <c r="A228" s="44">
        <f>IF(P228="","",INDEX(前年度名簿!$H$2:$H$451,P228))</f>
        <v/>
      </c>
      <c r="B228" s="44">
        <f>IF(P228="","",IFERROR(INDEX(設定!$G$8:$G$31,INT(INDEX(前年度名簿!$G$2:$G$451,P228)/1000)),INDEX(前年度名簿!$A$2:$A$451,P228)&amp;INDEX(前年度名簿!$B$2:$B$451,P228)))</f>
        <v/>
      </c>
      <c r="C228" s="44">
        <f>IF(P228="","",INDEX(前年度名簿!$C$2:$C$451,P228))</f>
        <v/>
      </c>
      <c r="D228" s="3">
        <f>IF(P228="","",INDEX(前年度名簿!$D$2:$D$451,P228))</f>
        <v/>
      </c>
      <c r="E228" s="44">
        <f>IF(T228="","",INDEX(新年度名簿!$K$2:$K$451,T228))</f>
        <v/>
      </c>
      <c r="F228" s="44">
        <f>IF(T228="","",INDEX(新年度名簿!$C$2:$C$451,T228))</f>
        <v/>
      </c>
      <c r="G228" s="44">
        <f>IF(Q228="","",INDEX(希望入力!$H$2:$H$551,Q228)&amp;"")</f>
        <v/>
      </c>
      <c r="H228" s="44">
        <f>IF(Q228="","",INDEX(希望入力!$I$2:$I$551,Q228)&amp;"")</f>
        <v/>
      </c>
      <c r="I228" s="44">
        <f>IF(Q228="","",INDEX(希望入力!$J$2:$J$551,Q228)&amp;"")</f>
        <v/>
      </c>
      <c r="J228" s="44">
        <f>IF(Q228="","",IF(G228="","要調整",IFERROR(IF(IF(OR(設定!$C$14="〇",設定!$C$14="○"),COUNTIFS($A$7:$A$456,"&gt;="&amp;A228,$G$7:$G$456,G228),COUNTIF($G$7:$G$456,G228))&lt;=(INDEX(設定!$Q$8:$Q$27,MATCH(G228,設定!$P$8:$P$27,0))+N(INDEX(設定!$R$8:$R$27,MATCH(G228,設定!$P$8:$P$27,0)))),G228,"要調整"),"要調整")))</f>
        <v/>
      </c>
      <c r="K228" s="40" t="n"/>
      <c r="L228" s="52">
        <f>IF(P228="","",IF(K228&lt;&gt;"",K228,IF(OR(J228="",J228="要調整"),"",J228)))</f>
        <v/>
      </c>
      <c r="M228" s="44">
        <f>IF(P228="","",IF(AND(計算用!$B$1=1,T228=""),"転出",IF(L228&lt;&gt;"","決定",IF(Q228="","未提出","要調整"))))</f>
        <v/>
      </c>
      <c r="N228" s="44">
        <f>IF(OR(M228&lt;&gt;"要調整",H228=""),"",IFERROR((INDEX(設定!$Q$8:$Q$27,MATCH(H228,設定!$P$8:$P$27,0))+N(INDEX(設定!$R$8:$R$27,MATCH(H228,設定!$P$8:$P$27,0))))-INDEX(定員チェック!$F$7:$F$26,MATCH(H228,設定!$P$8:$P$27,0))-COUNTIFS($M$7:$M$456,"要調整",$G$7:$G$456,H228),""))</f>
        <v/>
      </c>
      <c r="O228" s="44">
        <f>IF(OR(M228&lt;&gt;"要調整",I228=""),"",IFERROR((INDEX(設定!$Q$8:$Q$27,MATCH(I228,設定!$P$8:$P$27,0))+N(INDEX(設定!$R$8:$R$27,MATCH(I228,設定!$P$8:$P$27,0))))-INDEX(定員チェック!$F$7:$F$26,MATCH(I228,設定!$P$8:$P$27,0))-COUNTIFS($M$7:$M$456,"要調整",$G$7:$G$456,I228),""))</f>
        <v/>
      </c>
      <c r="P228" s="8">
        <f>IFERROR(MATCH(SMALL(前年度名簿!$G$2:$G$451,222),前年度名簿!$G$2:$G$451,0),"")</f>
        <v/>
      </c>
      <c r="Q228" s="8">
        <f>IF(R228="","",IFERROR(MATCH(R228,希望入力!$M$2:$M$551,0),""))</f>
        <v/>
      </c>
      <c r="R228" s="8">
        <f>IF(P228="","",INDEX(前年度名簿!$F$2:$F$451,P228))</f>
        <v/>
      </c>
      <c r="S228" s="8">
        <f>IF(P228="","",INDEX(前年度名簿!$I$2:$I$451,P228))</f>
        <v/>
      </c>
      <c r="T228" s="8">
        <f>IF(OR(P228="",計算用!$B$1=0),"",IFERROR(MATCH(S228,新年度名簿!$H$2:$H$451,0),""))</f>
        <v/>
      </c>
      <c r="U228" s="8">
        <f>IF(OR(L228="",M228="転出"),"",IFERROR(MATCH(L228,設定!$P$8:$P$27,0),""))</f>
        <v/>
      </c>
      <c r="V228" s="8">
        <f>IF(U228="","",COUNTIF($U$7:U228,U228))</f>
        <v/>
      </c>
      <c r="W228" s="8">
        <f>IF(U228="","",U228*1000+V228)</f>
        <v/>
      </c>
    </row>
    <row r="229">
      <c r="A229" s="44">
        <f>IF(P229="","",INDEX(前年度名簿!$H$2:$H$451,P229))</f>
        <v/>
      </c>
      <c r="B229" s="44">
        <f>IF(P229="","",IFERROR(INDEX(設定!$G$8:$G$31,INT(INDEX(前年度名簿!$G$2:$G$451,P229)/1000)),INDEX(前年度名簿!$A$2:$A$451,P229)&amp;INDEX(前年度名簿!$B$2:$B$451,P229)))</f>
        <v/>
      </c>
      <c r="C229" s="44">
        <f>IF(P229="","",INDEX(前年度名簿!$C$2:$C$451,P229))</f>
        <v/>
      </c>
      <c r="D229" s="3">
        <f>IF(P229="","",INDEX(前年度名簿!$D$2:$D$451,P229))</f>
        <v/>
      </c>
      <c r="E229" s="44">
        <f>IF(T229="","",INDEX(新年度名簿!$K$2:$K$451,T229))</f>
        <v/>
      </c>
      <c r="F229" s="44">
        <f>IF(T229="","",INDEX(新年度名簿!$C$2:$C$451,T229))</f>
        <v/>
      </c>
      <c r="G229" s="44">
        <f>IF(Q229="","",INDEX(希望入力!$H$2:$H$551,Q229)&amp;"")</f>
        <v/>
      </c>
      <c r="H229" s="44">
        <f>IF(Q229="","",INDEX(希望入力!$I$2:$I$551,Q229)&amp;"")</f>
        <v/>
      </c>
      <c r="I229" s="44">
        <f>IF(Q229="","",INDEX(希望入力!$J$2:$J$551,Q229)&amp;"")</f>
        <v/>
      </c>
      <c r="J229" s="44">
        <f>IF(Q229="","",IF(G229="","要調整",IFERROR(IF(IF(OR(設定!$C$14="〇",設定!$C$14="○"),COUNTIFS($A$7:$A$456,"&gt;="&amp;A229,$G$7:$G$456,G229),COUNTIF($G$7:$G$456,G229))&lt;=(INDEX(設定!$Q$8:$Q$27,MATCH(G229,設定!$P$8:$P$27,0))+N(INDEX(設定!$R$8:$R$27,MATCH(G229,設定!$P$8:$P$27,0)))),G229,"要調整"),"要調整")))</f>
        <v/>
      </c>
      <c r="K229" s="40" t="n"/>
      <c r="L229" s="52">
        <f>IF(P229="","",IF(K229&lt;&gt;"",K229,IF(OR(J229="",J229="要調整"),"",J229)))</f>
        <v/>
      </c>
      <c r="M229" s="44">
        <f>IF(P229="","",IF(AND(計算用!$B$1=1,T229=""),"転出",IF(L229&lt;&gt;"","決定",IF(Q229="","未提出","要調整"))))</f>
        <v/>
      </c>
      <c r="N229" s="44">
        <f>IF(OR(M229&lt;&gt;"要調整",H229=""),"",IFERROR((INDEX(設定!$Q$8:$Q$27,MATCH(H229,設定!$P$8:$P$27,0))+N(INDEX(設定!$R$8:$R$27,MATCH(H229,設定!$P$8:$P$27,0))))-INDEX(定員チェック!$F$7:$F$26,MATCH(H229,設定!$P$8:$P$27,0))-COUNTIFS($M$7:$M$456,"要調整",$G$7:$G$456,H229),""))</f>
        <v/>
      </c>
      <c r="O229" s="44">
        <f>IF(OR(M229&lt;&gt;"要調整",I229=""),"",IFERROR((INDEX(設定!$Q$8:$Q$27,MATCH(I229,設定!$P$8:$P$27,0))+N(INDEX(設定!$R$8:$R$27,MATCH(I229,設定!$P$8:$P$27,0))))-INDEX(定員チェック!$F$7:$F$26,MATCH(I229,設定!$P$8:$P$27,0))-COUNTIFS($M$7:$M$456,"要調整",$G$7:$G$456,I229),""))</f>
        <v/>
      </c>
      <c r="P229" s="8">
        <f>IFERROR(MATCH(SMALL(前年度名簿!$G$2:$G$451,223),前年度名簿!$G$2:$G$451,0),"")</f>
        <v/>
      </c>
      <c r="Q229" s="8">
        <f>IF(R229="","",IFERROR(MATCH(R229,希望入力!$M$2:$M$551,0),""))</f>
        <v/>
      </c>
      <c r="R229" s="8">
        <f>IF(P229="","",INDEX(前年度名簿!$F$2:$F$451,P229))</f>
        <v/>
      </c>
      <c r="S229" s="8">
        <f>IF(P229="","",INDEX(前年度名簿!$I$2:$I$451,P229))</f>
        <v/>
      </c>
      <c r="T229" s="8">
        <f>IF(OR(P229="",計算用!$B$1=0),"",IFERROR(MATCH(S229,新年度名簿!$H$2:$H$451,0),""))</f>
        <v/>
      </c>
      <c r="U229" s="8">
        <f>IF(OR(L229="",M229="転出"),"",IFERROR(MATCH(L229,設定!$P$8:$P$27,0),""))</f>
        <v/>
      </c>
      <c r="V229" s="8">
        <f>IF(U229="","",COUNTIF($U$7:U229,U229))</f>
        <v/>
      </c>
      <c r="W229" s="8">
        <f>IF(U229="","",U229*1000+V229)</f>
        <v/>
      </c>
    </row>
    <row r="230">
      <c r="A230" s="44">
        <f>IF(P230="","",INDEX(前年度名簿!$H$2:$H$451,P230))</f>
        <v/>
      </c>
      <c r="B230" s="44">
        <f>IF(P230="","",IFERROR(INDEX(設定!$G$8:$G$31,INT(INDEX(前年度名簿!$G$2:$G$451,P230)/1000)),INDEX(前年度名簿!$A$2:$A$451,P230)&amp;INDEX(前年度名簿!$B$2:$B$451,P230)))</f>
        <v/>
      </c>
      <c r="C230" s="44">
        <f>IF(P230="","",INDEX(前年度名簿!$C$2:$C$451,P230))</f>
        <v/>
      </c>
      <c r="D230" s="3">
        <f>IF(P230="","",INDEX(前年度名簿!$D$2:$D$451,P230))</f>
        <v/>
      </c>
      <c r="E230" s="44">
        <f>IF(T230="","",INDEX(新年度名簿!$K$2:$K$451,T230))</f>
        <v/>
      </c>
      <c r="F230" s="44">
        <f>IF(T230="","",INDEX(新年度名簿!$C$2:$C$451,T230))</f>
        <v/>
      </c>
      <c r="G230" s="44">
        <f>IF(Q230="","",INDEX(希望入力!$H$2:$H$551,Q230)&amp;"")</f>
        <v/>
      </c>
      <c r="H230" s="44">
        <f>IF(Q230="","",INDEX(希望入力!$I$2:$I$551,Q230)&amp;"")</f>
        <v/>
      </c>
      <c r="I230" s="44">
        <f>IF(Q230="","",INDEX(希望入力!$J$2:$J$551,Q230)&amp;"")</f>
        <v/>
      </c>
      <c r="J230" s="44">
        <f>IF(Q230="","",IF(G230="","要調整",IFERROR(IF(IF(OR(設定!$C$14="〇",設定!$C$14="○"),COUNTIFS($A$7:$A$456,"&gt;="&amp;A230,$G$7:$G$456,G230),COUNTIF($G$7:$G$456,G230))&lt;=(INDEX(設定!$Q$8:$Q$27,MATCH(G230,設定!$P$8:$P$27,0))+N(INDEX(設定!$R$8:$R$27,MATCH(G230,設定!$P$8:$P$27,0)))),G230,"要調整"),"要調整")))</f>
        <v/>
      </c>
      <c r="K230" s="40" t="n"/>
      <c r="L230" s="52">
        <f>IF(P230="","",IF(K230&lt;&gt;"",K230,IF(OR(J230="",J230="要調整"),"",J230)))</f>
        <v/>
      </c>
      <c r="M230" s="44">
        <f>IF(P230="","",IF(AND(計算用!$B$1=1,T230=""),"転出",IF(L230&lt;&gt;"","決定",IF(Q230="","未提出","要調整"))))</f>
        <v/>
      </c>
      <c r="N230" s="44">
        <f>IF(OR(M230&lt;&gt;"要調整",H230=""),"",IFERROR((INDEX(設定!$Q$8:$Q$27,MATCH(H230,設定!$P$8:$P$27,0))+N(INDEX(設定!$R$8:$R$27,MATCH(H230,設定!$P$8:$P$27,0))))-INDEX(定員チェック!$F$7:$F$26,MATCH(H230,設定!$P$8:$P$27,0))-COUNTIFS($M$7:$M$456,"要調整",$G$7:$G$456,H230),""))</f>
        <v/>
      </c>
      <c r="O230" s="44">
        <f>IF(OR(M230&lt;&gt;"要調整",I230=""),"",IFERROR((INDEX(設定!$Q$8:$Q$27,MATCH(I230,設定!$P$8:$P$27,0))+N(INDEX(設定!$R$8:$R$27,MATCH(I230,設定!$P$8:$P$27,0))))-INDEX(定員チェック!$F$7:$F$26,MATCH(I230,設定!$P$8:$P$27,0))-COUNTIFS($M$7:$M$456,"要調整",$G$7:$G$456,I230),""))</f>
        <v/>
      </c>
      <c r="P230" s="8">
        <f>IFERROR(MATCH(SMALL(前年度名簿!$G$2:$G$451,224),前年度名簿!$G$2:$G$451,0),"")</f>
        <v/>
      </c>
      <c r="Q230" s="8">
        <f>IF(R230="","",IFERROR(MATCH(R230,希望入力!$M$2:$M$551,0),""))</f>
        <v/>
      </c>
      <c r="R230" s="8">
        <f>IF(P230="","",INDEX(前年度名簿!$F$2:$F$451,P230))</f>
        <v/>
      </c>
      <c r="S230" s="8">
        <f>IF(P230="","",INDEX(前年度名簿!$I$2:$I$451,P230))</f>
        <v/>
      </c>
      <c r="T230" s="8">
        <f>IF(OR(P230="",計算用!$B$1=0),"",IFERROR(MATCH(S230,新年度名簿!$H$2:$H$451,0),""))</f>
        <v/>
      </c>
      <c r="U230" s="8">
        <f>IF(OR(L230="",M230="転出"),"",IFERROR(MATCH(L230,設定!$P$8:$P$27,0),""))</f>
        <v/>
      </c>
      <c r="V230" s="8">
        <f>IF(U230="","",COUNTIF($U$7:U230,U230))</f>
        <v/>
      </c>
      <c r="W230" s="8">
        <f>IF(U230="","",U230*1000+V230)</f>
        <v/>
      </c>
    </row>
    <row r="231">
      <c r="A231" s="44">
        <f>IF(P231="","",INDEX(前年度名簿!$H$2:$H$451,P231))</f>
        <v/>
      </c>
      <c r="B231" s="44">
        <f>IF(P231="","",IFERROR(INDEX(設定!$G$8:$G$31,INT(INDEX(前年度名簿!$G$2:$G$451,P231)/1000)),INDEX(前年度名簿!$A$2:$A$451,P231)&amp;INDEX(前年度名簿!$B$2:$B$451,P231)))</f>
        <v/>
      </c>
      <c r="C231" s="44">
        <f>IF(P231="","",INDEX(前年度名簿!$C$2:$C$451,P231))</f>
        <v/>
      </c>
      <c r="D231" s="3">
        <f>IF(P231="","",INDEX(前年度名簿!$D$2:$D$451,P231))</f>
        <v/>
      </c>
      <c r="E231" s="44">
        <f>IF(T231="","",INDEX(新年度名簿!$K$2:$K$451,T231))</f>
        <v/>
      </c>
      <c r="F231" s="44">
        <f>IF(T231="","",INDEX(新年度名簿!$C$2:$C$451,T231))</f>
        <v/>
      </c>
      <c r="G231" s="44">
        <f>IF(Q231="","",INDEX(希望入力!$H$2:$H$551,Q231)&amp;"")</f>
        <v/>
      </c>
      <c r="H231" s="44">
        <f>IF(Q231="","",INDEX(希望入力!$I$2:$I$551,Q231)&amp;"")</f>
        <v/>
      </c>
      <c r="I231" s="44">
        <f>IF(Q231="","",INDEX(希望入力!$J$2:$J$551,Q231)&amp;"")</f>
        <v/>
      </c>
      <c r="J231" s="44">
        <f>IF(Q231="","",IF(G231="","要調整",IFERROR(IF(IF(OR(設定!$C$14="〇",設定!$C$14="○"),COUNTIFS($A$7:$A$456,"&gt;="&amp;A231,$G$7:$G$456,G231),COUNTIF($G$7:$G$456,G231))&lt;=(INDEX(設定!$Q$8:$Q$27,MATCH(G231,設定!$P$8:$P$27,0))+N(INDEX(設定!$R$8:$R$27,MATCH(G231,設定!$P$8:$P$27,0)))),G231,"要調整"),"要調整")))</f>
        <v/>
      </c>
      <c r="K231" s="40" t="n"/>
      <c r="L231" s="52">
        <f>IF(P231="","",IF(K231&lt;&gt;"",K231,IF(OR(J231="",J231="要調整"),"",J231)))</f>
        <v/>
      </c>
      <c r="M231" s="44">
        <f>IF(P231="","",IF(AND(計算用!$B$1=1,T231=""),"転出",IF(L231&lt;&gt;"","決定",IF(Q231="","未提出","要調整"))))</f>
        <v/>
      </c>
      <c r="N231" s="44">
        <f>IF(OR(M231&lt;&gt;"要調整",H231=""),"",IFERROR((INDEX(設定!$Q$8:$Q$27,MATCH(H231,設定!$P$8:$P$27,0))+N(INDEX(設定!$R$8:$R$27,MATCH(H231,設定!$P$8:$P$27,0))))-INDEX(定員チェック!$F$7:$F$26,MATCH(H231,設定!$P$8:$P$27,0))-COUNTIFS($M$7:$M$456,"要調整",$G$7:$G$456,H231),""))</f>
        <v/>
      </c>
      <c r="O231" s="44">
        <f>IF(OR(M231&lt;&gt;"要調整",I231=""),"",IFERROR((INDEX(設定!$Q$8:$Q$27,MATCH(I231,設定!$P$8:$P$27,0))+N(INDEX(設定!$R$8:$R$27,MATCH(I231,設定!$P$8:$P$27,0))))-INDEX(定員チェック!$F$7:$F$26,MATCH(I231,設定!$P$8:$P$27,0))-COUNTIFS($M$7:$M$456,"要調整",$G$7:$G$456,I231),""))</f>
        <v/>
      </c>
      <c r="P231" s="8">
        <f>IFERROR(MATCH(SMALL(前年度名簿!$G$2:$G$451,225),前年度名簿!$G$2:$G$451,0),"")</f>
        <v/>
      </c>
      <c r="Q231" s="8">
        <f>IF(R231="","",IFERROR(MATCH(R231,希望入力!$M$2:$M$551,0),""))</f>
        <v/>
      </c>
      <c r="R231" s="8">
        <f>IF(P231="","",INDEX(前年度名簿!$F$2:$F$451,P231))</f>
        <v/>
      </c>
      <c r="S231" s="8">
        <f>IF(P231="","",INDEX(前年度名簿!$I$2:$I$451,P231))</f>
        <v/>
      </c>
      <c r="T231" s="8">
        <f>IF(OR(P231="",計算用!$B$1=0),"",IFERROR(MATCH(S231,新年度名簿!$H$2:$H$451,0),""))</f>
        <v/>
      </c>
      <c r="U231" s="8">
        <f>IF(OR(L231="",M231="転出"),"",IFERROR(MATCH(L231,設定!$P$8:$P$27,0),""))</f>
        <v/>
      </c>
      <c r="V231" s="8">
        <f>IF(U231="","",COUNTIF($U$7:U231,U231))</f>
        <v/>
      </c>
      <c r="W231" s="8">
        <f>IF(U231="","",U231*1000+V231)</f>
        <v/>
      </c>
    </row>
    <row r="232">
      <c r="A232" s="44">
        <f>IF(P232="","",INDEX(前年度名簿!$H$2:$H$451,P232))</f>
        <v/>
      </c>
      <c r="B232" s="44">
        <f>IF(P232="","",IFERROR(INDEX(設定!$G$8:$G$31,INT(INDEX(前年度名簿!$G$2:$G$451,P232)/1000)),INDEX(前年度名簿!$A$2:$A$451,P232)&amp;INDEX(前年度名簿!$B$2:$B$451,P232)))</f>
        <v/>
      </c>
      <c r="C232" s="44">
        <f>IF(P232="","",INDEX(前年度名簿!$C$2:$C$451,P232))</f>
        <v/>
      </c>
      <c r="D232" s="3">
        <f>IF(P232="","",INDEX(前年度名簿!$D$2:$D$451,P232))</f>
        <v/>
      </c>
      <c r="E232" s="44">
        <f>IF(T232="","",INDEX(新年度名簿!$K$2:$K$451,T232))</f>
        <v/>
      </c>
      <c r="F232" s="44">
        <f>IF(T232="","",INDEX(新年度名簿!$C$2:$C$451,T232))</f>
        <v/>
      </c>
      <c r="G232" s="44">
        <f>IF(Q232="","",INDEX(希望入力!$H$2:$H$551,Q232)&amp;"")</f>
        <v/>
      </c>
      <c r="H232" s="44">
        <f>IF(Q232="","",INDEX(希望入力!$I$2:$I$551,Q232)&amp;"")</f>
        <v/>
      </c>
      <c r="I232" s="44">
        <f>IF(Q232="","",INDEX(希望入力!$J$2:$J$551,Q232)&amp;"")</f>
        <v/>
      </c>
      <c r="J232" s="44">
        <f>IF(Q232="","",IF(G232="","要調整",IFERROR(IF(IF(OR(設定!$C$14="〇",設定!$C$14="○"),COUNTIFS($A$7:$A$456,"&gt;="&amp;A232,$G$7:$G$456,G232),COUNTIF($G$7:$G$456,G232))&lt;=(INDEX(設定!$Q$8:$Q$27,MATCH(G232,設定!$P$8:$P$27,0))+N(INDEX(設定!$R$8:$R$27,MATCH(G232,設定!$P$8:$P$27,0)))),G232,"要調整"),"要調整")))</f>
        <v/>
      </c>
      <c r="K232" s="40" t="n"/>
      <c r="L232" s="52">
        <f>IF(P232="","",IF(K232&lt;&gt;"",K232,IF(OR(J232="",J232="要調整"),"",J232)))</f>
        <v/>
      </c>
      <c r="M232" s="44">
        <f>IF(P232="","",IF(AND(計算用!$B$1=1,T232=""),"転出",IF(L232&lt;&gt;"","決定",IF(Q232="","未提出","要調整"))))</f>
        <v/>
      </c>
      <c r="N232" s="44">
        <f>IF(OR(M232&lt;&gt;"要調整",H232=""),"",IFERROR((INDEX(設定!$Q$8:$Q$27,MATCH(H232,設定!$P$8:$P$27,0))+N(INDEX(設定!$R$8:$R$27,MATCH(H232,設定!$P$8:$P$27,0))))-INDEX(定員チェック!$F$7:$F$26,MATCH(H232,設定!$P$8:$P$27,0))-COUNTIFS($M$7:$M$456,"要調整",$G$7:$G$456,H232),""))</f>
        <v/>
      </c>
      <c r="O232" s="44">
        <f>IF(OR(M232&lt;&gt;"要調整",I232=""),"",IFERROR((INDEX(設定!$Q$8:$Q$27,MATCH(I232,設定!$P$8:$P$27,0))+N(INDEX(設定!$R$8:$R$27,MATCH(I232,設定!$P$8:$P$27,0))))-INDEX(定員チェック!$F$7:$F$26,MATCH(I232,設定!$P$8:$P$27,0))-COUNTIFS($M$7:$M$456,"要調整",$G$7:$G$456,I232),""))</f>
        <v/>
      </c>
      <c r="P232" s="8">
        <f>IFERROR(MATCH(SMALL(前年度名簿!$G$2:$G$451,226),前年度名簿!$G$2:$G$451,0),"")</f>
        <v/>
      </c>
      <c r="Q232" s="8">
        <f>IF(R232="","",IFERROR(MATCH(R232,希望入力!$M$2:$M$551,0),""))</f>
        <v/>
      </c>
      <c r="R232" s="8">
        <f>IF(P232="","",INDEX(前年度名簿!$F$2:$F$451,P232))</f>
        <v/>
      </c>
      <c r="S232" s="8">
        <f>IF(P232="","",INDEX(前年度名簿!$I$2:$I$451,P232))</f>
        <v/>
      </c>
      <c r="T232" s="8">
        <f>IF(OR(P232="",計算用!$B$1=0),"",IFERROR(MATCH(S232,新年度名簿!$H$2:$H$451,0),""))</f>
        <v/>
      </c>
      <c r="U232" s="8">
        <f>IF(OR(L232="",M232="転出"),"",IFERROR(MATCH(L232,設定!$P$8:$P$27,0),""))</f>
        <v/>
      </c>
      <c r="V232" s="8">
        <f>IF(U232="","",COUNTIF($U$7:U232,U232))</f>
        <v/>
      </c>
      <c r="W232" s="8">
        <f>IF(U232="","",U232*1000+V232)</f>
        <v/>
      </c>
    </row>
    <row r="233">
      <c r="A233" s="44">
        <f>IF(P233="","",INDEX(前年度名簿!$H$2:$H$451,P233))</f>
        <v/>
      </c>
      <c r="B233" s="44">
        <f>IF(P233="","",IFERROR(INDEX(設定!$G$8:$G$31,INT(INDEX(前年度名簿!$G$2:$G$451,P233)/1000)),INDEX(前年度名簿!$A$2:$A$451,P233)&amp;INDEX(前年度名簿!$B$2:$B$451,P233)))</f>
        <v/>
      </c>
      <c r="C233" s="44">
        <f>IF(P233="","",INDEX(前年度名簿!$C$2:$C$451,P233))</f>
        <v/>
      </c>
      <c r="D233" s="3">
        <f>IF(P233="","",INDEX(前年度名簿!$D$2:$D$451,P233))</f>
        <v/>
      </c>
      <c r="E233" s="44">
        <f>IF(T233="","",INDEX(新年度名簿!$K$2:$K$451,T233))</f>
        <v/>
      </c>
      <c r="F233" s="44">
        <f>IF(T233="","",INDEX(新年度名簿!$C$2:$C$451,T233))</f>
        <v/>
      </c>
      <c r="G233" s="44">
        <f>IF(Q233="","",INDEX(希望入力!$H$2:$H$551,Q233)&amp;"")</f>
        <v/>
      </c>
      <c r="H233" s="44">
        <f>IF(Q233="","",INDEX(希望入力!$I$2:$I$551,Q233)&amp;"")</f>
        <v/>
      </c>
      <c r="I233" s="44">
        <f>IF(Q233="","",INDEX(希望入力!$J$2:$J$551,Q233)&amp;"")</f>
        <v/>
      </c>
      <c r="J233" s="44">
        <f>IF(Q233="","",IF(G233="","要調整",IFERROR(IF(IF(OR(設定!$C$14="〇",設定!$C$14="○"),COUNTIFS($A$7:$A$456,"&gt;="&amp;A233,$G$7:$G$456,G233),COUNTIF($G$7:$G$456,G233))&lt;=(INDEX(設定!$Q$8:$Q$27,MATCH(G233,設定!$P$8:$P$27,0))+N(INDEX(設定!$R$8:$R$27,MATCH(G233,設定!$P$8:$P$27,0)))),G233,"要調整"),"要調整")))</f>
        <v/>
      </c>
      <c r="K233" s="40" t="n"/>
      <c r="L233" s="52">
        <f>IF(P233="","",IF(K233&lt;&gt;"",K233,IF(OR(J233="",J233="要調整"),"",J233)))</f>
        <v/>
      </c>
      <c r="M233" s="44">
        <f>IF(P233="","",IF(AND(計算用!$B$1=1,T233=""),"転出",IF(L233&lt;&gt;"","決定",IF(Q233="","未提出","要調整"))))</f>
        <v/>
      </c>
      <c r="N233" s="44">
        <f>IF(OR(M233&lt;&gt;"要調整",H233=""),"",IFERROR((INDEX(設定!$Q$8:$Q$27,MATCH(H233,設定!$P$8:$P$27,0))+N(INDEX(設定!$R$8:$R$27,MATCH(H233,設定!$P$8:$P$27,0))))-INDEX(定員チェック!$F$7:$F$26,MATCH(H233,設定!$P$8:$P$27,0))-COUNTIFS($M$7:$M$456,"要調整",$G$7:$G$456,H233),""))</f>
        <v/>
      </c>
      <c r="O233" s="44">
        <f>IF(OR(M233&lt;&gt;"要調整",I233=""),"",IFERROR((INDEX(設定!$Q$8:$Q$27,MATCH(I233,設定!$P$8:$P$27,0))+N(INDEX(設定!$R$8:$R$27,MATCH(I233,設定!$P$8:$P$27,0))))-INDEX(定員チェック!$F$7:$F$26,MATCH(I233,設定!$P$8:$P$27,0))-COUNTIFS($M$7:$M$456,"要調整",$G$7:$G$456,I233),""))</f>
        <v/>
      </c>
      <c r="P233" s="8">
        <f>IFERROR(MATCH(SMALL(前年度名簿!$G$2:$G$451,227),前年度名簿!$G$2:$G$451,0),"")</f>
        <v/>
      </c>
      <c r="Q233" s="8">
        <f>IF(R233="","",IFERROR(MATCH(R233,希望入力!$M$2:$M$551,0),""))</f>
        <v/>
      </c>
      <c r="R233" s="8">
        <f>IF(P233="","",INDEX(前年度名簿!$F$2:$F$451,P233))</f>
        <v/>
      </c>
      <c r="S233" s="8">
        <f>IF(P233="","",INDEX(前年度名簿!$I$2:$I$451,P233))</f>
        <v/>
      </c>
      <c r="T233" s="8">
        <f>IF(OR(P233="",計算用!$B$1=0),"",IFERROR(MATCH(S233,新年度名簿!$H$2:$H$451,0),""))</f>
        <v/>
      </c>
      <c r="U233" s="8">
        <f>IF(OR(L233="",M233="転出"),"",IFERROR(MATCH(L233,設定!$P$8:$P$27,0),""))</f>
        <v/>
      </c>
      <c r="V233" s="8">
        <f>IF(U233="","",COUNTIF($U$7:U233,U233))</f>
        <v/>
      </c>
      <c r="W233" s="8">
        <f>IF(U233="","",U233*1000+V233)</f>
        <v/>
      </c>
    </row>
    <row r="234">
      <c r="A234" s="44">
        <f>IF(P234="","",INDEX(前年度名簿!$H$2:$H$451,P234))</f>
        <v/>
      </c>
      <c r="B234" s="44">
        <f>IF(P234="","",IFERROR(INDEX(設定!$G$8:$G$31,INT(INDEX(前年度名簿!$G$2:$G$451,P234)/1000)),INDEX(前年度名簿!$A$2:$A$451,P234)&amp;INDEX(前年度名簿!$B$2:$B$451,P234)))</f>
        <v/>
      </c>
      <c r="C234" s="44">
        <f>IF(P234="","",INDEX(前年度名簿!$C$2:$C$451,P234))</f>
        <v/>
      </c>
      <c r="D234" s="3">
        <f>IF(P234="","",INDEX(前年度名簿!$D$2:$D$451,P234))</f>
        <v/>
      </c>
      <c r="E234" s="44">
        <f>IF(T234="","",INDEX(新年度名簿!$K$2:$K$451,T234))</f>
        <v/>
      </c>
      <c r="F234" s="44">
        <f>IF(T234="","",INDEX(新年度名簿!$C$2:$C$451,T234))</f>
        <v/>
      </c>
      <c r="G234" s="44">
        <f>IF(Q234="","",INDEX(希望入力!$H$2:$H$551,Q234)&amp;"")</f>
        <v/>
      </c>
      <c r="H234" s="44">
        <f>IF(Q234="","",INDEX(希望入力!$I$2:$I$551,Q234)&amp;"")</f>
        <v/>
      </c>
      <c r="I234" s="44">
        <f>IF(Q234="","",INDEX(希望入力!$J$2:$J$551,Q234)&amp;"")</f>
        <v/>
      </c>
      <c r="J234" s="44">
        <f>IF(Q234="","",IF(G234="","要調整",IFERROR(IF(IF(OR(設定!$C$14="〇",設定!$C$14="○"),COUNTIFS($A$7:$A$456,"&gt;="&amp;A234,$G$7:$G$456,G234),COUNTIF($G$7:$G$456,G234))&lt;=(INDEX(設定!$Q$8:$Q$27,MATCH(G234,設定!$P$8:$P$27,0))+N(INDEX(設定!$R$8:$R$27,MATCH(G234,設定!$P$8:$P$27,0)))),G234,"要調整"),"要調整")))</f>
        <v/>
      </c>
      <c r="K234" s="40" t="n"/>
      <c r="L234" s="52">
        <f>IF(P234="","",IF(K234&lt;&gt;"",K234,IF(OR(J234="",J234="要調整"),"",J234)))</f>
        <v/>
      </c>
      <c r="M234" s="44">
        <f>IF(P234="","",IF(AND(計算用!$B$1=1,T234=""),"転出",IF(L234&lt;&gt;"","決定",IF(Q234="","未提出","要調整"))))</f>
        <v/>
      </c>
      <c r="N234" s="44">
        <f>IF(OR(M234&lt;&gt;"要調整",H234=""),"",IFERROR((INDEX(設定!$Q$8:$Q$27,MATCH(H234,設定!$P$8:$P$27,0))+N(INDEX(設定!$R$8:$R$27,MATCH(H234,設定!$P$8:$P$27,0))))-INDEX(定員チェック!$F$7:$F$26,MATCH(H234,設定!$P$8:$P$27,0))-COUNTIFS($M$7:$M$456,"要調整",$G$7:$G$456,H234),""))</f>
        <v/>
      </c>
      <c r="O234" s="44">
        <f>IF(OR(M234&lt;&gt;"要調整",I234=""),"",IFERROR((INDEX(設定!$Q$8:$Q$27,MATCH(I234,設定!$P$8:$P$27,0))+N(INDEX(設定!$R$8:$R$27,MATCH(I234,設定!$P$8:$P$27,0))))-INDEX(定員チェック!$F$7:$F$26,MATCH(I234,設定!$P$8:$P$27,0))-COUNTIFS($M$7:$M$456,"要調整",$G$7:$G$456,I234),""))</f>
        <v/>
      </c>
      <c r="P234" s="8">
        <f>IFERROR(MATCH(SMALL(前年度名簿!$G$2:$G$451,228),前年度名簿!$G$2:$G$451,0),"")</f>
        <v/>
      </c>
      <c r="Q234" s="8">
        <f>IF(R234="","",IFERROR(MATCH(R234,希望入力!$M$2:$M$551,0),""))</f>
        <v/>
      </c>
      <c r="R234" s="8">
        <f>IF(P234="","",INDEX(前年度名簿!$F$2:$F$451,P234))</f>
        <v/>
      </c>
      <c r="S234" s="8">
        <f>IF(P234="","",INDEX(前年度名簿!$I$2:$I$451,P234))</f>
        <v/>
      </c>
      <c r="T234" s="8">
        <f>IF(OR(P234="",計算用!$B$1=0),"",IFERROR(MATCH(S234,新年度名簿!$H$2:$H$451,0),""))</f>
        <v/>
      </c>
      <c r="U234" s="8">
        <f>IF(OR(L234="",M234="転出"),"",IFERROR(MATCH(L234,設定!$P$8:$P$27,0),""))</f>
        <v/>
      </c>
      <c r="V234" s="8">
        <f>IF(U234="","",COUNTIF($U$7:U234,U234))</f>
        <v/>
      </c>
      <c r="W234" s="8">
        <f>IF(U234="","",U234*1000+V234)</f>
        <v/>
      </c>
    </row>
    <row r="235">
      <c r="A235" s="44">
        <f>IF(P235="","",INDEX(前年度名簿!$H$2:$H$451,P235))</f>
        <v/>
      </c>
      <c r="B235" s="44">
        <f>IF(P235="","",IFERROR(INDEX(設定!$G$8:$G$31,INT(INDEX(前年度名簿!$G$2:$G$451,P235)/1000)),INDEX(前年度名簿!$A$2:$A$451,P235)&amp;INDEX(前年度名簿!$B$2:$B$451,P235)))</f>
        <v/>
      </c>
      <c r="C235" s="44">
        <f>IF(P235="","",INDEX(前年度名簿!$C$2:$C$451,P235))</f>
        <v/>
      </c>
      <c r="D235" s="3">
        <f>IF(P235="","",INDEX(前年度名簿!$D$2:$D$451,P235))</f>
        <v/>
      </c>
      <c r="E235" s="44">
        <f>IF(T235="","",INDEX(新年度名簿!$K$2:$K$451,T235))</f>
        <v/>
      </c>
      <c r="F235" s="44">
        <f>IF(T235="","",INDEX(新年度名簿!$C$2:$C$451,T235))</f>
        <v/>
      </c>
      <c r="G235" s="44">
        <f>IF(Q235="","",INDEX(希望入力!$H$2:$H$551,Q235)&amp;"")</f>
        <v/>
      </c>
      <c r="H235" s="44">
        <f>IF(Q235="","",INDEX(希望入力!$I$2:$I$551,Q235)&amp;"")</f>
        <v/>
      </c>
      <c r="I235" s="44">
        <f>IF(Q235="","",INDEX(希望入力!$J$2:$J$551,Q235)&amp;"")</f>
        <v/>
      </c>
      <c r="J235" s="44">
        <f>IF(Q235="","",IF(G235="","要調整",IFERROR(IF(IF(OR(設定!$C$14="〇",設定!$C$14="○"),COUNTIFS($A$7:$A$456,"&gt;="&amp;A235,$G$7:$G$456,G235),COUNTIF($G$7:$G$456,G235))&lt;=(INDEX(設定!$Q$8:$Q$27,MATCH(G235,設定!$P$8:$P$27,0))+N(INDEX(設定!$R$8:$R$27,MATCH(G235,設定!$P$8:$P$27,0)))),G235,"要調整"),"要調整")))</f>
        <v/>
      </c>
      <c r="K235" s="40" t="n"/>
      <c r="L235" s="52">
        <f>IF(P235="","",IF(K235&lt;&gt;"",K235,IF(OR(J235="",J235="要調整"),"",J235)))</f>
        <v/>
      </c>
      <c r="M235" s="44">
        <f>IF(P235="","",IF(AND(計算用!$B$1=1,T235=""),"転出",IF(L235&lt;&gt;"","決定",IF(Q235="","未提出","要調整"))))</f>
        <v/>
      </c>
      <c r="N235" s="44">
        <f>IF(OR(M235&lt;&gt;"要調整",H235=""),"",IFERROR((INDEX(設定!$Q$8:$Q$27,MATCH(H235,設定!$P$8:$P$27,0))+N(INDEX(設定!$R$8:$R$27,MATCH(H235,設定!$P$8:$P$27,0))))-INDEX(定員チェック!$F$7:$F$26,MATCH(H235,設定!$P$8:$P$27,0))-COUNTIFS($M$7:$M$456,"要調整",$G$7:$G$456,H235),""))</f>
        <v/>
      </c>
      <c r="O235" s="44">
        <f>IF(OR(M235&lt;&gt;"要調整",I235=""),"",IFERROR((INDEX(設定!$Q$8:$Q$27,MATCH(I235,設定!$P$8:$P$27,0))+N(INDEX(設定!$R$8:$R$27,MATCH(I235,設定!$P$8:$P$27,0))))-INDEX(定員チェック!$F$7:$F$26,MATCH(I235,設定!$P$8:$P$27,0))-COUNTIFS($M$7:$M$456,"要調整",$G$7:$G$456,I235),""))</f>
        <v/>
      </c>
      <c r="P235" s="8">
        <f>IFERROR(MATCH(SMALL(前年度名簿!$G$2:$G$451,229),前年度名簿!$G$2:$G$451,0),"")</f>
        <v/>
      </c>
      <c r="Q235" s="8">
        <f>IF(R235="","",IFERROR(MATCH(R235,希望入力!$M$2:$M$551,0),""))</f>
        <v/>
      </c>
      <c r="R235" s="8">
        <f>IF(P235="","",INDEX(前年度名簿!$F$2:$F$451,P235))</f>
        <v/>
      </c>
      <c r="S235" s="8">
        <f>IF(P235="","",INDEX(前年度名簿!$I$2:$I$451,P235))</f>
        <v/>
      </c>
      <c r="T235" s="8">
        <f>IF(OR(P235="",計算用!$B$1=0),"",IFERROR(MATCH(S235,新年度名簿!$H$2:$H$451,0),""))</f>
        <v/>
      </c>
      <c r="U235" s="8">
        <f>IF(OR(L235="",M235="転出"),"",IFERROR(MATCH(L235,設定!$P$8:$P$27,0),""))</f>
        <v/>
      </c>
      <c r="V235" s="8">
        <f>IF(U235="","",COUNTIF($U$7:U235,U235))</f>
        <v/>
      </c>
      <c r="W235" s="8">
        <f>IF(U235="","",U235*1000+V235)</f>
        <v/>
      </c>
    </row>
    <row r="236">
      <c r="A236" s="44">
        <f>IF(P236="","",INDEX(前年度名簿!$H$2:$H$451,P236))</f>
        <v/>
      </c>
      <c r="B236" s="44">
        <f>IF(P236="","",IFERROR(INDEX(設定!$G$8:$G$31,INT(INDEX(前年度名簿!$G$2:$G$451,P236)/1000)),INDEX(前年度名簿!$A$2:$A$451,P236)&amp;INDEX(前年度名簿!$B$2:$B$451,P236)))</f>
        <v/>
      </c>
      <c r="C236" s="44">
        <f>IF(P236="","",INDEX(前年度名簿!$C$2:$C$451,P236))</f>
        <v/>
      </c>
      <c r="D236" s="3">
        <f>IF(P236="","",INDEX(前年度名簿!$D$2:$D$451,P236))</f>
        <v/>
      </c>
      <c r="E236" s="44">
        <f>IF(T236="","",INDEX(新年度名簿!$K$2:$K$451,T236))</f>
        <v/>
      </c>
      <c r="F236" s="44">
        <f>IF(T236="","",INDEX(新年度名簿!$C$2:$C$451,T236))</f>
        <v/>
      </c>
      <c r="G236" s="44">
        <f>IF(Q236="","",INDEX(希望入力!$H$2:$H$551,Q236)&amp;"")</f>
        <v/>
      </c>
      <c r="H236" s="44">
        <f>IF(Q236="","",INDEX(希望入力!$I$2:$I$551,Q236)&amp;"")</f>
        <v/>
      </c>
      <c r="I236" s="44">
        <f>IF(Q236="","",INDEX(希望入力!$J$2:$J$551,Q236)&amp;"")</f>
        <v/>
      </c>
      <c r="J236" s="44">
        <f>IF(Q236="","",IF(G236="","要調整",IFERROR(IF(IF(OR(設定!$C$14="〇",設定!$C$14="○"),COUNTIFS($A$7:$A$456,"&gt;="&amp;A236,$G$7:$G$456,G236),COUNTIF($G$7:$G$456,G236))&lt;=(INDEX(設定!$Q$8:$Q$27,MATCH(G236,設定!$P$8:$P$27,0))+N(INDEX(設定!$R$8:$R$27,MATCH(G236,設定!$P$8:$P$27,0)))),G236,"要調整"),"要調整")))</f>
        <v/>
      </c>
      <c r="K236" s="40" t="n"/>
      <c r="L236" s="52">
        <f>IF(P236="","",IF(K236&lt;&gt;"",K236,IF(OR(J236="",J236="要調整"),"",J236)))</f>
        <v/>
      </c>
      <c r="M236" s="44">
        <f>IF(P236="","",IF(AND(計算用!$B$1=1,T236=""),"転出",IF(L236&lt;&gt;"","決定",IF(Q236="","未提出","要調整"))))</f>
        <v/>
      </c>
      <c r="N236" s="44">
        <f>IF(OR(M236&lt;&gt;"要調整",H236=""),"",IFERROR((INDEX(設定!$Q$8:$Q$27,MATCH(H236,設定!$P$8:$P$27,0))+N(INDEX(設定!$R$8:$R$27,MATCH(H236,設定!$P$8:$P$27,0))))-INDEX(定員チェック!$F$7:$F$26,MATCH(H236,設定!$P$8:$P$27,0))-COUNTIFS($M$7:$M$456,"要調整",$G$7:$G$456,H236),""))</f>
        <v/>
      </c>
      <c r="O236" s="44">
        <f>IF(OR(M236&lt;&gt;"要調整",I236=""),"",IFERROR((INDEX(設定!$Q$8:$Q$27,MATCH(I236,設定!$P$8:$P$27,0))+N(INDEX(設定!$R$8:$R$27,MATCH(I236,設定!$P$8:$P$27,0))))-INDEX(定員チェック!$F$7:$F$26,MATCH(I236,設定!$P$8:$P$27,0))-COUNTIFS($M$7:$M$456,"要調整",$G$7:$G$456,I236),""))</f>
        <v/>
      </c>
      <c r="P236" s="8">
        <f>IFERROR(MATCH(SMALL(前年度名簿!$G$2:$G$451,230),前年度名簿!$G$2:$G$451,0),"")</f>
        <v/>
      </c>
      <c r="Q236" s="8">
        <f>IF(R236="","",IFERROR(MATCH(R236,希望入力!$M$2:$M$551,0),""))</f>
        <v/>
      </c>
      <c r="R236" s="8">
        <f>IF(P236="","",INDEX(前年度名簿!$F$2:$F$451,P236))</f>
        <v/>
      </c>
      <c r="S236" s="8">
        <f>IF(P236="","",INDEX(前年度名簿!$I$2:$I$451,P236))</f>
        <v/>
      </c>
      <c r="T236" s="8">
        <f>IF(OR(P236="",計算用!$B$1=0),"",IFERROR(MATCH(S236,新年度名簿!$H$2:$H$451,0),""))</f>
        <v/>
      </c>
      <c r="U236" s="8">
        <f>IF(OR(L236="",M236="転出"),"",IFERROR(MATCH(L236,設定!$P$8:$P$27,0),""))</f>
        <v/>
      </c>
      <c r="V236" s="8">
        <f>IF(U236="","",COUNTIF($U$7:U236,U236))</f>
        <v/>
      </c>
      <c r="W236" s="8">
        <f>IF(U236="","",U236*1000+V236)</f>
        <v/>
      </c>
    </row>
    <row r="237">
      <c r="A237" s="44">
        <f>IF(P237="","",INDEX(前年度名簿!$H$2:$H$451,P237))</f>
        <v/>
      </c>
      <c r="B237" s="44">
        <f>IF(P237="","",IFERROR(INDEX(設定!$G$8:$G$31,INT(INDEX(前年度名簿!$G$2:$G$451,P237)/1000)),INDEX(前年度名簿!$A$2:$A$451,P237)&amp;INDEX(前年度名簿!$B$2:$B$451,P237)))</f>
        <v/>
      </c>
      <c r="C237" s="44">
        <f>IF(P237="","",INDEX(前年度名簿!$C$2:$C$451,P237))</f>
        <v/>
      </c>
      <c r="D237" s="3">
        <f>IF(P237="","",INDEX(前年度名簿!$D$2:$D$451,P237))</f>
        <v/>
      </c>
      <c r="E237" s="44">
        <f>IF(T237="","",INDEX(新年度名簿!$K$2:$K$451,T237))</f>
        <v/>
      </c>
      <c r="F237" s="44">
        <f>IF(T237="","",INDEX(新年度名簿!$C$2:$C$451,T237))</f>
        <v/>
      </c>
      <c r="G237" s="44">
        <f>IF(Q237="","",INDEX(希望入力!$H$2:$H$551,Q237)&amp;"")</f>
        <v/>
      </c>
      <c r="H237" s="44">
        <f>IF(Q237="","",INDEX(希望入力!$I$2:$I$551,Q237)&amp;"")</f>
        <v/>
      </c>
      <c r="I237" s="44">
        <f>IF(Q237="","",INDEX(希望入力!$J$2:$J$551,Q237)&amp;"")</f>
        <v/>
      </c>
      <c r="J237" s="44">
        <f>IF(Q237="","",IF(G237="","要調整",IFERROR(IF(IF(OR(設定!$C$14="〇",設定!$C$14="○"),COUNTIFS($A$7:$A$456,"&gt;="&amp;A237,$G$7:$G$456,G237),COUNTIF($G$7:$G$456,G237))&lt;=(INDEX(設定!$Q$8:$Q$27,MATCH(G237,設定!$P$8:$P$27,0))+N(INDEX(設定!$R$8:$R$27,MATCH(G237,設定!$P$8:$P$27,0)))),G237,"要調整"),"要調整")))</f>
        <v/>
      </c>
      <c r="K237" s="40" t="n"/>
      <c r="L237" s="52">
        <f>IF(P237="","",IF(K237&lt;&gt;"",K237,IF(OR(J237="",J237="要調整"),"",J237)))</f>
        <v/>
      </c>
      <c r="M237" s="44">
        <f>IF(P237="","",IF(AND(計算用!$B$1=1,T237=""),"転出",IF(L237&lt;&gt;"","決定",IF(Q237="","未提出","要調整"))))</f>
        <v/>
      </c>
      <c r="N237" s="44">
        <f>IF(OR(M237&lt;&gt;"要調整",H237=""),"",IFERROR((INDEX(設定!$Q$8:$Q$27,MATCH(H237,設定!$P$8:$P$27,0))+N(INDEX(設定!$R$8:$R$27,MATCH(H237,設定!$P$8:$P$27,0))))-INDEX(定員チェック!$F$7:$F$26,MATCH(H237,設定!$P$8:$P$27,0))-COUNTIFS($M$7:$M$456,"要調整",$G$7:$G$456,H237),""))</f>
        <v/>
      </c>
      <c r="O237" s="44">
        <f>IF(OR(M237&lt;&gt;"要調整",I237=""),"",IFERROR((INDEX(設定!$Q$8:$Q$27,MATCH(I237,設定!$P$8:$P$27,0))+N(INDEX(設定!$R$8:$R$27,MATCH(I237,設定!$P$8:$P$27,0))))-INDEX(定員チェック!$F$7:$F$26,MATCH(I237,設定!$P$8:$P$27,0))-COUNTIFS($M$7:$M$456,"要調整",$G$7:$G$456,I237),""))</f>
        <v/>
      </c>
      <c r="P237" s="8">
        <f>IFERROR(MATCH(SMALL(前年度名簿!$G$2:$G$451,231),前年度名簿!$G$2:$G$451,0),"")</f>
        <v/>
      </c>
      <c r="Q237" s="8">
        <f>IF(R237="","",IFERROR(MATCH(R237,希望入力!$M$2:$M$551,0),""))</f>
        <v/>
      </c>
      <c r="R237" s="8">
        <f>IF(P237="","",INDEX(前年度名簿!$F$2:$F$451,P237))</f>
        <v/>
      </c>
      <c r="S237" s="8">
        <f>IF(P237="","",INDEX(前年度名簿!$I$2:$I$451,P237))</f>
        <v/>
      </c>
      <c r="T237" s="8">
        <f>IF(OR(P237="",計算用!$B$1=0),"",IFERROR(MATCH(S237,新年度名簿!$H$2:$H$451,0),""))</f>
        <v/>
      </c>
      <c r="U237" s="8">
        <f>IF(OR(L237="",M237="転出"),"",IFERROR(MATCH(L237,設定!$P$8:$P$27,0),""))</f>
        <v/>
      </c>
      <c r="V237" s="8">
        <f>IF(U237="","",COUNTIF($U$7:U237,U237))</f>
        <v/>
      </c>
      <c r="W237" s="8">
        <f>IF(U237="","",U237*1000+V237)</f>
        <v/>
      </c>
    </row>
    <row r="238">
      <c r="A238" s="44">
        <f>IF(P238="","",INDEX(前年度名簿!$H$2:$H$451,P238))</f>
        <v/>
      </c>
      <c r="B238" s="44">
        <f>IF(P238="","",IFERROR(INDEX(設定!$G$8:$G$31,INT(INDEX(前年度名簿!$G$2:$G$451,P238)/1000)),INDEX(前年度名簿!$A$2:$A$451,P238)&amp;INDEX(前年度名簿!$B$2:$B$451,P238)))</f>
        <v/>
      </c>
      <c r="C238" s="44">
        <f>IF(P238="","",INDEX(前年度名簿!$C$2:$C$451,P238))</f>
        <v/>
      </c>
      <c r="D238" s="3">
        <f>IF(P238="","",INDEX(前年度名簿!$D$2:$D$451,P238))</f>
        <v/>
      </c>
      <c r="E238" s="44">
        <f>IF(T238="","",INDEX(新年度名簿!$K$2:$K$451,T238))</f>
        <v/>
      </c>
      <c r="F238" s="44">
        <f>IF(T238="","",INDEX(新年度名簿!$C$2:$C$451,T238))</f>
        <v/>
      </c>
      <c r="G238" s="44">
        <f>IF(Q238="","",INDEX(希望入力!$H$2:$H$551,Q238)&amp;"")</f>
        <v/>
      </c>
      <c r="H238" s="44">
        <f>IF(Q238="","",INDEX(希望入力!$I$2:$I$551,Q238)&amp;"")</f>
        <v/>
      </c>
      <c r="I238" s="44">
        <f>IF(Q238="","",INDEX(希望入力!$J$2:$J$551,Q238)&amp;"")</f>
        <v/>
      </c>
      <c r="J238" s="44">
        <f>IF(Q238="","",IF(G238="","要調整",IFERROR(IF(IF(OR(設定!$C$14="〇",設定!$C$14="○"),COUNTIFS($A$7:$A$456,"&gt;="&amp;A238,$G$7:$G$456,G238),COUNTIF($G$7:$G$456,G238))&lt;=(INDEX(設定!$Q$8:$Q$27,MATCH(G238,設定!$P$8:$P$27,0))+N(INDEX(設定!$R$8:$R$27,MATCH(G238,設定!$P$8:$P$27,0)))),G238,"要調整"),"要調整")))</f>
        <v/>
      </c>
      <c r="K238" s="40" t="n"/>
      <c r="L238" s="52">
        <f>IF(P238="","",IF(K238&lt;&gt;"",K238,IF(OR(J238="",J238="要調整"),"",J238)))</f>
        <v/>
      </c>
      <c r="M238" s="44">
        <f>IF(P238="","",IF(AND(計算用!$B$1=1,T238=""),"転出",IF(L238&lt;&gt;"","決定",IF(Q238="","未提出","要調整"))))</f>
        <v/>
      </c>
      <c r="N238" s="44">
        <f>IF(OR(M238&lt;&gt;"要調整",H238=""),"",IFERROR((INDEX(設定!$Q$8:$Q$27,MATCH(H238,設定!$P$8:$P$27,0))+N(INDEX(設定!$R$8:$R$27,MATCH(H238,設定!$P$8:$P$27,0))))-INDEX(定員チェック!$F$7:$F$26,MATCH(H238,設定!$P$8:$P$27,0))-COUNTIFS($M$7:$M$456,"要調整",$G$7:$G$456,H238),""))</f>
        <v/>
      </c>
      <c r="O238" s="44">
        <f>IF(OR(M238&lt;&gt;"要調整",I238=""),"",IFERROR((INDEX(設定!$Q$8:$Q$27,MATCH(I238,設定!$P$8:$P$27,0))+N(INDEX(設定!$R$8:$R$27,MATCH(I238,設定!$P$8:$P$27,0))))-INDEX(定員チェック!$F$7:$F$26,MATCH(I238,設定!$P$8:$P$27,0))-COUNTIFS($M$7:$M$456,"要調整",$G$7:$G$456,I238),""))</f>
        <v/>
      </c>
      <c r="P238" s="8">
        <f>IFERROR(MATCH(SMALL(前年度名簿!$G$2:$G$451,232),前年度名簿!$G$2:$G$451,0),"")</f>
        <v/>
      </c>
      <c r="Q238" s="8">
        <f>IF(R238="","",IFERROR(MATCH(R238,希望入力!$M$2:$M$551,0),""))</f>
        <v/>
      </c>
      <c r="R238" s="8">
        <f>IF(P238="","",INDEX(前年度名簿!$F$2:$F$451,P238))</f>
        <v/>
      </c>
      <c r="S238" s="8">
        <f>IF(P238="","",INDEX(前年度名簿!$I$2:$I$451,P238))</f>
        <v/>
      </c>
      <c r="T238" s="8">
        <f>IF(OR(P238="",計算用!$B$1=0),"",IFERROR(MATCH(S238,新年度名簿!$H$2:$H$451,0),""))</f>
        <v/>
      </c>
      <c r="U238" s="8">
        <f>IF(OR(L238="",M238="転出"),"",IFERROR(MATCH(L238,設定!$P$8:$P$27,0),""))</f>
        <v/>
      </c>
      <c r="V238" s="8">
        <f>IF(U238="","",COUNTIF($U$7:U238,U238))</f>
        <v/>
      </c>
      <c r="W238" s="8">
        <f>IF(U238="","",U238*1000+V238)</f>
        <v/>
      </c>
    </row>
    <row r="239">
      <c r="A239" s="44">
        <f>IF(P239="","",INDEX(前年度名簿!$H$2:$H$451,P239))</f>
        <v/>
      </c>
      <c r="B239" s="44">
        <f>IF(P239="","",IFERROR(INDEX(設定!$G$8:$G$31,INT(INDEX(前年度名簿!$G$2:$G$451,P239)/1000)),INDEX(前年度名簿!$A$2:$A$451,P239)&amp;INDEX(前年度名簿!$B$2:$B$451,P239)))</f>
        <v/>
      </c>
      <c r="C239" s="44">
        <f>IF(P239="","",INDEX(前年度名簿!$C$2:$C$451,P239))</f>
        <v/>
      </c>
      <c r="D239" s="3">
        <f>IF(P239="","",INDEX(前年度名簿!$D$2:$D$451,P239))</f>
        <v/>
      </c>
      <c r="E239" s="44">
        <f>IF(T239="","",INDEX(新年度名簿!$K$2:$K$451,T239))</f>
        <v/>
      </c>
      <c r="F239" s="44">
        <f>IF(T239="","",INDEX(新年度名簿!$C$2:$C$451,T239))</f>
        <v/>
      </c>
      <c r="G239" s="44">
        <f>IF(Q239="","",INDEX(希望入力!$H$2:$H$551,Q239)&amp;"")</f>
        <v/>
      </c>
      <c r="H239" s="44">
        <f>IF(Q239="","",INDEX(希望入力!$I$2:$I$551,Q239)&amp;"")</f>
        <v/>
      </c>
      <c r="I239" s="44">
        <f>IF(Q239="","",INDEX(希望入力!$J$2:$J$551,Q239)&amp;"")</f>
        <v/>
      </c>
      <c r="J239" s="44">
        <f>IF(Q239="","",IF(G239="","要調整",IFERROR(IF(IF(OR(設定!$C$14="〇",設定!$C$14="○"),COUNTIFS($A$7:$A$456,"&gt;="&amp;A239,$G$7:$G$456,G239),COUNTIF($G$7:$G$456,G239))&lt;=(INDEX(設定!$Q$8:$Q$27,MATCH(G239,設定!$P$8:$P$27,0))+N(INDEX(設定!$R$8:$R$27,MATCH(G239,設定!$P$8:$P$27,0)))),G239,"要調整"),"要調整")))</f>
        <v/>
      </c>
      <c r="K239" s="40" t="n"/>
      <c r="L239" s="52">
        <f>IF(P239="","",IF(K239&lt;&gt;"",K239,IF(OR(J239="",J239="要調整"),"",J239)))</f>
        <v/>
      </c>
      <c r="M239" s="44">
        <f>IF(P239="","",IF(AND(計算用!$B$1=1,T239=""),"転出",IF(L239&lt;&gt;"","決定",IF(Q239="","未提出","要調整"))))</f>
        <v/>
      </c>
      <c r="N239" s="44">
        <f>IF(OR(M239&lt;&gt;"要調整",H239=""),"",IFERROR((INDEX(設定!$Q$8:$Q$27,MATCH(H239,設定!$P$8:$P$27,0))+N(INDEX(設定!$R$8:$R$27,MATCH(H239,設定!$P$8:$P$27,0))))-INDEX(定員チェック!$F$7:$F$26,MATCH(H239,設定!$P$8:$P$27,0))-COUNTIFS($M$7:$M$456,"要調整",$G$7:$G$456,H239),""))</f>
        <v/>
      </c>
      <c r="O239" s="44">
        <f>IF(OR(M239&lt;&gt;"要調整",I239=""),"",IFERROR((INDEX(設定!$Q$8:$Q$27,MATCH(I239,設定!$P$8:$P$27,0))+N(INDEX(設定!$R$8:$R$27,MATCH(I239,設定!$P$8:$P$27,0))))-INDEX(定員チェック!$F$7:$F$26,MATCH(I239,設定!$P$8:$P$27,0))-COUNTIFS($M$7:$M$456,"要調整",$G$7:$G$456,I239),""))</f>
        <v/>
      </c>
      <c r="P239" s="8">
        <f>IFERROR(MATCH(SMALL(前年度名簿!$G$2:$G$451,233),前年度名簿!$G$2:$G$451,0),"")</f>
        <v/>
      </c>
      <c r="Q239" s="8">
        <f>IF(R239="","",IFERROR(MATCH(R239,希望入力!$M$2:$M$551,0),""))</f>
        <v/>
      </c>
      <c r="R239" s="8">
        <f>IF(P239="","",INDEX(前年度名簿!$F$2:$F$451,P239))</f>
        <v/>
      </c>
      <c r="S239" s="8">
        <f>IF(P239="","",INDEX(前年度名簿!$I$2:$I$451,P239))</f>
        <v/>
      </c>
      <c r="T239" s="8">
        <f>IF(OR(P239="",計算用!$B$1=0),"",IFERROR(MATCH(S239,新年度名簿!$H$2:$H$451,0),""))</f>
        <v/>
      </c>
      <c r="U239" s="8">
        <f>IF(OR(L239="",M239="転出"),"",IFERROR(MATCH(L239,設定!$P$8:$P$27,0),""))</f>
        <v/>
      </c>
      <c r="V239" s="8">
        <f>IF(U239="","",COUNTIF($U$7:U239,U239))</f>
        <v/>
      </c>
      <c r="W239" s="8">
        <f>IF(U239="","",U239*1000+V239)</f>
        <v/>
      </c>
    </row>
    <row r="240">
      <c r="A240" s="44">
        <f>IF(P240="","",INDEX(前年度名簿!$H$2:$H$451,P240))</f>
        <v/>
      </c>
      <c r="B240" s="44">
        <f>IF(P240="","",IFERROR(INDEX(設定!$G$8:$G$31,INT(INDEX(前年度名簿!$G$2:$G$451,P240)/1000)),INDEX(前年度名簿!$A$2:$A$451,P240)&amp;INDEX(前年度名簿!$B$2:$B$451,P240)))</f>
        <v/>
      </c>
      <c r="C240" s="44">
        <f>IF(P240="","",INDEX(前年度名簿!$C$2:$C$451,P240))</f>
        <v/>
      </c>
      <c r="D240" s="3">
        <f>IF(P240="","",INDEX(前年度名簿!$D$2:$D$451,P240))</f>
        <v/>
      </c>
      <c r="E240" s="44">
        <f>IF(T240="","",INDEX(新年度名簿!$K$2:$K$451,T240))</f>
        <v/>
      </c>
      <c r="F240" s="44">
        <f>IF(T240="","",INDEX(新年度名簿!$C$2:$C$451,T240))</f>
        <v/>
      </c>
      <c r="G240" s="44">
        <f>IF(Q240="","",INDEX(希望入力!$H$2:$H$551,Q240)&amp;"")</f>
        <v/>
      </c>
      <c r="H240" s="44">
        <f>IF(Q240="","",INDEX(希望入力!$I$2:$I$551,Q240)&amp;"")</f>
        <v/>
      </c>
      <c r="I240" s="44">
        <f>IF(Q240="","",INDEX(希望入力!$J$2:$J$551,Q240)&amp;"")</f>
        <v/>
      </c>
      <c r="J240" s="44">
        <f>IF(Q240="","",IF(G240="","要調整",IFERROR(IF(IF(OR(設定!$C$14="〇",設定!$C$14="○"),COUNTIFS($A$7:$A$456,"&gt;="&amp;A240,$G$7:$G$456,G240),COUNTIF($G$7:$G$456,G240))&lt;=(INDEX(設定!$Q$8:$Q$27,MATCH(G240,設定!$P$8:$P$27,0))+N(INDEX(設定!$R$8:$R$27,MATCH(G240,設定!$P$8:$P$27,0)))),G240,"要調整"),"要調整")))</f>
        <v/>
      </c>
      <c r="K240" s="40" t="n"/>
      <c r="L240" s="52">
        <f>IF(P240="","",IF(K240&lt;&gt;"",K240,IF(OR(J240="",J240="要調整"),"",J240)))</f>
        <v/>
      </c>
      <c r="M240" s="44">
        <f>IF(P240="","",IF(AND(計算用!$B$1=1,T240=""),"転出",IF(L240&lt;&gt;"","決定",IF(Q240="","未提出","要調整"))))</f>
        <v/>
      </c>
      <c r="N240" s="44">
        <f>IF(OR(M240&lt;&gt;"要調整",H240=""),"",IFERROR((INDEX(設定!$Q$8:$Q$27,MATCH(H240,設定!$P$8:$P$27,0))+N(INDEX(設定!$R$8:$R$27,MATCH(H240,設定!$P$8:$P$27,0))))-INDEX(定員チェック!$F$7:$F$26,MATCH(H240,設定!$P$8:$P$27,0))-COUNTIFS($M$7:$M$456,"要調整",$G$7:$G$456,H240),""))</f>
        <v/>
      </c>
      <c r="O240" s="44">
        <f>IF(OR(M240&lt;&gt;"要調整",I240=""),"",IFERROR((INDEX(設定!$Q$8:$Q$27,MATCH(I240,設定!$P$8:$P$27,0))+N(INDEX(設定!$R$8:$R$27,MATCH(I240,設定!$P$8:$P$27,0))))-INDEX(定員チェック!$F$7:$F$26,MATCH(I240,設定!$P$8:$P$27,0))-COUNTIFS($M$7:$M$456,"要調整",$G$7:$G$456,I240),""))</f>
        <v/>
      </c>
      <c r="P240" s="8">
        <f>IFERROR(MATCH(SMALL(前年度名簿!$G$2:$G$451,234),前年度名簿!$G$2:$G$451,0),"")</f>
        <v/>
      </c>
      <c r="Q240" s="8">
        <f>IF(R240="","",IFERROR(MATCH(R240,希望入力!$M$2:$M$551,0),""))</f>
        <v/>
      </c>
      <c r="R240" s="8">
        <f>IF(P240="","",INDEX(前年度名簿!$F$2:$F$451,P240))</f>
        <v/>
      </c>
      <c r="S240" s="8">
        <f>IF(P240="","",INDEX(前年度名簿!$I$2:$I$451,P240))</f>
        <v/>
      </c>
      <c r="T240" s="8">
        <f>IF(OR(P240="",計算用!$B$1=0),"",IFERROR(MATCH(S240,新年度名簿!$H$2:$H$451,0),""))</f>
        <v/>
      </c>
      <c r="U240" s="8">
        <f>IF(OR(L240="",M240="転出"),"",IFERROR(MATCH(L240,設定!$P$8:$P$27,0),""))</f>
        <v/>
      </c>
      <c r="V240" s="8">
        <f>IF(U240="","",COUNTIF($U$7:U240,U240))</f>
        <v/>
      </c>
      <c r="W240" s="8">
        <f>IF(U240="","",U240*1000+V240)</f>
        <v/>
      </c>
    </row>
    <row r="241">
      <c r="A241" s="44">
        <f>IF(P241="","",INDEX(前年度名簿!$H$2:$H$451,P241))</f>
        <v/>
      </c>
      <c r="B241" s="44">
        <f>IF(P241="","",IFERROR(INDEX(設定!$G$8:$G$31,INT(INDEX(前年度名簿!$G$2:$G$451,P241)/1000)),INDEX(前年度名簿!$A$2:$A$451,P241)&amp;INDEX(前年度名簿!$B$2:$B$451,P241)))</f>
        <v/>
      </c>
      <c r="C241" s="44">
        <f>IF(P241="","",INDEX(前年度名簿!$C$2:$C$451,P241))</f>
        <v/>
      </c>
      <c r="D241" s="3">
        <f>IF(P241="","",INDEX(前年度名簿!$D$2:$D$451,P241))</f>
        <v/>
      </c>
      <c r="E241" s="44">
        <f>IF(T241="","",INDEX(新年度名簿!$K$2:$K$451,T241))</f>
        <v/>
      </c>
      <c r="F241" s="44">
        <f>IF(T241="","",INDEX(新年度名簿!$C$2:$C$451,T241))</f>
        <v/>
      </c>
      <c r="G241" s="44">
        <f>IF(Q241="","",INDEX(希望入力!$H$2:$H$551,Q241)&amp;"")</f>
        <v/>
      </c>
      <c r="H241" s="44">
        <f>IF(Q241="","",INDEX(希望入力!$I$2:$I$551,Q241)&amp;"")</f>
        <v/>
      </c>
      <c r="I241" s="44">
        <f>IF(Q241="","",INDEX(希望入力!$J$2:$J$551,Q241)&amp;"")</f>
        <v/>
      </c>
      <c r="J241" s="44">
        <f>IF(Q241="","",IF(G241="","要調整",IFERROR(IF(IF(OR(設定!$C$14="〇",設定!$C$14="○"),COUNTIFS($A$7:$A$456,"&gt;="&amp;A241,$G$7:$G$456,G241),COUNTIF($G$7:$G$456,G241))&lt;=(INDEX(設定!$Q$8:$Q$27,MATCH(G241,設定!$P$8:$P$27,0))+N(INDEX(設定!$R$8:$R$27,MATCH(G241,設定!$P$8:$P$27,0)))),G241,"要調整"),"要調整")))</f>
        <v/>
      </c>
      <c r="K241" s="40" t="n"/>
      <c r="L241" s="52">
        <f>IF(P241="","",IF(K241&lt;&gt;"",K241,IF(OR(J241="",J241="要調整"),"",J241)))</f>
        <v/>
      </c>
      <c r="M241" s="44">
        <f>IF(P241="","",IF(AND(計算用!$B$1=1,T241=""),"転出",IF(L241&lt;&gt;"","決定",IF(Q241="","未提出","要調整"))))</f>
        <v/>
      </c>
      <c r="N241" s="44">
        <f>IF(OR(M241&lt;&gt;"要調整",H241=""),"",IFERROR((INDEX(設定!$Q$8:$Q$27,MATCH(H241,設定!$P$8:$P$27,0))+N(INDEX(設定!$R$8:$R$27,MATCH(H241,設定!$P$8:$P$27,0))))-INDEX(定員チェック!$F$7:$F$26,MATCH(H241,設定!$P$8:$P$27,0))-COUNTIFS($M$7:$M$456,"要調整",$G$7:$G$456,H241),""))</f>
        <v/>
      </c>
      <c r="O241" s="44">
        <f>IF(OR(M241&lt;&gt;"要調整",I241=""),"",IFERROR((INDEX(設定!$Q$8:$Q$27,MATCH(I241,設定!$P$8:$P$27,0))+N(INDEX(設定!$R$8:$R$27,MATCH(I241,設定!$P$8:$P$27,0))))-INDEX(定員チェック!$F$7:$F$26,MATCH(I241,設定!$P$8:$P$27,0))-COUNTIFS($M$7:$M$456,"要調整",$G$7:$G$456,I241),""))</f>
        <v/>
      </c>
      <c r="P241" s="8">
        <f>IFERROR(MATCH(SMALL(前年度名簿!$G$2:$G$451,235),前年度名簿!$G$2:$G$451,0),"")</f>
        <v/>
      </c>
      <c r="Q241" s="8">
        <f>IF(R241="","",IFERROR(MATCH(R241,希望入力!$M$2:$M$551,0),""))</f>
        <v/>
      </c>
      <c r="R241" s="8">
        <f>IF(P241="","",INDEX(前年度名簿!$F$2:$F$451,P241))</f>
        <v/>
      </c>
      <c r="S241" s="8">
        <f>IF(P241="","",INDEX(前年度名簿!$I$2:$I$451,P241))</f>
        <v/>
      </c>
      <c r="T241" s="8">
        <f>IF(OR(P241="",計算用!$B$1=0),"",IFERROR(MATCH(S241,新年度名簿!$H$2:$H$451,0),""))</f>
        <v/>
      </c>
      <c r="U241" s="8">
        <f>IF(OR(L241="",M241="転出"),"",IFERROR(MATCH(L241,設定!$P$8:$P$27,0),""))</f>
        <v/>
      </c>
      <c r="V241" s="8">
        <f>IF(U241="","",COUNTIF($U$7:U241,U241))</f>
        <v/>
      </c>
      <c r="W241" s="8">
        <f>IF(U241="","",U241*1000+V241)</f>
        <v/>
      </c>
    </row>
    <row r="242">
      <c r="A242" s="44">
        <f>IF(P242="","",INDEX(前年度名簿!$H$2:$H$451,P242))</f>
        <v/>
      </c>
      <c r="B242" s="44">
        <f>IF(P242="","",IFERROR(INDEX(設定!$G$8:$G$31,INT(INDEX(前年度名簿!$G$2:$G$451,P242)/1000)),INDEX(前年度名簿!$A$2:$A$451,P242)&amp;INDEX(前年度名簿!$B$2:$B$451,P242)))</f>
        <v/>
      </c>
      <c r="C242" s="44">
        <f>IF(P242="","",INDEX(前年度名簿!$C$2:$C$451,P242))</f>
        <v/>
      </c>
      <c r="D242" s="3">
        <f>IF(P242="","",INDEX(前年度名簿!$D$2:$D$451,P242))</f>
        <v/>
      </c>
      <c r="E242" s="44">
        <f>IF(T242="","",INDEX(新年度名簿!$K$2:$K$451,T242))</f>
        <v/>
      </c>
      <c r="F242" s="44">
        <f>IF(T242="","",INDEX(新年度名簿!$C$2:$C$451,T242))</f>
        <v/>
      </c>
      <c r="G242" s="44">
        <f>IF(Q242="","",INDEX(希望入力!$H$2:$H$551,Q242)&amp;"")</f>
        <v/>
      </c>
      <c r="H242" s="44">
        <f>IF(Q242="","",INDEX(希望入力!$I$2:$I$551,Q242)&amp;"")</f>
        <v/>
      </c>
      <c r="I242" s="44">
        <f>IF(Q242="","",INDEX(希望入力!$J$2:$J$551,Q242)&amp;"")</f>
        <v/>
      </c>
      <c r="J242" s="44">
        <f>IF(Q242="","",IF(G242="","要調整",IFERROR(IF(IF(OR(設定!$C$14="〇",設定!$C$14="○"),COUNTIFS($A$7:$A$456,"&gt;="&amp;A242,$G$7:$G$456,G242),COUNTIF($G$7:$G$456,G242))&lt;=(INDEX(設定!$Q$8:$Q$27,MATCH(G242,設定!$P$8:$P$27,0))+N(INDEX(設定!$R$8:$R$27,MATCH(G242,設定!$P$8:$P$27,0)))),G242,"要調整"),"要調整")))</f>
        <v/>
      </c>
      <c r="K242" s="40" t="n"/>
      <c r="L242" s="52">
        <f>IF(P242="","",IF(K242&lt;&gt;"",K242,IF(OR(J242="",J242="要調整"),"",J242)))</f>
        <v/>
      </c>
      <c r="M242" s="44">
        <f>IF(P242="","",IF(AND(計算用!$B$1=1,T242=""),"転出",IF(L242&lt;&gt;"","決定",IF(Q242="","未提出","要調整"))))</f>
        <v/>
      </c>
      <c r="N242" s="44">
        <f>IF(OR(M242&lt;&gt;"要調整",H242=""),"",IFERROR((INDEX(設定!$Q$8:$Q$27,MATCH(H242,設定!$P$8:$P$27,0))+N(INDEX(設定!$R$8:$R$27,MATCH(H242,設定!$P$8:$P$27,0))))-INDEX(定員チェック!$F$7:$F$26,MATCH(H242,設定!$P$8:$P$27,0))-COUNTIFS($M$7:$M$456,"要調整",$G$7:$G$456,H242),""))</f>
        <v/>
      </c>
      <c r="O242" s="44">
        <f>IF(OR(M242&lt;&gt;"要調整",I242=""),"",IFERROR((INDEX(設定!$Q$8:$Q$27,MATCH(I242,設定!$P$8:$P$27,0))+N(INDEX(設定!$R$8:$R$27,MATCH(I242,設定!$P$8:$P$27,0))))-INDEX(定員チェック!$F$7:$F$26,MATCH(I242,設定!$P$8:$P$27,0))-COUNTIFS($M$7:$M$456,"要調整",$G$7:$G$456,I242),""))</f>
        <v/>
      </c>
      <c r="P242" s="8">
        <f>IFERROR(MATCH(SMALL(前年度名簿!$G$2:$G$451,236),前年度名簿!$G$2:$G$451,0),"")</f>
        <v/>
      </c>
      <c r="Q242" s="8">
        <f>IF(R242="","",IFERROR(MATCH(R242,希望入力!$M$2:$M$551,0),""))</f>
        <v/>
      </c>
      <c r="R242" s="8">
        <f>IF(P242="","",INDEX(前年度名簿!$F$2:$F$451,P242))</f>
        <v/>
      </c>
      <c r="S242" s="8">
        <f>IF(P242="","",INDEX(前年度名簿!$I$2:$I$451,P242))</f>
        <v/>
      </c>
      <c r="T242" s="8">
        <f>IF(OR(P242="",計算用!$B$1=0),"",IFERROR(MATCH(S242,新年度名簿!$H$2:$H$451,0),""))</f>
        <v/>
      </c>
      <c r="U242" s="8">
        <f>IF(OR(L242="",M242="転出"),"",IFERROR(MATCH(L242,設定!$P$8:$P$27,0),""))</f>
        <v/>
      </c>
      <c r="V242" s="8">
        <f>IF(U242="","",COUNTIF($U$7:U242,U242))</f>
        <v/>
      </c>
      <c r="W242" s="8">
        <f>IF(U242="","",U242*1000+V242)</f>
        <v/>
      </c>
    </row>
    <row r="243">
      <c r="A243" s="44">
        <f>IF(P243="","",INDEX(前年度名簿!$H$2:$H$451,P243))</f>
        <v/>
      </c>
      <c r="B243" s="44">
        <f>IF(P243="","",IFERROR(INDEX(設定!$G$8:$G$31,INT(INDEX(前年度名簿!$G$2:$G$451,P243)/1000)),INDEX(前年度名簿!$A$2:$A$451,P243)&amp;INDEX(前年度名簿!$B$2:$B$451,P243)))</f>
        <v/>
      </c>
      <c r="C243" s="44">
        <f>IF(P243="","",INDEX(前年度名簿!$C$2:$C$451,P243))</f>
        <v/>
      </c>
      <c r="D243" s="3">
        <f>IF(P243="","",INDEX(前年度名簿!$D$2:$D$451,P243))</f>
        <v/>
      </c>
      <c r="E243" s="44">
        <f>IF(T243="","",INDEX(新年度名簿!$K$2:$K$451,T243))</f>
        <v/>
      </c>
      <c r="F243" s="44">
        <f>IF(T243="","",INDEX(新年度名簿!$C$2:$C$451,T243))</f>
        <v/>
      </c>
      <c r="G243" s="44">
        <f>IF(Q243="","",INDEX(希望入力!$H$2:$H$551,Q243)&amp;"")</f>
        <v/>
      </c>
      <c r="H243" s="44">
        <f>IF(Q243="","",INDEX(希望入力!$I$2:$I$551,Q243)&amp;"")</f>
        <v/>
      </c>
      <c r="I243" s="44">
        <f>IF(Q243="","",INDEX(希望入力!$J$2:$J$551,Q243)&amp;"")</f>
        <v/>
      </c>
      <c r="J243" s="44">
        <f>IF(Q243="","",IF(G243="","要調整",IFERROR(IF(IF(OR(設定!$C$14="〇",設定!$C$14="○"),COUNTIFS($A$7:$A$456,"&gt;="&amp;A243,$G$7:$G$456,G243),COUNTIF($G$7:$G$456,G243))&lt;=(INDEX(設定!$Q$8:$Q$27,MATCH(G243,設定!$P$8:$P$27,0))+N(INDEX(設定!$R$8:$R$27,MATCH(G243,設定!$P$8:$P$27,0)))),G243,"要調整"),"要調整")))</f>
        <v/>
      </c>
      <c r="K243" s="40" t="n"/>
      <c r="L243" s="52">
        <f>IF(P243="","",IF(K243&lt;&gt;"",K243,IF(OR(J243="",J243="要調整"),"",J243)))</f>
        <v/>
      </c>
      <c r="M243" s="44">
        <f>IF(P243="","",IF(AND(計算用!$B$1=1,T243=""),"転出",IF(L243&lt;&gt;"","決定",IF(Q243="","未提出","要調整"))))</f>
        <v/>
      </c>
      <c r="N243" s="44">
        <f>IF(OR(M243&lt;&gt;"要調整",H243=""),"",IFERROR((INDEX(設定!$Q$8:$Q$27,MATCH(H243,設定!$P$8:$P$27,0))+N(INDEX(設定!$R$8:$R$27,MATCH(H243,設定!$P$8:$P$27,0))))-INDEX(定員チェック!$F$7:$F$26,MATCH(H243,設定!$P$8:$P$27,0))-COUNTIFS($M$7:$M$456,"要調整",$G$7:$G$456,H243),""))</f>
        <v/>
      </c>
      <c r="O243" s="44">
        <f>IF(OR(M243&lt;&gt;"要調整",I243=""),"",IFERROR((INDEX(設定!$Q$8:$Q$27,MATCH(I243,設定!$P$8:$P$27,0))+N(INDEX(設定!$R$8:$R$27,MATCH(I243,設定!$P$8:$P$27,0))))-INDEX(定員チェック!$F$7:$F$26,MATCH(I243,設定!$P$8:$P$27,0))-COUNTIFS($M$7:$M$456,"要調整",$G$7:$G$456,I243),""))</f>
        <v/>
      </c>
      <c r="P243" s="8">
        <f>IFERROR(MATCH(SMALL(前年度名簿!$G$2:$G$451,237),前年度名簿!$G$2:$G$451,0),"")</f>
        <v/>
      </c>
      <c r="Q243" s="8">
        <f>IF(R243="","",IFERROR(MATCH(R243,希望入力!$M$2:$M$551,0),""))</f>
        <v/>
      </c>
      <c r="R243" s="8">
        <f>IF(P243="","",INDEX(前年度名簿!$F$2:$F$451,P243))</f>
        <v/>
      </c>
      <c r="S243" s="8">
        <f>IF(P243="","",INDEX(前年度名簿!$I$2:$I$451,P243))</f>
        <v/>
      </c>
      <c r="T243" s="8">
        <f>IF(OR(P243="",計算用!$B$1=0),"",IFERROR(MATCH(S243,新年度名簿!$H$2:$H$451,0),""))</f>
        <v/>
      </c>
      <c r="U243" s="8">
        <f>IF(OR(L243="",M243="転出"),"",IFERROR(MATCH(L243,設定!$P$8:$P$27,0),""))</f>
        <v/>
      </c>
      <c r="V243" s="8">
        <f>IF(U243="","",COUNTIF($U$7:U243,U243))</f>
        <v/>
      </c>
      <c r="W243" s="8">
        <f>IF(U243="","",U243*1000+V243)</f>
        <v/>
      </c>
    </row>
    <row r="244">
      <c r="A244" s="44">
        <f>IF(P244="","",INDEX(前年度名簿!$H$2:$H$451,P244))</f>
        <v/>
      </c>
      <c r="B244" s="44">
        <f>IF(P244="","",IFERROR(INDEX(設定!$G$8:$G$31,INT(INDEX(前年度名簿!$G$2:$G$451,P244)/1000)),INDEX(前年度名簿!$A$2:$A$451,P244)&amp;INDEX(前年度名簿!$B$2:$B$451,P244)))</f>
        <v/>
      </c>
      <c r="C244" s="44">
        <f>IF(P244="","",INDEX(前年度名簿!$C$2:$C$451,P244))</f>
        <v/>
      </c>
      <c r="D244" s="3">
        <f>IF(P244="","",INDEX(前年度名簿!$D$2:$D$451,P244))</f>
        <v/>
      </c>
      <c r="E244" s="44">
        <f>IF(T244="","",INDEX(新年度名簿!$K$2:$K$451,T244))</f>
        <v/>
      </c>
      <c r="F244" s="44">
        <f>IF(T244="","",INDEX(新年度名簿!$C$2:$C$451,T244))</f>
        <v/>
      </c>
      <c r="G244" s="44">
        <f>IF(Q244="","",INDEX(希望入力!$H$2:$H$551,Q244)&amp;"")</f>
        <v/>
      </c>
      <c r="H244" s="44">
        <f>IF(Q244="","",INDEX(希望入力!$I$2:$I$551,Q244)&amp;"")</f>
        <v/>
      </c>
      <c r="I244" s="44">
        <f>IF(Q244="","",INDEX(希望入力!$J$2:$J$551,Q244)&amp;"")</f>
        <v/>
      </c>
      <c r="J244" s="44">
        <f>IF(Q244="","",IF(G244="","要調整",IFERROR(IF(IF(OR(設定!$C$14="〇",設定!$C$14="○"),COUNTIFS($A$7:$A$456,"&gt;="&amp;A244,$G$7:$G$456,G244),COUNTIF($G$7:$G$456,G244))&lt;=(INDEX(設定!$Q$8:$Q$27,MATCH(G244,設定!$P$8:$P$27,0))+N(INDEX(設定!$R$8:$R$27,MATCH(G244,設定!$P$8:$P$27,0)))),G244,"要調整"),"要調整")))</f>
        <v/>
      </c>
      <c r="K244" s="40" t="n"/>
      <c r="L244" s="52">
        <f>IF(P244="","",IF(K244&lt;&gt;"",K244,IF(OR(J244="",J244="要調整"),"",J244)))</f>
        <v/>
      </c>
      <c r="M244" s="44">
        <f>IF(P244="","",IF(AND(計算用!$B$1=1,T244=""),"転出",IF(L244&lt;&gt;"","決定",IF(Q244="","未提出","要調整"))))</f>
        <v/>
      </c>
      <c r="N244" s="44">
        <f>IF(OR(M244&lt;&gt;"要調整",H244=""),"",IFERROR((INDEX(設定!$Q$8:$Q$27,MATCH(H244,設定!$P$8:$P$27,0))+N(INDEX(設定!$R$8:$R$27,MATCH(H244,設定!$P$8:$P$27,0))))-INDEX(定員チェック!$F$7:$F$26,MATCH(H244,設定!$P$8:$P$27,0))-COUNTIFS($M$7:$M$456,"要調整",$G$7:$G$456,H244),""))</f>
        <v/>
      </c>
      <c r="O244" s="44">
        <f>IF(OR(M244&lt;&gt;"要調整",I244=""),"",IFERROR((INDEX(設定!$Q$8:$Q$27,MATCH(I244,設定!$P$8:$P$27,0))+N(INDEX(設定!$R$8:$R$27,MATCH(I244,設定!$P$8:$P$27,0))))-INDEX(定員チェック!$F$7:$F$26,MATCH(I244,設定!$P$8:$P$27,0))-COUNTIFS($M$7:$M$456,"要調整",$G$7:$G$456,I244),""))</f>
        <v/>
      </c>
      <c r="P244" s="8">
        <f>IFERROR(MATCH(SMALL(前年度名簿!$G$2:$G$451,238),前年度名簿!$G$2:$G$451,0),"")</f>
        <v/>
      </c>
      <c r="Q244" s="8">
        <f>IF(R244="","",IFERROR(MATCH(R244,希望入力!$M$2:$M$551,0),""))</f>
        <v/>
      </c>
      <c r="R244" s="8">
        <f>IF(P244="","",INDEX(前年度名簿!$F$2:$F$451,P244))</f>
        <v/>
      </c>
      <c r="S244" s="8">
        <f>IF(P244="","",INDEX(前年度名簿!$I$2:$I$451,P244))</f>
        <v/>
      </c>
      <c r="T244" s="8">
        <f>IF(OR(P244="",計算用!$B$1=0),"",IFERROR(MATCH(S244,新年度名簿!$H$2:$H$451,0),""))</f>
        <v/>
      </c>
      <c r="U244" s="8">
        <f>IF(OR(L244="",M244="転出"),"",IFERROR(MATCH(L244,設定!$P$8:$P$27,0),""))</f>
        <v/>
      </c>
      <c r="V244" s="8">
        <f>IF(U244="","",COUNTIF($U$7:U244,U244))</f>
        <v/>
      </c>
      <c r="W244" s="8">
        <f>IF(U244="","",U244*1000+V244)</f>
        <v/>
      </c>
    </row>
    <row r="245">
      <c r="A245" s="44">
        <f>IF(P245="","",INDEX(前年度名簿!$H$2:$H$451,P245))</f>
        <v/>
      </c>
      <c r="B245" s="44">
        <f>IF(P245="","",IFERROR(INDEX(設定!$G$8:$G$31,INT(INDEX(前年度名簿!$G$2:$G$451,P245)/1000)),INDEX(前年度名簿!$A$2:$A$451,P245)&amp;INDEX(前年度名簿!$B$2:$B$451,P245)))</f>
        <v/>
      </c>
      <c r="C245" s="44">
        <f>IF(P245="","",INDEX(前年度名簿!$C$2:$C$451,P245))</f>
        <v/>
      </c>
      <c r="D245" s="3">
        <f>IF(P245="","",INDEX(前年度名簿!$D$2:$D$451,P245))</f>
        <v/>
      </c>
      <c r="E245" s="44">
        <f>IF(T245="","",INDEX(新年度名簿!$K$2:$K$451,T245))</f>
        <v/>
      </c>
      <c r="F245" s="44">
        <f>IF(T245="","",INDEX(新年度名簿!$C$2:$C$451,T245))</f>
        <v/>
      </c>
      <c r="G245" s="44">
        <f>IF(Q245="","",INDEX(希望入力!$H$2:$H$551,Q245)&amp;"")</f>
        <v/>
      </c>
      <c r="H245" s="44">
        <f>IF(Q245="","",INDEX(希望入力!$I$2:$I$551,Q245)&amp;"")</f>
        <v/>
      </c>
      <c r="I245" s="44">
        <f>IF(Q245="","",INDEX(希望入力!$J$2:$J$551,Q245)&amp;"")</f>
        <v/>
      </c>
      <c r="J245" s="44">
        <f>IF(Q245="","",IF(G245="","要調整",IFERROR(IF(IF(OR(設定!$C$14="〇",設定!$C$14="○"),COUNTIFS($A$7:$A$456,"&gt;="&amp;A245,$G$7:$G$456,G245),COUNTIF($G$7:$G$456,G245))&lt;=(INDEX(設定!$Q$8:$Q$27,MATCH(G245,設定!$P$8:$P$27,0))+N(INDEX(設定!$R$8:$R$27,MATCH(G245,設定!$P$8:$P$27,0)))),G245,"要調整"),"要調整")))</f>
        <v/>
      </c>
      <c r="K245" s="40" t="n"/>
      <c r="L245" s="52">
        <f>IF(P245="","",IF(K245&lt;&gt;"",K245,IF(OR(J245="",J245="要調整"),"",J245)))</f>
        <v/>
      </c>
      <c r="M245" s="44">
        <f>IF(P245="","",IF(AND(計算用!$B$1=1,T245=""),"転出",IF(L245&lt;&gt;"","決定",IF(Q245="","未提出","要調整"))))</f>
        <v/>
      </c>
      <c r="N245" s="44">
        <f>IF(OR(M245&lt;&gt;"要調整",H245=""),"",IFERROR((INDEX(設定!$Q$8:$Q$27,MATCH(H245,設定!$P$8:$P$27,0))+N(INDEX(設定!$R$8:$R$27,MATCH(H245,設定!$P$8:$P$27,0))))-INDEX(定員チェック!$F$7:$F$26,MATCH(H245,設定!$P$8:$P$27,0))-COUNTIFS($M$7:$M$456,"要調整",$G$7:$G$456,H245),""))</f>
        <v/>
      </c>
      <c r="O245" s="44">
        <f>IF(OR(M245&lt;&gt;"要調整",I245=""),"",IFERROR((INDEX(設定!$Q$8:$Q$27,MATCH(I245,設定!$P$8:$P$27,0))+N(INDEX(設定!$R$8:$R$27,MATCH(I245,設定!$P$8:$P$27,0))))-INDEX(定員チェック!$F$7:$F$26,MATCH(I245,設定!$P$8:$P$27,0))-COUNTIFS($M$7:$M$456,"要調整",$G$7:$G$456,I245),""))</f>
        <v/>
      </c>
      <c r="P245" s="8">
        <f>IFERROR(MATCH(SMALL(前年度名簿!$G$2:$G$451,239),前年度名簿!$G$2:$G$451,0),"")</f>
        <v/>
      </c>
      <c r="Q245" s="8">
        <f>IF(R245="","",IFERROR(MATCH(R245,希望入力!$M$2:$M$551,0),""))</f>
        <v/>
      </c>
      <c r="R245" s="8">
        <f>IF(P245="","",INDEX(前年度名簿!$F$2:$F$451,P245))</f>
        <v/>
      </c>
      <c r="S245" s="8">
        <f>IF(P245="","",INDEX(前年度名簿!$I$2:$I$451,P245))</f>
        <v/>
      </c>
      <c r="T245" s="8">
        <f>IF(OR(P245="",計算用!$B$1=0),"",IFERROR(MATCH(S245,新年度名簿!$H$2:$H$451,0),""))</f>
        <v/>
      </c>
      <c r="U245" s="8">
        <f>IF(OR(L245="",M245="転出"),"",IFERROR(MATCH(L245,設定!$P$8:$P$27,0),""))</f>
        <v/>
      </c>
      <c r="V245" s="8">
        <f>IF(U245="","",COUNTIF($U$7:U245,U245))</f>
        <v/>
      </c>
      <c r="W245" s="8">
        <f>IF(U245="","",U245*1000+V245)</f>
        <v/>
      </c>
    </row>
    <row r="246">
      <c r="A246" s="44">
        <f>IF(P246="","",INDEX(前年度名簿!$H$2:$H$451,P246))</f>
        <v/>
      </c>
      <c r="B246" s="44">
        <f>IF(P246="","",IFERROR(INDEX(設定!$G$8:$G$31,INT(INDEX(前年度名簿!$G$2:$G$451,P246)/1000)),INDEX(前年度名簿!$A$2:$A$451,P246)&amp;INDEX(前年度名簿!$B$2:$B$451,P246)))</f>
        <v/>
      </c>
      <c r="C246" s="44">
        <f>IF(P246="","",INDEX(前年度名簿!$C$2:$C$451,P246))</f>
        <v/>
      </c>
      <c r="D246" s="3">
        <f>IF(P246="","",INDEX(前年度名簿!$D$2:$D$451,P246))</f>
        <v/>
      </c>
      <c r="E246" s="44">
        <f>IF(T246="","",INDEX(新年度名簿!$K$2:$K$451,T246))</f>
        <v/>
      </c>
      <c r="F246" s="44">
        <f>IF(T246="","",INDEX(新年度名簿!$C$2:$C$451,T246))</f>
        <v/>
      </c>
      <c r="G246" s="44">
        <f>IF(Q246="","",INDEX(希望入力!$H$2:$H$551,Q246)&amp;"")</f>
        <v/>
      </c>
      <c r="H246" s="44">
        <f>IF(Q246="","",INDEX(希望入力!$I$2:$I$551,Q246)&amp;"")</f>
        <v/>
      </c>
      <c r="I246" s="44">
        <f>IF(Q246="","",INDEX(希望入力!$J$2:$J$551,Q246)&amp;"")</f>
        <v/>
      </c>
      <c r="J246" s="44">
        <f>IF(Q246="","",IF(G246="","要調整",IFERROR(IF(IF(OR(設定!$C$14="〇",設定!$C$14="○"),COUNTIFS($A$7:$A$456,"&gt;="&amp;A246,$G$7:$G$456,G246),COUNTIF($G$7:$G$456,G246))&lt;=(INDEX(設定!$Q$8:$Q$27,MATCH(G246,設定!$P$8:$P$27,0))+N(INDEX(設定!$R$8:$R$27,MATCH(G246,設定!$P$8:$P$27,0)))),G246,"要調整"),"要調整")))</f>
        <v/>
      </c>
      <c r="K246" s="40" t="n"/>
      <c r="L246" s="52">
        <f>IF(P246="","",IF(K246&lt;&gt;"",K246,IF(OR(J246="",J246="要調整"),"",J246)))</f>
        <v/>
      </c>
      <c r="M246" s="44">
        <f>IF(P246="","",IF(AND(計算用!$B$1=1,T246=""),"転出",IF(L246&lt;&gt;"","決定",IF(Q246="","未提出","要調整"))))</f>
        <v/>
      </c>
      <c r="N246" s="44">
        <f>IF(OR(M246&lt;&gt;"要調整",H246=""),"",IFERROR((INDEX(設定!$Q$8:$Q$27,MATCH(H246,設定!$P$8:$P$27,0))+N(INDEX(設定!$R$8:$R$27,MATCH(H246,設定!$P$8:$P$27,0))))-INDEX(定員チェック!$F$7:$F$26,MATCH(H246,設定!$P$8:$P$27,0))-COUNTIFS($M$7:$M$456,"要調整",$G$7:$G$456,H246),""))</f>
        <v/>
      </c>
      <c r="O246" s="44">
        <f>IF(OR(M246&lt;&gt;"要調整",I246=""),"",IFERROR((INDEX(設定!$Q$8:$Q$27,MATCH(I246,設定!$P$8:$P$27,0))+N(INDEX(設定!$R$8:$R$27,MATCH(I246,設定!$P$8:$P$27,0))))-INDEX(定員チェック!$F$7:$F$26,MATCH(I246,設定!$P$8:$P$27,0))-COUNTIFS($M$7:$M$456,"要調整",$G$7:$G$456,I246),""))</f>
        <v/>
      </c>
      <c r="P246" s="8">
        <f>IFERROR(MATCH(SMALL(前年度名簿!$G$2:$G$451,240),前年度名簿!$G$2:$G$451,0),"")</f>
        <v/>
      </c>
      <c r="Q246" s="8">
        <f>IF(R246="","",IFERROR(MATCH(R246,希望入力!$M$2:$M$551,0),""))</f>
        <v/>
      </c>
      <c r="R246" s="8">
        <f>IF(P246="","",INDEX(前年度名簿!$F$2:$F$451,P246))</f>
        <v/>
      </c>
      <c r="S246" s="8">
        <f>IF(P246="","",INDEX(前年度名簿!$I$2:$I$451,P246))</f>
        <v/>
      </c>
      <c r="T246" s="8">
        <f>IF(OR(P246="",計算用!$B$1=0),"",IFERROR(MATCH(S246,新年度名簿!$H$2:$H$451,0),""))</f>
        <v/>
      </c>
      <c r="U246" s="8">
        <f>IF(OR(L246="",M246="転出"),"",IFERROR(MATCH(L246,設定!$P$8:$P$27,0),""))</f>
        <v/>
      </c>
      <c r="V246" s="8">
        <f>IF(U246="","",COUNTIF($U$7:U246,U246))</f>
        <v/>
      </c>
      <c r="W246" s="8">
        <f>IF(U246="","",U246*1000+V246)</f>
        <v/>
      </c>
    </row>
    <row r="247">
      <c r="A247" s="44">
        <f>IF(P247="","",INDEX(前年度名簿!$H$2:$H$451,P247))</f>
        <v/>
      </c>
      <c r="B247" s="44">
        <f>IF(P247="","",IFERROR(INDEX(設定!$G$8:$G$31,INT(INDEX(前年度名簿!$G$2:$G$451,P247)/1000)),INDEX(前年度名簿!$A$2:$A$451,P247)&amp;INDEX(前年度名簿!$B$2:$B$451,P247)))</f>
        <v/>
      </c>
      <c r="C247" s="44">
        <f>IF(P247="","",INDEX(前年度名簿!$C$2:$C$451,P247))</f>
        <v/>
      </c>
      <c r="D247" s="3">
        <f>IF(P247="","",INDEX(前年度名簿!$D$2:$D$451,P247))</f>
        <v/>
      </c>
      <c r="E247" s="44">
        <f>IF(T247="","",INDEX(新年度名簿!$K$2:$K$451,T247))</f>
        <v/>
      </c>
      <c r="F247" s="44">
        <f>IF(T247="","",INDEX(新年度名簿!$C$2:$C$451,T247))</f>
        <v/>
      </c>
      <c r="G247" s="44">
        <f>IF(Q247="","",INDEX(希望入力!$H$2:$H$551,Q247)&amp;"")</f>
        <v/>
      </c>
      <c r="H247" s="44">
        <f>IF(Q247="","",INDEX(希望入力!$I$2:$I$551,Q247)&amp;"")</f>
        <v/>
      </c>
      <c r="I247" s="44">
        <f>IF(Q247="","",INDEX(希望入力!$J$2:$J$551,Q247)&amp;"")</f>
        <v/>
      </c>
      <c r="J247" s="44">
        <f>IF(Q247="","",IF(G247="","要調整",IFERROR(IF(IF(OR(設定!$C$14="〇",設定!$C$14="○"),COUNTIFS($A$7:$A$456,"&gt;="&amp;A247,$G$7:$G$456,G247),COUNTIF($G$7:$G$456,G247))&lt;=(INDEX(設定!$Q$8:$Q$27,MATCH(G247,設定!$P$8:$P$27,0))+N(INDEX(設定!$R$8:$R$27,MATCH(G247,設定!$P$8:$P$27,0)))),G247,"要調整"),"要調整")))</f>
        <v/>
      </c>
      <c r="K247" s="40" t="inlineStr">
        <is>
          <t>料理</t>
        </is>
      </c>
      <c r="L247" s="52">
        <f>IF(P247="","",IF(K247&lt;&gt;"",K247,IF(OR(J247="",J247="要調整"),"",J247)))</f>
        <v/>
      </c>
      <c r="M247" s="44">
        <f>IF(P247="","",IF(AND(計算用!$B$1=1,T247=""),"転出",IF(L247&lt;&gt;"","決定",IF(Q247="","未提出","要調整"))))</f>
        <v/>
      </c>
      <c r="N247" s="44">
        <f>IF(OR(M247&lt;&gt;"要調整",H247=""),"",IFERROR((INDEX(設定!$Q$8:$Q$27,MATCH(H247,設定!$P$8:$P$27,0))+N(INDEX(設定!$R$8:$R$27,MATCH(H247,設定!$P$8:$P$27,0))))-INDEX(定員チェック!$F$7:$F$26,MATCH(H247,設定!$P$8:$P$27,0))-COUNTIFS($M$7:$M$456,"要調整",$G$7:$G$456,H247),""))</f>
        <v/>
      </c>
      <c r="O247" s="44">
        <f>IF(OR(M247&lt;&gt;"要調整",I247=""),"",IFERROR((INDEX(設定!$Q$8:$Q$27,MATCH(I247,設定!$P$8:$P$27,0))+N(INDEX(設定!$R$8:$R$27,MATCH(I247,設定!$P$8:$P$27,0))))-INDEX(定員チェック!$F$7:$F$26,MATCH(I247,設定!$P$8:$P$27,0))-COUNTIFS($M$7:$M$456,"要調整",$G$7:$G$456,I247),""))</f>
        <v/>
      </c>
      <c r="P247" s="8">
        <f>IFERROR(MATCH(SMALL(前年度名簿!$G$2:$G$451,241),前年度名簿!$G$2:$G$451,0),"")</f>
        <v/>
      </c>
      <c r="Q247" s="8">
        <f>IF(R247="","",IFERROR(MATCH(R247,希望入力!$M$2:$M$551,0),""))</f>
        <v/>
      </c>
      <c r="R247" s="8">
        <f>IF(P247="","",INDEX(前年度名簿!$F$2:$F$451,P247))</f>
        <v/>
      </c>
      <c r="S247" s="8">
        <f>IF(P247="","",INDEX(前年度名簿!$I$2:$I$451,P247))</f>
        <v/>
      </c>
      <c r="T247" s="8">
        <f>IF(OR(P247="",計算用!$B$1=0),"",IFERROR(MATCH(S247,新年度名簿!$H$2:$H$451,0),""))</f>
        <v/>
      </c>
      <c r="U247" s="8">
        <f>IF(OR(L247="",M247="転出"),"",IFERROR(MATCH(L247,設定!$P$8:$P$27,0),""))</f>
        <v/>
      </c>
      <c r="V247" s="8">
        <f>IF(U247="","",COUNTIF($U$7:U247,U247))</f>
        <v/>
      </c>
      <c r="W247" s="8">
        <f>IF(U247="","",U247*1000+V247)</f>
        <v/>
      </c>
    </row>
    <row r="248">
      <c r="A248" s="44">
        <f>IF(P248="","",INDEX(前年度名簿!$H$2:$H$451,P248))</f>
        <v/>
      </c>
      <c r="B248" s="44">
        <f>IF(P248="","",IFERROR(INDEX(設定!$G$8:$G$31,INT(INDEX(前年度名簿!$G$2:$G$451,P248)/1000)),INDEX(前年度名簿!$A$2:$A$451,P248)&amp;INDEX(前年度名簿!$B$2:$B$451,P248)))</f>
        <v/>
      </c>
      <c r="C248" s="44">
        <f>IF(P248="","",INDEX(前年度名簿!$C$2:$C$451,P248))</f>
        <v/>
      </c>
      <c r="D248" s="3">
        <f>IF(P248="","",INDEX(前年度名簿!$D$2:$D$451,P248))</f>
        <v/>
      </c>
      <c r="E248" s="44">
        <f>IF(T248="","",INDEX(新年度名簿!$K$2:$K$451,T248))</f>
        <v/>
      </c>
      <c r="F248" s="44">
        <f>IF(T248="","",INDEX(新年度名簿!$C$2:$C$451,T248))</f>
        <v/>
      </c>
      <c r="G248" s="44">
        <f>IF(Q248="","",INDEX(希望入力!$H$2:$H$551,Q248)&amp;"")</f>
        <v/>
      </c>
      <c r="H248" s="44">
        <f>IF(Q248="","",INDEX(希望入力!$I$2:$I$551,Q248)&amp;"")</f>
        <v/>
      </c>
      <c r="I248" s="44">
        <f>IF(Q248="","",INDEX(希望入力!$J$2:$J$551,Q248)&amp;"")</f>
        <v/>
      </c>
      <c r="J248" s="44">
        <f>IF(Q248="","",IF(G248="","要調整",IFERROR(IF(IF(OR(設定!$C$14="〇",設定!$C$14="○"),COUNTIFS($A$7:$A$456,"&gt;="&amp;A248,$G$7:$G$456,G248),COUNTIF($G$7:$G$456,G248))&lt;=(INDEX(設定!$Q$8:$Q$27,MATCH(G248,設定!$P$8:$P$27,0))+N(INDEX(設定!$R$8:$R$27,MATCH(G248,設定!$P$8:$P$27,0)))),G248,"要調整"),"要調整")))</f>
        <v/>
      </c>
      <c r="K248" s="40" t="n"/>
      <c r="L248" s="52">
        <f>IF(P248="","",IF(K248&lt;&gt;"",K248,IF(OR(J248="",J248="要調整"),"",J248)))</f>
        <v/>
      </c>
      <c r="M248" s="44">
        <f>IF(P248="","",IF(AND(計算用!$B$1=1,T248=""),"転出",IF(L248&lt;&gt;"","決定",IF(Q248="","未提出","要調整"))))</f>
        <v/>
      </c>
      <c r="N248" s="44">
        <f>IF(OR(M248&lt;&gt;"要調整",H248=""),"",IFERROR((INDEX(設定!$Q$8:$Q$27,MATCH(H248,設定!$P$8:$P$27,0))+N(INDEX(設定!$R$8:$R$27,MATCH(H248,設定!$P$8:$P$27,0))))-INDEX(定員チェック!$F$7:$F$26,MATCH(H248,設定!$P$8:$P$27,0))-COUNTIFS($M$7:$M$456,"要調整",$G$7:$G$456,H248),""))</f>
        <v/>
      </c>
      <c r="O248" s="44">
        <f>IF(OR(M248&lt;&gt;"要調整",I248=""),"",IFERROR((INDEX(設定!$Q$8:$Q$27,MATCH(I248,設定!$P$8:$P$27,0))+N(INDEX(設定!$R$8:$R$27,MATCH(I248,設定!$P$8:$P$27,0))))-INDEX(定員チェック!$F$7:$F$26,MATCH(I248,設定!$P$8:$P$27,0))-COUNTIFS($M$7:$M$456,"要調整",$G$7:$G$456,I248),""))</f>
        <v/>
      </c>
      <c r="P248" s="8">
        <f>IFERROR(MATCH(SMALL(前年度名簿!$G$2:$G$451,242),前年度名簿!$G$2:$G$451,0),"")</f>
        <v/>
      </c>
      <c r="Q248" s="8">
        <f>IF(R248="","",IFERROR(MATCH(R248,希望入力!$M$2:$M$551,0),""))</f>
        <v/>
      </c>
      <c r="R248" s="8">
        <f>IF(P248="","",INDEX(前年度名簿!$F$2:$F$451,P248))</f>
        <v/>
      </c>
      <c r="S248" s="8">
        <f>IF(P248="","",INDEX(前年度名簿!$I$2:$I$451,P248))</f>
        <v/>
      </c>
      <c r="T248" s="8">
        <f>IF(OR(P248="",計算用!$B$1=0),"",IFERROR(MATCH(S248,新年度名簿!$H$2:$H$451,0),""))</f>
        <v/>
      </c>
      <c r="U248" s="8">
        <f>IF(OR(L248="",M248="転出"),"",IFERROR(MATCH(L248,設定!$P$8:$P$27,0),""))</f>
        <v/>
      </c>
      <c r="V248" s="8">
        <f>IF(U248="","",COUNTIF($U$7:U248,U248))</f>
        <v/>
      </c>
      <c r="W248" s="8">
        <f>IF(U248="","",U248*1000+V248)</f>
        <v/>
      </c>
    </row>
    <row r="249">
      <c r="A249" s="44">
        <f>IF(P249="","",INDEX(前年度名簿!$H$2:$H$451,P249))</f>
        <v/>
      </c>
      <c r="B249" s="44">
        <f>IF(P249="","",IFERROR(INDEX(設定!$G$8:$G$31,INT(INDEX(前年度名簿!$G$2:$G$451,P249)/1000)),INDEX(前年度名簿!$A$2:$A$451,P249)&amp;INDEX(前年度名簿!$B$2:$B$451,P249)))</f>
        <v/>
      </c>
      <c r="C249" s="44">
        <f>IF(P249="","",INDEX(前年度名簿!$C$2:$C$451,P249))</f>
        <v/>
      </c>
      <c r="D249" s="3">
        <f>IF(P249="","",INDEX(前年度名簿!$D$2:$D$451,P249))</f>
        <v/>
      </c>
      <c r="E249" s="44">
        <f>IF(T249="","",INDEX(新年度名簿!$K$2:$K$451,T249))</f>
        <v/>
      </c>
      <c r="F249" s="44">
        <f>IF(T249="","",INDEX(新年度名簿!$C$2:$C$451,T249))</f>
        <v/>
      </c>
      <c r="G249" s="44">
        <f>IF(Q249="","",INDEX(希望入力!$H$2:$H$551,Q249)&amp;"")</f>
        <v/>
      </c>
      <c r="H249" s="44">
        <f>IF(Q249="","",INDEX(希望入力!$I$2:$I$551,Q249)&amp;"")</f>
        <v/>
      </c>
      <c r="I249" s="44">
        <f>IF(Q249="","",INDEX(希望入力!$J$2:$J$551,Q249)&amp;"")</f>
        <v/>
      </c>
      <c r="J249" s="44">
        <f>IF(Q249="","",IF(G249="","要調整",IFERROR(IF(IF(OR(設定!$C$14="〇",設定!$C$14="○"),COUNTIFS($A$7:$A$456,"&gt;="&amp;A249,$G$7:$G$456,G249),COUNTIF($G$7:$G$456,G249))&lt;=(INDEX(設定!$Q$8:$Q$27,MATCH(G249,設定!$P$8:$P$27,0))+N(INDEX(設定!$R$8:$R$27,MATCH(G249,設定!$P$8:$P$27,0)))),G249,"要調整"),"要調整")))</f>
        <v/>
      </c>
      <c r="K249" s="40" t="n"/>
      <c r="L249" s="52">
        <f>IF(P249="","",IF(K249&lt;&gt;"",K249,IF(OR(J249="",J249="要調整"),"",J249)))</f>
        <v/>
      </c>
      <c r="M249" s="44">
        <f>IF(P249="","",IF(AND(計算用!$B$1=1,T249=""),"転出",IF(L249&lt;&gt;"","決定",IF(Q249="","未提出","要調整"))))</f>
        <v/>
      </c>
      <c r="N249" s="44">
        <f>IF(OR(M249&lt;&gt;"要調整",H249=""),"",IFERROR((INDEX(設定!$Q$8:$Q$27,MATCH(H249,設定!$P$8:$P$27,0))+N(INDEX(設定!$R$8:$R$27,MATCH(H249,設定!$P$8:$P$27,0))))-INDEX(定員チェック!$F$7:$F$26,MATCH(H249,設定!$P$8:$P$27,0))-COUNTIFS($M$7:$M$456,"要調整",$G$7:$G$456,H249),""))</f>
        <v/>
      </c>
      <c r="O249" s="44">
        <f>IF(OR(M249&lt;&gt;"要調整",I249=""),"",IFERROR((INDEX(設定!$Q$8:$Q$27,MATCH(I249,設定!$P$8:$P$27,0))+N(INDEX(設定!$R$8:$R$27,MATCH(I249,設定!$P$8:$P$27,0))))-INDEX(定員チェック!$F$7:$F$26,MATCH(I249,設定!$P$8:$P$27,0))-COUNTIFS($M$7:$M$456,"要調整",$G$7:$G$456,I249),""))</f>
        <v/>
      </c>
      <c r="P249" s="8">
        <f>IFERROR(MATCH(SMALL(前年度名簿!$G$2:$G$451,243),前年度名簿!$G$2:$G$451,0),"")</f>
        <v/>
      </c>
      <c r="Q249" s="8">
        <f>IF(R249="","",IFERROR(MATCH(R249,希望入力!$M$2:$M$551,0),""))</f>
        <v/>
      </c>
      <c r="R249" s="8">
        <f>IF(P249="","",INDEX(前年度名簿!$F$2:$F$451,P249))</f>
        <v/>
      </c>
      <c r="S249" s="8">
        <f>IF(P249="","",INDEX(前年度名簿!$I$2:$I$451,P249))</f>
        <v/>
      </c>
      <c r="T249" s="8">
        <f>IF(OR(P249="",計算用!$B$1=0),"",IFERROR(MATCH(S249,新年度名簿!$H$2:$H$451,0),""))</f>
        <v/>
      </c>
      <c r="U249" s="8">
        <f>IF(OR(L249="",M249="転出"),"",IFERROR(MATCH(L249,設定!$P$8:$P$27,0),""))</f>
        <v/>
      </c>
      <c r="V249" s="8">
        <f>IF(U249="","",COUNTIF($U$7:U249,U249))</f>
        <v/>
      </c>
      <c r="W249" s="8">
        <f>IF(U249="","",U249*1000+V249)</f>
        <v/>
      </c>
    </row>
    <row r="250">
      <c r="A250" s="44">
        <f>IF(P250="","",INDEX(前年度名簿!$H$2:$H$451,P250))</f>
        <v/>
      </c>
      <c r="B250" s="44">
        <f>IF(P250="","",IFERROR(INDEX(設定!$G$8:$G$31,INT(INDEX(前年度名簿!$G$2:$G$451,P250)/1000)),INDEX(前年度名簿!$A$2:$A$451,P250)&amp;INDEX(前年度名簿!$B$2:$B$451,P250)))</f>
        <v/>
      </c>
      <c r="C250" s="44">
        <f>IF(P250="","",INDEX(前年度名簿!$C$2:$C$451,P250))</f>
        <v/>
      </c>
      <c r="D250" s="3">
        <f>IF(P250="","",INDEX(前年度名簿!$D$2:$D$451,P250))</f>
        <v/>
      </c>
      <c r="E250" s="44">
        <f>IF(T250="","",INDEX(新年度名簿!$K$2:$K$451,T250))</f>
        <v/>
      </c>
      <c r="F250" s="44">
        <f>IF(T250="","",INDEX(新年度名簿!$C$2:$C$451,T250))</f>
        <v/>
      </c>
      <c r="G250" s="44">
        <f>IF(Q250="","",INDEX(希望入力!$H$2:$H$551,Q250)&amp;"")</f>
        <v/>
      </c>
      <c r="H250" s="44">
        <f>IF(Q250="","",INDEX(希望入力!$I$2:$I$551,Q250)&amp;"")</f>
        <v/>
      </c>
      <c r="I250" s="44">
        <f>IF(Q250="","",INDEX(希望入力!$J$2:$J$551,Q250)&amp;"")</f>
        <v/>
      </c>
      <c r="J250" s="44">
        <f>IF(Q250="","",IF(G250="","要調整",IFERROR(IF(IF(OR(設定!$C$14="〇",設定!$C$14="○"),COUNTIFS($A$7:$A$456,"&gt;="&amp;A250,$G$7:$G$456,G250),COUNTIF($G$7:$G$456,G250))&lt;=(INDEX(設定!$Q$8:$Q$27,MATCH(G250,設定!$P$8:$P$27,0))+N(INDEX(設定!$R$8:$R$27,MATCH(G250,設定!$P$8:$P$27,0)))),G250,"要調整"),"要調整")))</f>
        <v/>
      </c>
      <c r="K250" s="40" t="n"/>
      <c r="L250" s="52">
        <f>IF(P250="","",IF(K250&lt;&gt;"",K250,IF(OR(J250="",J250="要調整"),"",J250)))</f>
        <v/>
      </c>
      <c r="M250" s="44">
        <f>IF(P250="","",IF(AND(計算用!$B$1=1,T250=""),"転出",IF(L250&lt;&gt;"","決定",IF(Q250="","未提出","要調整"))))</f>
        <v/>
      </c>
      <c r="N250" s="44">
        <f>IF(OR(M250&lt;&gt;"要調整",H250=""),"",IFERROR((INDEX(設定!$Q$8:$Q$27,MATCH(H250,設定!$P$8:$P$27,0))+N(INDEX(設定!$R$8:$R$27,MATCH(H250,設定!$P$8:$P$27,0))))-INDEX(定員チェック!$F$7:$F$26,MATCH(H250,設定!$P$8:$P$27,0))-COUNTIFS($M$7:$M$456,"要調整",$G$7:$G$456,H250),""))</f>
        <v/>
      </c>
      <c r="O250" s="44">
        <f>IF(OR(M250&lt;&gt;"要調整",I250=""),"",IFERROR((INDEX(設定!$Q$8:$Q$27,MATCH(I250,設定!$P$8:$P$27,0))+N(INDEX(設定!$R$8:$R$27,MATCH(I250,設定!$P$8:$P$27,0))))-INDEX(定員チェック!$F$7:$F$26,MATCH(I250,設定!$P$8:$P$27,0))-COUNTIFS($M$7:$M$456,"要調整",$G$7:$G$456,I250),""))</f>
        <v/>
      </c>
      <c r="P250" s="8">
        <f>IFERROR(MATCH(SMALL(前年度名簿!$G$2:$G$451,244),前年度名簿!$G$2:$G$451,0),"")</f>
        <v/>
      </c>
      <c r="Q250" s="8">
        <f>IF(R250="","",IFERROR(MATCH(R250,希望入力!$M$2:$M$551,0),""))</f>
        <v/>
      </c>
      <c r="R250" s="8">
        <f>IF(P250="","",INDEX(前年度名簿!$F$2:$F$451,P250))</f>
        <v/>
      </c>
      <c r="S250" s="8">
        <f>IF(P250="","",INDEX(前年度名簿!$I$2:$I$451,P250))</f>
        <v/>
      </c>
      <c r="T250" s="8">
        <f>IF(OR(P250="",計算用!$B$1=0),"",IFERROR(MATCH(S250,新年度名簿!$H$2:$H$451,0),""))</f>
        <v/>
      </c>
      <c r="U250" s="8">
        <f>IF(OR(L250="",M250="転出"),"",IFERROR(MATCH(L250,設定!$P$8:$P$27,0),""))</f>
        <v/>
      </c>
      <c r="V250" s="8">
        <f>IF(U250="","",COUNTIF($U$7:U250,U250))</f>
        <v/>
      </c>
      <c r="W250" s="8">
        <f>IF(U250="","",U250*1000+V250)</f>
        <v/>
      </c>
    </row>
    <row r="251">
      <c r="A251" s="44">
        <f>IF(P251="","",INDEX(前年度名簿!$H$2:$H$451,P251))</f>
        <v/>
      </c>
      <c r="B251" s="44">
        <f>IF(P251="","",IFERROR(INDEX(設定!$G$8:$G$31,INT(INDEX(前年度名簿!$G$2:$G$451,P251)/1000)),INDEX(前年度名簿!$A$2:$A$451,P251)&amp;INDEX(前年度名簿!$B$2:$B$451,P251)))</f>
        <v/>
      </c>
      <c r="C251" s="44">
        <f>IF(P251="","",INDEX(前年度名簿!$C$2:$C$451,P251))</f>
        <v/>
      </c>
      <c r="D251" s="3">
        <f>IF(P251="","",INDEX(前年度名簿!$D$2:$D$451,P251))</f>
        <v/>
      </c>
      <c r="E251" s="44">
        <f>IF(T251="","",INDEX(新年度名簿!$K$2:$K$451,T251))</f>
        <v/>
      </c>
      <c r="F251" s="44">
        <f>IF(T251="","",INDEX(新年度名簿!$C$2:$C$451,T251))</f>
        <v/>
      </c>
      <c r="G251" s="44">
        <f>IF(Q251="","",INDEX(希望入力!$H$2:$H$551,Q251)&amp;"")</f>
        <v/>
      </c>
      <c r="H251" s="44">
        <f>IF(Q251="","",INDEX(希望入力!$I$2:$I$551,Q251)&amp;"")</f>
        <v/>
      </c>
      <c r="I251" s="44">
        <f>IF(Q251="","",INDEX(希望入力!$J$2:$J$551,Q251)&amp;"")</f>
        <v/>
      </c>
      <c r="J251" s="44">
        <f>IF(Q251="","",IF(G251="","要調整",IFERROR(IF(IF(OR(設定!$C$14="〇",設定!$C$14="○"),COUNTIFS($A$7:$A$456,"&gt;="&amp;A251,$G$7:$G$456,G251),COUNTIF($G$7:$G$456,G251))&lt;=(INDEX(設定!$Q$8:$Q$27,MATCH(G251,設定!$P$8:$P$27,0))+N(INDEX(設定!$R$8:$R$27,MATCH(G251,設定!$P$8:$P$27,0)))),G251,"要調整"),"要調整")))</f>
        <v/>
      </c>
      <c r="K251" s="40" t="n"/>
      <c r="L251" s="52">
        <f>IF(P251="","",IF(K251&lt;&gt;"",K251,IF(OR(J251="",J251="要調整"),"",J251)))</f>
        <v/>
      </c>
      <c r="M251" s="44">
        <f>IF(P251="","",IF(AND(計算用!$B$1=1,T251=""),"転出",IF(L251&lt;&gt;"","決定",IF(Q251="","未提出","要調整"))))</f>
        <v/>
      </c>
      <c r="N251" s="44">
        <f>IF(OR(M251&lt;&gt;"要調整",H251=""),"",IFERROR((INDEX(設定!$Q$8:$Q$27,MATCH(H251,設定!$P$8:$P$27,0))+N(INDEX(設定!$R$8:$R$27,MATCH(H251,設定!$P$8:$P$27,0))))-INDEX(定員チェック!$F$7:$F$26,MATCH(H251,設定!$P$8:$P$27,0))-COUNTIFS($M$7:$M$456,"要調整",$G$7:$G$456,H251),""))</f>
        <v/>
      </c>
      <c r="O251" s="44">
        <f>IF(OR(M251&lt;&gt;"要調整",I251=""),"",IFERROR((INDEX(設定!$Q$8:$Q$27,MATCH(I251,設定!$P$8:$P$27,0))+N(INDEX(設定!$R$8:$R$27,MATCH(I251,設定!$P$8:$P$27,0))))-INDEX(定員チェック!$F$7:$F$26,MATCH(I251,設定!$P$8:$P$27,0))-COUNTIFS($M$7:$M$456,"要調整",$G$7:$G$456,I251),""))</f>
        <v/>
      </c>
      <c r="P251" s="8">
        <f>IFERROR(MATCH(SMALL(前年度名簿!$G$2:$G$451,245),前年度名簿!$G$2:$G$451,0),"")</f>
        <v/>
      </c>
      <c r="Q251" s="8">
        <f>IF(R251="","",IFERROR(MATCH(R251,希望入力!$M$2:$M$551,0),""))</f>
        <v/>
      </c>
      <c r="R251" s="8">
        <f>IF(P251="","",INDEX(前年度名簿!$F$2:$F$451,P251))</f>
        <v/>
      </c>
      <c r="S251" s="8">
        <f>IF(P251="","",INDEX(前年度名簿!$I$2:$I$451,P251))</f>
        <v/>
      </c>
      <c r="T251" s="8">
        <f>IF(OR(P251="",計算用!$B$1=0),"",IFERROR(MATCH(S251,新年度名簿!$H$2:$H$451,0),""))</f>
        <v/>
      </c>
      <c r="U251" s="8">
        <f>IF(OR(L251="",M251="転出"),"",IFERROR(MATCH(L251,設定!$P$8:$P$27,0),""))</f>
        <v/>
      </c>
      <c r="V251" s="8">
        <f>IF(U251="","",COUNTIF($U$7:U251,U251))</f>
        <v/>
      </c>
      <c r="W251" s="8">
        <f>IF(U251="","",U251*1000+V251)</f>
        <v/>
      </c>
    </row>
    <row r="252">
      <c r="A252" s="44">
        <f>IF(P252="","",INDEX(前年度名簿!$H$2:$H$451,P252))</f>
        <v/>
      </c>
      <c r="B252" s="44">
        <f>IF(P252="","",IFERROR(INDEX(設定!$G$8:$G$31,INT(INDEX(前年度名簿!$G$2:$G$451,P252)/1000)),INDEX(前年度名簿!$A$2:$A$451,P252)&amp;INDEX(前年度名簿!$B$2:$B$451,P252)))</f>
        <v/>
      </c>
      <c r="C252" s="44">
        <f>IF(P252="","",INDEX(前年度名簿!$C$2:$C$451,P252))</f>
        <v/>
      </c>
      <c r="D252" s="3">
        <f>IF(P252="","",INDEX(前年度名簿!$D$2:$D$451,P252))</f>
        <v/>
      </c>
      <c r="E252" s="44">
        <f>IF(T252="","",INDEX(新年度名簿!$K$2:$K$451,T252))</f>
        <v/>
      </c>
      <c r="F252" s="44">
        <f>IF(T252="","",INDEX(新年度名簿!$C$2:$C$451,T252))</f>
        <v/>
      </c>
      <c r="G252" s="44">
        <f>IF(Q252="","",INDEX(希望入力!$H$2:$H$551,Q252)&amp;"")</f>
        <v/>
      </c>
      <c r="H252" s="44">
        <f>IF(Q252="","",INDEX(希望入力!$I$2:$I$551,Q252)&amp;"")</f>
        <v/>
      </c>
      <c r="I252" s="44">
        <f>IF(Q252="","",INDEX(希望入力!$J$2:$J$551,Q252)&amp;"")</f>
        <v/>
      </c>
      <c r="J252" s="44">
        <f>IF(Q252="","",IF(G252="","要調整",IFERROR(IF(IF(OR(設定!$C$14="〇",設定!$C$14="○"),COUNTIFS($A$7:$A$456,"&gt;="&amp;A252,$G$7:$G$456,G252),COUNTIF($G$7:$G$456,G252))&lt;=(INDEX(設定!$Q$8:$Q$27,MATCH(G252,設定!$P$8:$P$27,0))+N(INDEX(設定!$R$8:$R$27,MATCH(G252,設定!$P$8:$P$27,0)))),G252,"要調整"),"要調整")))</f>
        <v/>
      </c>
      <c r="K252" s="40" t="n"/>
      <c r="L252" s="52">
        <f>IF(P252="","",IF(K252&lt;&gt;"",K252,IF(OR(J252="",J252="要調整"),"",J252)))</f>
        <v/>
      </c>
      <c r="M252" s="44">
        <f>IF(P252="","",IF(AND(計算用!$B$1=1,T252=""),"転出",IF(L252&lt;&gt;"","決定",IF(Q252="","未提出","要調整"))))</f>
        <v/>
      </c>
      <c r="N252" s="44">
        <f>IF(OR(M252&lt;&gt;"要調整",H252=""),"",IFERROR((INDEX(設定!$Q$8:$Q$27,MATCH(H252,設定!$P$8:$P$27,0))+N(INDEX(設定!$R$8:$R$27,MATCH(H252,設定!$P$8:$P$27,0))))-INDEX(定員チェック!$F$7:$F$26,MATCH(H252,設定!$P$8:$P$27,0))-COUNTIFS($M$7:$M$456,"要調整",$G$7:$G$456,H252),""))</f>
        <v/>
      </c>
      <c r="O252" s="44">
        <f>IF(OR(M252&lt;&gt;"要調整",I252=""),"",IFERROR((INDEX(設定!$Q$8:$Q$27,MATCH(I252,設定!$P$8:$P$27,0))+N(INDEX(設定!$R$8:$R$27,MATCH(I252,設定!$P$8:$P$27,0))))-INDEX(定員チェック!$F$7:$F$26,MATCH(I252,設定!$P$8:$P$27,0))-COUNTIFS($M$7:$M$456,"要調整",$G$7:$G$456,I252),""))</f>
        <v/>
      </c>
      <c r="P252" s="8">
        <f>IFERROR(MATCH(SMALL(前年度名簿!$G$2:$G$451,246),前年度名簿!$G$2:$G$451,0),"")</f>
        <v/>
      </c>
      <c r="Q252" s="8">
        <f>IF(R252="","",IFERROR(MATCH(R252,希望入力!$M$2:$M$551,0),""))</f>
        <v/>
      </c>
      <c r="R252" s="8">
        <f>IF(P252="","",INDEX(前年度名簿!$F$2:$F$451,P252))</f>
        <v/>
      </c>
      <c r="S252" s="8">
        <f>IF(P252="","",INDEX(前年度名簿!$I$2:$I$451,P252))</f>
        <v/>
      </c>
      <c r="T252" s="8">
        <f>IF(OR(P252="",計算用!$B$1=0),"",IFERROR(MATCH(S252,新年度名簿!$H$2:$H$451,0),""))</f>
        <v/>
      </c>
      <c r="U252" s="8">
        <f>IF(OR(L252="",M252="転出"),"",IFERROR(MATCH(L252,設定!$P$8:$P$27,0),""))</f>
        <v/>
      </c>
      <c r="V252" s="8">
        <f>IF(U252="","",COUNTIF($U$7:U252,U252))</f>
        <v/>
      </c>
      <c r="W252" s="8">
        <f>IF(U252="","",U252*1000+V252)</f>
        <v/>
      </c>
    </row>
    <row r="253">
      <c r="A253" s="44">
        <f>IF(P253="","",INDEX(前年度名簿!$H$2:$H$451,P253))</f>
        <v/>
      </c>
      <c r="B253" s="44">
        <f>IF(P253="","",IFERROR(INDEX(設定!$G$8:$G$31,INT(INDEX(前年度名簿!$G$2:$G$451,P253)/1000)),INDEX(前年度名簿!$A$2:$A$451,P253)&amp;INDEX(前年度名簿!$B$2:$B$451,P253)))</f>
        <v/>
      </c>
      <c r="C253" s="44">
        <f>IF(P253="","",INDEX(前年度名簿!$C$2:$C$451,P253))</f>
        <v/>
      </c>
      <c r="D253" s="3">
        <f>IF(P253="","",INDEX(前年度名簿!$D$2:$D$451,P253))</f>
        <v/>
      </c>
      <c r="E253" s="44">
        <f>IF(T253="","",INDEX(新年度名簿!$K$2:$K$451,T253))</f>
        <v/>
      </c>
      <c r="F253" s="44">
        <f>IF(T253="","",INDEX(新年度名簿!$C$2:$C$451,T253))</f>
        <v/>
      </c>
      <c r="G253" s="44">
        <f>IF(Q253="","",INDEX(希望入力!$H$2:$H$551,Q253)&amp;"")</f>
        <v/>
      </c>
      <c r="H253" s="44">
        <f>IF(Q253="","",INDEX(希望入力!$I$2:$I$551,Q253)&amp;"")</f>
        <v/>
      </c>
      <c r="I253" s="44">
        <f>IF(Q253="","",INDEX(希望入力!$J$2:$J$551,Q253)&amp;"")</f>
        <v/>
      </c>
      <c r="J253" s="44">
        <f>IF(Q253="","",IF(G253="","要調整",IFERROR(IF(IF(OR(設定!$C$14="〇",設定!$C$14="○"),COUNTIFS($A$7:$A$456,"&gt;="&amp;A253,$G$7:$G$456,G253),COUNTIF($G$7:$G$456,G253))&lt;=(INDEX(設定!$Q$8:$Q$27,MATCH(G253,設定!$P$8:$P$27,0))+N(INDEX(設定!$R$8:$R$27,MATCH(G253,設定!$P$8:$P$27,0)))),G253,"要調整"),"要調整")))</f>
        <v/>
      </c>
      <c r="K253" s="40" t="n"/>
      <c r="L253" s="52">
        <f>IF(P253="","",IF(K253&lt;&gt;"",K253,IF(OR(J253="",J253="要調整"),"",J253)))</f>
        <v/>
      </c>
      <c r="M253" s="44">
        <f>IF(P253="","",IF(AND(計算用!$B$1=1,T253=""),"転出",IF(L253&lt;&gt;"","決定",IF(Q253="","未提出","要調整"))))</f>
        <v/>
      </c>
      <c r="N253" s="44">
        <f>IF(OR(M253&lt;&gt;"要調整",H253=""),"",IFERROR((INDEX(設定!$Q$8:$Q$27,MATCH(H253,設定!$P$8:$P$27,0))+N(INDEX(設定!$R$8:$R$27,MATCH(H253,設定!$P$8:$P$27,0))))-INDEX(定員チェック!$F$7:$F$26,MATCH(H253,設定!$P$8:$P$27,0))-COUNTIFS($M$7:$M$456,"要調整",$G$7:$G$456,H253),""))</f>
        <v/>
      </c>
      <c r="O253" s="44">
        <f>IF(OR(M253&lt;&gt;"要調整",I253=""),"",IFERROR((INDEX(設定!$Q$8:$Q$27,MATCH(I253,設定!$P$8:$P$27,0))+N(INDEX(設定!$R$8:$R$27,MATCH(I253,設定!$P$8:$P$27,0))))-INDEX(定員チェック!$F$7:$F$26,MATCH(I253,設定!$P$8:$P$27,0))-COUNTIFS($M$7:$M$456,"要調整",$G$7:$G$456,I253),""))</f>
        <v/>
      </c>
      <c r="P253" s="8">
        <f>IFERROR(MATCH(SMALL(前年度名簿!$G$2:$G$451,247),前年度名簿!$G$2:$G$451,0),"")</f>
        <v/>
      </c>
      <c r="Q253" s="8">
        <f>IF(R253="","",IFERROR(MATCH(R253,希望入力!$M$2:$M$551,0),""))</f>
        <v/>
      </c>
      <c r="R253" s="8">
        <f>IF(P253="","",INDEX(前年度名簿!$F$2:$F$451,P253))</f>
        <v/>
      </c>
      <c r="S253" s="8">
        <f>IF(P253="","",INDEX(前年度名簿!$I$2:$I$451,P253))</f>
        <v/>
      </c>
      <c r="T253" s="8">
        <f>IF(OR(P253="",計算用!$B$1=0),"",IFERROR(MATCH(S253,新年度名簿!$H$2:$H$451,0),""))</f>
        <v/>
      </c>
      <c r="U253" s="8">
        <f>IF(OR(L253="",M253="転出"),"",IFERROR(MATCH(L253,設定!$P$8:$P$27,0),""))</f>
        <v/>
      </c>
      <c r="V253" s="8">
        <f>IF(U253="","",COUNTIF($U$7:U253,U253))</f>
        <v/>
      </c>
      <c r="W253" s="8">
        <f>IF(U253="","",U253*1000+V253)</f>
        <v/>
      </c>
    </row>
    <row r="254">
      <c r="A254" s="44">
        <f>IF(P254="","",INDEX(前年度名簿!$H$2:$H$451,P254))</f>
        <v/>
      </c>
      <c r="B254" s="44">
        <f>IF(P254="","",IFERROR(INDEX(設定!$G$8:$G$31,INT(INDEX(前年度名簿!$G$2:$G$451,P254)/1000)),INDEX(前年度名簿!$A$2:$A$451,P254)&amp;INDEX(前年度名簿!$B$2:$B$451,P254)))</f>
        <v/>
      </c>
      <c r="C254" s="44">
        <f>IF(P254="","",INDEX(前年度名簿!$C$2:$C$451,P254))</f>
        <v/>
      </c>
      <c r="D254" s="3">
        <f>IF(P254="","",INDEX(前年度名簿!$D$2:$D$451,P254))</f>
        <v/>
      </c>
      <c r="E254" s="44">
        <f>IF(T254="","",INDEX(新年度名簿!$K$2:$K$451,T254))</f>
        <v/>
      </c>
      <c r="F254" s="44">
        <f>IF(T254="","",INDEX(新年度名簿!$C$2:$C$451,T254))</f>
        <v/>
      </c>
      <c r="G254" s="44">
        <f>IF(Q254="","",INDEX(希望入力!$H$2:$H$551,Q254)&amp;"")</f>
        <v/>
      </c>
      <c r="H254" s="44">
        <f>IF(Q254="","",INDEX(希望入力!$I$2:$I$551,Q254)&amp;"")</f>
        <v/>
      </c>
      <c r="I254" s="44">
        <f>IF(Q254="","",INDEX(希望入力!$J$2:$J$551,Q254)&amp;"")</f>
        <v/>
      </c>
      <c r="J254" s="44">
        <f>IF(Q254="","",IF(G254="","要調整",IFERROR(IF(IF(OR(設定!$C$14="〇",設定!$C$14="○"),COUNTIFS($A$7:$A$456,"&gt;="&amp;A254,$G$7:$G$456,G254),COUNTIF($G$7:$G$456,G254))&lt;=(INDEX(設定!$Q$8:$Q$27,MATCH(G254,設定!$P$8:$P$27,0))+N(INDEX(設定!$R$8:$R$27,MATCH(G254,設定!$P$8:$P$27,0)))),G254,"要調整"),"要調整")))</f>
        <v/>
      </c>
      <c r="K254" s="40" t="n"/>
      <c r="L254" s="52">
        <f>IF(P254="","",IF(K254&lt;&gt;"",K254,IF(OR(J254="",J254="要調整"),"",J254)))</f>
        <v/>
      </c>
      <c r="M254" s="44">
        <f>IF(P254="","",IF(AND(計算用!$B$1=1,T254=""),"転出",IF(L254&lt;&gt;"","決定",IF(Q254="","未提出","要調整"))))</f>
        <v/>
      </c>
      <c r="N254" s="44">
        <f>IF(OR(M254&lt;&gt;"要調整",H254=""),"",IFERROR((INDEX(設定!$Q$8:$Q$27,MATCH(H254,設定!$P$8:$P$27,0))+N(INDEX(設定!$R$8:$R$27,MATCH(H254,設定!$P$8:$P$27,0))))-INDEX(定員チェック!$F$7:$F$26,MATCH(H254,設定!$P$8:$P$27,0))-COUNTIFS($M$7:$M$456,"要調整",$G$7:$G$456,H254),""))</f>
        <v/>
      </c>
      <c r="O254" s="44">
        <f>IF(OR(M254&lt;&gt;"要調整",I254=""),"",IFERROR((INDEX(設定!$Q$8:$Q$27,MATCH(I254,設定!$P$8:$P$27,0))+N(INDEX(設定!$R$8:$R$27,MATCH(I254,設定!$P$8:$P$27,0))))-INDEX(定員チェック!$F$7:$F$26,MATCH(I254,設定!$P$8:$P$27,0))-COUNTIFS($M$7:$M$456,"要調整",$G$7:$G$456,I254),""))</f>
        <v/>
      </c>
      <c r="P254" s="8">
        <f>IFERROR(MATCH(SMALL(前年度名簿!$G$2:$G$451,248),前年度名簿!$G$2:$G$451,0),"")</f>
        <v/>
      </c>
      <c r="Q254" s="8">
        <f>IF(R254="","",IFERROR(MATCH(R254,希望入力!$M$2:$M$551,0),""))</f>
        <v/>
      </c>
      <c r="R254" s="8">
        <f>IF(P254="","",INDEX(前年度名簿!$F$2:$F$451,P254))</f>
        <v/>
      </c>
      <c r="S254" s="8">
        <f>IF(P254="","",INDEX(前年度名簿!$I$2:$I$451,P254))</f>
        <v/>
      </c>
      <c r="T254" s="8">
        <f>IF(OR(P254="",計算用!$B$1=0),"",IFERROR(MATCH(S254,新年度名簿!$H$2:$H$451,0),""))</f>
        <v/>
      </c>
      <c r="U254" s="8">
        <f>IF(OR(L254="",M254="転出"),"",IFERROR(MATCH(L254,設定!$P$8:$P$27,0),""))</f>
        <v/>
      </c>
      <c r="V254" s="8">
        <f>IF(U254="","",COUNTIF($U$7:U254,U254))</f>
        <v/>
      </c>
      <c r="W254" s="8">
        <f>IF(U254="","",U254*1000+V254)</f>
        <v/>
      </c>
    </row>
    <row r="255">
      <c r="A255" s="44">
        <f>IF(P255="","",INDEX(前年度名簿!$H$2:$H$451,P255))</f>
        <v/>
      </c>
      <c r="B255" s="44">
        <f>IF(P255="","",IFERROR(INDEX(設定!$G$8:$G$31,INT(INDEX(前年度名簿!$G$2:$G$451,P255)/1000)),INDEX(前年度名簿!$A$2:$A$451,P255)&amp;INDEX(前年度名簿!$B$2:$B$451,P255)))</f>
        <v/>
      </c>
      <c r="C255" s="44">
        <f>IF(P255="","",INDEX(前年度名簿!$C$2:$C$451,P255))</f>
        <v/>
      </c>
      <c r="D255" s="3">
        <f>IF(P255="","",INDEX(前年度名簿!$D$2:$D$451,P255))</f>
        <v/>
      </c>
      <c r="E255" s="44">
        <f>IF(T255="","",INDEX(新年度名簿!$K$2:$K$451,T255))</f>
        <v/>
      </c>
      <c r="F255" s="44">
        <f>IF(T255="","",INDEX(新年度名簿!$C$2:$C$451,T255))</f>
        <v/>
      </c>
      <c r="G255" s="44">
        <f>IF(Q255="","",INDEX(希望入力!$H$2:$H$551,Q255)&amp;"")</f>
        <v/>
      </c>
      <c r="H255" s="44">
        <f>IF(Q255="","",INDEX(希望入力!$I$2:$I$551,Q255)&amp;"")</f>
        <v/>
      </c>
      <c r="I255" s="44">
        <f>IF(Q255="","",INDEX(希望入力!$J$2:$J$551,Q255)&amp;"")</f>
        <v/>
      </c>
      <c r="J255" s="44">
        <f>IF(Q255="","",IF(G255="","要調整",IFERROR(IF(IF(OR(設定!$C$14="〇",設定!$C$14="○"),COUNTIFS($A$7:$A$456,"&gt;="&amp;A255,$G$7:$G$456,G255),COUNTIF($G$7:$G$456,G255))&lt;=(INDEX(設定!$Q$8:$Q$27,MATCH(G255,設定!$P$8:$P$27,0))+N(INDEX(設定!$R$8:$R$27,MATCH(G255,設定!$P$8:$P$27,0)))),G255,"要調整"),"要調整")))</f>
        <v/>
      </c>
      <c r="K255" s="40" t="n"/>
      <c r="L255" s="52">
        <f>IF(P255="","",IF(K255&lt;&gt;"",K255,IF(OR(J255="",J255="要調整"),"",J255)))</f>
        <v/>
      </c>
      <c r="M255" s="44">
        <f>IF(P255="","",IF(AND(計算用!$B$1=1,T255=""),"転出",IF(L255&lt;&gt;"","決定",IF(Q255="","未提出","要調整"))))</f>
        <v/>
      </c>
      <c r="N255" s="44">
        <f>IF(OR(M255&lt;&gt;"要調整",H255=""),"",IFERROR((INDEX(設定!$Q$8:$Q$27,MATCH(H255,設定!$P$8:$P$27,0))+N(INDEX(設定!$R$8:$R$27,MATCH(H255,設定!$P$8:$P$27,0))))-INDEX(定員チェック!$F$7:$F$26,MATCH(H255,設定!$P$8:$P$27,0))-COUNTIFS($M$7:$M$456,"要調整",$G$7:$G$456,H255),""))</f>
        <v/>
      </c>
      <c r="O255" s="44">
        <f>IF(OR(M255&lt;&gt;"要調整",I255=""),"",IFERROR((INDEX(設定!$Q$8:$Q$27,MATCH(I255,設定!$P$8:$P$27,0))+N(INDEX(設定!$R$8:$R$27,MATCH(I255,設定!$P$8:$P$27,0))))-INDEX(定員チェック!$F$7:$F$26,MATCH(I255,設定!$P$8:$P$27,0))-COUNTIFS($M$7:$M$456,"要調整",$G$7:$G$456,I255),""))</f>
        <v/>
      </c>
      <c r="P255" s="8">
        <f>IFERROR(MATCH(SMALL(前年度名簿!$G$2:$G$451,249),前年度名簿!$G$2:$G$451,0),"")</f>
        <v/>
      </c>
      <c r="Q255" s="8">
        <f>IF(R255="","",IFERROR(MATCH(R255,希望入力!$M$2:$M$551,0),""))</f>
        <v/>
      </c>
      <c r="R255" s="8">
        <f>IF(P255="","",INDEX(前年度名簿!$F$2:$F$451,P255))</f>
        <v/>
      </c>
      <c r="S255" s="8">
        <f>IF(P255="","",INDEX(前年度名簿!$I$2:$I$451,P255))</f>
        <v/>
      </c>
      <c r="T255" s="8">
        <f>IF(OR(P255="",計算用!$B$1=0),"",IFERROR(MATCH(S255,新年度名簿!$H$2:$H$451,0),""))</f>
        <v/>
      </c>
      <c r="U255" s="8">
        <f>IF(OR(L255="",M255="転出"),"",IFERROR(MATCH(L255,設定!$P$8:$P$27,0),""))</f>
        <v/>
      </c>
      <c r="V255" s="8">
        <f>IF(U255="","",COUNTIF($U$7:U255,U255))</f>
        <v/>
      </c>
      <c r="W255" s="8">
        <f>IF(U255="","",U255*1000+V255)</f>
        <v/>
      </c>
    </row>
    <row r="256">
      <c r="A256" s="44">
        <f>IF(P256="","",INDEX(前年度名簿!$H$2:$H$451,P256))</f>
        <v/>
      </c>
      <c r="B256" s="44">
        <f>IF(P256="","",IFERROR(INDEX(設定!$G$8:$G$31,INT(INDEX(前年度名簿!$G$2:$G$451,P256)/1000)),INDEX(前年度名簿!$A$2:$A$451,P256)&amp;INDEX(前年度名簿!$B$2:$B$451,P256)))</f>
        <v/>
      </c>
      <c r="C256" s="44">
        <f>IF(P256="","",INDEX(前年度名簿!$C$2:$C$451,P256))</f>
        <v/>
      </c>
      <c r="D256" s="3">
        <f>IF(P256="","",INDEX(前年度名簿!$D$2:$D$451,P256))</f>
        <v/>
      </c>
      <c r="E256" s="44">
        <f>IF(T256="","",INDEX(新年度名簿!$K$2:$K$451,T256))</f>
        <v/>
      </c>
      <c r="F256" s="44">
        <f>IF(T256="","",INDEX(新年度名簿!$C$2:$C$451,T256))</f>
        <v/>
      </c>
      <c r="G256" s="44">
        <f>IF(Q256="","",INDEX(希望入力!$H$2:$H$551,Q256)&amp;"")</f>
        <v/>
      </c>
      <c r="H256" s="44">
        <f>IF(Q256="","",INDEX(希望入力!$I$2:$I$551,Q256)&amp;"")</f>
        <v/>
      </c>
      <c r="I256" s="44">
        <f>IF(Q256="","",INDEX(希望入力!$J$2:$J$551,Q256)&amp;"")</f>
        <v/>
      </c>
      <c r="J256" s="44">
        <f>IF(Q256="","",IF(G256="","要調整",IFERROR(IF(IF(OR(設定!$C$14="〇",設定!$C$14="○"),COUNTIFS($A$7:$A$456,"&gt;="&amp;A256,$G$7:$G$456,G256),COUNTIF($G$7:$G$456,G256))&lt;=(INDEX(設定!$Q$8:$Q$27,MATCH(G256,設定!$P$8:$P$27,0))+N(INDEX(設定!$R$8:$R$27,MATCH(G256,設定!$P$8:$P$27,0)))),G256,"要調整"),"要調整")))</f>
        <v/>
      </c>
      <c r="K256" s="40" t="n"/>
      <c r="L256" s="52">
        <f>IF(P256="","",IF(K256&lt;&gt;"",K256,IF(OR(J256="",J256="要調整"),"",J256)))</f>
        <v/>
      </c>
      <c r="M256" s="44">
        <f>IF(P256="","",IF(AND(計算用!$B$1=1,T256=""),"転出",IF(L256&lt;&gt;"","決定",IF(Q256="","未提出","要調整"))))</f>
        <v/>
      </c>
      <c r="N256" s="44">
        <f>IF(OR(M256&lt;&gt;"要調整",H256=""),"",IFERROR((INDEX(設定!$Q$8:$Q$27,MATCH(H256,設定!$P$8:$P$27,0))+N(INDEX(設定!$R$8:$R$27,MATCH(H256,設定!$P$8:$P$27,0))))-INDEX(定員チェック!$F$7:$F$26,MATCH(H256,設定!$P$8:$P$27,0))-COUNTIFS($M$7:$M$456,"要調整",$G$7:$G$456,H256),""))</f>
        <v/>
      </c>
      <c r="O256" s="44">
        <f>IF(OR(M256&lt;&gt;"要調整",I256=""),"",IFERROR((INDEX(設定!$Q$8:$Q$27,MATCH(I256,設定!$P$8:$P$27,0))+N(INDEX(設定!$R$8:$R$27,MATCH(I256,設定!$P$8:$P$27,0))))-INDEX(定員チェック!$F$7:$F$26,MATCH(I256,設定!$P$8:$P$27,0))-COUNTIFS($M$7:$M$456,"要調整",$G$7:$G$456,I256),""))</f>
        <v/>
      </c>
      <c r="P256" s="8">
        <f>IFERROR(MATCH(SMALL(前年度名簿!$G$2:$G$451,250),前年度名簿!$G$2:$G$451,0),"")</f>
        <v/>
      </c>
      <c r="Q256" s="8">
        <f>IF(R256="","",IFERROR(MATCH(R256,希望入力!$M$2:$M$551,0),""))</f>
        <v/>
      </c>
      <c r="R256" s="8">
        <f>IF(P256="","",INDEX(前年度名簿!$F$2:$F$451,P256))</f>
        <v/>
      </c>
      <c r="S256" s="8">
        <f>IF(P256="","",INDEX(前年度名簿!$I$2:$I$451,P256))</f>
        <v/>
      </c>
      <c r="T256" s="8">
        <f>IF(OR(P256="",計算用!$B$1=0),"",IFERROR(MATCH(S256,新年度名簿!$H$2:$H$451,0),""))</f>
        <v/>
      </c>
      <c r="U256" s="8">
        <f>IF(OR(L256="",M256="転出"),"",IFERROR(MATCH(L256,設定!$P$8:$P$27,0),""))</f>
        <v/>
      </c>
      <c r="V256" s="8">
        <f>IF(U256="","",COUNTIF($U$7:U256,U256))</f>
        <v/>
      </c>
      <c r="W256" s="8">
        <f>IF(U256="","",U256*1000+V256)</f>
        <v/>
      </c>
    </row>
    <row r="257">
      <c r="A257" s="44">
        <f>IF(P257="","",INDEX(前年度名簿!$H$2:$H$451,P257))</f>
        <v/>
      </c>
      <c r="B257" s="44">
        <f>IF(P257="","",IFERROR(INDEX(設定!$G$8:$G$31,INT(INDEX(前年度名簿!$G$2:$G$451,P257)/1000)),INDEX(前年度名簿!$A$2:$A$451,P257)&amp;INDEX(前年度名簿!$B$2:$B$451,P257)))</f>
        <v/>
      </c>
      <c r="C257" s="44">
        <f>IF(P257="","",INDEX(前年度名簿!$C$2:$C$451,P257))</f>
        <v/>
      </c>
      <c r="D257" s="3">
        <f>IF(P257="","",INDEX(前年度名簿!$D$2:$D$451,P257))</f>
        <v/>
      </c>
      <c r="E257" s="44">
        <f>IF(T257="","",INDEX(新年度名簿!$K$2:$K$451,T257))</f>
        <v/>
      </c>
      <c r="F257" s="44">
        <f>IF(T257="","",INDEX(新年度名簿!$C$2:$C$451,T257))</f>
        <v/>
      </c>
      <c r="G257" s="44">
        <f>IF(Q257="","",INDEX(希望入力!$H$2:$H$551,Q257)&amp;"")</f>
        <v/>
      </c>
      <c r="H257" s="44">
        <f>IF(Q257="","",INDEX(希望入力!$I$2:$I$551,Q257)&amp;"")</f>
        <v/>
      </c>
      <c r="I257" s="44">
        <f>IF(Q257="","",INDEX(希望入力!$J$2:$J$551,Q257)&amp;"")</f>
        <v/>
      </c>
      <c r="J257" s="44">
        <f>IF(Q257="","",IF(G257="","要調整",IFERROR(IF(IF(OR(設定!$C$14="〇",設定!$C$14="○"),COUNTIFS($A$7:$A$456,"&gt;="&amp;A257,$G$7:$G$456,G257),COUNTIF($G$7:$G$456,G257))&lt;=(INDEX(設定!$Q$8:$Q$27,MATCH(G257,設定!$P$8:$P$27,0))+N(INDEX(設定!$R$8:$R$27,MATCH(G257,設定!$P$8:$P$27,0)))),G257,"要調整"),"要調整")))</f>
        <v/>
      </c>
      <c r="K257" s="40" t="n"/>
      <c r="L257" s="52">
        <f>IF(P257="","",IF(K257&lt;&gt;"",K257,IF(OR(J257="",J257="要調整"),"",J257)))</f>
        <v/>
      </c>
      <c r="M257" s="44">
        <f>IF(P257="","",IF(AND(計算用!$B$1=1,T257=""),"転出",IF(L257&lt;&gt;"","決定",IF(Q257="","未提出","要調整"))))</f>
        <v/>
      </c>
      <c r="N257" s="44">
        <f>IF(OR(M257&lt;&gt;"要調整",H257=""),"",IFERROR((INDEX(設定!$Q$8:$Q$27,MATCH(H257,設定!$P$8:$P$27,0))+N(INDEX(設定!$R$8:$R$27,MATCH(H257,設定!$P$8:$P$27,0))))-INDEX(定員チェック!$F$7:$F$26,MATCH(H257,設定!$P$8:$P$27,0))-COUNTIFS($M$7:$M$456,"要調整",$G$7:$G$456,H257),""))</f>
        <v/>
      </c>
      <c r="O257" s="44">
        <f>IF(OR(M257&lt;&gt;"要調整",I257=""),"",IFERROR((INDEX(設定!$Q$8:$Q$27,MATCH(I257,設定!$P$8:$P$27,0))+N(INDEX(設定!$R$8:$R$27,MATCH(I257,設定!$P$8:$P$27,0))))-INDEX(定員チェック!$F$7:$F$26,MATCH(I257,設定!$P$8:$P$27,0))-COUNTIFS($M$7:$M$456,"要調整",$G$7:$G$456,I257),""))</f>
        <v/>
      </c>
      <c r="P257" s="8">
        <f>IFERROR(MATCH(SMALL(前年度名簿!$G$2:$G$451,251),前年度名簿!$G$2:$G$451,0),"")</f>
        <v/>
      </c>
      <c r="Q257" s="8">
        <f>IF(R257="","",IFERROR(MATCH(R257,希望入力!$M$2:$M$551,0),""))</f>
        <v/>
      </c>
      <c r="R257" s="8">
        <f>IF(P257="","",INDEX(前年度名簿!$F$2:$F$451,P257))</f>
        <v/>
      </c>
      <c r="S257" s="8">
        <f>IF(P257="","",INDEX(前年度名簿!$I$2:$I$451,P257))</f>
        <v/>
      </c>
      <c r="T257" s="8">
        <f>IF(OR(P257="",計算用!$B$1=0),"",IFERROR(MATCH(S257,新年度名簿!$H$2:$H$451,0),""))</f>
        <v/>
      </c>
      <c r="U257" s="8">
        <f>IF(OR(L257="",M257="転出"),"",IFERROR(MATCH(L257,設定!$P$8:$P$27,0),""))</f>
        <v/>
      </c>
      <c r="V257" s="8">
        <f>IF(U257="","",COUNTIF($U$7:U257,U257))</f>
        <v/>
      </c>
      <c r="W257" s="8">
        <f>IF(U257="","",U257*1000+V257)</f>
        <v/>
      </c>
    </row>
    <row r="258">
      <c r="A258" s="44">
        <f>IF(P258="","",INDEX(前年度名簿!$H$2:$H$451,P258))</f>
        <v/>
      </c>
      <c r="B258" s="44">
        <f>IF(P258="","",IFERROR(INDEX(設定!$G$8:$G$31,INT(INDEX(前年度名簿!$G$2:$G$451,P258)/1000)),INDEX(前年度名簿!$A$2:$A$451,P258)&amp;INDEX(前年度名簿!$B$2:$B$451,P258)))</f>
        <v/>
      </c>
      <c r="C258" s="44">
        <f>IF(P258="","",INDEX(前年度名簿!$C$2:$C$451,P258))</f>
        <v/>
      </c>
      <c r="D258" s="3">
        <f>IF(P258="","",INDEX(前年度名簿!$D$2:$D$451,P258))</f>
        <v/>
      </c>
      <c r="E258" s="44">
        <f>IF(T258="","",INDEX(新年度名簿!$K$2:$K$451,T258))</f>
        <v/>
      </c>
      <c r="F258" s="44">
        <f>IF(T258="","",INDEX(新年度名簿!$C$2:$C$451,T258))</f>
        <v/>
      </c>
      <c r="G258" s="44">
        <f>IF(Q258="","",INDEX(希望入力!$H$2:$H$551,Q258)&amp;"")</f>
        <v/>
      </c>
      <c r="H258" s="44">
        <f>IF(Q258="","",INDEX(希望入力!$I$2:$I$551,Q258)&amp;"")</f>
        <v/>
      </c>
      <c r="I258" s="44">
        <f>IF(Q258="","",INDEX(希望入力!$J$2:$J$551,Q258)&amp;"")</f>
        <v/>
      </c>
      <c r="J258" s="44">
        <f>IF(Q258="","",IF(G258="","要調整",IFERROR(IF(IF(OR(設定!$C$14="〇",設定!$C$14="○"),COUNTIFS($A$7:$A$456,"&gt;="&amp;A258,$G$7:$G$456,G258),COUNTIF($G$7:$G$456,G258))&lt;=(INDEX(設定!$Q$8:$Q$27,MATCH(G258,設定!$P$8:$P$27,0))+N(INDEX(設定!$R$8:$R$27,MATCH(G258,設定!$P$8:$P$27,0)))),G258,"要調整"),"要調整")))</f>
        <v/>
      </c>
      <c r="K258" s="40" t="n"/>
      <c r="L258" s="52">
        <f>IF(P258="","",IF(K258&lt;&gt;"",K258,IF(OR(J258="",J258="要調整"),"",J258)))</f>
        <v/>
      </c>
      <c r="M258" s="44">
        <f>IF(P258="","",IF(AND(計算用!$B$1=1,T258=""),"転出",IF(L258&lt;&gt;"","決定",IF(Q258="","未提出","要調整"))))</f>
        <v/>
      </c>
      <c r="N258" s="44">
        <f>IF(OR(M258&lt;&gt;"要調整",H258=""),"",IFERROR((INDEX(設定!$Q$8:$Q$27,MATCH(H258,設定!$P$8:$P$27,0))+N(INDEX(設定!$R$8:$R$27,MATCH(H258,設定!$P$8:$P$27,0))))-INDEX(定員チェック!$F$7:$F$26,MATCH(H258,設定!$P$8:$P$27,0))-COUNTIFS($M$7:$M$456,"要調整",$G$7:$G$456,H258),""))</f>
        <v/>
      </c>
      <c r="O258" s="44">
        <f>IF(OR(M258&lt;&gt;"要調整",I258=""),"",IFERROR((INDEX(設定!$Q$8:$Q$27,MATCH(I258,設定!$P$8:$P$27,0))+N(INDEX(設定!$R$8:$R$27,MATCH(I258,設定!$P$8:$P$27,0))))-INDEX(定員チェック!$F$7:$F$26,MATCH(I258,設定!$P$8:$P$27,0))-COUNTIFS($M$7:$M$456,"要調整",$G$7:$G$456,I258),""))</f>
        <v/>
      </c>
      <c r="P258" s="8">
        <f>IFERROR(MATCH(SMALL(前年度名簿!$G$2:$G$451,252),前年度名簿!$G$2:$G$451,0),"")</f>
        <v/>
      </c>
      <c r="Q258" s="8">
        <f>IF(R258="","",IFERROR(MATCH(R258,希望入力!$M$2:$M$551,0),""))</f>
        <v/>
      </c>
      <c r="R258" s="8">
        <f>IF(P258="","",INDEX(前年度名簿!$F$2:$F$451,P258))</f>
        <v/>
      </c>
      <c r="S258" s="8">
        <f>IF(P258="","",INDEX(前年度名簿!$I$2:$I$451,P258))</f>
        <v/>
      </c>
      <c r="T258" s="8">
        <f>IF(OR(P258="",計算用!$B$1=0),"",IFERROR(MATCH(S258,新年度名簿!$H$2:$H$451,0),""))</f>
        <v/>
      </c>
      <c r="U258" s="8">
        <f>IF(OR(L258="",M258="転出"),"",IFERROR(MATCH(L258,設定!$P$8:$P$27,0),""))</f>
        <v/>
      </c>
      <c r="V258" s="8">
        <f>IF(U258="","",COUNTIF($U$7:U258,U258))</f>
        <v/>
      </c>
      <c r="W258" s="8">
        <f>IF(U258="","",U258*1000+V258)</f>
        <v/>
      </c>
    </row>
    <row r="259">
      <c r="A259" s="44">
        <f>IF(P259="","",INDEX(前年度名簿!$H$2:$H$451,P259))</f>
        <v/>
      </c>
      <c r="B259" s="44">
        <f>IF(P259="","",IFERROR(INDEX(設定!$G$8:$G$31,INT(INDEX(前年度名簿!$G$2:$G$451,P259)/1000)),INDEX(前年度名簿!$A$2:$A$451,P259)&amp;INDEX(前年度名簿!$B$2:$B$451,P259)))</f>
        <v/>
      </c>
      <c r="C259" s="44">
        <f>IF(P259="","",INDEX(前年度名簿!$C$2:$C$451,P259))</f>
        <v/>
      </c>
      <c r="D259" s="3">
        <f>IF(P259="","",INDEX(前年度名簿!$D$2:$D$451,P259))</f>
        <v/>
      </c>
      <c r="E259" s="44">
        <f>IF(T259="","",INDEX(新年度名簿!$K$2:$K$451,T259))</f>
        <v/>
      </c>
      <c r="F259" s="44">
        <f>IF(T259="","",INDEX(新年度名簿!$C$2:$C$451,T259))</f>
        <v/>
      </c>
      <c r="G259" s="44">
        <f>IF(Q259="","",INDEX(希望入力!$H$2:$H$551,Q259)&amp;"")</f>
        <v/>
      </c>
      <c r="H259" s="44">
        <f>IF(Q259="","",INDEX(希望入力!$I$2:$I$551,Q259)&amp;"")</f>
        <v/>
      </c>
      <c r="I259" s="44">
        <f>IF(Q259="","",INDEX(希望入力!$J$2:$J$551,Q259)&amp;"")</f>
        <v/>
      </c>
      <c r="J259" s="44">
        <f>IF(Q259="","",IF(G259="","要調整",IFERROR(IF(IF(OR(設定!$C$14="〇",設定!$C$14="○"),COUNTIFS($A$7:$A$456,"&gt;="&amp;A259,$G$7:$G$456,G259),COUNTIF($G$7:$G$456,G259))&lt;=(INDEX(設定!$Q$8:$Q$27,MATCH(G259,設定!$P$8:$P$27,0))+N(INDEX(設定!$R$8:$R$27,MATCH(G259,設定!$P$8:$P$27,0)))),G259,"要調整"),"要調整")))</f>
        <v/>
      </c>
      <c r="K259" s="40" t="n"/>
      <c r="L259" s="52">
        <f>IF(P259="","",IF(K259&lt;&gt;"",K259,IF(OR(J259="",J259="要調整"),"",J259)))</f>
        <v/>
      </c>
      <c r="M259" s="44">
        <f>IF(P259="","",IF(AND(計算用!$B$1=1,T259=""),"転出",IF(L259&lt;&gt;"","決定",IF(Q259="","未提出","要調整"))))</f>
        <v/>
      </c>
      <c r="N259" s="44">
        <f>IF(OR(M259&lt;&gt;"要調整",H259=""),"",IFERROR((INDEX(設定!$Q$8:$Q$27,MATCH(H259,設定!$P$8:$P$27,0))+N(INDEX(設定!$R$8:$R$27,MATCH(H259,設定!$P$8:$P$27,0))))-INDEX(定員チェック!$F$7:$F$26,MATCH(H259,設定!$P$8:$P$27,0))-COUNTIFS($M$7:$M$456,"要調整",$G$7:$G$456,H259),""))</f>
        <v/>
      </c>
      <c r="O259" s="44">
        <f>IF(OR(M259&lt;&gt;"要調整",I259=""),"",IFERROR((INDEX(設定!$Q$8:$Q$27,MATCH(I259,設定!$P$8:$P$27,0))+N(INDEX(設定!$R$8:$R$27,MATCH(I259,設定!$P$8:$P$27,0))))-INDEX(定員チェック!$F$7:$F$26,MATCH(I259,設定!$P$8:$P$27,0))-COUNTIFS($M$7:$M$456,"要調整",$G$7:$G$456,I259),""))</f>
        <v/>
      </c>
      <c r="P259" s="8">
        <f>IFERROR(MATCH(SMALL(前年度名簿!$G$2:$G$451,253),前年度名簿!$G$2:$G$451,0),"")</f>
        <v/>
      </c>
      <c r="Q259" s="8">
        <f>IF(R259="","",IFERROR(MATCH(R259,希望入力!$M$2:$M$551,0),""))</f>
        <v/>
      </c>
      <c r="R259" s="8">
        <f>IF(P259="","",INDEX(前年度名簿!$F$2:$F$451,P259))</f>
        <v/>
      </c>
      <c r="S259" s="8">
        <f>IF(P259="","",INDEX(前年度名簿!$I$2:$I$451,P259))</f>
        <v/>
      </c>
      <c r="T259" s="8">
        <f>IF(OR(P259="",計算用!$B$1=0),"",IFERROR(MATCH(S259,新年度名簿!$H$2:$H$451,0),""))</f>
        <v/>
      </c>
      <c r="U259" s="8">
        <f>IF(OR(L259="",M259="転出"),"",IFERROR(MATCH(L259,設定!$P$8:$P$27,0),""))</f>
        <v/>
      </c>
      <c r="V259" s="8">
        <f>IF(U259="","",COUNTIF($U$7:U259,U259))</f>
        <v/>
      </c>
      <c r="W259" s="8">
        <f>IF(U259="","",U259*1000+V259)</f>
        <v/>
      </c>
    </row>
    <row r="260">
      <c r="A260" s="44">
        <f>IF(P260="","",INDEX(前年度名簿!$H$2:$H$451,P260))</f>
        <v/>
      </c>
      <c r="B260" s="44">
        <f>IF(P260="","",IFERROR(INDEX(設定!$G$8:$G$31,INT(INDEX(前年度名簿!$G$2:$G$451,P260)/1000)),INDEX(前年度名簿!$A$2:$A$451,P260)&amp;INDEX(前年度名簿!$B$2:$B$451,P260)))</f>
        <v/>
      </c>
      <c r="C260" s="44">
        <f>IF(P260="","",INDEX(前年度名簿!$C$2:$C$451,P260))</f>
        <v/>
      </c>
      <c r="D260" s="3">
        <f>IF(P260="","",INDEX(前年度名簿!$D$2:$D$451,P260))</f>
        <v/>
      </c>
      <c r="E260" s="44">
        <f>IF(T260="","",INDEX(新年度名簿!$K$2:$K$451,T260))</f>
        <v/>
      </c>
      <c r="F260" s="44">
        <f>IF(T260="","",INDEX(新年度名簿!$C$2:$C$451,T260))</f>
        <v/>
      </c>
      <c r="G260" s="44">
        <f>IF(Q260="","",INDEX(希望入力!$H$2:$H$551,Q260)&amp;"")</f>
        <v/>
      </c>
      <c r="H260" s="44">
        <f>IF(Q260="","",INDEX(希望入力!$I$2:$I$551,Q260)&amp;"")</f>
        <v/>
      </c>
      <c r="I260" s="44">
        <f>IF(Q260="","",INDEX(希望入力!$J$2:$J$551,Q260)&amp;"")</f>
        <v/>
      </c>
      <c r="J260" s="44">
        <f>IF(Q260="","",IF(G260="","要調整",IFERROR(IF(IF(OR(設定!$C$14="〇",設定!$C$14="○"),COUNTIFS($A$7:$A$456,"&gt;="&amp;A260,$G$7:$G$456,G260),COUNTIF($G$7:$G$456,G260))&lt;=(INDEX(設定!$Q$8:$Q$27,MATCH(G260,設定!$P$8:$P$27,0))+N(INDEX(設定!$R$8:$R$27,MATCH(G260,設定!$P$8:$P$27,0)))),G260,"要調整"),"要調整")))</f>
        <v/>
      </c>
      <c r="K260" s="40" t="n"/>
      <c r="L260" s="52">
        <f>IF(P260="","",IF(K260&lt;&gt;"",K260,IF(OR(J260="",J260="要調整"),"",J260)))</f>
        <v/>
      </c>
      <c r="M260" s="44">
        <f>IF(P260="","",IF(AND(計算用!$B$1=1,T260=""),"転出",IF(L260&lt;&gt;"","決定",IF(Q260="","未提出","要調整"))))</f>
        <v/>
      </c>
      <c r="N260" s="44">
        <f>IF(OR(M260&lt;&gt;"要調整",H260=""),"",IFERROR((INDEX(設定!$Q$8:$Q$27,MATCH(H260,設定!$P$8:$P$27,0))+N(INDEX(設定!$R$8:$R$27,MATCH(H260,設定!$P$8:$P$27,0))))-INDEX(定員チェック!$F$7:$F$26,MATCH(H260,設定!$P$8:$P$27,0))-COUNTIFS($M$7:$M$456,"要調整",$G$7:$G$456,H260),""))</f>
        <v/>
      </c>
      <c r="O260" s="44">
        <f>IF(OR(M260&lt;&gt;"要調整",I260=""),"",IFERROR((INDEX(設定!$Q$8:$Q$27,MATCH(I260,設定!$P$8:$P$27,0))+N(INDEX(設定!$R$8:$R$27,MATCH(I260,設定!$P$8:$P$27,0))))-INDEX(定員チェック!$F$7:$F$26,MATCH(I260,設定!$P$8:$P$27,0))-COUNTIFS($M$7:$M$456,"要調整",$G$7:$G$456,I260),""))</f>
        <v/>
      </c>
      <c r="P260" s="8">
        <f>IFERROR(MATCH(SMALL(前年度名簿!$G$2:$G$451,254),前年度名簿!$G$2:$G$451,0),"")</f>
        <v/>
      </c>
      <c r="Q260" s="8">
        <f>IF(R260="","",IFERROR(MATCH(R260,希望入力!$M$2:$M$551,0),""))</f>
        <v/>
      </c>
      <c r="R260" s="8">
        <f>IF(P260="","",INDEX(前年度名簿!$F$2:$F$451,P260))</f>
        <v/>
      </c>
      <c r="S260" s="8">
        <f>IF(P260="","",INDEX(前年度名簿!$I$2:$I$451,P260))</f>
        <v/>
      </c>
      <c r="T260" s="8">
        <f>IF(OR(P260="",計算用!$B$1=0),"",IFERROR(MATCH(S260,新年度名簿!$H$2:$H$451,0),""))</f>
        <v/>
      </c>
      <c r="U260" s="8">
        <f>IF(OR(L260="",M260="転出"),"",IFERROR(MATCH(L260,設定!$P$8:$P$27,0),""))</f>
        <v/>
      </c>
      <c r="V260" s="8">
        <f>IF(U260="","",COUNTIF($U$7:U260,U260))</f>
        <v/>
      </c>
      <c r="W260" s="8">
        <f>IF(U260="","",U260*1000+V260)</f>
        <v/>
      </c>
    </row>
    <row r="261">
      <c r="A261" s="44">
        <f>IF(P261="","",INDEX(前年度名簿!$H$2:$H$451,P261))</f>
        <v/>
      </c>
      <c r="B261" s="44">
        <f>IF(P261="","",IFERROR(INDEX(設定!$G$8:$G$31,INT(INDEX(前年度名簿!$G$2:$G$451,P261)/1000)),INDEX(前年度名簿!$A$2:$A$451,P261)&amp;INDEX(前年度名簿!$B$2:$B$451,P261)))</f>
        <v/>
      </c>
      <c r="C261" s="44">
        <f>IF(P261="","",INDEX(前年度名簿!$C$2:$C$451,P261))</f>
        <v/>
      </c>
      <c r="D261" s="3">
        <f>IF(P261="","",INDEX(前年度名簿!$D$2:$D$451,P261))</f>
        <v/>
      </c>
      <c r="E261" s="44">
        <f>IF(T261="","",INDEX(新年度名簿!$K$2:$K$451,T261))</f>
        <v/>
      </c>
      <c r="F261" s="44">
        <f>IF(T261="","",INDEX(新年度名簿!$C$2:$C$451,T261))</f>
        <v/>
      </c>
      <c r="G261" s="44">
        <f>IF(Q261="","",INDEX(希望入力!$H$2:$H$551,Q261)&amp;"")</f>
        <v/>
      </c>
      <c r="H261" s="44">
        <f>IF(Q261="","",INDEX(希望入力!$I$2:$I$551,Q261)&amp;"")</f>
        <v/>
      </c>
      <c r="I261" s="44">
        <f>IF(Q261="","",INDEX(希望入力!$J$2:$J$551,Q261)&amp;"")</f>
        <v/>
      </c>
      <c r="J261" s="44">
        <f>IF(Q261="","",IF(G261="","要調整",IFERROR(IF(IF(OR(設定!$C$14="〇",設定!$C$14="○"),COUNTIFS($A$7:$A$456,"&gt;="&amp;A261,$G$7:$G$456,G261),COUNTIF($G$7:$G$456,G261))&lt;=(INDEX(設定!$Q$8:$Q$27,MATCH(G261,設定!$P$8:$P$27,0))+N(INDEX(設定!$R$8:$R$27,MATCH(G261,設定!$P$8:$P$27,0)))),G261,"要調整"),"要調整")))</f>
        <v/>
      </c>
      <c r="K261" s="40" t="n"/>
      <c r="L261" s="52">
        <f>IF(P261="","",IF(K261&lt;&gt;"",K261,IF(OR(J261="",J261="要調整"),"",J261)))</f>
        <v/>
      </c>
      <c r="M261" s="44">
        <f>IF(P261="","",IF(AND(計算用!$B$1=1,T261=""),"転出",IF(L261&lt;&gt;"","決定",IF(Q261="","未提出","要調整"))))</f>
        <v/>
      </c>
      <c r="N261" s="44">
        <f>IF(OR(M261&lt;&gt;"要調整",H261=""),"",IFERROR((INDEX(設定!$Q$8:$Q$27,MATCH(H261,設定!$P$8:$P$27,0))+N(INDEX(設定!$R$8:$R$27,MATCH(H261,設定!$P$8:$P$27,0))))-INDEX(定員チェック!$F$7:$F$26,MATCH(H261,設定!$P$8:$P$27,0))-COUNTIFS($M$7:$M$456,"要調整",$G$7:$G$456,H261),""))</f>
        <v/>
      </c>
      <c r="O261" s="44">
        <f>IF(OR(M261&lt;&gt;"要調整",I261=""),"",IFERROR((INDEX(設定!$Q$8:$Q$27,MATCH(I261,設定!$P$8:$P$27,0))+N(INDEX(設定!$R$8:$R$27,MATCH(I261,設定!$P$8:$P$27,0))))-INDEX(定員チェック!$F$7:$F$26,MATCH(I261,設定!$P$8:$P$27,0))-COUNTIFS($M$7:$M$456,"要調整",$G$7:$G$456,I261),""))</f>
        <v/>
      </c>
      <c r="P261" s="8">
        <f>IFERROR(MATCH(SMALL(前年度名簿!$G$2:$G$451,255),前年度名簿!$G$2:$G$451,0),"")</f>
        <v/>
      </c>
      <c r="Q261" s="8">
        <f>IF(R261="","",IFERROR(MATCH(R261,希望入力!$M$2:$M$551,0),""))</f>
        <v/>
      </c>
      <c r="R261" s="8">
        <f>IF(P261="","",INDEX(前年度名簿!$F$2:$F$451,P261))</f>
        <v/>
      </c>
      <c r="S261" s="8">
        <f>IF(P261="","",INDEX(前年度名簿!$I$2:$I$451,P261))</f>
        <v/>
      </c>
      <c r="T261" s="8">
        <f>IF(OR(P261="",計算用!$B$1=0),"",IFERROR(MATCH(S261,新年度名簿!$H$2:$H$451,0),""))</f>
        <v/>
      </c>
      <c r="U261" s="8">
        <f>IF(OR(L261="",M261="転出"),"",IFERROR(MATCH(L261,設定!$P$8:$P$27,0),""))</f>
        <v/>
      </c>
      <c r="V261" s="8">
        <f>IF(U261="","",COUNTIF($U$7:U261,U261))</f>
        <v/>
      </c>
      <c r="W261" s="8">
        <f>IF(U261="","",U261*1000+V261)</f>
        <v/>
      </c>
    </row>
    <row r="262">
      <c r="A262" s="44">
        <f>IF(P262="","",INDEX(前年度名簿!$H$2:$H$451,P262))</f>
        <v/>
      </c>
      <c r="B262" s="44">
        <f>IF(P262="","",IFERROR(INDEX(設定!$G$8:$G$31,INT(INDEX(前年度名簿!$G$2:$G$451,P262)/1000)),INDEX(前年度名簿!$A$2:$A$451,P262)&amp;INDEX(前年度名簿!$B$2:$B$451,P262)))</f>
        <v/>
      </c>
      <c r="C262" s="44">
        <f>IF(P262="","",INDEX(前年度名簿!$C$2:$C$451,P262))</f>
        <v/>
      </c>
      <c r="D262" s="3">
        <f>IF(P262="","",INDEX(前年度名簿!$D$2:$D$451,P262))</f>
        <v/>
      </c>
      <c r="E262" s="44">
        <f>IF(T262="","",INDEX(新年度名簿!$K$2:$K$451,T262))</f>
        <v/>
      </c>
      <c r="F262" s="44">
        <f>IF(T262="","",INDEX(新年度名簿!$C$2:$C$451,T262))</f>
        <v/>
      </c>
      <c r="G262" s="44">
        <f>IF(Q262="","",INDEX(希望入力!$H$2:$H$551,Q262)&amp;"")</f>
        <v/>
      </c>
      <c r="H262" s="44">
        <f>IF(Q262="","",INDEX(希望入力!$I$2:$I$551,Q262)&amp;"")</f>
        <v/>
      </c>
      <c r="I262" s="44">
        <f>IF(Q262="","",INDEX(希望入力!$J$2:$J$551,Q262)&amp;"")</f>
        <v/>
      </c>
      <c r="J262" s="44">
        <f>IF(Q262="","",IF(G262="","要調整",IFERROR(IF(IF(OR(設定!$C$14="〇",設定!$C$14="○"),COUNTIFS($A$7:$A$456,"&gt;="&amp;A262,$G$7:$G$456,G262),COUNTIF($G$7:$G$456,G262))&lt;=(INDEX(設定!$Q$8:$Q$27,MATCH(G262,設定!$P$8:$P$27,0))+N(INDEX(設定!$R$8:$R$27,MATCH(G262,設定!$P$8:$P$27,0)))),G262,"要調整"),"要調整")))</f>
        <v/>
      </c>
      <c r="K262" s="40" t="n"/>
      <c r="L262" s="52">
        <f>IF(P262="","",IF(K262&lt;&gt;"",K262,IF(OR(J262="",J262="要調整"),"",J262)))</f>
        <v/>
      </c>
      <c r="M262" s="44">
        <f>IF(P262="","",IF(AND(計算用!$B$1=1,T262=""),"転出",IF(L262&lt;&gt;"","決定",IF(Q262="","未提出","要調整"))))</f>
        <v/>
      </c>
      <c r="N262" s="44">
        <f>IF(OR(M262&lt;&gt;"要調整",H262=""),"",IFERROR((INDEX(設定!$Q$8:$Q$27,MATCH(H262,設定!$P$8:$P$27,0))+N(INDEX(設定!$R$8:$R$27,MATCH(H262,設定!$P$8:$P$27,0))))-INDEX(定員チェック!$F$7:$F$26,MATCH(H262,設定!$P$8:$P$27,0))-COUNTIFS($M$7:$M$456,"要調整",$G$7:$G$456,H262),""))</f>
        <v/>
      </c>
      <c r="O262" s="44">
        <f>IF(OR(M262&lt;&gt;"要調整",I262=""),"",IFERROR((INDEX(設定!$Q$8:$Q$27,MATCH(I262,設定!$P$8:$P$27,0))+N(INDEX(設定!$R$8:$R$27,MATCH(I262,設定!$P$8:$P$27,0))))-INDEX(定員チェック!$F$7:$F$26,MATCH(I262,設定!$P$8:$P$27,0))-COUNTIFS($M$7:$M$456,"要調整",$G$7:$G$456,I262),""))</f>
        <v/>
      </c>
      <c r="P262" s="8">
        <f>IFERROR(MATCH(SMALL(前年度名簿!$G$2:$G$451,256),前年度名簿!$G$2:$G$451,0),"")</f>
        <v/>
      </c>
      <c r="Q262" s="8">
        <f>IF(R262="","",IFERROR(MATCH(R262,希望入力!$M$2:$M$551,0),""))</f>
        <v/>
      </c>
      <c r="R262" s="8">
        <f>IF(P262="","",INDEX(前年度名簿!$F$2:$F$451,P262))</f>
        <v/>
      </c>
      <c r="S262" s="8">
        <f>IF(P262="","",INDEX(前年度名簿!$I$2:$I$451,P262))</f>
        <v/>
      </c>
      <c r="T262" s="8">
        <f>IF(OR(P262="",計算用!$B$1=0),"",IFERROR(MATCH(S262,新年度名簿!$H$2:$H$451,0),""))</f>
        <v/>
      </c>
      <c r="U262" s="8">
        <f>IF(OR(L262="",M262="転出"),"",IFERROR(MATCH(L262,設定!$P$8:$P$27,0),""))</f>
        <v/>
      </c>
      <c r="V262" s="8">
        <f>IF(U262="","",COUNTIF($U$7:U262,U262))</f>
        <v/>
      </c>
      <c r="W262" s="8">
        <f>IF(U262="","",U262*1000+V262)</f>
        <v/>
      </c>
    </row>
    <row r="263">
      <c r="A263" s="44">
        <f>IF(P263="","",INDEX(前年度名簿!$H$2:$H$451,P263))</f>
        <v/>
      </c>
      <c r="B263" s="44">
        <f>IF(P263="","",IFERROR(INDEX(設定!$G$8:$G$31,INT(INDEX(前年度名簿!$G$2:$G$451,P263)/1000)),INDEX(前年度名簿!$A$2:$A$451,P263)&amp;INDEX(前年度名簿!$B$2:$B$451,P263)))</f>
        <v/>
      </c>
      <c r="C263" s="44">
        <f>IF(P263="","",INDEX(前年度名簿!$C$2:$C$451,P263))</f>
        <v/>
      </c>
      <c r="D263" s="3">
        <f>IF(P263="","",INDEX(前年度名簿!$D$2:$D$451,P263))</f>
        <v/>
      </c>
      <c r="E263" s="44">
        <f>IF(T263="","",INDEX(新年度名簿!$K$2:$K$451,T263))</f>
        <v/>
      </c>
      <c r="F263" s="44">
        <f>IF(T263="","",INDEX(新年度名簿!$C$2:$C$451,T263))</f>
        <v/>
      </c>
      <c r="G263" s="44">
        <f>IF(Q263="","",INDEX(希望入力!$H$2:$H$551,Q263)&amp;"")</f>
        <v/>
      </c>
      <c r="H263" s="44">
        <f>IF(Q263="","",INDEX(希望入力!$I$2:$I$551,Q263)&amp;"")</f>
        <v/>
      </c>
      <c r="I263" s="44">
        <f>IF(Q263="","",INDEX(希望入力!$J$2:$J$551,Q263)&amp;"")</f>
        <v/>
      </c>
      <c r="J263" s="44">
        <f>IF(Q263="","",IF(G263="","要調整",IFERROR(IF(IF(OR(設定!$C$14="〇",設定!$C$14="○"),COUNTIFS($A$7:$A$456,"&gt;="&amp;A263,$G$7:$G$456,G263),COUNTIF($G$7:$G$456,G263))&lt;=(INDEX(設定!$Q$8:$Q$27,MATCH(G263,設定!$P$8:$P$27,0))+N(INDEX(設定!$R$8:$R$27,MATCH(G263,設定!$P$8:$P$27,0)))),G263,"要調整"),"要調整")))</f>
        <v/>
      </c>
      <c r="K263" s="40" t="n"/>
      <c r="L263" s="52">
        <f>IF(P263="","",IF(K263&lt;&gt;"",K263,IF(OR(J263="",J263="要調整"),"",J263)))</f>
        <v/>
      </c>
      <c r="M263" s="44">
        <f>IF(P263="","",IF(AND(計算用!$B$1=1,T263=""),"転出",IF(L263&lt;&gt;"","決定",IF(Q263="","未提出","要調整"))))</f>
        <v/>
      </c>
      <c r="N263" s="44">
        <f>IF(OR(M263&lt;&gt;"要調整",H263=""),"",IFERROR((INDEX(設定!$Q$8:$Q$27,MATCH(H263,設定!$P$8:$P$27,0))+N(INDEX(設定!$R$8:$R$27,MATCH(H263,設定!$P$8:$P$27,0))))-INDEX(定員チェック!$F$7:$F$26,MATCH(H263,設定!$P$8:$P$27,0))-COUNTIFS($M$7:$M$456,"要調整",$G$7:$G$456,H263),""))</f>
        <v/>
      </c>
      <c r="O263" s="44">
        <f>IF(OR(M263&lt;&gt;"要調整",I263=""),"",IFERROR((INDEX(設定!$Q$8:$Q$27,MATCH(I263,設定!$P$8:$P$27,0))+N(INDEX(設定!$R$8:$R$27,MATCH(I263,設定!$P$8:$P$27,0))))-INDEX(定員チェック!$F$7:$F$26,MATCH(I263,設定!$P$8:$P$27,0))-COUNTIFS($M$7:$M$456,"要調整",$G$7:$G$456,I263),""))</f>
        <v/>
      </c>
      <c r="P263" s="8">
        <f>IFERROR(MATCH(SMALL(前年度名簿!$G$2:$G$451,257),前年度名簿!$G$2:$G$451,0),"")</f>
        <v/>
      </c>
      <c r="Q263" s="8">
        <f>IF(R263="","",IFERROR(MATCH(R263,希望入力!$M$2:$M$551,0),""))</f>
        <v/>
      </c>
      <c r="R263" s="8">
        <f>IF(P263="","",INDEX(前年度名簿!$F$2:$F$451,P263))</f>
        <v/>
      </c>
      <c r="S263" s="8">
        <f>IF(P263="","",INDEX(前年度名簿!$I$2:$I$451,P263))</f>
        <v/>
      </c>
      <c r="T263" s="8">
        <f>IF(OR(P263="",計算用!$B$1=0),"",IFERROR(MATCH(S263,新年度名簿!$H$2:$H$451,0),""))</f>
        <v/>
      </c>
      <c r="U263" s="8">
        <f>IF(OR(L263="",M263="転出"),"",IFERROR(MATCH(L263,設定!$P$8:$P$27,0),""))</f>
        <v/>
      </c>
      <c r="V263" s="8">
        <f>IF(U263="","",COUNTIF($U$7:U263,U263))</f>
        <v/>
      </c>
      <c r="W263" s="8">
        <f>IF(U263="","",U263*1000+V263)</f>
        <v/>
      </c>
    </row>
    <row r="264">
      <c r="A264" s="44">
        <f>IF(P264="","",INDEX(前年度名簿!$H$2:$H$451,P264))</f>
        <v/>
      </c>
      <c r="B264" s="44">
        <f>IF(P264="","",IFERROR(INDEX(設定!$G$8:$G$31,INT(INDEX(前年度名簿!$G$2:$G$451,P264)/1000)),INDEX(前年度名簿!$A$2:$A$451,P264)&amp;INDEX(前年度名簿!$B$2:$B$451,P264)))</f>
        <v/>
      </c>
      <c r="C264" s="44">
        <f>IF(P264="","",INDEX(前年度名簿!$C$2:$C$451,P264))</f>
        <v/>
      </c>
      <c r="D264" s="3">
        <f>IF(P264="","",INDEX(前年度名簿!$D$2:$D$451,P264))</f>
        <v/>
      </c>
      <c r="E264" s="44">
        <f>IF(T264="","",INDEX(新年度名簿!$K$2:$K$451,T264))</f>
        <v/>
      </c>
      <c r="F264" s="44">
        <f>IF(T264="","",INDEX(新年度名簿!$C$2:$C$451,T264))</f>
        <v/>
      </c>
      <c r="G264" s="44">
        <f>IF(Q264="","",INDEX(希望入力!$H$2:$H$551,Q264)&amp;"")</f>
        <v/>
      </c>
      <c r="H264" s="44">
        <f>IF(Q264="","",INDEX(希望入力!$I$2:$I$551,Q264)&amp;"")</f>
        <v/>
      </c>
      <c r="I264" s="44">
        <f>IF(Q264="","",INDEX(希望入力!$J$2:$J$551,Q264)&amp;"")</f>
        <v/>
      </c>
      <c r="J264" s="44">
        <f>IF(Q264="","",IF(G264="","要調整",IFERROR(IF(IF(OR(設定!$C$14="〇",設定!$C$14="○"),COUNTIFS($A$7:$A$456,"&gt;="&amp;A264,$G$7:$G$456,G264),COUNTIF($G$7:$G$456,G264))&lt;=(INDEX(設定!$Q$8:$Q$27,MATCH(G264,設定!$P$8:$P$27,0))+N(INDEX(設定!$R$8:$R$27,MATCH(G264,設定!$P$8:$P$27,0)))),G264,"要調整"),"要調整")))</f>
        <v/>
      </c>
      <c r="K264" s="40" t="n"/>
      <c r="L264" s="52">
        <f>IF(P264="","",IF(K264&lt;&gt;"",K264,IF(OR(J264="",J264="要調整"),"",J264)))</f>
        <v/>
      </c>
      <c r="M264" s="44">
        <f>IF(P264="","",IF(AND(計算用!$B$1=1,T264=""),"転出",IF(L264&lt;&gt;"","決定",IF(Q264="","未提出","要調整"))))</f>
        <v/>
      </c>
      <c r="N264" s="44">
        <f>IF(OR(M264&lt;&gt;"要調整",H264=""),"",IFERROR((INDEX(設定!$Q$8:$Q$27,MATCH(H264,設定!$P$8:$P$27,0))+N(INDEX(設定!$R$8:$R$27,MATCH(H264,設定!$P$8:$P$27,0))))-INDEX(定員チェック!$F$7:$F$26,MATCH(H264,設定!$P$8:$P$27,0))-COUNTIFS($M$7:$M$456,"要調整",$G$7:$G$456,H264),""))</f>
        <v/>
      </c>
      <c r="O264" s="44">
        <f>IF(OR(M264&lt;&gt;"要調整",I264=""),"",IFERROR((INDEX(設定!$Q$8:$Q$27,MATCH(I264,設定!$P$8:$P$27,0))+N(INDEX(設定!$R$8:$R$27,MATCH(I264,設定!$P$8:$P$27,0))))-INDEX(定員チェック!$F$7:$F$26,MATCH(I264,設定!$P$8:$P$27,0))-COUNTIFS($M$7:$M$456,"要調整",$G$7:$G$456,I264),""))</f>
        <v/>
      </c>
      <c r="P264" s="8">
        <f>IFERROR(MATCH(SMALL(前年度名簿!$G$2:$G$451,258),前年度名簿!$G$2:$G$451,0),"")</f>
        <v/>
      </c>
      <c r="Q264" s="8">
        <f>IF(R264="","",IFERROR(MATCH(R264,希望入力!$M$2:$M$551,0),""))</f>
        <v/>
      </c>
      <c r="R264" s="8">
        <f>IF(P264="","",INDEX(前年度名簿!$F$2:$F$451,P264))</f>
        <v/>
      </c>
      <c r="S264" s="8">
        <f>IF(P264="","",INDEX(前年度名簿!$I$2:$I$451,P264))</f>
        <v/>
      </c>
      <c r="T264" s="8">
        <f>IF(OR(P264="",計算用!$B$1=0),"",IFERROR(MATCH(S264,新年度名簿!$H$2:$H$451,0),""))</f>
        <v/>
      </c>
      <c r="U264" s="8">
        <f>IF(OR(L264="",M264="転出"),"",IFERROR(MATCH(L264,設定!$P$8:$P$27,0),""))</f>
        <v/>
      </c>
      <c r="V264" s="8">
        <f>IF(U264="","",COUNTIF($U$7:U264,U264))</f>
        <v/>
      </c>
      <c r="W264" s="8">
        <f>IF(U264="","",U264*1000+V264)</f>
        <v/>
      </c>
    </row>
    <row r="265">
      <c r="A265" s="44">
        <f>IF(P265="","",INDEX(前年度名簿!$H$2:$H$451,P265))</f>
        <v/>
      </c>
      <c r="B265" s="44">
        <f>IF(P265="","",IFERROR(INDEX(設定!$G$8:$G$31,INT(INDEX(前年度名簿!$G$2:$G$451,P265)/1000)),INDEX(前年度名簿!$A$2:$A$451,P265)&amp;INDEX(前年度名簿!$B$2:$B$451,P265)))</f>
        <v/>
      </c>
      <c r="C265" s="44">
        <f>IF(P265="","",INDEX(前年度名簿!$C$2:$C$451,P265))</f>
        <v/>
      </c>
      <c r="D265" s="3">
        <f>IF(P265="","",INDEX(前年度名簿!$D$2:$D$451,P265))</f>
        <v/>
      </c>
      <c r="E265" s="44">
        <f>IF(T265="","",INDEX(新年度名簿!$K$2:$K$451,T265))</f>
        <v/>
      </c>
      <c r="F265" s="44">
        <f>IF(T265="","",INDEX(新年度名簿!$C$2:$C$451,T265))</f>
        <v/>
      </c>
      <c r="G265" s="44">
        <f>IF(Q265="","",INDEX(希望入力!$H$2:$H$551,Q265)&amp;"")</f>
        <v/>
      </c>
      <c r="H265" s="44">
        <f>IF(Q265="","",INDEX(希望入力!$I$2:$I$551,Q265)&amp;"")</f>
        <v/>
      </c>
      <c r="I265" s="44">
        <f>IF(Q265="","",INDEX(希望入力!$J$2:$J$551,Q265)&amp;"")</f>
        <v/>
      </c>
      <c r="J265" s="44">
        <f>IF(Q265="","",IF(G265="","要調整",IFERROR(IF(IF(OR(設定!$C$14="〇",設定!$C$14="○"),COUNTIFS($A$7:$A$456,"&gt;="&amp;A265,$G$7:$G$456,G265),COUNTIF($G$7:$G$456,G265))&lt;=(INDEX(設定!$Q$8:$Q$27,MATCH(G265,設定!$P$8:$P$27,0))+N(INDEX(設定!$R$8:$R$27,MATCH(G265,設定!$P$8:$P$27,0)))),G265,"要調整"),"要調整")))</f>
        <v/>
      </c>
      <c r="K265" s="40" t="n"/>
      <c r="L265" s="52">
        <f>IF(P265="","",IF(K265&lt;&gt;"",K265,IF(OR(J265="",J265="要調整"),"",J265)))</f>
        <v/>
      </c>
      <c r="M265" s="44">
        <f>IF(P265="","",IF(AND(計算用!$B$1=1,T265=""),"転出",IF(L265&lt;&gt;"","決定",IF(Q265="","未提出","要調整"))))</f>
        <v/>
      </c>
      <c r="N265" s="44">
        <f>IF(OR(M265&lt;&gt;"要調整",H265=""),"",IFERROR((INDEX(設定!$Q$8:$Q$27,MATCH(H265,設定!$P$8:$P$27,0))+N(INDEX(設定!$R$8:$R$27,MATCH(H265,設定!$P$8:$P$27,0))))-INDEX(定員チェック!$F$7:$F$26,MATCH(H265,設定!$P$8:$P$27,0))-COUNTIFS($M$7:$M$456,"要調整",$G$7:$G$456,H265),""))</f>
        <v/>
      </c>
      <c r="O265" s="44">
        <f>IF(OR(M265&lt;&gt;"要調整",I265=""),"",IFERROR((INDEX(設定!$Q$8:$Q$27,MATCH(I265,設定!$P$8:$P$27,0))+N(INDEX(設定!$R$8:$R$27,MATCH(I265,設定!$P$8:$P$27,0))))-INDEX(定員チェック!$F$7:$F$26,MATCH(I265,設定!$P$8:$P$27,0))-COUNTIFS($M$7:$M$456,"要調整",$G$7:$G$456,I265),""))</f>
        <v/>
      </c>
      <c r="P265" s="8">
        <f>IFERROR(MATCH(SMALL(前年度名簿!$G$2:$G$451,259),前年度名簿!$G$2:$G$451,0),"")</f>
        <v/>
      </c>
      <c r="Q265" s="8">
        <f>IF(R265="","",IFERROR(MATCH(R265,希望入力!$M$2:$M$551,0),""))</f>
        <v/>
      </c>
      <c r="R265" s="8">
        <f>IF(P265="","",INDEX(前年度名簿!$F$2:$F$451,P265))</f>
        <v/>
      </c>
      <c r="S265" s="8">
        <f>IF(P265="","",INDEX(前年度名簿!$I$2:$I$451,P265))</f>
        <v/>
      </c>
      <c r="T265" s="8">
        <f>IF(OR(P265="",計算用!$B$1=0),"",IFERROR(MATCH(S265,新年度名簿!$H$2:$H$451,0),""))</f>
        <v/>
      </c>
      <c r="U265" s="8">
        <f>IF(OR(L265="",M265="転出"),"",IFERROR(MATCH(L265,設定!$P$8:$P$27,0),""))</f>
        <v/>
      </c>
      <c r="V265" s="8">
        <f>IF(U265="","",COUNTIF($U$7:U265,U265))</f>
        <v/>
      </c>
      <c r="W265" s="8">
        <f>IF(U265="","",U265*1000+V265)</f>
        <v/>
      </c>
    </row>
    <row r="266">
      <c r="A266" s="44">
        <f>IF(P266="","",INDEX(前年度名簿!$H$2:$H$451,P266))</f>
        <v/>
      </c>
      <c r="B266" s="44">
        <f>IF(P266="","",IFERROR(INDEX(設定!$G$8:$G$31,INT(INDEX(前年度名簿!$G$2:$G$451,P266)/1000)),INDEX(前年度名簿!$A$2:$A$451,P266)&amp;INDEX(前年度名簿!$B$2:$B$451,P266)))</f>
        <v/>
      </c>
      <c r="C266" s="44">
        <f>IF(P266="","",INDEX(前年度名簿!$C$2:$C$451,P266))</f>
        <v/>
      </c>
      <c r="D266" s="3">
        <f>IF(P266="","",INDEX(前年度名簿!$D$2:$D$451,P266))</f>
        <v/>
      </c>
      <c r="E266" s="44">
        <f>IF(T266="","",INDEX(新年度名簿!$K$2:$K$451,T266))</f>
        <v/>
      </c>
      <c r="F266" s="44">
        <f>IF(T266="","",INDEX(新年度名簿!$C$2:$C$451,T266))</f>
        <v/>
      </c>
      <c r="G266" s="44">
        <f>IF(Q266="","",INDEX(希望入力!$H$2:$H$551,Q266)&amp;"")</f>
        <v/>
      </c>
      <c r="H266" s="44">
        <f>IF(Q266="","",INDEX(希望入力!$I$2:$I$551,Q266)&amp;"")</f>
        <v/>
      </c>
      <c r="I266" s="44">
        <f>IF(Q266="","",INDEX(希望入力!$J$2:$J$551,Q266)&amp;"")</f>
        <v/>
      </c>
      <c r="J266" s="44">
        <f>IF(Q266="","",IF(G266="","要調整",IFERROR(IF(IF(OR(設定!$C$14="〇",設定!$C$14="○"),COUNTIFS($A$7:$A$456,"&gt;="&amp;A266,$G$7:$G$456,G266),COUNTIF($G$7:$G$456,G266))&lt;=(INDEX(設定!$Q$8:$Q$27,MATCH(G266,設定!$P$8:$P$27,0))+N(INDEX(設定!$R$8:$R$27,MATCH(G266,設定!$P$8:$P$27,0)))),G266,"要調整"),"要調整")))</f>
        <v/>
      </c>
      <c r="K266" s="40" t="n"/>
      <c r="L266" s="52">
        <f>IF(P266="","",IF(K266&lt;&gt;"",K266,IF(OR(J266="",J266="要調整"),"",J266)))</f>
        <v/>
      </c>
      <c r="M266" s="44">
        <f>IF(P266="","",IF(AND(計算用!$B$1=1,T266=""),"転出",IF(L266&lt;&gt;"","決定",IF(Q266="","未提出","要調整"))))</f>
        <v/>
      </c>
      <c r="N266" s="44">
        <f>IF(OR(M266&lt;&gt;"要調整",H266=""),"",IFERROR((INDEX(設定!$Q$8:$Q$27,MATCH(H266,設定!$P$8:$P$27,0))+N(INDEX(設定!$R$8:$R$27,MATCH(H266,設定!$P$8:$P$27,0))))-INDEX(定員チェック!$F$7:$F$26,MATCH(H266,設定!$P$8:$P$27,0))-COUNTIFS($M$7:$M$456,"要調整",$G$7:$G$456,H266),""))</f>
        <v/>
      </c>
      <c r="O266" s="44">
        <f>IF(OR(M266&lt;&gt;"要調整",I266=""),"",IFERROR((INDEX(設定!$Q$8:$Q$27,MATCH(I266,設定!$P$8:$P$27,0))+N(INDEX(設定!$R$8:$R$27,MATCH(I266,設定!$P$8:$P$27,0))))-INDEX(定員チェック!$F$7:$F$26,MATCH(I266,設定!$P$8:$P$27,0))-COUNTIFS($M$7:$M$456,"要調整",$G$7:$G$456,I266),""))</f>
        <v/>
      </c>
      <c r="P266" s="8">
        <f>IFERROR(MATCH(SMALL(前年度名簿!$G$2:$G$451,260),前年度名簿!$G$2:$G$451,0),"")</f>
        <v/>
      </c>
      <c r="Q266" s="8">
        <f>IF(R266="","",IFERROR(MATCH(R266,希望入力!$M$2:$M$551,0),""))</f>
        <v/>
      </c>
      <c r="R266" s="8">
        <f>IF(P266="","",INDEX(前年度名簿!$F$2:$F$451,P266))</f>
        <v/>
      </c>
      <c r="S266" s="8">
        <f>IF(P266="","",INDEX(前年度名簿!$I$2:$I$451,P266))</f>
        <v/>
      </c>
      <c r="T266" s="8">
        <f>IF(OR(P266="",計算用!$B$1=0),"",IFERROR(MATCH(S266,新年度名簿!$H$2:$H$451,0),""))</f>
        <v/>
      </c>
      <c r="U266" s="8">
        <f>IF(OR(L266="",M266="転出"),"",IFERROR(MATCH(L266,設定!$P$8:$P$27,0),""))</f>
        <v/>
      </c>
      <c r="V266" s="8">
        <f>IF(U266="","",COUNTIF($U$7:U266,U266))</f>
        <v/>
      </c>
      <c r="W266" s="8">
        <f>IF(U266="","",U266*1000+V266)</f>
        <v/>
      </c>
    </row>
    <row r="267">
      <c r="A267" s="44">
        <f>IF(P267="","",INDEX(前年度名簿!$H$2:$H$451,P267))</f>
        <v/>
      </c>
      <c r="B267" s="44">
        <f>IF(P267="","",IFERROR(INDEX(設定!$G$8:$G$31,INT(INDEX(前年度名簿!$G$2:$G$451,P267)/1000)),INDEX(前年度名簿!$A$2:$A$451,P267)&amp;INDEX(前年度名簿!$B$2:$B$451,P267)))</f>
        <v/>
      </c>
      <c r="C267" s="44">
        <f>IF(P267="","",INDEX(前年度名簿!$C$2:$C$451,P267))</f>
        <v/>
      </c>
      <c r="D267" s="3">
        <f>IF(P267="","",INDEX(前年度名簿!$D$2:$D$451,P267))</f>
        <v/>
      </c>
      <c r="E267" s="44">
        <f>IF(T267="","",INDEX(新年度名簿!$K$2:$K$451,T267))</f>
        <v/>
      </c>
      <c r="F267" s="44">
        <f>IF(T267="","",INDEX(新年度名簿!$C$2:$C$451,T267))</f>
        <v/>
      </c>
      <c r="G267" s="44">
        <f>IF(Q267="","",INDEX(希望入力!$H$2:$H$551,Q267)&amp;"")</f>
        <v/>
      </c>
      <c r="H267" s="44">
        <f>IF(Q267="","",INDEX(希望入力!$I$2:$I$551,Q267)&amp;"")</f>
        <v/>
      </c>
      <c r="I267" s="44">
        <f>IF(Q267="","",INDEX(希望入力!$J$2:$J$551,Q267)&amp;"")</f>
        <v/>
      </c>
      <c r="J267" s="44">
        <f>IF(Q267="","",IF(G267="","要調整",IFERROR(IF(IF(OR(設定!$C$14="〇",設定!$C$14="○"),COUNTIFS($A$7:$A$456,"&gt;="&amp;A267,$G$7:$G$456,G267),COUNTIF($G$7:$G$456,G267))&lt;=(INDEX(設定!$Q$8:$Q$27,MATCH(G267,設定!$P$8:$P$27,0))+N(INDEX(設定!$R$8:$R$27,MATCH(G267,設定!$P$8:$P$27,0)))),G267,"要調整"),"要調整")))</f>
        <v/>
      </c>
      <c r="K267" s="40" t="n"/>
      <c r="L267" s="52">
        <f>IF(P267="","",IF(K267&lt;&gt;"",K267,IF(OR(J267="",J267="要調整"),"",J267)))</f>
        <v/>
      </c>
      <c r="M267" s="44">
        <f>IF(P267="","",IF(AND(計算用!$B$1=1,T267=""),"転出",IF(L267&lt;&gt;"","決定",IF(Q267="","未提出","要調整"))))</f>
        <v/>
      </c>
      <c r="N267" s="44">
        <f>IF(OR(M267&lt;&gt;"要調整",H267=""),"",IFERROR((INDEX(設定!$Q$8:$Q$27,MATCH(H267,設定!$P$8:$P$27,0))+N(INDEX(設定!$R$8:$R$27,MATCH(H267,設定!$P$8:$P$27,0))))-INDEX(定員チェック!$F$7:$F$26,MATCH(H267,設定!$P$8:$P$27,0))-COUNTIFS($M$7:$M$456,"要調整",$G$7:$G$456,H267),""))</f>
        <v/>
      </c>
      <c r="O267" s="44">
        <f>IF(OR(M267&lt;&gt;"要調整",I267=""),"",IFERROR((INDEX(設定!$Q$8:$Q$27,MATCH(I267,設定!$P$8:$P$27,0))+N(INDEX(設定!$R$8:$R$27,MATCH(I267,設定!$P$8:$P$27,0))))-INDEX(定員チェック!$F$7:$F$26,MATCH(I267,設定!$P$8:$P$27,0))-COUNTIFS($M$7:$M$456,"要調整",$G$7:$G$456,I267),""))</f>
        <v/>
      </c>
      <c r="P267" s="8">
        <f>IFERROR(MATCH(SMALL(前年度名簿!$G$2:$G$451,261),前年度名簿!$G$2:$G$451,0),"")</f>
        <v/>
      </c>
      <c r="Q267" s="8">
        <f>IF(R267="","",IFERROR(MATCH(R267,希望入力!$M$2:$M$551,0),""))</f>
        <v/>
      </c>
      <c r="R267" s="8">
        <f>IF(P267="","",INDEX(前年度名簿!$F$2:$F$451,P267))</f>
        <v/>
      </c>
      <c r="S267" s="8">
        <f>IF(P267="","",INDEX(前年度名簿!$I$2:$I$451,P267))</f>
        <v/>
      </c>
      <c r="T267" s="8">
        <f>IF(OR(P267="",計算用!$B$1=0),"",IFERROR(MATCH(S267,新年度名簿!$H$2:$H$451,0),""))</f>
        <v/>
      </c>
      <c r="U267" s="8">
        <f>IF(OR(L267="",M267="転出"),"",IFERROR(MATCH(L267,設定!$P$8:$P$27,0),""))</f>
        <v/>
      </c>
      <c r="V267" s="8">
        <f>IF(U267="","",COUNTIF($U$7:U267,U267))</f>
        <v/>
      </c>
      <c r="W267" s="8">
        <f>IF(U267="","",U267*1000+V267)</f>
        <v/>
      </c>
    </row>
    <row r="268">
      <c r="A268" s="44">
        <f>IF(P268="","",INDEX(前年度名簿!$H$2:$H$451,P268))</f>
        <v/>
      </c>
      <c r="B268" s="44">
        <f>IF(P268="","",IFERROR(INDEX(設定!$G$8:$G$31,INT(INDEX(前年度名簿!$G$2:$G$451,P268)/1000)),INDEX(前年度名簿!$A$2:$A$451,P268)&amp;INDEX(前年度名簿!$B$2:$B$451,P268)))</f>
        <v/>
      </c>
      <c r="C268" s="44">
        <f>IF(P268="","",INDEX(前年度名簿!$C$2:$C$451,P268))</f>
        <v/>
      </c>
      <c r="D268" s="3">
        <f>IF(P268="","",INDEX(前年度名簿!$D$2:$D$451,P268))</f>
        <v/>
      </c>
      <c r="E268" s="44">
        <f>IF(T268="","",INDEX(新年度名簿!$K$2:$K$451,T268))</f>
        <v/>
      </c>
      <c r="F268" s="44">
        <f>IF(T268="","",INDEX(新年度名簿!$C$2:$C$451,T268))</f>
        <v/>
      </c>
      <c r="G268" s="44">
        <f>IF(Q268="","",INDEX(希望入力!$H$2:$H$551,Q268)&amp;"")</f>
        <v/>
      </c>
      <c r="H268" s="44">
        <f>IF(Q268="","",INDEX(希望入力!$I$2:$I$551,Q268)&amp;"")</f>
        <v/>
      </c>
      <c r="I268" s="44">
        <f>IF(Q268="","",INDEX(希望入力!$J$2:$J$551,Q268)&amp;"")</f>
        <v/>
      </c>
      <c r="J268" s="44">
        <f>IF(Q268="","",IF(G268="","要調整",IFERROR(IF(IF(OR(設定!$C$14="〇",設定!$C$14="○"),COUNTIFS($A$7:$A$456,"&gt;="&amp;A268,$G$7:$G$456,G268),COUNTIF($G$7:$G$456,G268))&lt;=(INDEX(設定!$Q$8:$Q$27,MATCH(G268,設定!$P$8:$P$27,0))+N(INDEX(設定!$R$8:$R$27,MATCH(G268,設定!$P$8:$P$27,0)))),G268,"要調整"),"要調整")))</f>
        <v/>
      </c>
      <c r="K268" s="40" t="n"/>
      <c r="L268" s="52">
        <f>IF(P268="","",IF(K268&lt;&gt;"",K268,IF(OR(J268="",J268="要調整"),"",J268)))</f>
        <v/>
      </c>
      <c r="M268" s="44">
        <f>IF(P268="","",IF(AND(計算用!$B$1=1,T268=""),"転出",IF(L268&lt;&gt;"","決定",IF(Q268="","未提出","要調整"))))</f>
        <v/>
      </c>
      <c r="N268" s="44">
        <f>IF(OR(M268&lt;&gt;"要調整",H268=""),"",IFERROR((INDEX(設定!$Q$8:$Q$27,MATCH(H268,設定!$P$8:$P$27,0))+N(INDEX(設定!$R$8:$R$27,MATCH(H268,設定!$P$8:$P$27,0))))-INDEX(定員チェック!$F$7:$F$26,MATCH(H268,設定!$P$8:$P$27,0))-COUNTIFS($M$7:$M$456,"要調整",$G$7:$G$456,H268),""))</f>
        <v/>
      </c>
      <c r="O268" s="44">
        <f>IF(OR(M268&lt;&gt;"要調整",I268=""),"",IFERROR((INDEX(設定!$Q$8:$Q$27,MATCH(I268,設定!$P$8:$P$27,0))+N(INDEX(設定!$R$8:$R$27,MATCH(I268,設定!$P$8:$P$27,0))))-INDEX(定員チェック!$F$7:$F$26,MATCH(I268,設定!$P$8:$P$27,0))-COUNTIFS($M$7:$M$456,"要調整",$G$7:$G$456,I268),""))</f>
        <v/>
      </c>
      <c r="P268" s="8">
        <f>IFERROR(MATCH(SMALL(前年度名簿!$G$2:$G$451,262),前年度名簿!$G$2:$G$451,0),"")</f>
        <v/>
      </c>
      <c r="Q268" s="8">
        <f>IF(R268="","",IFERROR(MATCH(R268,希望入力!$M$2:$M$551,0),""))</f>
        <v/>
      </c>
      <c r="R268" s="8">
        <f>IF(P268="","",INDEX(前年度名簿!$F$2:$F$451,P268))</f>
        <v/>
      </c>
      <c r="S268" s="8">
        <f>IF(P268="","",INDEX(前年度名簿!$I$2:$I$451,P268))</f>
        <v/>
      </c>
      <c r="T268" s="8">
        <f>IF(OR(P268="",計算用!$B$1=0),"",IFERROR(MATCH(S268,新年度名簿!$H$2:$H$451,0),""))</f>
        <v/>
      </c>
      <c r="U268" s="8">
        <f>IF(OR(L268="",M268="転出"),"",IFERROR(MATCH(L268,設定!$P$8:$P$27,0),""))</f>
        <v/>
      </c>
      <c r="V268" s="8">
        <f>IF(U268="","",COUNTIF($U$7:U268,U268))</f>
        <v/>
      </c>
      <c r="W268" s="8">
        <f>IF(U268="","",U268*1000+V268)</f>
        <v/>
      </c>
    </row>
    <row r="269">
      <c r="A269" s="44">
        <f>IF(P269="","",INDEX(前年度名簿!$H$2:$H$451,P269))</f>
        <v/>
      </c>
      <c r="B269" s="44">
        <f>IF(P269="","",IFERROR(INDEX(設定!$G$8:$G$31,INT(INDEX(前年度名簿!$G$2:$G$451,P269)/1000)),INDEX(前年度名簿!$A$2:$A$451,P269)&amp;INDEX(前年度名簿!$B$2:$B$451,P269)))</f>
        <v/>
      </c>
      <c r="C269" s="44">
        <f>IF(P269="","",INDEX(前年度名簿!$C$2:$C$451,P269))</f>
        <v/>
      </c>
      <c r="D269" s="3">
        <f>IF(P269="","",INDEX(前年度名簿!$D$2:$D$451,P269))</f>
        <v/>
      </c>
      <c r="E269" s="44">
        <f>IF(T269="","",INDEX(新年度名簿!$K$2:$K$451,T269))</f>
        <v/>
      </c>
      <c r="F269" s="44">
        <f>IF(T269="","",INDEX(新年度名簿!$C$2:$C$451,T269))</f>
        <v/>
      </c>
      <c r="G269" s="44">
        <f>IF(Q269="","",INDEX(希望入力!$H$2:$H$551,Q269)&amp;"")</f>
        <v/>
      </c>
      <c r="H269" s="44">
        <f>IF(Q269="","",INDEX(希望入力!$I$2:$I$551,Q269)&amp;"")</f>
        <v/>
      </c>
      <c r="I269" s="44">
        <f>IF(Q269="","",INDEX(希望入力!$J$2:$J$551,Q269)&amp;"")</f>
        <v/>
      </c>
      <c r="J269" s="44">
        <f>IF(Q269="","",IF(G269="","要調整",IFERROR(IF(IF(OR(設定!$C$14="〇",設定!$C$14="○"),COUNTIFS($A$7:$A$456,"&gt;="&amp;A269,$G$7:$G$456,G269),COUNTIF($G$7:$G$456,G269))&lt;=(INDEX(設定!$Q$8:$Q$27,MATCH(G269,設定!$P$8:$P$27,0))+N(INDEX(設定!$R$8:$R$27,MATCH(G269,設定!$P$8:$P$27,0)))),G269,"要調整"),"要調整")))</f>
        <v/>
      </c>
      <c r="K269" s="40" t="n"/>
      <c r="L269" s="52">
        <f>IF(P269="","",IF(K269&lt;&gt;"",K269,IF(OR(J269="",J269="要調整"),"",J269)))</f>
        <v/>
      </c>
      <c r="M269" s="44">
        <f>IF(P269="","",IF(AND(計算用!$B$1=1,T269=""),"転出",IF(L269&lt;&gt;"","決定",IF(Q269="","未提出","要調整"))))</f>
        <v/>
      </c>
      <c r="N269" s="44">
        <f>IF(OR(M269&lt;&gt;"要調整",H269=""),"",IFERROR((INDEX(設定!$Q$8:$Q$27,MATCH(H269,設定!$P$8:$P$27,0))+N(INDEX(設定!$R$8:$R$27,MATCH(H269,設定!$P$8:$P$27,0))))-INDEX(定員チェック!$F$7:$F$26,MATCH(H269,設定!$P$8:$P$27,0))-COUNTIFS($M$7:$M$456,"要調整",$G$7:$G$456,H269),""))</f>
        <v/>
      </c>
      <c r="O269" s="44">
        <f>IF(OR(M269&lt;&gt;"要調整",I269=""),"",IFERROR((INDEX(設定!$Q$8:$Q$27,MATCH(I269,設定!$P$8:$P$27,0))+N(INDEX(設定!$R$8:$R$27,MATCH(I269,設定!$P$8:$P$27,0))))-INDEX(定員チェック!$F$7:$F$26,MATCH(I269,設定!$P$8:$P$27,0))-COUNTIFS($M$7:$M$456,"要調整",$G$7:$G$456,I269),""))</f>
        <v/>
      </c>
      <c r="P269" s="8">
        <f>IFERROR(MATCH(SMALL(前年度名簿!$G$2:$G$451,263),前年度名簿!$G$2:$G$451,0),"")</f>
        <v/>
      </c>
      <c r="Q269" s="8">
        <f>IF(R269="","",IFERROR(MATCH(R269,希望入力!$M$2:$M$551,0),""))</f>
        <v/>
      </c>
      <c r="R269" s="8">
        <f>IF(P269="","",INDEX(前年度名簿!$F$2:$F$451,P269))</f>
        <v/>
      </c>
      <c r="S269" s="8">
        <f>IF(P269="","",INDEX(前年度名簿!$I$2:$I$451,P269))</f>
        <v/>
      </c>
      <c r="T269" s="8">
        <f>IF(OR(P269="",計算用!$B$1=0),"",IFERROR(MATCH(S269,新年度名簿!$H$2:$H$451,0),""))</f>
        <v/>
      </c>
      <c r="U269" s="8">
        <f>IF(OR(L269="",M269="転出"),"",IFERROR(MATCH(L269,設定!$P$8:$P$27,0),""))</f>
        <v/>
      </c>
      <c r="V269" s="8">
        <f>IF(U269="","",COUNTIF($U$7:U269,U269))</f>
        <v/>
      </c>
      <c r="W269" s="8">
        <f>IF(U269="","",U269*1000+V269)</f>
        <v/>
      </c>
    </row>
    <row r="270">
      <c r="A270" s="44">
        <f>IF(P270="","",INDEX(前年度名簿!$H$2:$H$451,P270))</f>
        <v/>
      </c>
      <c r="B270" s="44">
        <f>IF(P270="","",IFERROR(INDEX(設定!$G$8:$G$31,INT(INDEX(前年度名簿!$G$2:$G$451,P270)/1000)),INDEX(前年度名簿!$A$2:$A$451,P270)&amp;INDEX(前年度名簿!$B$2:$B$451,P270)))</f>
        <v/>
      </c>
      <c r="C270" s="44">
        <f>IF(P270="","",INDEX(前年度名簿!$C$2:$C$451,P270))</f>
        <v/>
      </c>
      <c r="D270" s="3">
        <f>IF(P270="","",INDEX(前年度名簿!$D$2:$D$451,P270))</f>
        <v/>
      </c>
      <c r="E270" s="44">
        <f>IF(T270="","",INDEX(新年度名簿!$K$2:$K$451,T270))</f>
        <v/>
      </c>
      <c r="F270" s="44">
        <f>IF(T270="","",INDEX(新年度名簿!$C$2:$C$451,T270))</f>
        <v/>
      </c>
      <c r="G270" s="44">
        <f>IF(Q270="","",INDEX(希望入力!$H$2:$H$551,Q270)&amp;"")</f>
        <v/>
      </c>
      <c r="H270" s="44">
        <f>IF(Q270="","",INDEX(希望入力!$I$2:$I$551,Q270)&amp;"")</f>
        <v/>
      </c>
      <c r="I270" s="44">
        <f>IF(Q270="","",INDEX(希望入力!$J$2:$J$551,Q270)&amp;"")</f>
        <v/>
      </c>
      <c r="J270" s="44">
        <f>IF(Q270="","",IF(G270="","要調整",IFERROR(IF(IF(OR(設定!$C$14="〇",設定!$C$14="○"),COUNTIFS($A$7:$A$456,"&gt;="&amp;A270,$G$7:$G$456,G270),COUNTIF($G$7:$G$456,G270))&lt;=(INDEX(設定!$Q$8:$Q$27,MATCH(G270,設定!$P$8:$P$27,0))+N(INDEX(設定!$R$8:$R$27,MATCH(G270,設定!$P$8:$P$27,0)))),G270,"要調整"),"要調整")))</f>
        <v/>
      </c>
      <c r="K270" s="40" t="n"/>
      <c r="L270" s="52">
        <f>IF(P270="","",IF(K270&lt;&gt;"",K270,IF(OR(J270="",J270="要調整"),"",J270)))</f>
        <v/>
      </c>
      <c r="M270" s="44">
        <f>IF(P270="","",IF(AND(計算用!$B$1=1,T270=""),"転出",IF(L270&lt;&gt;"","決定",IF(Q270="","未提出","要調整"))))</f>
        <v/>
      </c>
      <c r="N270" s="44">
        <f>IF(OR(M270&lt;&gt;"要調整",H270=""),"",IFERROR((INDEX(設定!$Q$8:$Q$27,MATCH(H270,設定!$P$8:$P$27,0))+N(INDEX(設定!$R$8:$R$27,MATCH(H270,設定!$P$8:$P$27,0))))-INDEX(定員チェック!$F$7:$F$26,MATCH(H270,設定!$P$8:$P$27,0))-COUNTIFS($M$7:$M$456,"要調整",$G$7:$G$456,H270),""))</f>
        <v/>
      </c>
      <c r="O270" s="44">
        <f>IF(OR(M270&lt;&gt;"要調整",I270=""),"",IFERROR((INDEX(設定!$Q$8:$Q$27,MATCH(I270,設定!$P$8:$P$27,0))+N(INDEX(設定!$R$8:$R$27,MATCH(I270,設定!$P$8:$P$27,0))))-INDEX(定員チェック!$F$7:$F$26,MATCH(I270,設定!$P$8:$P$27,0))-COUNTIFS($M$7:$M$456,"要調整",$G$7:$G$456,I270),""))</f>
        <v/>
      </c>
      <c r="P270" s="8">
        <f>IFERROR(MATCH(SMALL(前年度名簿!$G$2:$G$451,264),前年度名簿!$G$2:$G$451,0),"")</f>
        <v/>
      </c>
      <c r="Q270" s="8">
        <f>IF(R270="","",IFERROR(MATCH(R270,希望入力!$M$2:$M$551,0),""))</f>
        <v/>
      </c>
      <c r="R270" s="8">
        <f>IF(P270="","",INDEX(前年度名簿!$F$2:$F$451,P270))</f>
        <v/>
      </c>
      <c r="S270" s="8">
        <f>IF(P270="","",INDEX(前年度名簿!$I$2:$I$451,P270))</f>
        <v/>
      </c>
      <c r="T270" s="8">
        <f>IF(OR(P270="",計算用!$B$1=0),"",IFERROR(MATCH(S270,新年度名簿!$H$2:$H$451,0),""))</f>
        <v/>
      </c>
      <c r="U270" s="8">
        <f>IF(OR(L270="",M270="転出"),"",IFERROR(MATCH(L270,設定!$P$8:$P$27,0),""))</f>
        <v/>
      </c>
      <c r="V270" s="8">
        <f>IF(U270="","",COUNTIF($U$7:U270,U270))</f>
        <v/>
      </c>
      <c r="W270" s="8">
        <f>IF(U270="","",U270*1000+V270)</f>
        <v/>
      </c>
    </row>
    <row r="271">
      <c r="A271" s="44">
        <f>IF(P271="","",INDEX(前年度名簿!$H$2:$H$451,P271))</f>
        <v/>
      </c>
      <c r="B271" s="44">
        <f>IF(P271="","",IFERROR(INDEX(設定!$G$8:$G$31,INT(INDEX(前年度名簿!$G$2:$G$451,P271)/1000)),INDEX(前年度名簿!$A$2:$A$451,P271)&amp;INDEX(前年度名簿!$B$2:$B$451,P271)))</f>
        <v/>
      </c>
      <c r="C271" s="44">
        <f>IF(P271="","",INDEX(前年度名簿!$C$2:$C$451,P271))</f>
        <v/>
      </c>
      <c r="D271" s="3">
        <f>IF(P271="","",INDEX(前年度名簿!$D$2:$D$451,P271))</f>
        <v/>
      </c>
      <c r="E271" s="44">
        <f>IF(T271="","",INDEX(新年度名簿!$K$2:$K$451,T271))</f>
        <v/>
      </c>
      <c r="F271" s="44">
        <f>IF(T271="","",INDEX(新年度名簿!$C$2:$C$451,T271))</f>
        <v/>
      </c>
      <c r="G271" s="44">
        <f>IF(Q271="","",INDEX(希望入力!$H$2:$H$551,Q271)&amp;"")</f>
        <v/>
      </c>
      <c r="H271" s="44">
        <f>IF(Q271="","",INDEX(希望入力!$I$2:$I$551,Q271)&amp;"")</f>
        <v/>
      </c>
      <c r="I271" s="44">
        <f>IF(Q271="","",INDEX(希望入力!$J$2:$J$551,Q271)&amp;"")</f>
        <v/>
      </c>
      <c r="J271" s="44">
        <f>IF(Q271="","",IF(G271="","要調整",IFERROR(IF(IF(OR(設定!$C$14="〇",設定!$C$14="○"),COUNTIFS($A$7:$A$456,"&gt;="&amp;A271,$G$7:$G$456,G271),COUNTIF($G$7:$G$456,G271))&lt;=(INDEX(設定!$Q$8:$Q$27,MATCH(G271,設定!$P$8:$P$27,0))+N(INDEX(設定!$R$8:$R$27,MATCH(G271,設定!$P$8:$P$27,0)))),G271,"要調整"),"要調整")))</f>
        <v/>
      </c>
      <c r="K271" s="40" t="n"/>
      <c r="L271" s="52">
        <f>IF(P271="","",IF(K271&lt;&gt;"",K271,IF(OR(J271="",J271="要調整"),"",J271)))</f>
        <v/>
      </c>
      <c r="M271" s="44">
        <f>IF(P271="","",IF(AND(計算用!$B$1=1,T271=""),"転出",IF(L271&lt;&gt;"","決定",IF(Q271="","未提出","要調整"))))</f>
        <v/>
      </c>
      <c r="N271" s="44">
        <f>IF(OR(M271&lt;&gt;"要調整",H271=""),"",IFERROR((INDEX(設定!$Q$8:$Q$27,MATCH(H271,設定!$P$8:$P$27,0))+N(INDEX(設定!$R$8:$R$27,MATCH(H271,設定!$P$8:$P$27,0))))-INDEX(定員チェック!$F$7:$F$26,MATCH(H271,設定!$P$8:$P$27,0))-COUNTIFS($M$7:$M$456,"要調整",$G$7:$G$456,H271),""))</f>
        <v/>
      </c>
      <c r="O271" s="44">
        <f>IF(OR(M271&lt;&gt;"要調整",I271=""),"",IFERROR((INDEX(設定!$Q$8:$Q$27,MATCH(I271,設定!$P$8:$P$27,0))+N(INDEX(設定!$R$8:$R$27,MATCH(I271,設定!$P$8:$P$27,0))))-INDEX(定員チェック!$F$7:$F$26,MATCH(I271,設定!$P$8:$P$27,0))-COUNTIFS($M$7:$M$456,"要調整",$G$7:$G$456,I271),""))</f>
        <v/>
      </c>
      <c r="P271" s="8">
        <f>IFERROR(MATCH(SMALL(前年度名簿!$G$2:$G$451,265),前年度名簿!$G$2:$G$451,0),"")</f>
        <v/>
      </c>
      <c r="Q271" s="8">
        <f>IF(R271="","",IFERROR(MATCH(R271,希望入力!$M$2:$M$551,0),""))</f>
        <v/>
      </c>
      <c r="R271" s="8">
        <f>IF(P271="","",INDEX(前年度名簿!$F$2:$F$451,P271))</f>
        <v/>
      </c>
      <c r="S271" s="8">
        <f>IF(P271="","",INDEX(前年度名簿!$I$2:$I$451,P271))</f>
        <v/>
      </c>
      <c r="T271" s="8">
        <f>IF(OR(P271="",計算用!$B$1=0),"",IFERROR(MATCH(S271,新年度名簿!$H$2:$H$451,0),""))</f>
        <v/>
      </c>
      <c r="U271" s="8">
        <f>IF(OR(L271="",M271="転出"),"",IFERROR(MATCH(L271,設定!$P$8:$P$27,0),""))</f>
        <v/>
      </c>
      <c r="V271" s="8">
        <f>IF(U271="","",COUNTIF($U$7:U271,U271))</f>
        <v/>
      </c>
      <c r="W271" s="8">
        <f>IF(U271="","",U271*1000+V271)</f>
        <v/>
      </c>
    </row>
    <row r="272">
      <c r="A272" s="44">
        <f>IF(P272="","",INDEX(前年度名簿!$H$2:$H$451,P272))</f>
        <v/>
      </c>
      <c r="B272" s="44">
        <f>IF(P272="","",IFERROR(INDEX(設定!$G$8:$G$31,INT(INDEX(前年度名簿!$G$2:$G$451,P272)/1000)),INDEX(前年度名簿!$A$2:$A$451,P272)&amp;INDEX(前年度名簿!$B$2:$B$451,P272)))</f>
        <v/>
      </c>
      <c r="C272" s="44">
        <f>IF(P272="","",INDEX(前年度名簿!$C$2:$C$451,P272))</f>
        <v/>
      </c>
      <c r="D272" s="3">
        <f>IF(P272="","",INDEX(前年度名簿!$D$2:$D$451,P272))</f>
        <v/>
      </c>
      <c r="E272" s="44">
        <f>IF(T272="","",INDEX(新年度名簿!$K$2:$K$451,T272))</f>
        <v/>
      </c>
      <c r="F272" s="44">
        <f>IF(T272="","",INDEX(新年度名簿!$C$2:$C$451,T272))</f>
        <v/>
      </c>
      <c r="G272" s="44">
        <f>IF(Q272="","",INDEX(希望入力!$H$2:$H$551,Q272)&amp;"")</f>
        <v/>
      </c>
      <c r="H272" s="44">
        <f>IF(Q272="","",INDEX(希望入力!$I$2:$I$551,Q272)&amp;"")</f>
        <v/>
      </c>
      <c r="I272" s="44">
        <f>IF(Q272="","",INDEX(希望入力!$J$2:$J$551,Q272)&amp;"")</f>
        <v/>
      </c>
      <c r="J272" s="44">
        <f>IF(Q272="","",IF(G272="","要調整",IFERROR(IF(IF(OR(設定!$C$14="〇",設定!$C$14="○"),COUNTIFS($A$7:$A$456,"&gt;="&amp;A272,$G$7:$G$456,G272),COUNTIF($G$7:$G$456,G272))&lt;=(INDEX(設定!$Q$8:$Q$27,MATCH(G272,設定!$P$8:$P$27,0))+N(INDEX(設定!$R$8:$R$27,MATCH(G272,設定!$P$8:$P$27,0)))),G272,"要調整"),"要調整")))</f>
        <v/>
      </c>
      <c r="K272" s="40" t="n"/>
      <c r="L272" s="52">
        <f>IF(P272="","",IF(K272&lt;&gt;"",K272,IF(OR(J272="",J272="要調整"),"",J272)))</f>
        <v/>
      </c>
      <c r="M272" s="44">
        <f>IF(P272="","",IF(AND(計算用!$B$1=1,T272=""),"転出",IF(L272&lt;&gt;"","決定",IF(Q272="","未提出","要調整"))))</f>
        <v/>
      </c>
      <c r="N272" s="44">
        <f>IF(OR(M272&lt;&gt;"要調整",H272=""),"",IFERROR((INDEX(設定!$Q$8:$Q$27,MATCH(H272,設定!$P$8:$P$27,0))+N(INDEX(設定!$R$8:$R$27,MATCH(H272,設定!$P$8:$P$27,0))))-INDEX(定員チェック!$F$7:$F$26,MATCH(H272,設定!$P$8:$P$27,0))-COUNTIFS($M$7:$M$456,"要調整",$G$7:$G$456,H272),""))</f>
        <v/>
      </c>
      <c r="O272" s="44">
        <f>IF(OR(M272&lt;&gt;"要調整",I272=""),"",IFERROR((INDEX(設定!$Q$8:$Q$27,MATCH(I272,設定!$P$8:$P$27,0))+N(INDEX(設定!$R$8:$R$27,MATCH(I272,設定!$P$8:$P$27,0))))-INDEX(定員チェック!$F$7:$F$26,MATCH(I272,設定!$P$8:$P$27,0))-COUNTIFS($M$7:$M$456,"要調整",$G$7:$G$456,I272),""))</f>
        <v/>
      </c>
      <c r="P272" s="8">
        <f>IFERROR(MATCH(SMALL(前年度名簿!$G$2:$G$451,266),前年度名簿!$G$2:$G$451,0),"")</f>
        <v/>
      </c>
      <c r="Q272" s="8">
        <f>IF(R272="","",IFERROR(MATCH(R272,希望入力!$M$2:$M$551,0),""))</f>
        <v/>
      </c>
      <c r="R272" s="8">
        <f>IF(P272="","",INDEX(前年度名簿!$F$2:$F$451,P272))</f>
        <v/>
      </c>
      <c r="S272" s="8">
        <f>IF(P272="","",INDEX(前年度名簿!$I$2:$I$451,P272))</f>
        <v/>
      </c>
      <c r="T272" s="8">
        <f>IF(OR(P272="",計算用!$B$1=0),"",IFERROR(MATCH(S272,新年度名簿!$H$2:$H$451,0),""))</f>
        <v/>
      </c>
      <c r="U272" s="8">
        <f>IF(OR(L272="",M272="転出"),"",IFERROR(MATCH(L272,設定!$P$8:$P$27,0),""))</f>
        <v/>
      </c>
      <c r="V272" s="8">
        <f>IF(U272="","",COUNTIF($U$7:U272,U272))</f>
        <v/>
      </c>
      <c r="W272" s="8">
        <f>IF(U272="","",U272*1000+V272)</f>
        <v/>
      </c>
    </row>
    <row r="273">
      <c r="A273" s="44">
        <f>IF(P273="","",INDEX(前年度名簿!$H$2:$H$451,P273))</f>
        <v/>
      </c>
      <c r="B273" s="44">
        <f>IF(P273="","",IFERROR(INDEX(設定!$G$8:$G$31,INT(INDEX(前年度名簿!$G$2:$G$451,P273)/1000)),INDEX(前年度名簿!$A$2:$A$451,P273)&amp;INDEX(前年度名簿!$B$2:$B$451,P273)))</f>
        <v/>
      </c>
      <c r="C273" s="44">
        <f>IF(P273="","",INDEX(前年度名簿!$C$2:$C$451,P273))</f>
        <v/>
      </c>
      <c r="D273" s="3">
        <f>IF(P273="","",INDEX(前年度名簿!$D$2:$D$451,P273))</f>
        <v/>
      </c>
      <c r="E273" s="44">
        <f>IF(T273="","",INDEX(新年度名簿!$K$2:$K$451,T273))</f>
        <v/>
      </c>
      <c r="F273" s="44">
        <f>IF(T273="","",INDEX(新年度名簿!$C$2:$C$451,T273))</f>
        <v/>
      </c>
      <c r="G273" s="44">
        <f>IF(Q273="","",INDEX(希望入力!$H$2:$H$551,Q273)&amp;"")</f>
        <v/>
      </c>
      <c r="H273" s="44">
        <f>IF(Q273="","",INDEX(希望入力!$I$2:$I$551,Q273)&amp;"")</f>
        <v/>
      </c>
      <c r="I273" s="44">
        <f>IF(Q273="","",INDEX(希望入力!$J$2:$J$551,Q273)&amp;"")</f>
        <v/>
      </c>
      <c r="J273" s="44">
        <f>IF(Q273="","",IF(G273="","要調整",IFERROR(IF(IF(OR(設定!$C$14="〇",設定!$C$14="○"),COUNTIFS($A$7:$A$456,"&gt;="&amp;A273,$G$7:$G$456,G273),COUNTIF($G$7:$G$456,G273))&lt;=(INDEX(設定!$Q$8:$Q$27,MATCH(G273,設定!$P$8:$P$27,0))+N(INDEX(設定!$R$8:$R$27,MATCH(G273,設定!$P$8:$P$27,0)))),G273,"要調整"),"要調整")))</f>
        <v/>
      </c>
      <c r="K273" s="40" t="inlineStr">
        <is>
          <t>料理</t>
        </is>
      </c>
      <c r="L273" s="52">
        <f>IF(P273="","",IF(K273&lt;&gt;"",K273,IF(OR(J273="",J273="要調整"),"",J273)))</f>
        <v/>
      </c>
      <c r="M273" s="44">
        <f>IF(P273="","",IF(AND(計算用!$B$1=1,T273=""),"転出",IF(L273&lt;&gt;"","決定",IF(Q273="","未提出","要調整"))))</f>
        <v/>
      </c>
      <c r="N273" s="44">
        <f>IF(OR(M273&lt;&gt;"要調整",H273=""),"",IFERROR((INDEX(設定!$Q$8:$Q$27,MATCH(H273,設定!$P$8:$P$27,0))+N(INDEX(設定!$R$8:$R$27,MATCH(H273,設定!$P$8:$P$27,0))))-INDEX(定員チェック!$F$7:$F$26,MATCH(H273,設定!$P$8:$P$27,0))-COUNTIFS($M$7:$M$456,"要調整",$G$7:$G$456,H273),""))</f>
        <v/>
      </c>
      <c r="O273" s="44">
        <f>IF(OR(M273&lt;&gt;"要調整",I273=""),"",IFERROR((INDEX(設定!$Q$8:$Q$27,MATCH(I273,設定!$P$8:$P$27,0))+N(INDEX(設定!$R$8:$R$27,MATCH(I273,設定!$P$8:$P$27,0))))-INDEX(定員チェック!$F$7:$F$26,MATCH(I273,設定!$P$8:$P$27,0))-COUNTIFS($M$7:$M$456,"要調整",$G$7:$G$456,I273),""))</f>
        <v/>
      </c>
      <c r="P273" s="8">
        <f>IFERROR(MATCH(SMALL(前年度名簿!$G$2:$G$451,267),前年度名簿!$G$2:$G$451,0),"")</f>
        <v/>
      </c>
      <c r="Q273" s="8">
        <f>IF(R273="","",IFERROR(MATCH(R273,希望入力!$M$2:$M$551,0),""))</f>
        <v/>
      </c>
      <c r="R273" s="8">
        <f>IF(P273="","",INDEX(前年度名簿!$F$2:$F$451,P273))</f>
        <v/>
      </c>
      <c r="S273" s="8">
        <f>IF(P273="","",INDEX(前年度名簿!$I$2:$I$451,P273))</f>
        <v/>
      </c>
      <c r="T273" s="8">
        <f>IF(OR(P273="",計算用!$B$1=0),"",IFERROR(MATCH(S273,新年度名簿!$H$2:$H$451,0),""))</f>
        <v/>
      </c>
      <c r="U273" s="8">
        <f>IF(OR(L273="",M273="転出"),"",IFERROR(MATCH(L273,設定!$P$8:$P$27,0),""))</f>
        <v/>
      </c>
      <c r="V273" s="8">
        <f>IF(U273="","",COUNTIF($U$7:U273,U273))</f>
        <v/>
      </c>
      <c r="W273" s="8">
        <f>IF(U273="","",U273*1000+V273)</f>
        <v/>
      </c>
    </row>
    <row r="274">
      <c r="A274" s="44">
        <f>IF(P274="","",INDEX(前年度名簿!$H$2:$H$451,P274))</f>
        <v/>
      </c>
      <c r="B274" s="44">
        <f>IF(P274="","",IFERROR(INDEX(設定!$G$8:$G$31,INT(INDEX(前年度名簿!$G$2:$G$451,P274)/1000)),INDEX(前年度名簿!$A$2:$A$451,P274)&amp;INDEX(前年度名簿!$B$2:$B$451,P274)))</f>
        <v/>
      </c>
      <c r="C274" s="44">
        <f>IF(P274="","",INDEX(前年度名簿!$C$2:$C$451,P274))</f>
        <v/>
      </c>
      <c r="D274" s="3">
        <f>IF(P274="","",INDEX(前年度名簿!$D$2:$D$451,P274))</f>
        <v/>
      </c>
      <c r="E274" s="44">
        <f>IF(T274="","",INDEX(新年度名簿!$K$2:$K$451,T274))</f>
        <v/>
      </c>
      <c r="F274" s="44">
        <f>IF(T274="","",INDEX(新年度名簿!$C$2:$C$451,T274))</f>
        <v/>
      </c>
      <c r="G274" s="44">
        <f>IF(Q274="","",INDEX(希望入力!$H$2:$H$551,Q274)&amp;"")</f>
        <v/>
      </c>
      <c r="H274" s="44">
        <f>IF(Q274="","",INDEX(希望入力!$I$2:$I$551,Q274)&amp;"")</f>
        <v/>
      </c>
      <c r="I274" s="44">
        <f>IF(Q274="","",INDEX(希望入力!$J$2:$J$551,Q274)&amp;"")</f>
        <v/>
      </c>
      <c r="J274" s="44">
        <f>IF(Q274="","",IF(G274="","要調整",IFERROR(IF(IF(OR(設定!$C$14="〇",設定!$C$14="○"),COUNTIFS($A$7:$A$456,"&gt;="&amp;A274,$G$7:$G$456,G274),COUNTIF($G$7:$G$456,G274))&lt;=(INDEX(設定!$Q$8:$Q$27,MATCH(G274,設定!$P$8:$P$27,0))+N(INDEX(設定!$R$8:$R$27,MATCH(G274,設定!$P$8:$P$27,0)))),G274,"要調整"),"要調整")))</f>
        <v/>
      </c>
      <c r="K274" s="40" t="n"/>
      <c r="L274" s="52">
        <f>IF(P274="","",IF(K274&lt;&gt;"",K274,IF(OR(J274="",J274="要調整"),"",J274)))</f>
        <v/>
      </c>
      <c r="M274" s="44">
        <f>IF(P274="","",IF(AND(計算用!$B$1=1,T274=""),"転出",IF(L274&lt;&gt;"","決定",IF(Q274="","未提出","要調整"))))</f>
        <v/>
      </c>
      <c r="N274" s="44">
        <f>IF(OR(M274&lt;&gt;"要調整",H274=""),"",IFERROR((INDEX(設定!$Q$8:$Q$27,MATCH(H274,設定!$P$8:$P$27,0))+N(INDEX(設定!$R$8:$R$27,MATCH(H274,設定!$P$8:$P$27,0))))-INDEX(定員チェック!$F$7:$F$26,MATCH(H274,設定!$P$8:$P$27,0))-COUNTIFS($M$7:$M$456,"要調整",$G$7:$G$456,H274),""))</f>
        <v/>
      </c>
      <c r="O274" s="44">
        <f>IF(OR(M274&lt;&gt;"要調整",I274=""),"",IFERROR((INDEX(設定!$Q$8:$Q$27,MATCH(I274,設定!$P$8:$P$27,0))+N(INDEX(設定!$R$8:$R$27,MATCH(I274,設定!$P$8:$P$27,0))))-INDEX(定員チェック!$F$7:$F$26,MATCH(I274,設定!$P$8:$P$27,0))-COUNTIFS($M$7:$M$456,"要調整",$G$7:$G$456,I274),""))</f>
        <v/>
      </c>
      <c r="P274" s="8">
        <f>IFERROR(MATCH(SMALL(前年度名簿!$G$2:$G$451,268),前年度名簿!$G$2:$G$451,0),"")</f>
        <v/>
      </c>
      <c r="Q274" s="8">
        <f>IF(R274="","",IFERROR(MATCH(R274,希望入力!$M$2:$M$551,0),""))</f>
        <v/>
      </c>
      <c r="R274" s="8">
        <f>IF(P274="","",INDEX(前年度名簿!$F$2:$F$451,P274))</f>
        <v/>
      </c>
      <c r="S274" s="8">
        <f>IF(P274="","",INDEX(前年度名簿!$I$2:$I$451,P274))</f>
        <v/>
      </c>
      <c r="T274" s="8">
        <f>IF(OR(P274="",計算用!$B$1=0),"",IFERROR(MATCH(S274,新年度名簿!$H$2:$H$451,0),""))</f>
        <v/>
      </c>
      <c r="U274" s="8">
        <f>IF(OR(L274="",M274="転出"),"",IFERROR(MATCH(L274,設定!$P$8:$P$27,0),""))</f>
        <v/>
      </c>
      <c r="V274" s="8">
        <f>IF(U274="","",COUNTIF($U$7:U274,U274))</f>
        <v/>
      </c>
      <c r="W274" s="8">
        <f>IF(U274="","",U274*1000+V274)</f>
        <v/>
      </c>
    </row>
    <row r="275">
      <c r="A275" s="44">
        <f>IF(P275="","",INDEX(前年度名簿!$H$2:$H$451,P275))</f>
        <v/>
      </c>
      <c r="B275" s="44">
        <f>IF(P275="","",IFERROR(INDEX(設定!$G$8:$G$31,INT(INDEX(前年度名簿!$G$2:$G$451,P275)/1000)),INDEX(前年度名簿!$A$2:$A$451,P275)&amp;INDEX(前年度名簿!$B$2:$B$451,P275)))</f>
        <v/>
      </c>
      <c r="C275" s="44">
        <f>IF(P275="","",INDEX(前年度名簿!$C$2:$C$451,P275))</f>
        <v/>
      </c>
      <c r="D275" s="3">
        <f>IF(P275="","",INDEX(前年度名簿!$D$2:$D$451,P275))</f>
        <v/>
      </c>
      <c r="E275" s="44">
        <f>IF(T275="","",INDEX(新年度名簿!$K$2:$K$451,T275))</f>
        <v/>
      </c>
      <c r="F275" s="44">
        <f>IF(T275="","",INDEX(新年度名簿!$C$2:$C$451,T275))</f>
        <v/>
      </c>
      <c r="G275" s="44">
        <f>IF(Q275="","",INDEX(希望入力!$H$2:$H$551,Q275)&amp;"")</f>
        <v/>
      </c>
      <c r="H275" s="44">
        <f>IF(Q275="","",INDEX(希望入力!$I$2:$I$551,Q275)&amp;"")</f>
        <v/>
      </c>
      <c r="I275" s="44">
        <f>IF(Q275="","",INDEX(希望入力!$J$2:$J$551,Q275)&amp;"")</f>
        <v/>
      </c>
      <c r="J275" s="44">
        <f>IF(Q275="","",IF(G275="","要調整",IFERROR(IF(IF(OR(設定!$C$14="〇",設定!$C$14="○"),COUNTIFS($A$7:$A$456,"&gt;="&amp;A275,$G$7:$G$456,G275),COUNTIF($G$7:$G$456,G275))&lt;=(INDEX(設定!$Q$8:$Q$27,MATCH(G275,設定!$P$8:$P$27,0))+N(INDEX(設定!$R$8:$R$27,MATCH(G275,設定!$P$8:$P$27,0)))),G275,"要調整"),"要調整")))</f>
        <v/>
      </c>
      <c r="K275" s="40" t="n"/>
      <c r="L275" s="52">
        <f>IF(P275="","",IF(K275&lt;&gt;"",K275,IF(OR(J275="",J275="要調整"),"",J275)))</f>
        <v/>
      </c>
      <c r="M275" s="44">
        <f>IF(P275="","",IF(AND(計算用!$B$1=1,T275=""),"転出",IF(L275&lt;&gt;"","決定",IF(Q275="","未提出","要調整"))))</f>
        <v/>
      </c>
      <c r="N275" s="44">
        <f>IF(OR(M275&lt;&gt;"要調整",H275=""),"",IFERROR((INDEX(設定!$Q$8:$Q$27,MATCH(H275,設定!$P$8:$P$27,0))+N(INDEX(設定!$R$8:$R$27,MATCH(H275,設定!$P$8:$P$27,0))))-INDEX(定員チェック!$F$7:$F$26,MATCH(H275,設定!$P$8:$P$27,0))-COUNTIFS($M$7:$M$456,"要調整",$G$7:$G$456,H275),""))</f>
        <v/>
      </c>
      <c r="O275" s="44">
        <f>IF(OR(M275&lt;&gt;"要調整",I275=""),"",IFERROR((INDEX(設定!$Q$8:$Q$27,MATCH(I275,設定!$P$8:$P$27,0))+N(INDEX(設定!$R$8:$R$27,MATCH(I275,設定!$P$8:$P$27,0))))-INDEX(定員チェック!$F$7:$F$26,MATCH(I275,設定!$P$8:$P$27,0))-COUNTIFS($M$7:$M$456,"要調整",$G$7:$G$456,I275),""))</f>
        <v/>
      </c>
      <c r="P275" s="8">
        <f>IFERROR(MATCH(SMALL(前年度名簿!$G$2:$G$451,269),前年度名簿!$G$2:$G$451,0),"")</f>
        <v/>
      </c>
      <c r="Q275" s="8">
        <f>IF(R275="","",IFERROR(MATCH(R275,希望入力!$M$2:$M$551,0),""))</f>
        <v/>
      </c>
      <c r="R275" s="8">
        <f>IF(P275="","",INDEX(前年度名簿!$F$2:$F$451,P275))</f>
        <v/>
      </c>
      <c r="S275" s="8">
        <f>IF(P275="","",INDEX(前年度名簿!$I$2:$I$451,P275))</f>
        <v/>
      </c>
      <c r="T275" s="8">
        <f>IF(OR(P275="",計算用!$B$1=0),"",IFERROR(MATCH(S275,新年度名簿!$H$2:$H$451,0),""))</f>
        <v/>
      </c>
      <c r="U275" s="8">
        <f>IF(OR(L275="",M275="転出"),"",IFERROR(MATCH(L275,設定!$P$8:$P$27,0),""))</f>
        <v/>
      </c>
      <c r="V275" s="8">
        <f>IF(U275="","",COUNTIF($U$7:U275,U275))</f>
        <v/>
      </c>
      <c r="W275" s="8">
        <f>IF(U275="","",U275*1000+V275)</f>
        <v/>
      </c>
    </row>
    <row r="276">
      <c r="A276" s="44">
        <f>IF(P276="","",INDEX(前年度名簿!$H$2:$H$451,P276))</f>
        <v/>
      </c>
      <c r="B276" s="44">
        <f>IF(P276="","",IFERROR(INDEX(設定!$G$8:$G$31,INT(INDEX(前年度名簿!$G$2:$G$451,P276)/1000)),INDEX(前年度名簿!$A$2:$A$451,P276)&amp;INDEX(前年度名簿!$B$2:$B$451,P276)))</f>
        <v/>
      </c>
      <c r="C276" s="44">
        <f>IF(P276="","",INDEX(前年度名簿!$C$2:$C$451,P276))</f>
        <v/>
      </c>
      <c r="D276" s="3">
        <f>IF(P276="","",INDEX(前年度名簿!$D$2:$D$451,P276))</f>
        <v/>
      </c>
      <c r="E276" s="44">
        <f>IF(T276="","",INDEX(新年度名簿!$K$2:$K$451,T276))</f>
        <v/>
      </c>
      <c r="F276" s="44">
        <f>IF(T276="","",INDEX(新年度名簿!$C$2:$C$451,T276))</f>
        <v/>
      </c>
      <c r="G276" s="44">
        <f>IF(Q276="","",INDEX(希望入力!$H$2:$H$551,Q276)&amp;"")</f>
        <v/>
      </c>
      <c r="H276" s="44">
        <f>IF(Q276="","",INDEX(希望入力!$I$2:$I$551,Q276)&amp;"")</f>
        <v/>
      </c>
      <c r="I276" s="44">
        <f>IF(Q276="","",INDEX(希望入力!$J$2:$J$551,Q276)&amp;"")</f>
        <v/>
      </c>
      <c r="J276" s="44">
        <f>IF(Q276="","",IF(G276="","要調整",IFERROR(IF(IF(OR(設定!$C$14="〇",設定!$C$14="○"),COUNTIFS($A$7:$A$456,"&gt;="&amp;A276,$G$7:$G$456,G276),COUNTIF($G$7:$G$456,G276))&lt;=(INDEX(設定!$Q$8:$Q$27,MATCH(G276,設定!$P$8:$P$27,0))+N(INDEX(設定!$R$8:$R$27,MATCH(G276,設定!$P$8:$P$27,0)))),G276,"要調整"),"要調整")))</f>
        <v/>
      </c>
      <c r="K276" s="40" t="inlineStr">
        <is>
          <t>料理</t>
        </is>
      </c>
      <c r="L276" s="52">
        <f>IF(P276="","",IF(K276&lt;&gt;"",K276,IF(OR(J276="",J276="要調整"),"",J276)))</f>
        <v/>
      </c>
      <c r="M276" s="44">
        <f>IF(P276="","",IF(AND(計算用!$B$1=1,T276=""),"転出",IF(L276&lt;&gt;"","決定",IF(Q276="","未提出","要調整"))))</f>
        <v/>
      </c>
      <c r="N276" s="44">
        <f>IF(OR(M276&lt;&gt;"要調整",H276=""),"",IFERROR((INDEX(設定!$Q$8:$Q$27,MATCH(H276,設定!$P$8:$P$27,0))+N(INDEX(設定!$R$8:$R$27,MATCH(H276,設定!$P$8:$P$27,0))))-INDEX(定員チェック!$F$7:$F$26,MATCH(H276,設定!$P$8:$P$27,0))-COUNTIFS($M$7:$M$456,"要調整",$G$7:$G$456,H276),""))</f>
        <v/>
      </c>
      <c r="O276" s="44">
        <f>IF(OR(M276&lt;&gt;"要調整",I276=""),"",IFERROR((INDEX(設定!$Q$8:$Q$27,MATCH(I276,設定!$P$8:$P$27,0))+N(INDEX(設定!$R$8:$R$27,MATCH(I276,設定!$P$8:$P$27,0))))-INDEX(定員チェック!$F$7:$F$26,MATCH(I276,設定!$P$8:$P$27,0))-COUNTIFS($M$7:$M$456,"要調整",$G$7:$G$456,I276),""))</f>
        <v/>
      </c>
      <c r="P276" s="8">
        <f>IFERROR(MATCH(SMALL(前年度名簿!$G$2:$G$451,270),前年度名簿!$G$2:$G$451,0),"")</f>
        <v/>
      </c>
      <c r="Q276" s="8">
        <f>IF(R276="","",IFERROR(MATCH(R276,希望入力!$M$2:$M$551,0),""))</f>
        <v/>
      </c>
      <c r="R276" s="8">
        <f>IF(P276="","",INDEX(前年度名簿!$F$2:$F$451,P276))</f>
        <v/>
      </c>
      <c r="S276" s="8">
        <f>IF(P276="","",INDEX(前年度名簿!$I$2:$I$451,P276))</f>
        <v/>
      </c>
      <c r="T276" s="8">
        <f>IF(OR(P276="",計算用!$B$1=0),"",IFERROR(MATCH(S276,新年度名簿!$H$2:$H$451,0),""))</f>
        <v/>
      </c>
      <c r="U276" s="8">
        <f>IF(OR(L276="",M276="転出"),"",IFERROR(MATCH(L276,設定!$P$8:$P$27,0),""))</f>
        <v/>
      </c>
      <c r="V276" s="8">
        <f>IF(U276="","",COUNTIF($U$7:U276,U276))</f>
        <v/>
      </c>
      <c r="W276" s="8">
        <f>IF(U276="","",U276*1000+V276)</f>
        <v/>
      </c>
    </row>
    <row r="277">
      <c r="A277" s="44">
        <f>IF(P277="","",INDEX(前年度名簿!$H$2:$H$451,P277))</f>
        <v/>
      </c>
      <c r="B277" s="44">
        <f>IF(P277="","",IFERROR(INDEX(設定!$G$8:$G$31,INT(INDEX(前年度名簿!$G$2:$G$451,P277)/1000)),INDEX(前年度名簿!$A$2:$A$451,P277)&amp;INDEX(前年度名簿!$B$2:$B$451,P277)))</f>
        <v/>
      </c>
      <c r="C277" s="44">
        <f>IF(P277="","",INDEX(前年度名簿!$C$2:$C$451,P277))</f>
        <v/>
      </c>
      <c r="D277" s="3">
        <f>IF(P277="","",INDEX(前年度名簿!$D$2:$D$451,P277))</f>
        <v/>
      </c>
      <c r="E277" s="44">
        <f>IF(T277="","",INDEX(新年度名簿!$K$2:$K$451,T277))</f>
        <v/>
      </c>
      <c r="F277" s="44">
        <f>IF(T277="","",INDEX(新年度名簿!$C$2:$C$451,T277))</f>
        <v/>
      </c>
      <c r="G277" s="44">
        <f>IF(Q277="","",INDEX(希望入力!$H$2:$H$551,Q277)&amp;"")</f>
        <v/>
      </c>
      <c r="H277" s="44">
        <f>IF(Q277="","",INDEX(希望入力!$I$2:$I$551,Q277)&amp;"")</f>
        <v/>
      </c>
      <c r="I277" s="44">
        <f>IF(Q277="","",INDEX(希望入力!$J$2:$J$551,Q277)&amp;"")</f>
        <v/>
      </c>
      <c r="J277" s="44">
        <f>IF(Q277="","",IF(G277="","要調整",IFERROR(IF(IF(OR(設定!$C$14="〇",設定!$C$14="○"),COUNTIFS($A$7:$A$456,"&gt;="&amp;A277,$G$7:$G$456,G277),COUNTIF($G$7:$G$456,G277))&lt;=(INDEX(設定!$Q$8:$Q$27,MATCH(G277,設定!$P$8:$P$27,0))+N(INDEX(設定!$R$8:$R$27,MATCH(G277,設定!$P$8:$P$27,0)))),G277,"要調整"),"要調整")))</f>
        <v/>
      </c>
      <c r="K277" s="40" t="n"/>
      <c r="L277" s="52">
        <f>IF(P277="","",IF(K277&lt;&gt;"",K277,IF(OR(J277="",J277="要調整"),"",J277)))</f>
        <v/>
      </c>
      <c r="M277" s="44">
        <f>IF(P277="","",IF(AND(計算用!$B$1=1,T277=""),"転出",IF(L277&lt;&gt;"","決定",IF(Q277="","未提出","要調整"))))</f>
        <v/>
      </c>
      <c r="N277" s="44">
        <f>IF(OR(M277&lt;&gt;"要調整",H277=""),"",IFERROR((INDEX(設定!$Q$8:$Q$27,MATCH(H277,設定!$P$8:$P$27,0))+N(INDEX(設定!$R$8:$R$27,MATCH(H277,設定!$P$8:$P$27,0))))-INDEX(定員チェック!$F$7:$F$26,MATCH(H277,設定!$P$8:$P$27,0))-COUNTIFS($M$7:$M$456,"要調整",$G$7:$G$456,H277),""))</f>
        <v/>
      </c>
      <c r="O277" s="44">
        <f>IF(OR(M277&lt;&gt;"要調整",I277=""),"",IFERROR((INDEX(設定!$Q$8:$Q$27,MATCH(I277,設定!$P$8:$P$27,0))+N(INDEX(設定!$R$8:$R$27,MATCH(I277,設定!$P$8:$P$27,0))))-INDEX(定員チェック!$F$7:$F$26,MATCH(I277,設定!$P$8:$P$27,0))-COUNTIFS($M$7:$M$456,"要調整",$G$7:$G$456,I277),""))</f>
        <v/>
      </c>
      <c r="P277" s="8">
        <f>IFERROR(MATCH(SMALL(前年度名簿!$G$2:$G$451,271),前年度名簿!$G$2:$G$451,0),"")</f>
        <v/>
      </c>
      <c r="Q277" s="8">
        <f>IF(R277="","",IFERROR(MATCH(R277,希望入力!$M$2:$M$551,0),""))</f>
        <v/>
      </c>
      <c r="R277" s="8">
        <f>IF(P277="","",INDEX(前年度名簿!$F$2:$F$451,P277))</f>
        <v/>
      </c>
      <c r="S277" s="8">
        <f>IF(P277="","",INDEX(前年度名簿!$I$2:$I$451,P277))</f>
        <v/>
      </c>
      <c r="T277" s="8">
        <f>IF(OR(P277="",計算用!$B$1=0),"",IFERROR(MATCH(S277,新年度名簿!$H$2:$H$451,0),""))</f>
        <v/>
      </c>
      <c r="U277" s="8">
        <f>IF(OR(L277="",M277="転出"),"",IFERROR(MATCH(L277,設定!$P$8:$P$27,0),""))</f>
        <v/>
      </c>
      <c r="V277" s="8">
        <f>IF(U277="","",COUNTIF($U$7:U277,U277))</f>
        <v/>
      </c>
      <c r="W277" s="8">
        <f>IF(U277="","",U277*1000+V277)</f>
        <v/>
      </c>
    </row>
    <row r="278">
      <c r="A278" s="44">
        <f>IF(P278="","",INDEX(前年度名簿!$H$2:$H$451,P278))</f>
        <v/>
      </c>
      <c r="B278" s="44">
        <f>IF(P278="","",IFERROR(INDEX(設定!$G$8:$G$31,INT(INDEX(前年度名簿!$G$2:$G$451,P278)/1000)),INDEX(前年度名簿!$A$2:$A$451,P278)&amp;INDEX(前年度名簿!$B$2:$B$451,P278)))</f>
        <v/>
      </c>
      <c r="C278" s="44">
        <f>IF(P278="","",INDEX(前年度名簿!$C$2:$C$451,P278))</f>
        <v/>
      </c>
      <c r="D278" s="3">
        <f>IF(P278="","",INDEX(前年度名簿!$D$2:$D$451,P278))</f>
        <v/>
      </c>
      <c r="E278" s="44">
        <f>IF(T278="","",INDEX(新年度名簿!$K$2:$K$451,T278))</f>
        <v/>
      </c>
      <c r="F278" s="44">
        <f>IF(T278="","",INDEX(新年度名簿!$C$2:$C$451,T278))</f>
        <v/>
      </c>
      <c r="G278" s="44">
        <f>IF(Q278="","",INDEX(希望入力!$H$2:$H$551,Q278)&amp;"")</f>
        <v/>
      </c>
      <c r="H278" s="44">
        <f>IF(Q278="","",INDEX(希望入力!$I$2:$I$551,Q278)&amp;"")</f>
        <v/>
      </c>
      <c r="I278" s="44">
        <f>IF(Q278="","",INDEX(希望入力!$J$2:$J$551,Q278)&amp;"")</f>
        <v/>
      </c>
      <c r="J278" s="44">
        <f>IF(Q278="","",IF(G278="","要調整",IFERROR(IF(IF(OR(設定!$C$14="〇",設定!$C$14="○"),COUNTIFS($A$7:$A$456,"&gt;="&amp;A278,$G$7:$G$456,G278),COUNTIF($G$7:$G$456,G278))&lt;=(INDEX(設定!$Q$8:$Q$27,MATCH(G278,設定!$P$8:$P$27,0))+N(INDEX(設定!$R$8:$R$27,MATCH(G278,設定!$P$8:$P$27,0)))),G278,"要調整"),"要調整")))</f>
        <v/>
      </c>
      <c r="K278" s="40" t="n"/>
      <c r="L278" s="52">
        <f>IF(P278="","",IF(K278&lt;&gt;"",K278,IF(OR(J278="",J278="要調整"),"",J278)))</f>
        <v/>
      </c>
      <c r="M278" s="44">
        <f>IF(P278="","",IF(AND(計算用!$B$1=1,T278=""),"転出",IF(L278&lt;&gt;"","決定",IF(Q278="","未提出","要調整"))))</f>
        <v/>
      </c>
      <c r="N278" s="44">
        <f>IF(OR(M278&lt;&gt;"要調整",H278=""),"",IFERROR((INDEX(設定!$Q$8:$Q$27,MATCH(H278,設定!$P$8:$P$27,0))+N(INDEX(設定!$R$8:$R$27,MATCH(H278,設定!$P$8:$P$27,0))))-INDEX(定員チェック!$F$7:$F$26,MATCH(H278,設定!$P$8:$P$27,0))-COUNTIFS($M$7:$M$456,"要調整",$G$7:$G$456,H278),""))</f>
        <v/>
      </c>
      <c r="O278" s="44">
        <f>IF(OR(M278&lt;&gt;"要調整",I278=""),"",IFERROR((INDEX(設定!$Q$8:$Q$27,MATCH(I278,設定!$P$8:$P$27,0))+N(INDEX(設定!$R$8:$R$27,MATCH(I278,設定!$P$8:$P$27,0))))-INDEX(定員チェック!$F$7:$F$26,MATCH(I278,設定!$P$8:$P$27,0))-COUNTIFS($M$7:$M$456,"要調整",$G$7:$G$456,I278),""))</f>
        <v/>
      </c>
      <c r="P278" s="8">
        <f>IFERROR(MATCH(SMALL(前年度名簿!$G$2:$G$451,272),前年度名簿!$G$2:$G$451,0),"")</f>
        <v/>
      </c>
      <c r="Q278" s="8">
        <f>IF(R278="","",IFERROR(MATCH(R278,希望入力!$M$2:$M$551,0),""))</f>
        <v/>
      </c>
      <c r="R278" s="8">
        <f>IF(P278="","",INDEX(前年度名簿!$F$2:$F$451,P278))</f>
        <v/>
      </c>
      <c r="S278" s="8">
        <f>IF(P278="","",INDEX(前年度名簿!$I$2:$I$451,P278))</f>
        <v/>
      </c>
      <c r="T278" s="8">
        <f>IF(OR(P278="",計算用!$B$1=0),"",IFERROR(MATCH(S278,新年度名簿!$H$2:$H$451,0),""))</f>
        <v/>
      </c>
      <c r="U278" s="8">
        <f>IF(OR(L278="",M278="転出"),"",IFERROR(MATCH(L278,設定!$P$8:$P$27,0),""))</f>
        <v/>
      </c>
      <c r="V278" s="8">
        <f>IF(U278="","",COUNTIF($U$7:U278,U278))</f>
        <v/>
      </c>
      <c r="W278" s="8">
        <f>IF(U278="","",U278*1000+V278)</f>
        <v/>
      </c>
    </row>
    <row r="279">
      <c r="A279" s="44">
        <f>IF(P279="","",INDEX(前年度名簿!$H$2:$H$451,P279))</f>
        <v/>
      </c>
      <c r="B279" s="44">
        <f>IF(P279="","",IFERROR(INDEX(設定!$G$8:$G$31,INT(INDEX(前年度名簿!$G$2:$G$451,P279)/1000)),INDEX(前年度名簿!$A$2:$A$451,P279)&amp;INDEX(前年度名簿!$B$2:$B$451,P279)))</f>
        <v/>
      </c>
      <c r="C279" s="44">
        <f>IF(P279="","",INDEX(前年度名簿!$C$2:$C$451,P279))</f>
        <v/>
      </c>
      <c r="D279" s="3">
        <f>IF(P279="","",INDEX(前年度名簿!$D$2:$D$451,P279))</f>
        <v/>
      </c>
      <c r="E279" s="44">
        <f>IF(T279="","",INDEX(新年度名簿!$K$2:$K$451,T279))</f>
        <v/>
      </c>
      <c r="F279" s="44">
        <f>IF(T279="","",INDEX(新年度名簿!$C$2:$C$451,T279))</f>
        <v/>
      </c>
      <c r="G279" s="44">
        <f>IF(Q279="","",INDEX(希望入力!$H$2:$H$551,Q279)&amp;"")</f>
        <v/>
      </c>
      <c r="H279" s="44">
        <f>IF(Q279="","",INDEX(希望入力!$I$2:$I$551,Q279)&amp;"")</f>
        <v/>
      </c>
      <c r="I279" s="44">
        <f>IF(Q279="","",INDEX(希望入力!$J$2:$J$551,Q279)&amp;"")</f>
        <v/>
      </c>
      <c r="J279" s="44">
        <f>IF(Q279="","",IF(G279="","要調整",IFERROR(IF(IF(OR(設定!$C$14="〇",設定!$C$14="○"),COUNTIFS($A$7:$A$456,"&gt;="&amp;A279,$G$7:$G$456,G279),COUNTIF($G$7:$G$456,G279))&lt;=(INDEX(設定!$Q$8:$Q$27,MATCH(G279,設定!$P$8:$P$27,0))+N(INDEX(設定!$R$8:$R$27,MATCH(G279,設定!$P$8:$P$27,0)))),G279,"要調整"),"要調整")))</f>
        <v/>
      </c>
      <c r="K279" s="40" t="n"/>
      <c r="L279" s="52">
        <f>IF(P279="","",IF(K279&lt;&gt;"",K279,IF(OR(J279="",J279="要調整"),"",J279)))</f>
        <v/>
      </c>
      <c r="M279" s="44">
        <f>IF(P279="","",IF(AND(計算用!$B$1=1,T279=""),"転出",IF(L279&lt;&gt;"","決定",IF(Q279="","未提出","要調整"))))</f>
        <v/>
      </c>
      <c r="N279" s="44">
        <f>IF(OR(M279&lt;&gt;"要調整",H279=""),"",IFERROR((INDEX(設定!$Q$8:$Q$27,MATCH(H279,設定!$P$8:$P$27,0))+N(INDEX(設定!$R$8:$R$27,MATCH(H279,設定!$P$8:$P$27,0))))-INDEX(定員チェック!$F$7:$F$26,MATCH(H279,設定!$P$8:$P$27,0))-COUNTIFS($M$7:$M$456,"要調整",$G$7:$G$456,H279),""))</f>
        <v/>
      </c>
      <c r="O279" s="44">
        <f>IF(OR(M279&lt;&gt;"要調整",I279=""),"",IFERROR((INDEX(設定!$Q$8:$Q$27,MATCH(I279,設定!$P$8:$P$27,0))+N(INDEX(設定!$R$8:$R$27,MATCH(I279,設定!$P$8:$P$27,0))))-INDEX(定員チェック!$F$7:$F$26,MATCH(I279,設定!$P$8:$P$27,0))-COUNTIFS($M$7:$M$456,"要調整",$G$7:$G$456,I279),""))</f>
        <v/>
      </c>
      <c r="P279" s="8">
        <f>IFERROR(MATCH(SMALL(前年度名簿!$G$2:$G$451,273),前年度名簿!$G$2:$G$451,0),"")</f>
        <v/>
      </c>
      <c r="Q279" s="8">
        <f>IF(R279="","",IFERROR(MATCH(R279,希望入力!$M$2:$M$551,0),""))</f>
        <v/>
      </c>
      <c r="R279" s="8">
        <f>IF(P279="","",INDEX(前年度名簿!$F$2:$F$451,P279))</f>
        <v/>
      </c>
      <c r="S279" s="8">
        <f>IF(P279="","",INDEX(前年度名簿!$I$2:$I$451,P279))</f>
        <v/>
      </c>
      <c r="T279" s="8">
        <f>IF(OR(P279="",計算用!$B$1=0),"",IFERROR(MATCH(S279,新年度名簿!$H$2:$H$451,0),""))</f>
        <v/>
      </c>
      <c r="U279" s="8">
        <f>IF(OR(L279="",M279="転出"),"",IFERROR(MATCH(L279,設定!$P$8:$P$27,0),""))</f>
        <v/>
      </c>
      <c r="V279" s="8">
        <f>IF(U279="","",COUNTIF($U$7:U279,U279))</f>
        <v/>
      </c>
      <c r="W279" s="8">
        <f>IF(U279="","",U279*1000+V279)</f>
        <v/>
      </c>
    </row>
    <row r="280">
      <c r="A280" s="44">
        <f>IF(P280="","",INDEX(前年度名簿!$H$2:$H$451,P280))</f>
        <v/>
      </c>
      <c r="B280" s="44">
        <f>IF(P280="","",IFERROR(INDEX(設定!$G$8:$G$31,INT(INDEX(前年度名簿!$G$2:$G$451,P280)/1000)),INDEX(前年度名簿!$A$2:$A$451,P280)&amp;INDEX(前年度名簿!$B$2:$B$451,P280)))</f>
        <v/>
      </c>
      <c r="C280" s="44">
        <f>IF(P280="","",INDEX(前年度名簿!$C$2:$C$451,P280))</f>
        <v/>
      </c>
      <c r="D280" s="3">
        <f>IF(P280="","",INDEX(前年度名簿!$D$2:$D$451,P280))</f>
        <v/>
      </c>
      <c r="E280" s="44">
        <f>IF(T280="","",INDEX(新年度名簿!$K$2:$K$451,T280))</f>
        <v/>
      </c>
      <c r="F280" s="44">
        <f>IF(T280="","",INDEX(新年度名簿!$C$2:$C$451,T280))</f>
        <v/>
      </c>
      <c r="G280" s="44">
        <f>IF(Q280="","",INDEX(希望入力!$H$2:$H$551,Q280)&amp;"")</f>
        <v/>
      </c>
      <c r="H280" s="44">
        <f>IF(Q280="","",INDEX(希望入力!$I$2:$I$551,Q280)&amp;"")</f>
        <v/>
      </c>
      <c r="I280" s="44">
        <f>IF(Q280="","",INDEX(希望入力!$J$2:$J$551,Q280)&amp;"")</f>
        <v/>
      </c>
      <c r="J280" s="44">
        <f>IF(Q280="","",IF(G280="","要調整",IFERROR(IF(IF(OR(設定!$C$14="〇",設定!$C$14="○"),COUNTIFS($A$7:$A$456,"&gt;="&amp;A280,$G$7:$G$456,G280),COUNTIF($G$7:$G$456,G280))&lt;=(INDEX(設定!$Q$8:$Q$27,MATCH(G280,設定!$P$8:$P$27,0))+N(INDEX(設定!$R$8:$R$27,MATCH(G280,設定!$P$8:$P$27,0)))),G280,"要調整"),"要調整")))</f>
        <v/>
      </c>
      <c r="K280" s="40" t="inlineStr">
        <is>
          <t>料理</t>
        </is>
      </c>
      <c r="L280" s="52">
        <f>IF(P280="","",IF(K280&lt;&gt;"",K280,IF(OR(J280="",J280="要調整"),"",J280)))</f>
        <v/>
      </c>
      <c r="M280" s="44">
        <f>IF(P280="","",IF(AND(計算用!$B$1=1,T280=""),"転出",IF(L280&lt;&gt;"","決定",IF(Q280="","未提出","要調整"))))</f>
        <v/>
      </c>
      <c r="N280" s="44">
        <f>IF(OR(M280&lt;&gt;"要調整",H280=""),"",IFERROR((INDEX(設定!$Q$8:$Q$27,MATCH(H280,設定!$P$8:$P$27,0))+N(INDEX(設定!$R$8:$R$27,MATCH(H280,設定!$P$8:$P$27,0))))-INDEX(定員チェック!$F$7:$F$26,MATCH(H280,設定!$P$8:$P$27,0))-COUNTIFS($M$7:$M$456,"要調整",$G$7:$G$456,H280),""))</f>
        <v/>
      </c>
      <c r="O280" s="44">
        <f>IF(OR(M280&lt;&gt;"要調整",I280=""),"",IFERROR((INDEX(設定!$Q$8:$Q$27,MATCH(I280,設定!$P$8:$P$27,0))+N(INDEX(設定!$R$8:$R$27,MATCH(I280,設定!$P$8:$P$27,0))))-INDEX(定員チェック!$F$7:$F$26,MATCH(I280,設定!$P$8:$P$27,0))-COUNTIFS($M$7:$M$456,"要調整",$G$7:$G$456,I280),""))</f>
        <v/>
      </c>
      <c r="P280" s="8">
        <f>IFERROR(MATCH(SMALL(前年度名簿!$G$2:$G$451,274),前年度名簿!$G$2:$G$451,0),"")</f>
        <v/>
      </c>
      <c r="Q280" s="8">
        <f>IF(R280="","",IFERROR(MATCH(R280,希望入力!$M$2:$M$551,0),""))</f>
        <v/>
      </c>
      <c r="R280" s="8">
        <f>IF(P280="","",INDEX(前年度名簿!$F$2:$F$451,P280))</f>
        <v/>
      </c>
      <c r="S280" s="8">
        <f>IF(P280="","",INDEX(前年度名簿!$I$2:$I$451,P280))</f>
        <v/>
      </c>
      <c r="T280" s="8">
        <f>IF(OR(P280="",計算用!$B$1=0),"",IFERROR(MATCH(S280,新年度名簿!$H$2:$H$451,0),""))</f>
        <v/>
      </c>
      <c r="U280" s="8">
        <f>IF(OR(L280="",M280="転出"),"",IFERROR(MATCH(L280,設定!$P$8:$P$27,0),""))</f>
        <v/>
      </c>
      <c r="V280" s="8">
        <f>IF(U280="","",COUNTIF($U$7:U280,U280))</f>
        <v/>
      </c>
      <c r="W280" s="8">
        <f>IF(U280="","",U280*1000+V280)</f>
        <v/>
      </c>
    </row>
    <row r="281">
      <c r="A281" s="44">
        <f>IF(P281="","",INDEX(前年度名簿!$H$2:$H$451,P281))</f>
        <v/>
      </c>
      <c r="B281" s="44">
        <f>IF(P281="","",IFERROR(INDEX(設定!$G$8:$G$31,INT(INDEX(前年度名簿!$G$2:$G$451,P281)/1000)),INDEX(前年度名簿!$A$2:$A$451,P281)&amp;INDEX(前年度名簿!$B$2:$B$451,P281)))</f>
        <v/>
      </c>
      <c r="C281" s="44">
        <f>IF(P281="","",INDEX(前年度名簿!$C$2:$C$451,P281))</f>
        <v/>
      </c>
      <c r="D281" s="3">
        <f>IF(P281="","",INDEX(前年度名簿!$D$2:$D$451,P281))</f>
        <v/>
      </c>
      <c r="E281" s="44">
        <f>IF(T281="","",INDEX(新年度名簿!$K$2:$K$451,T281))</f>
        <v/>
      </c>
      <c r="F281" s="44">
        <f>IF(T281="","",INDEX(新年度名簿!$C$2:$C$451,T281))</f>
        <v/>
      </c>
      <c r="G281" s="44">
        <f>IF(Q281="","",INDEX(希望入力!$H$2:$H$551,Q281)&amp;"")</f>
        <v/>
      </c>
      <c r="H281" s="44">
        <f>IF(Q281="","",INDEX(希望入力!$I$2:$I$551,Q281)&amp;"")</f>
        <v/>
      </c>
      <c r="I281" s="44">
        <f>IF(Q281="","",INDEX(希望入力!$J$2:$J$551,Q281)&amp;"")</f>
        <v/>
      </c>
      <c r="J281" s="44">
        <f>IF(Q281="","",IF(G281="","要調整",IFERROR(IF(IF(OR(設定!$C$14="〇",設定!$C$14="○"),COUNTIFS($A$7:$A$456,"&gt;="&amp;A281,$G$7:$G$456,G281),COUNTIF($G$7:$G$456,G281))&lt;=(INDEX(設定!$Q$8:$Q$27,MATCH(G281,設定!$P$8:$P$27,0))+N(INDEX(設定!$R$8:$R$27,MATCH(G281,設定!$P$8:$P$27,0)))),G281,"要調整"),"要調整")))</f>
        <v/>
      </c>
      <c r="K281" s="40" t="n"/>
      <c r="L281" s="52">
        <f>IF(P281="","",IF(K281&lt;&gt;"",K281,IF(OR(J281="",J281="要調整"),"",J281)))</f>
        <v/>
      </c>
      <c r="M281" s="44">
        <f>IF(P281="","",IF(AND(計算用!$B$1=1,T281=""),"転出",IF(L281&lt;&gt;"","決定",IF(Q281="","未提出","要調整"))))</f>
        <v/>
      </c>
      <c r="N281" s="44">
        <f>IF(OR(M281&lt;&gt;"要調整",H281=""),"",IFERROR((INDEX(設定!$Q$8:$Q$27,MATCH(H281,設定!$P$8:$P$27,0))+N(INDEX(設定!$R$8:$R$27,MATCH(H281,設定!$P$8:$P$27,0))))-INDEX(定員チェック!$F$7:$F$26,MATCH(H281,設定!$P$8:$P$27,0))-COUNTIFS($M$7:$M$456,"要調整",$G$7:$G$456,H281),""))</f>
        <v/>
      </c>
      <c r="O281" s="44">
        <f>IF(OR(M281&lt;&gt;"要調整",I281=""),"",IFERROR((INDEX(設定!$Q$8:$Q$27,MATCH(I281,設定!$P$8:$P$27,0))+N(INDEX(設定!$R$8:$R$27,MATCH(I281,設定!$P$8:$P$27,0))))-INDEX(定員チェック!$F$7:$F$26,MATCH(I281,設定!$P$8:$P$27,0))-COUNTIFS($M$7:$M$456,"要調整",$G$7:$G$456,I281),""))</f>
        <v/>
      </c>
      <c r="P281" s="8">
        <f>IFERROR(MATCH(SMALL(前年度名簿!$G$2:$G$451,275),前年度名簿!$G$2:$G$451,0),"")</f>
        <v/>
      </c>
      <c r="Q281" s="8">
        <f>IF(R281="","",IFERROR(MATCH(R281,希望入力!$M$2:$M$551,0),""))</f>
        <v/>
      </c>
      <c r="R281" s="8">
        <f>IF(P281="","",INDEX(前年度名簿!$F$2:$F$451,P281))</f>
        <v/>
      </c>
      <c r="S281" s="8">
        <f>IF(P281="","",INDEX(前年度名簿!$I$2:$I$451,P281))</f>
        <v/>
      </c>
      <c r="T281" s="8">
        <f>IF(OR(P281="",計算用!$B$1=0),"",IFERROR(MATCH(S281,新年度名簿!$H$2:$H$451,0),""))</f>
        <v/>
      </c>
      <c r="U281" s="8">
        <f>IF(OR(L281="",M281="転出"),"",IFERROR(MATCH(L281,設定!$P$8:$P$27,0),""))</f>
        <v/>
      </c>
      <c r="V281" s="8">
        <f>IF(U281="","",COUNTIF($U$7:U281,U281))</f>
        <v/>
      </c>
      <c r="W281" s="8">
        <f>IF(U281="","",U281*1000+V281)</f>
        <v/>
      </c>
    </row>
    <row r="282">
      <c r="A282" s="44">
        <f>IF(P282="","",INDEX(前年度名簿!$H$2:$H$451,P282))</f>
        <v/>
      </c>
      <c r="B282" s="44">
        <f>IF(P282="","",IFERROR(INDEX(設定!$G$8:$G$31,INT(INDEX(前年度名簿!$G$2:$G$451,P282)/1000)),INDEX(前年度名簿!$A$2:$A$451,P282)&amp;INDEX(前年度名簿!$B$2:$B$451,P282)))</f>
        <v/>
      </c>
      <c r="C282" s="44">
        <f>IF(P282="","",INDEX(前年度名簿!$C$2:$C$451,P282))</f>
        <v/>
      </c>
      <c r="D282" s="3">
        <f>IF(P282="","",INDEX(前年度名簿!$D$2:$D$451,P282))</f>
        <v/>
      </c>
      <c r="E282" s="44">
        <f>IF(T282="","",INDEX(新年度名簿!$K$2:$K$451,T282))</f>
        <v/>
      </c>
      <c r="F282" s="44">
        <f>IF(T282="","",INDEX(新年度名簿!$C$2:$C$451,T282))</f>
        <v/>
      </c>
      <c r="G282" s="44">
        <f>IF(Q282="","",INDEX(希望入力!$H$2:$H$551,Q282)&amp;"")</f>
        <v/>
      </c>
      <c r="H282" s="44">
        <f>IF(Q282="","",INDEX(希望入力!$I$2:$I$551,Q282)&amp;"")</f>
        <v/>
      </c>
      <c r="I282" s="44">
        <f>IF(Q282="","",INDEX(希望入力!$J$2:$J$551,Q282)&amp;"")</f>
        <v/>
      </c>
      <c r="J282" s="44">
        <f>IF(Q282="","",IF(G282="","要調整",IFERROR(IF(IF(OR(設定!$C$14="〇",設定!$C$14="○"),COUNTIFS($A$7:$A$456,"&gt;="&amp;A282,$G$7:$G$456,G282),COUNTIF($G$7:$G$456,G282))&lt;=(INDEX(設定!$Q$8:$Q$27,MATCH(G282,設定!$P$8:$P$27,0))+N(INDEX(設定!$R$8:$R$27,MATCH(G282,設定!$P$8:$P$27,0)))),G282,"要調整"),"要調整")))</f>
        <v/>
      </c>
      <c r="K282" s="40" t="n"/>
      <c r="L282" s="52">
        <f>IF(P282="","",IF(K282&lt;&gt;"",K282,IF(OR(J282="",J282="要調整"),"",J282)))</f>
        <v/>
      </c>
      <c r="M282" s="44">
        <f>IF(P282="","",IF(AND(計算用!$B$1=1,T282=""),"転出",IF(L282&lt;&gt;"","決定",IF(Q282="","未提出","要調整"))))</f>
        <v/>
      </c>
      <c r="N282" s="44">
        <f>IF(OR(M282&lt;&gt;"要調整",H282=""),"",IFERROR((INDEX(設定!$Q$8:$Q$27,MATCH(H282,設定!$P$8:$P$27,0))+N(INDEX(設定!$R$8:$R$27,MATCH(H282,設定!$P$8:$P$27,0))))-INDEX(定員チェック!$F$7:$F$26,MATCH(H282,設定!$P$8:$P$27,0))-COUNTIFS($M$7:$M$456,"要調整",$G$7:$G$456,H282),""))</f>
        <v/>
      </c>
      <c r="O282" s="44">
        <f>IF(OR(M282&lt;&gt;"要調整",I282=""),"",IFERROR((INDEX(設定!$Q$8:$Q$27,MATCH(I282,設定!$P$8:$P$27,0))+N(INDEX(設定!$R$8:$R$27,MATCH(I282,設定!$P$8:$P$27,0))))-INDEX(定員チェック!$F$7:$F$26,MATCH(I282,設定!$P$8:$P$27,0))-COUNTIFS($M$7:$M$456,"要調整",$G$7:$G$456,I282),""))</f>
        <v/>
      </c>
      <c r="P282" s="8">
        <f>IFERROR(MATCH(SMALL(前年度名簿!$G$2:$G$451,276),前年度名簿!$G$2:$G$451,0),"")</f>
        <v/>
      </c>
      <c r="Q282" s="8">
        <f>IF(R282="","",IFERROR(MATCH(R282,希望入力!$M$2:$M$551,0),""))</f>
        <v/>
      </c>
      <c r="R282" s="8">
        <f>IF(P282="","",INDEX(前年度名簿!$F$2:$F$451,P282))</f>
        <v/>
      </c>
      <c r="S282" s="8">
        <f>IF(P282="","",INDEX(前年度名簿!$I$2:$I$451,P282))</f>
        <v/>
      </c>
      <c r="T282" s="8">
        <f>IF(OR(P282="",計算用!$B$1=0),"",IFERROR(MATCH(S282,新年度名簿!$H$2:$H$451,0),""))</f>
        <v/>
      </c>
      <c r="U282" s="8">
        <f>IF(OR(L282="",M282="転出"),"",IFERROR(MATCH(L282,設定!$P$8:$P$27,0),""))</f>
        <v/>
      </c>
      <c r="V282" s="8">
        <f>IF(U282="","",COUNTIF($U$7:U282,U282))</f>
        <v/>
      </c>
      <c r="W282" s="8">
        <f>IF(U282="","",U282*1000+V282)</f>
        <v/>
      </c>
    </row>
    <row r="283">
      <c r="A283" s="44">
        <f>IF(P283="","",INDEX(前年度名簿!$H$2:$H$451,P283))</f>
        <v/>
      </c>
      <c r="B283" s="44">
        <f>IF(P283="","",IFERROR(INDEX(設定!$G$8:$G$31,INT(INDEX(前年度名簿!$G$2:$G$451,P283)/1000)),INDEX(前年度名簿!$A$2:$A$451,P283)&amp;INDEX(前年度名簿!$B$2:$B$451,P283)))</f>
        <v/>
      </c>
      <c r="C283" s="44">
        <f>IF(P283="","",INDEX(前年度名簿!$C$2:$C$451,P283))</f>
        <v/>
      </c>
      <c r="D283" s="3">
        <f>IF(P283="","",INDEX(前年度名簿!$D$2:$D$451,P283))</f>
        <v/>
      </c>
      <c r="E283" s="44">
        <f>IF(T283="","",INDEX(新年度名簿!$K$2:$K$451,T283))</f>
        <v/>
      </c>
      <c r="F283" s="44">
        <f>IF(T283="","",INDEX(新年度名簿!$C$2:$C$451,T283))</f>
        <v/>
      </c>
      <c r="G283" s="44">
        <f>IF(Q283="","",INDEX(希望入力!$H$2:$H$551,Q283)&amp;"")</f>
        <v/>
      </c>
      <c r="H283" s="44">
        <f>IF(Q283="","",INDEX(希望入力!$I$2:$I$551,Q283)&amp;"")</f>
        <v/>
      </c>
      <c r="I283" s="44">
        <f>IF(Q283="","",INDEX(希望入力!$J$2:$J$551,Q283)&amp;"")</f>
        <v/>
      </c>
      <c r="J283" s="44">
        <f>IF(Q283="","",IF(G283="","要調整",IFERROR(IF(IF(OR(設定!$C$14="〇",設定!$C$14="○"),COUNTIFS($A$7:$A$456,"&gt;="&amp;A283,$G$7:$G$456,G283),COUNTIF($G$7:$G$456,G283))&lt;=(INDEX(設定!$Q$8:$Q$27,MATCH(G283,設定!$P$8:$P$27,0))+N(INDEX(設定!$R$8:$R$27,MATCH(G283,設定!$P$8:$P$27,0)))),G283,"要調整"),"要調整")))</f>
        <v/>
      </c>
      <c r="K283" s="40" t="n"/>
      <c r="L283" s="52">
        <f>IF(P283="","",IF(K283&lt;&gt;"",K283,IF(OR(J283="",J283="要調整"),"",J283)))</f>
        <v/>
      </c>
      <c r="M283" s="44">
        <f>IF(P283="","",IF(AND(計算用!$B$1=1,T283=""),"転出",IF(L283&lt;&gt;"","決定",IF(Q283="","未提出","要調整"))))</f>
        <v/>
      </c>
      <c r="N283" s="44">
        <f>IF(OR(M283&lt;&gt;"要調整",H283=""),"",IFERROR((INDEX(設定!$Q$8:$Q$27,MATCH(H283,設定!$P$8:$P$27,0))+N(INDEX(設定!$R$8:$R$27,MATCH(H283,設定!$P$8:$P$27,0))))-INDEX(定員チェック!$F$7:$F$26,MATCH(H283,設定!$P$8:$P$27,0))-COUNTIFS($M$7:$M$456,"要調整",$G$7:$G$456,H283),""))</f>
        <v/>
      </c>
      <c r="O283" s="44">
        <f>IF(OR(M283&lt;&gt;"要調整",I283=""),"",IFERROR((INDEX(設定!$Q$8:$Q$27,MATCH(I283,設定!$P$8:$P$27,0))+N(INDEX(設定!$R$8:$R$27,MATCH(I283,設定!$P$8:$P$27,0))))-INDEX(定員チェック!$F$7:$F$26,MATCH(I283,設定!$P$8:$P$27,0))-COUNTIFS($M$7:$M$456,"要調整",$G$7:$G$456,I283),""))</f>
        <v/>
      </c>
      <c r="P283" s="8">
        <f>IFERROR(MATCH(SMALL(前年度名簿!$G$2:$G$451,277),前年度名簿!$G$2:$G$451,0),"")</f>
        <v/>
      </c>
      <c r="Q283" s="8">
        <f>IF(R283="","",IFERROR(MATCH(R283,希望入力!$M$2:$M$551,0),""))</f>
        <v/>
      </c>
      <c r="R283" s="8">
        <f>IF(P283="","",INDEX(前年度名簿!$F$2:$F$451,P283))</f>
        <v/>
      </c>
      <c r="S283" s="8">
        <f>IF(P283="","",INDEX(前年度名簿!$I$2:$I$451,P283))</f>
        <v/>
      </c>
      <c r="T283" s="8">
        <f>IF(OR(P283="",計算用!$B$1=0),"",IFERROR(MATCH(S283,新年度名簿!$H$2:$H$451,0),""))</f>
        <v/>
      </c>
      <c r="U283" s="8">
        <f>IF(OR(L283="",M283="転出"),"",IFERROR(MATCH(L283,設定!$P$8:$P$27,0),""))</f>
        <v/>
      </c>
      <c r="V283" s="8">
        <f>IF(U283="","",COUNTIF($U$7:U283,U283))</f>
        <v/>
      </c>
      <c r="W283" s="8">
        <f>IF(U283="","",U283*1000+V283)</f>
        <v/>
      </c>
    </row>
    <row r="284">
      <c r="A284" s="44">
        <f>IF(P284="","",INDEX(前年度名簿!$H$2:$H$451,P284))</f>
        <v/>
      </c>
      <c r="B284" s="44">
        <f>IF(P284="","",IFERROR(INDEX(設定!$G$8:$G$31,INT(INDEX(前年度名簿!$G$2:$G$451,P284)/1000)),INDEX(前年度名簿!$A$2:$A$451,P284)&amp;INDEX(前年度名簿!$B$2:$B$451,P284)))</f>
        <v/>
      </c>
      <c r="C284" s="44">
        <f>IF(P284="","",INDEX(前年度名簿!$C$2:$C$451,P284))</f>
        <v/>
      </c>
      <c r="D284" s="3">
        <f>IF(P284="","",INDEX(前年度名簿!$D$2:$D$451,P284))</f>
        <v/>
      </c>
      <c r="E284" s="44">
        <f>IF(T284="","",INDEX(新年度名簿!$K$2:$K$451,T284))</f>
        <v/>
      </c>
      <c r="F284" s="44">
        <f>IF(T284="","",INDEX(新年度名簿!$C$2:$C$451,T284))</f>
        <v/>
      </c>
      <c r="G284" s="44">
        <f>IF(Q284="","",INDEX(希望入力!$H$2:$H$551,Q284)&amp;"")</f>
        <v/>
      </c>
      <c r="H284" s="44">
        <f>IF(Q284="","",INDEX(希望入力!$I$2:$I$551,Q284)&amp;"")</f>
        <v/>
      </c>
      <c r="I284" s="44">
        <f>IF(Q284="","",INDEX(希望入力!$J$2:$J$551,Q284)&amp;"")</f>
        <v/>
      </c>
      <c r="J284" s="44">
        <f>IF(Q284="","",IF(G284="","要調整",IFERROR(IF(IF(OR(設定!$C$14="〇",設定!$C$14="○"),COUNTIFS($A$7:$A$456,"&gt;="&amp;A284,$G$7:$G$456,G284),COUNTIF($G$7:$G$456,G284))&lt;=(INDEX(設定!$Q$8:$Q$27,MATCH(G284,設定!$P$8:$P$27,0))+N(INDEX(設定!$R$8:$R$27,MATCH(G284,設定!$P$8:$P$27,0)))),G284,"要調整"),"要調整")))</f>
        <v/>
      </c>
      <c r="K284" s="40" t="n"/>
      <c r="L284" s="52">
        <f>IF(P284="","",IF(K284&lt;&gt;"",K284,IF(OR(J284="",J284="要調整"),"",J284)))</f>
        <v/>
      </c>
      <c r="M284" s="44">
        <f>IF(P284="","",IF(AND(計算用!$B$1=1,T284=""),"転出",IF(L284&lt;&gt;"","決定",IF(Q284="","未提出","要調整"))))</f>
        <v/>
      </c>
      <c r="N284" s="44">
        <f>IF(OR(M284&lt;&gt;"要調整",H284=""),"",IFERROR((INDEX(設定!$Q$8:$Q$27,MATCH(H284,設定!$P$8:$P$27,0))+N(INDEX(設定!$R$8:$R$27,MATCH(H284,設定!$P$8:$P$27,0))))-INDEX(定員チェック!$F$7:$F$26,MATCH(H284,設定!$P$8:$P$27,0))-COUNTIFS($M$7:$M$456,"要調整",$G$7:$G$456,H284),""))</f>
        <v/>
      </c>
      <c r="O284" s="44">
        <f>IF(OR(M284&lt;&gt;"要調整",I284=""),"",IFERROR((INDEX(設定!$Q$8:$Q$27,MATCH(I284,設定!$P$8:$P$27,0))+N(INDEX(設定!$R$8:$R$27,MATCH(I284,設定!$P$8:$P$27,0))))-INDEX(定員チェック!$F$7:$F$26,MATCH(I284,設定!$P$8:$P$27,0))-COUNTIFS($M$7:$M$456,"要調整",$G$7:$G$456,I284),""))</f>
        <v/>
      </c>
      <c r="P284" s="8">
        <f>IFERROR(MATCH(SMALL(前年度名簿!$G$2:$G$451,278),前年度名簿!$G$2:$G$451,0),"")</f>
        <v/>
      </c>
      <c r="Q284" s="8">
        <f>IF(R284="","",IFERROR(MATCH(R284,希望入力!$M$2:$M$551,0),""))</f>
        <v/>
      </c>
      <c r="R284" s="8">
        <f>IF(P284="","",INDEX(前年度名簿!$F$2:$F$451,P284))</f>
        <v/>
      </c>
      <c r="S284" s="8">
        <f>IF(P284="","",INDEX(前年度名簿!$I$2:$I$451,P284))</f>
        <v/>
      </c>
      <c r="T284" s="8">
        <f>IF(OR(P284="",計算用!$B$1=0),"",IFERROR(MATCH(S284,新年度名簿!$H$2:$H$451,0),""))</f>
        <v/>
      </c>
      <c r="U284" s="8">
        <f>IF(OR(L284="",M284="転出"),"",IFERROR(MATCH(L284,設定!$P$8:$P$27,0),""))</f>
        <v/>
      </c>
      <c r="V284" s="8">
        <f>IF(U284="","",COUNTIF($U$7:U284,U284))</f>
        <v/>
      </c>
      <c r="W284" s="8">
        <f>IF(U284="","",U284*1000+V284)</f>
        <v/>
      </c>
    </row>
    <row r="285">
      <c r="A285" s="44">
        <f>IF(P285="","",INDEX(前年度名簿!$H$2:$H$451,P285))</f>
        <v/>
      </c>
      <c r="B285" s="44">
        <f>IF(P285="","",IFERROR(INDEX(設定!$G$8:$G$31,INT(INDEX(前年度名簿!$G$2:$G$451,P285)/1000)),INDEX(前年度名簿!$A$2:$A$451,P285)&amp;INDEX(前年度名簿!$B$2:$B$451,P285)))</f>
        <v/>
      </c>
      <c r="C285" s="44">
        <f>IF(P285="","",INDEX(前年度名簿!$C$2:$C$451,P285))</f>
        <v/>
      </c>
      <c r="D285" s="3">
        <f>IF(P285="","",INDEX(前年度名簿!$D$2:$D$451,P285))</f>
        <v/>
      </c>
      <c r="E285" s="44">
        <f>IF(T285="","",INDEX(新年度名簿!$K$2:$K$451,T285))</f>
        <v/>
      </c>
      <c r="F285" s="44">
        <f>IF(T285="","",INDEX(新年度名簿!$C$2:$C$451,T285))</f>
        <v/>
      </c>
      <c r="G285" s="44">
        <f>IF(Q285="","",INDEX(希望入力!$H$2:$H$551,Q285)&amp;"")</f>
        <v/>
      </c>
      <c r="H285" s="44">
        <f>IF(Q285="","",INDEX(希望入力!$I$2:$I$551,Q285)&amp;"")</f>
        <v/>
      </c>
      <c r="I285" s="44">
        <f>IF(Q285="","",INDEX(希望入力!$J$2:$J$551,Q285)&amp;"")</f>
        <v/>
      </c>
      <c r="J285" s="44">
        <f>IF(Q285="","",IF(G285="","要調整",IFERROR(IF(IF(OR(設定!$C$14="〇",設定!$C$14="○"),COUNTIFS($A$7:$A$456,"&gt;="&amp;A285,$G$7:$G$456,G285),COUNTIF($G$7:$G$456,G285))&lt;=(INDEX(設定!$Q$8:$Q$27,MATCH(G285,設定!$P$8:$P$27,0))+N(INDEX(設定!$R$8:$R$27,MATCH(G285,設定!$P$8:$P$27,0)))),G285,"要調整"),"要調整")))</f>
        <v/>
      </c>
      <c r="K285" s="40" t="n"/>
      <c r="L285" s="52">
        <f>IF(P285="","",IF(K285&lt;&gt;"",K285,IF(OR(J285="",J285="要調整"),"",J285)))</f>
        <v/>
      </c>
      <c r="M285" s="44">
        <f>IF(P285="","",IF(AND(計算用!$B$1=1,T285=""),"転出",IF(L285&lt;&gt;"","決定",IF(Q285="","未提出","要調整"))))</f>
        <v/>
      </c>
      <c r="N285" s="44">
        <f>IF(OR(M285&lt;&gt;"要調整",H285=""),"",IFERROR((INDEX(設定!$Q$8:$Q$27,MATCH(H285,設定!$P$8:$P$27,0))+N(INDEX(設定!$R$8:$R$27,MATCH(H285,設定!$P$8:$P$27,0))))-INDEX(定員チェック!$F$7:$F$26,MATCH(H285,設定!$P$8:$P$27,0))-COUNTIFS($M$7:$M$456,"要調整",$G$7:$G$456,H285),""))</f>
        <v/>
      </c>
      <c r="O285" s="44">
        <f>IF(OR(M285&lt;&gt;"要調整",I285=""),"",IFERROR((INDEX(設定!$Q$8:$Q$27,MATCH(I285,設定!$P$8:$P$27,0))+N(INDEX(設定!$R$8:$R$27,MATCH(I285,設定!$P$8:$P$27,0))))-INDEX(定員チェック!$F$7:$F$26,MATCH(I285,設定!$P$8:$P$27,0))-COUNTIFS($M$7:$M$456,"要調整",$G$7:$G$456,I285),""))</f>
        <v/>
      </c>
      <c r="P285" s="8">
        <f>IFERROR(MATCH(SMALL(前年度名簿!$G$2:$G$451,279),前年度名簿!$G$2:$G$451,0),"")</f>
        <v/>
      </c>
      <c r="Q285" s="8">
        <f>IF(R285="","",IFERROR(MATCH(R285,希望入力!$M$2:$M$551,0),""))</f>
        <v/>
      </c>
      <c r="R285" s="8">
        <f>IF(P285="","",INDEX(前年度名簿!$F$2:$F$451,P285))</f>
        <v/>
      </c>
      <c r="S285" s="8">
        <f>IF(P285="","",INDEX(前年度名簿!$I$2:$I$451,P285))</f>
        <v/>
      </c>
      <c r="T285" s="8">
        <f>IF(OR(P285="",計算用!$B$1=0),"",IFERROR(MATCH(S285,新年度名簿!$H$2:$H$451,0),""))</f>
        <v/>
      </c>
      <c r="U285" s="8">
        <f>IF(OR(L285="",M285="転出"),"",IFERROR(MATCH(L285,設定!$P$8:$P$27,0),""))</f>
        <v/>
      </c>
      <c r="V285" s="8">
        <f>IF(U285="","",COUNTIF($U$7:U285,U285))</f>
        <v/>
      </c>
      <c r="W285" s="8">
        <f>IF(U285="","",U285*1000+V285)</f>
        <v/>
      </c>
    </row>
    <row r="286">
      <c r="A286" s="44">
        <f>IF(P286="","",INDEX(前年度名簿!$H$2:$H$451,P286))</f>
        <v/>
      </c>
      <c r="B286" s="44">
        <f>IF(P286="","",IFERROR(INDEX(設定!$G$8:$G$31,INT(INDEX(前年度名簿!$G$2:$G$451,P286)/1000)),INDEX(前年度名簿!$A$2:$A$451,P286)&amp;INDEX(前年度名簿!$B$2:$B$451,P286)))</f>
        <v/>
      </c>
      <c r="C286" s="44">
        <f>IF(P286="","",INDEX(前年度名簿!$C$2:$C$451,P286))</f>
        <v/>
      </c>
      <c r="D286" s="3">
        <f>IF(P286="","",INDEX(前年度名簿!$D$2:$D$451,P286))</f>
        <v/>
      </c>
      <c r="E286" s="44">
        <f>IF(T286="","",INDEX(新年度名簿!$K$2:$K$451,T286))</f>
        <v/>
      </c>
      <c r="F286" s="44">
        <f>IF(T286="","",INDEX(新年度名簿!$C$2:$C$451,T286))</f>
        <v/>
      </c>
      <c r="G286" s="44">
        <f>IF(Q286="","",INDEX(希望入力!$H$2:$H$551,Q286)&amp;"")</f>
        <v/>
      </c>
      <c r="H286" s="44">
        <f>IF(Q286="","",INDEX(希望入力!$I$2:$I$551,Q286)&amp;"")</f>
        <v/>
      </c>
      <c r="I286" s="44">
        <f>IF(Q286="","",INDEX(希望入力!$J$2:$J$551,Q286)&amp;"")</f>
        <v/>
      </c>
      <c r="J286" s="44">
        <f>IF(Q286="","",IF(G286="","要調整",IFERROR(IF(IF(OR(設定!$C$14="〇",設定!$C$14="○"),COUNTIFS($A$7:$A$456,"&gt;="&amp;A286,$G$7:$G$456,G286),COUNTIF($G$7:$G$456,G286))&lt;=(INDEX(設定!$Q$8:$Q$27,MATCH(G286,設定!$P$8:$P$27,0))+N(INDEX(設定!$R$8:$R$27,MATCH(G286,設定!$P$8:$P$27,0)))),G286,"要調整"),"要調整")))</f>
        <v/>
      </c>
      <c r="K286" s="40" t="n"/>
      <c r="L286" s="52">
        <f>IF(P286="","",IF(K286&lt;&gt;"",K286,IF(OR(J286="",J286="要調整"),"",J286)))</f>
        <v/>
      </c>
      <c r="M286" s="44">
        <f>IF(P286="","",IF(AND(計算用!$B$1=1,T286=""),"転出",IF(L286&lt;&gt;"","決定",IF(Q286="","未提出","要調整"))))</f>
        <v/>
      </c>
      <c r="N286" s="44">
        <f>IF(OR(M286&lt;&gt;"要調整",H286=""),"",IFERROR((INDEX(設定!$Q$8:$Q$27,MATCH(H286,設定!$P$8:$P$27,0))+N(INDEX(設定!$R$8:$R$27,MATCH(H286,設定!$P$8:$P$27,0))))-INDEX(定員チェック!$F$7:$F$26,MATCH(H286,設定!$P$8:$P$27,0))-COUNTIFS($M$7:$M$456,"要調整",$G$7:$G$456,H286),""))</f>
        <v/>
      </c>
      <c r="O286" s="44">
        <f>IF(OR(M286&lt;&gt;"要調整",I286=""),"",IFERROR((INDEX(設定!$Q$8:$Q$27,MATCH(I286,設定!$P$8:$P$27,0))+N(INDEX(設定!$R$8:$R$27,MATCH(I286,設定!$P$8:$P$27,0))))-INDEX(定員チェック!$F$7:$F$26,MATCH(I286,設定!$P$8:$P$27,0))-COUNTIFS($M$7:$M$456,"要調整",$G$7:$G$456,I286),""))</f>
        <v/>
      </c>
      <c r="P286" s="8">
        <f>IFERROR(MATCH(SMALL(前年度名簿!$G$2:$G$451,280),前年度名簿!$G$2:$G$451,0),"")</f>
        <v/>
      </c>
      <c r="Q286" s="8">
        <f>IF(R286="","",IFERROR(MATCH(R286,希望入力!$M$2:$M$551,0),""))</f>
        <v/>
      </c>
      <c r="R286" s="8">
        <f>IF(P286="","",INDEX(前年度名簿!$F$2:$F$451,P286))</f>
        <v/>
      </c>
      <c r="S286" s="8">
        <f>IF(P286="","",INDEX(前年度名簿!$I$2:$I$451,P286))</f>
        <v/>
      </c>
      <c r="T286" s="8">
        <f>IF(OR(P286="",計算用!$B$1=0),"",IFERROR(MATCH(S286,新年度名簿!$H$2:$H$451,0),""))</f>
        <v/>
      </c>
      <c r="U286" s="8">
        <f>IF(OR(L286="",M286="転出"),"",IFERROR(MATCH(L286,設定!$P$8:$P$27,0),""))</f>
        <v/>
      </c>
      <c r="V286" s="8">
        <f>IF(U286="","",COUNTIF($U$7:U286,U286))</f>
        <v/>
      </c>
      <c r="W286" s="8">
        <f>IF(U286="","",U286*1000+V286)</f>
        <v/>
      </c>
    </row>
    <row r="287">
      <c r="A287" s="44">
        <f>IF(P287="","",INDEX(前年度名簿!$H$2:$H$451,P287))</f>
        <v/>
      </c>
      <c r="B287" s="44">
        <f>IF(P287="","",IFERROR(INDEX(設定!$G$8:$G$31,INT(INDEX(前年度名簿!$G$2:$G$451,P287)/1000)),INDEX(前年度名簿!$A$2:$A$451,P287)&amp;INDEX(前年度名簿!$B$2:$B$451,P287)))</f>
        <v/>
      </c>
      <c r="C287" s="44">
        <f>IF(P287="","",INDEX(前年度名簿!$C$2:$C$451,P287))</f>
        <v/>
      </c>
      <c r="D287" s="3">
        <f>IF(P287="","",INDEX(前年度名簿!$D$2:$D$451,P287))</f>
        <v/>
      </c>
      <c r="E287" s="44">
        <f>IF(T287="","",INDEX(新年度名簿!$K$2:$K$451,T287))</f>
        <v/>
      </c>
      <c r="F287" s="44">
        <f>IF(T287="","",INDEX(新年度名簿!$C$2:$C$451,T287))</f>
        <v/>
      </c>
      <c r="G287" s="44">
        <f>IF(Q287="","",INDEX(希望入力!$H$2:$H$551,Q287)&amp;"")</f>
        <v/>
      </c>
      <c r="H287" s="44">
        <f>IF(Q287="","",INDEX(希望入力!$I$2:$I$551,Q287)&amp;"")</f>
        <v/>
      </c>
      <c r="I287" s="44">
        <f>IF(Q287="","",INDEX(希望入力!$J$2:$J$551,Q287)&amp;"")</f>
        <v/>
      </c>
      <c r="J287" s="44">
        <f>IF(Q287="","",IF(G287="","要調整",IFERROR(IF(IF(OR(設定!$C$14="〇",設定!$C$14="○"),COUNTIFS($A$7:$A$456,"&gt;="&amp;A287,$G$7:$G$456,G287),COUNTIF($G$7:$G$456,G287))&lt;=(INDEX(設定!$Q$8:$Q$27,MATCH(G287,設定!$P$8:$P$27,0))+N(INDEX(設定!$R$8:$R$27,MATCH(G287,設定!$P$8:$P$27,0)))),G287,"要調整"),"要調整")))</f>
        <v/>
      </c>
      <c r="K287" s="40" t="n"/>
      <c r="L287" s="52">
        <f>IF(P287="","",IF(K287&lt;&gt;"",K287,IF(OR(J287="",J287="要調整"),"",J287)))</f>
        <v/>
      </c>
      <c r="M287" s="44">
        <f>IF(P287="","",IF(AND(計算用!$B$1=1,T287=""),"転出",IF(L287&lt;&gt;"","決定",IF(Q287="","未提出","要調整"))))</f>
        <v/>
      </c>
      <c r="N287" s="44">
        <f>IF(OR(M287&lt;&gt;"要調整",H287=""),"",IFERROR((INDEX(設定!$Q$8:$Q$27,MATCH(H287,設定!$P$8:$P$27,0))+N(INDEX(設定!$R$8:$R$27,MATCH(H287,設定!$P$8:$P$27,0))))-INDEX(定員チェック!$F$7:$F$26,MATCH(H287,設定!$P$8:$P$27,0))-COUNTIFS($M$7:$M$456,"要調整",$G$7:$G$456,H287),""))</f>
        <v/>
      </c>
      <c r="O287" s="44">
        <f>IF(OR(M287&lt;&gt;"要調整",I287=""),"",IFERROR((INDEX(設定!$Q$8:$Q$27,MATCH(I287,設定!$P$8:$P$27,0))+N(INDEX(設定!$R$8:$R$27,MATCH(I287,設定!$P$8:$P$27,0))))-INDEX(定員チェック!$F$7:$F$26,MATCH(I287,設定!$P$8:$P$27,0))-COUNTIFS($M$7:$M$456,"要調整",$G$7:$G$456,I287),""))</f>
        <v/>
      </c>
      <c r="P287" s="8">
        <f>IFERROR(MATCH(SMALL(前年度名簿!$G$2:$G$451,281),前年度名簿!$G$2:$G$451,0),"")</f>
        <v/>
      </c>
      <c r="Q287" s="8">
        <f>IF(R287="","",IFERROR(MATCH(R287,希望入力!$M$2:$M$551,0),""))</f>
        <v/>
      </c>
      <c r="R287" s="8">
        <f>IF(P287="","",INDEX(前年度名簿!$F$2:$F$451,P287))</f>
        <v/>
      </c>
      <c r="S287" s="8">
        <f>IF(P287="","",INDEX(前年度名簿!$I$2:$I$451,P287))</f>
        <v/>
      </c>
      <c r="T287" s="8">
        <f>IF(OR(P287="",計算用!$B$1=0),"",IFERROR(MATCH(S287,新年度名簿!$H$2:$H$451,0),""))</f>
        <v/>
      </c>
      <c r="U287" s="8">
        <f>IF(OR(L287="",M287="転出"),"",IFERROR(MATCH(L287,設定!$P$8:$P$27,0),""))</f>
        <v/>
      </c>
      <c r="V287" s="8">
        <f>IF(U287="","",COUNTIF($U$7:U287,U287))</f>
        <v/>
      </c>
      <c r="W287" s="8">
        <f>IF(U287="","",U287*1000+V287)</f>
        <v/>
      </c>
    </row>
    <row r="288">
      <c r="A288" s="44">
        <f>IF(P288="","",INDEX(前年度名簿!$H$2:$H$451,P288))</f>
        <v/>
      </c>
      <c r="B288" s="44">
        <f>IF(P288="","",IFERROR(INDEX(設定!$G$8:$G$31,INT(INDEX(前年度名簿!$G$2:$G$451,P288)/1000)),INDEX(前年度名簿!$A$2:$A$451,P288)&amp;INDEX(前年度名簿!$B$2:$B$451,P288)))</f>
        <v/>
      </c>
      <c r="C288" s="44">
        <f>IF(P288="","",INDEX(前年度名簿!$C$2:$C$451,P288))</f>
        <v/>
      </c>
      <c r="D288" s="3">
        <f>IF(P288="","",INDEX(前年度名簿!$D$2:$D$451,P288))</f>
        <v/>
      </c>
      <c r="E288" s="44">
        <f>IF(T288="","",INDEX(新年度名簿!$K$2:$K$451,T288))</f>
        <v/>
      </c>
      <c r="F288" s="44">
        <f>IF(T288="","",INDEX(新年度名簿!$C$2:$C$451,T288))</f>
        <v/>
      </c>
      <c r="G288" s="44">
        <f>IF(Q288="","",INDEX(希望入力!$H$2:$H$551,Q288)&amp;"")</f>
        <v/>
      </c>
      <c r="H288" s="44">
        <f>IF(Q288="","",INDEX(希望入力!$I$2:$I$551,Q288)&amp;"")</f>
        <v/>
      </c>
      <c r="I288" s="44">
        <f>IF(Q288="","",INDEX(希望入力!$J$2:$J$551,Q288)&amp;"")</f>
        <v/>
      </c>
      <c r="J288" s="44">
        <f>IF(Q288="","",IF(G288="","要調整",IFERROR(IF(IF(OR(設定!$C$14="〇",設定!$C$14="○"),COUNTIFS($A$7:$A$456,"&gt;="&amp;A288,$G$7:$G$456,G288),COUNTIF($G$7:$G$456,G288))&lt;=(INDEX(設定!$Q$8:$Q$27,MATCH(G288,設定!$P$8:$P$27,0))+N(INDEX(設定!$R$8:$R$27,MATCH(G288,設定!$P$8:$P$27,0)))),G288,"要調整"),"要調整")))</f>
        <v/>
      </c>
      <c r="K288" s="40" t="n"/>
      <c r="L288" s="52">
        <f>IF(P288="","",IF(K288&lt;&gt;"",K288,IF(OR(J288="",J288="要調整"),"",J288)))</f>
        <v/>
      </c>
      <c r="M288" s="44">
        <f>IF(P288="","",IF(AND(計算用!$B$1=1,T288=""),"転出",IF(L288&lt;&gt;"","決定",IF(Q288="","未提出","要調整"))))</f>
        <v/>
      </c>
      <c r="N288" s="44">
        <f>IF(OR(M288&lt;&gt;"要調整",H288=""),"",IFERROR((INDEX(設定!$Q$8:$Q$27,MATCH(H288,設定!$P$8:$P$27,0))+N(INDEX(設定!$R$8:$R$27,MATCH(H288,設定!$P$8:$P$27,0))))-INDEX(定員チェック!$F$7:$F$26,MATCH(H288,設定!$P$8:$P$27,0))-COUNTIFS($M$7:$M$456,"要調整",$G$7:$G$456,H288),""))</f>
        <v/>
      </c>
      <c r="O288" s="44">
        <f>IF(OR(M288&lt;&gt;"要調整",I288=""),"",IFERROR((INDEX(設定!$Q$8:$Q$27,MATCH(I288,設定!$P$8:$P$27,0))+N(INDEX(設定!$R$8:$R$27,MATCH(I288,設定!$P$8:$P$27,0))))-INDEX(定員チェック!$F$7:$F$26,MATCH(I288,設定!$P$8:$P$27,0))-COUNTIFS($M$7:$M$456,"要調整",$G$7:$G$456,I288),""))</f>
        <v/>
      </c>
      <c r="P288" s="8">
        <f>IFERROR(MATCH(SMALL(前年度名簿!$G$2:$G$451,282),前年度名簿!$G$2:$G$451,0),"")</f>
        <v/>
      </c>
      <c r="Q288" s="8">
        <f>IF(R288="","",IFERROR(MATCH(R288,希望入力!$M$2:$M$551,0),""))</f>
        <v/>
      </c>
      <c r="R288" s="8">
        <f>IF(P288="","",INDEX(前年度名簿!$F$2:$F$451,P288))</f>
        <v/>
      </c>
      <c r="S288" s="8">
        <f>IF(P288="","",INDEX(前年度名簿!$I$2:$I$451,P288))</f>
        <v/>
      </c>
      <c r="T288" s="8">
        <f>IF(OR(P288="",計算用!$B$1=0),"",IFERROR(MATCH(S288,新年度名簿!$H$2:$H$451,0),""))</f>
        <v/>
      </c>
      <c r="U288" s="8">
        <f>IF(OR(L288="",M288="転出"),"",IFERROR(MATCH(L288,設定!$P$8:$P$27,0),""))</f>
        <v/>
      </c>
      <c r="V288" s="8">
        <f>IF(U288="","",COUNTIF($U$7:U288,U288))</f>
        <v/>
      </c>
      <c r="W288" s="8">
        <f>IF(U288="","",U288*1000+V288)</f>
        <v/>
      </c>
    </row>
    <row r="289">
      <c r="A289" s="44">
        <f>IF(P289="","",INDEX(前年度名簿!$H$2:$H$451,P289))</f>
        <v/>
      </c>
      <c r="B289" s="44">
        <f>IF(P289="","",IFERROR(INDEX(設定!$G$8:$G$31,INT(INDEX(前年度名簿!$G$2:$G$451,P289)/1000)),INDEX(前年度名簿!$A$2:$A$451,P289)&amp;INDEX(前年度名簿!$B$2:$B$451,P289)))</f>
        <v/>
      </c>
      <c r="C289" s="44">
        <f>IF(P289="","",INDEX(前年度名簿!$C$2:$C$451,P289))</f>
        <v/>
      </c>
      <c r="D289" s="3">
        <f>IF(P289="","",INDEX(前年度名簿!$D$2:$D$451,P289))</f>
        <v/>
      </c>
      <c r="E289" s="44">
        <f>IF(T289="","",INDEX(新年度名簿!$K$2:$K$451,T289))</f>
        <v/>
      </c>
      <c r="F289" s="44">
        <f>IF(T289="","",INDEX(新年度名簿!$C$2:$C$451,T289))</f>
        <v/>
      </c>
      <c r="G289" s="44">
        <f>IF(Q289="","",INDEX(希望入力!$H$2:$H$551,Q289)&amp;"")</f>
        <v/>
      </c>
      <c r="H289" s="44">
        <f>IF(Q289="","",INDEX(希望入力!$I$2:$I$551,Q289)&amp;"")</f>
        <v/>
      </c>
      <c r="I289" s="44">
        <f>IF(Q289="","",INDEX(希望入力!$J$2:$J$551,Q289)&amp;"")</f>
        <v/>
      </c>
      <c r="J289" s="44">
        <f>IF(Q289="","",IF(G289="","要調整",IFERROR(IF(IF(OR(設定!$C$14="〇",設定!$C$14="○"),COUNTIFS($A$7:$A$456,"&gt;="&amp;A289,$G$7:$G$456,G289),COUNTIF($G$7:$G$456,G289))&lt;=(INDEX(設定!$Q$8:$Q$27,MATCH(G289,設定!$P$8:$P$27,0))+N(INDEX(設定!$R$8:$R$27,MATCH(G289,設定!$P$8:$P$27,0)))),G289,"要調整"),"要調整")))</f>
        <v/>
      </c>
      <c r="K289" s="40" t="inlineStr">
        <is>
          <t>料理</t>
        </is>
      </c>
      <c r="L289" s="52">
        <f>IF(P289="","",IF(K289&lt;&gt;"",K289,IF(OR(J289="",J289="要調整"),"",J289)))</f>
        <v/>
      </c>
      <c r="M289" s="44">
        <f>IF(P289="","",IF(AND(計算用!$B$1=1,T289=""),"転出",IF(L289&lt;&gt;"","決定",IF(Q289="","未提出","要調整"))))</f>
        <v/>
      </c>
      <c r="N289" s="44">
        <f>IF(OR(M289&lt;&gt;"要調整",H289=""),"",IFERROR((INDEX(設定!$Q$8:$Q$27,MATCH(H289,設定!$P$8:$P$27,0))+N(INDEX(設定!$R$8:$R$27,MATCH(H289,設定!$P$8:$P$27,0))))-INDEX(定員チェック!$F$7:$F$26,MATCH(H289,設定!$P$8:$P$27,0))-COUNTIFS($M$7:$M$456,"要調整",$G$7:$G$456,H289),""))</f>
        <v/>
      </c>
      <c r="O289" s="44">
        <f>IF(OR(M289&lt;&gt;"要調整",I289=""),"",IFERROR((INDEX(設定!$Q$8:$Q$27,MATCH(I289,設定!$P$8:$P$27,0))+N(INDEX(設定!$R$8:$R$27,MATCH(I289,設定!$P$8:$P$27,0))))-INDEX(定員チェック!$F$7:$F$26,MATCH(I289,設定!$P$8:$P$27,0))-COUNTIFS($M$7:$M$456,"要調整",$G$7:$G$456,I289),""))</f>
        <v/>
      </c>
      <c r="P289" s="8">
        <f>IFERROR(MATCH(SMALL(前年度名簿!$G$2:$G$451,283),前年度名簿!$G$2:$G$451,0),"")</f>
        <v/>
      </c>
      <c r="Q289" s="8">
        <f>IF(R289="","",IFERROR(MATCH(R289,希望入力!$M$2:$M$551,0),""))</f>
        <v/>
      </c>
      <c r="R289" s="8">
        <f>IF(P289="","",INDEX(前年度名簿!$F$2:$F$451,P289))</f>
        <v/>
      </c>
      <c r="S289" s="8">
        <f>IF(P289="","",INDEX(前年度名簿!$I$2:$I$451,P289))</f>
        <v/>
      </c>
      <c r="T289" s="8">
        <f>IF(OR(P289="",計算用!$B$1=0),"",IFERROR(MATCH(S289,新年度名簿!$H$2:$H$451,0),""))</f>
        <v/>
      </c>
      <c r="U289" s="8">
        <f>IF(OR(L289="",M289="転出"),"",IFERROR(MATCH(L289,設定!$P$8:$P$27,0),""))</f>
        <v/>
      </c>
      <c r="V289" s="8">
        <f>IF(U289="","",COUNTIF($U$7:U289,U289))</f>
        <v/>
      </c>
      <c r="W289" s="8">
        <f>IF(U289="","",U289*1000+V289)</f>
        <v/>
      </c>
    </row>
    <row r="290">
      <c r="A290" s="44">
        <f>IF(P290="","",INDEX(前年度名簿!$H$2:$H$451,P290))</f>
        <v/>
      </c>
      <c r="B290" s="44">
        <f>IF(P290="","",IFERROR(INDEX(設定!$G$8:$G$31,INT(INDEX(前年度名簿!$G$2:$G$451,P290)/1000)),INDEX(前年度名簿!$A$2:$A$451,P290)&amp;INDEX(前年度名簿!$B$2:$B$451,P290)))</f>
        <v/>
      </c>
      <c r="C290" s="44">
        <f>IF(P290="","",INDEX(前年度名簿!$C$2:$C$451,P290))</f>
        <v/>
      </c>
      <c r="D290" s="3">
        <f>IF(P290="","",INDEX(前年度名簿!$D$2:$D$451,P290))</f>
        <v/>
      </c>
      <c r="E290" s="44">
        <f>IF(T290="","",INDEX(新年度名簿!$K$2:$K$451,T290))</f>
        <v/>
      </c>
      <c r="F290" s="44">
        <f>IF(T290="","",INDEX(新年度名簿!$C$2:$C$451,T290))</f>
        <v/>
      </c>
      <c r="G290" s="44">
        <f>IF(Q290="","",INDEX(希望入力!$H$2:$H$551,Q290)&amp;"")</f>
        <v/>
      </c>
      <c r="H290" s="44">
        <f>IF(Q290="","",INDEX(希望入力!$I$2:$I$551,Q290)&amp;"")</f>
        <v/>
      </c>
      <c r="I290" s="44">
        <f>IF(Q290="","",INDEX(希望入力!$J$2:$J$551,Q290)&amp;"")</f>
        <v/>
      </c>
      <c r="J290" s="44">
        <f>IF(Q290="","",IF(G290="","要調整",IFERROR(IF(IF(OR(設定!$C$14="〇",設定!$C$14="○"),COUNTIFS($A$7:$A$456,"&gt;="&amp;A290,$G$7:$G$456,G290),COUNTIF($G$7:$G$456,G290))&lt;=(INDEX(設定!$Q$8:$Q$27,MATCH(G290,設定!$P$8:$P$27,0))+N(INDEX(設定!$R$8:$R$27,MATCH(G290,設定!$P$8:$P$27,0)))),G290,"要調整"),"要調整")))</f>
        <v/>
      </c>
      <c r="K290" s="40" t="n"/>
      <c r="L290" s="52">
        <f>IF(P290="","",IF(K290&lt;&gt;"",K290,IF(OR(J290="",J290="要調整"),"",J290)))</f>
        <v/>
      </c>
      <c r="M290" s="44">
        <f>IF(P290="","",IF(AND(計算用!$B$1=1,T290=""),"転出",IF(L290&lt;&gt;"","決定",IF(Q290="","未提出","要調整"))))</f>
        <v/>
      </c>
      <c r="N290" s="44">
        <f>IF(OR(M290&lt;&gt;"要調整",H290=""),"",IFERROR((INDEX(設定!$Q$8:$Q$27,MATCH(H290,設定!$P$8:$P$27,0))+N(INDEX(設定!$R$8:$R$27,MATCH(H290,設定!$P$8:$P$27,0))))-INDEX(定員チェック!$F$7:$F$26,MATCH(H290,設定!$P$8:$P$27,0))-COUNTIFS($M$7:$M$456,"要調整",$G$7:$G$456,H290),""))</f>
        <v/>
      </c>
      <c r="O290" s="44">
        <f>IF(OR(M290&lt;&gt;"要調整",I290=""),"",IFERROR((INDEX(設定!$Q$8:$Q$27,MATCH(I290,設定!$P$8:$P$27,0))+N(INDEX(設定!$R$8:$R$27,MATCH(I290,設定!$P$8:$P$27,0))))-INDEX(定員チェック!$F$7:$F$26,MATCH(I290,設定!$P$8:$P$27,0))-COUNTIFS($M$7:$M$456,"要調整",$G$7:$G$456,I290),""))</f>
        <v/>
      </c>
      <c r="P290" s="8">
        <f>IFERROR(MATCH(SMALL(前年度名簿!$G$2:$G$451,284),前年度名簿!$G$2:$G$451,0),"")</f>
        <v/>
      </c>
      <c r="Q290" s="8">
        <f>IF(R290="","",IFERROR(MATCH(R290,希望入力!$M$2:$M$551,0),""))</f>
        <v/>
      </c>
      <c r="R290" s="8">
        <f>IF(P290="","",INDEX(前年度名簿!$F$2:$F$451,P290))</f>
        <v/>
      </c>
      <c r="S290" s="8">
        <f>IF(P290="","",INDEX(前年度名簿!$I$2:$I$451,P290))</f>
        <v/>
      </c>
      <c r="T290" s="8">
        <f>IF(OR(P290="",計算用!$B$1=0),"",IFERROR(MATCH(S290,新年度名簿!$H$2:$H$451,0),""))</f>
        <v/>
      </c>
      <c r="U290" s="8">
        <f>IF(OR(L290="",M290="転出"),"",IFERROR(MATCH(L290,設定!$P$8:$P$27,0),""))</f>
        <v/>
      </c>
      <c r="V290" s="8">
        <f>IF(U290="","",COUNTIF($U$7:U290,U290))</f>
        <v/>
      </c>
      <c r="W290" s="8">
        <f>IF(U290="","",U290*1000+V290)</f>
        <v/>
      </c>
    </row>
    <row r="291">
      <c r="A291" s="44">
        <f>IF(P291="","",INDEX(前年度名簿!$H$2:$H$451,P291))</f>
        <v/>
      </c>
      <c r="B291" s="44">
        <f>IF(P291="","",IFERROR(INDEX(設定!$G$8:$G$31,INT(INDEX(前年度名簿!$G$2:$G$451,P291)/1000)),INDEX(前年度名簿!$A$2:$A$451,P291)&amp;INDEX(前年度名簿!$B$2:$B$451,P291)))</f>
        <v/>
      </c>
      <c r="C291" s="44">
        <f>IF(P291="","",INDEX(前年度名簿!$C$2:$C$451,P291))</f>
        <v/>
      </c>
      <c r="D291" s="3">
        <f>IF(P291="","",INDEX(前年度名簿!$D$2:$D$451,P291))</f>
        <v/>
      </c>
      <c r="E291" s="44">
        <f>IF(T291="","",INDEX(新年度名簿!$K$2:$K$451,T291))</f>
        <v/>
      </c>
      <c r="F291" s="44">
        <f>IF(T291="","",INDEX(新年度名簿!$C$2:$C$451,T291))</f>
        <v/>
      </c>
      <c r="G291" s="44">
        <f>IF(Q291="","",INDEX(希望入力!$H$2:$H$551,Q291)&amp;"")</f>
        <v/>
      </c>
      <c r="H291" s="44">
        <f>IF(Q291="","",INDEX(希望入力!$I$2:$I$551,Q291)&amp;"")</f>
        <v/>
      </c>
      <c r="I291" s="44">
        <f>IF(Q291="","",INDEX(希望入力!$J$2:$J$551,Q291)&amp;"")</f>
        <v/>
      </c>
      <c r="J291" s="44">
        <f>IF(Q291="","",IF(G291="","要調整",IFERROR(IF(IF(OR(設定!$C$14="〇",設定!$C$14="○"),COUNTIFS($A$7:$A$456,"&gt;="&amp;A291,$G$7:$G$456,G291),COUNTIF($G$7:$G$456,G291))&lt;=(INDEX(設定!$Q$8:$Q$27,MATCH(G291,設定!$P$8:$P$27,0))+N(INDEX(設定!$R$8:$R$27,MATCH(G291,設定!$P$8:$P$27,0)))),G291,"要調整"),"要調整")))</f>
        <v/>
      </c>
      <c r="K291" s="40" t="inlineStr">
        <is>
          <t>料理</t>
        </is>
      </c>
      <c r="L291" s="52">
        <f>IF(P291="","",IF(K291&lt;&gt;"",K291,IF(OR(J291="",J291="要調整"),"",J291)))</f>
        <v/>
      </c>
      <c r="M291" s="44">
        <f>IF(P291="","",IF(AND(計算用!$B$1=1,T291=""),"転出",IF(L291&lt;&gt;"","決定",IF(Q291="","未提出","要調整"))))</f>
        <v/>
      </c>
      <c r="N291" s="44">
        <f>IF(OR(M291&lt;&gt;"要調整",H291=""),"",IFERROR((INDEX(設定!$Q$8:$Q$27,MATCH(H291,設定!$P$8:$P$27,0))+N(INDEX(設定!$R$8:$R$27,MATCH(H291,設定!$P$8:$P$27,0))))-INDEX(定員チェック!$F$7:$F$26,MATCH(H291,設定!$P$8:$P$27,0))-COUNTIFS($M$7:$M$456,"要調整",$G$7:$G$456,H291),""))</f>
        <v/>
      </c>
      <c r="O291" s="44">
        <f>IF(OR(M291&lt;&gt;"要調整",I291=""),"",IFERROR((INDEX(設定!$Q$8:$Q$27,MATCH(I291,設定!$P$8:$P$27,0))+N(INDEX(設定!$R$8:$R$27,MATCH(I291,設定!$P$8:$P$27,0))))-INDEX(定員チェック!$F$7:$F$26,MATCH(I291,設定!$P$8:$P$27,0))-COUNTIFS($M$7:$M$456,"要調整",$G$7:$G$456,I291),""))</f>
        <v/>
      </c>
      <c r="P291" s="8">
        <f>IFERROR(MATCH(SMALL(前年度名簿!$G$2:$G$451,285),前年度名簿!$G$2:$G$451,0),"")</f>
        <v/>
      </c>
      <c r="Q291" s="8">
        <f>IF(R291="","",IFERROR(MATCH(R291,希望入力!$M$2:$M$551,0),""))</f>
        <v/>
      </c>
      <c r="R291" s="8">
        <f>IF(P291="","",INDEX(前年度名簿!$F$2:$F$451,P291))</f>
        <v/>
      </c>
      <c r="S291" s="8">
        <f>IF(P291="","",INDEX(前年度名簿!$I$2:$I$451,P291))</f>
        <v/>
      </c>
      <c r="T291" s="8">
        <f>IF(OR(P291="",計算用!$B$1=0),"",IFERROR(MATCH(S291,新年度名簿!$H$2:$H$451,0),""))</f>
        <v/>
      </c>
      <c r="U291" s="8">
        <f>IF(OR(L291="",M291="転出"),"",IFERROR(MATCH(L291,設定!$P$8:$P$27,0),""))</f>
        <v/>
      </c>
      <c r="V291" s="8">
        <f>IF(U291="","",COUNTIF($U$7:U291,U291))</f>
        <v/>
      </c>
      <c r="W291" s="8">
        <f>IF(U291="","",U291*1000+V291)</f>
        <v/>
      </c>
    </row>
    <row r="292">
      <c r="A292" s="44">
        <f>IF(P292="","",INDEX(前年度名簿!$H$2:$H$451,P292))</f>
        <v/>
      </c>
      <c r="B292" s="44">
        <f>IF(P292="","",IFERROR(INDEX(設定!$G$8:$G$31,INT(INDEX(前年度名簿!$G$2:$G$451,P292)/1000)),INDEX(前年度名簿!$A$2:$A$451,P292)&amp;INDEX(前年度名簿!$B$2:$B$451,P292)))</f>
        <v/>
      </c>
      <c r="C292" s="44">
        <f>IF(P292="","",INDEX(前年度名簿!$C$2:$C$451,P292))</f>
        <v/>
      </c>
      <c r="D292" s="3">
        <f>IF(P292="","",INDEX(前年度名簿!$D$2:$D$451,P292))</f>
        <v/>
      </c>
      <c r="E292" s="44">
        <f>IF(T292="","",INDEX(新年度名簿!$K$2:$K$451,T292))</f>
        <v/>
      </c>
      <c r="F292" s="44">
        <f>IF(T292="","",INDEX(新年度名簿!$C$2:$C$451,T292))</f>
        <v/>
      </c>
      <c r="G292" s="44">
        <f>IF(Q292="","",INDEX(希望入力!$H$2:$H$551,Q292)&amp;"")</f>
        <v/>
      </c>
      <c r="H292" s="44">
        <f>IF(Q292="","",INDEX(希望入力!$I$2:$I$551,Q292)&amp;"")</f>
        <v/>
      </c>
      <c r="I292" s="44">
        <f>IF(Q292="","",INDEX(希望入力!$J$2:$J$551,Q292)&amp;"")</f>
        <v/>
      </c>
      <c r="J292" s="44">
        <f>IF(Q292="","",IF(G292="","要調整",IFERROR(IF(IF(OR(設定!$C$14="〇",設定!$C$14="○"),COUNTIFS($A$7:$A$456,"&gt;="&amp;A292,$G$7:$G$456,G292),COUNTIF($G$7:$G$456,G292))&lt;=(INDEX(設定!$Q$8:$Q$27,MATCH(G292,設定!$P$8:$P$27,0))+N(INDEX(設定!$R$8:$R$27,MATCH(G292,設定!$P$8:$P$27,0)))),G292,"要調整"),"要調整")))</f>
        <v/>
      </c>
      <c r="K292" s="40" t="inlineStr">
        <is>
          <t>料理</t>
        </is>
      </c>
      <c r="L292" s="52">
        <f>IF(P292="","",IF(K292&lt;&gt;"",K292,IF(OR(J292="",J292="要調整"),"",J292)))</f>
        <v/>
      </c>
      <c r="M292" s="44">
        <f>IF(P292="","",IF(AND(計算用!$B$1=1,T292=""),"転出",IF(L292&lt;&gt;"","決定",IF(Q292="","未提出","要調整"))))</f>
        <v/>
      </c>
      <c r="N292" s="44">
        <f>IF(OR(M292&lt;&gt;"要調整",H292=""),"",IFERROR((INDEX(設定!$Q$8:$Q$27,MATCH(H292,設定!$P$8:$P$27,0))+N(INDEX(設定!$R$8:$R$27,MATCH(H292,設定!$P$8:$P$27,0))))-INDEX(定員チェック!$F$7:$F$26,MATCH(H292,設定!$P$8:$P$27,0))-COUNTIFS($M$7:$M$456,"要調整",$G$7:$G$456,H292),""))</f>
        <v/>
      </c>
      <c r="O292" s="44">
        <f>IF(OR(M292&lt;&gt;"要調整",I292=""),"",IFERROR((INDEX(設定!$Q$8:$Q$27,MATCH(I292,設定!$P$8:$P$27,0))+N(INDEX(設定!$R$8:$R$27,MATCH(I292,設定!$P$8:$P$27,0))))-INDEX(定員チェック!$F$7:$F$26,MATCH(I292,設定!$P$8:$P$27,0))-COUNTIFS($M$7:$M$456,"要調整",$G$7:$G$456,I292),""))</f>
        <v/>
      </c>
      <c r="P292" s="8">
        <f>IFERROR(MATCH(SMALL(前年度名簿!$G$2:$G$451,286),前年度名簿!$G$2:$G$451,0),"")</f>
        <v/>
      </c>
      <c r="Q292" s="8">
        <f>IF(R292="","",IFERROR(MATCH(R292,希望入力!$M$2:$M$551,0),""))</f>
        <v/>
      </c>
      <c r="R292" s="8">
        <f>IF(P292="","",INDEX(前年度名簿!$F$2:$F$451,P292))</f>
        <v/>
      </c>
      <c r="S292" s="8">
        <f>IF(P292="","",INDEX(前年度名簿!$I$2:$I$451,P292))</f>
        <v/>
      </c>
      <c r="T292" s="8">
        <f>IF(OR(P292="",計算用!$B$1=0),"",IFERROR(MATCH(S292,新年度名簿!$H$2:$H$451,0),""))</f>
        <v/>
      </c>
      <c r="U292" s="8">
        <f>IF(OR(L292="",M292="転出"),"",IFERROR(MATCH(L292,設定!$P$8:$P$27,0),""))</f>
        <v/>
      </c>
      <c r="V292" s="8">
        <f>IF(U292="","",COUNTIF($U$7:U292,U292))</f>
        <v/>
      </c>
      <c r="W292" s="8">
        <f>IF(U292="","",U292*1000+V292)</f>
        <v/>
      </c>
    </row>
    <row r="293">
      <c r="A293" s="44">
        <f>IF(P293="","",INDEX(前年度名簿!$H$2:$H$451,P293))</f>
        <v/>
      </c>
      <c r="B293" s="44">
        <f>IF(P293="","",IFERROR(INDEX(設定!$G$8:$G$31,INT(INDEX(前年度名簿!$G$2:$G$451,P293)/1000)),INDEX(前年度名簿!$A$2:$A$451,P293)&amp;INDEX(前年度名簿!$B$2:$B$451,P293)))</f>
        <v/>
      </c>
      <c r="C293" s="44">
        <f>IF(P293="","",INDEX(前年度名簿!$C$2:$C$451,P293))</f>
        <v/>
      </c>
      <c r="D293" s="3">
        <f>IF(P293="","",INDEX(前年度名簿!$D$2:$D$451,P293))</f>
        <v/>
      </c>
      <c r="E293" s="44">
        <f>IF(T293="","",INDEX(新年度名簿!$K$2:$K$451,T293))</f>
        <v/>
      </c>
      <c r="F293" s="44">
        <f>IF(T293="","",INDEX(新年度名簿!$C$2:$C$451,T293))</f>
        <v/>
      </c>
      <c r="G293" s="44">
        <f>IF(Q293="","",INDEX(希望入力!$H$2:$H$551,Q293)&amp;"")</f>
        <v/>
      </c>
      <c r="H293" s="44">
        <f>IF(Q293="","",INDEX(希望入力!$I$2:$I$551,Q293)&amp;"")</f>
        <v/>
      </c>
      <c r="I293" s="44">
        <f>IF(Q293="","",INDEX(希望入力!$J$2:$J$551,Q293)&amp;"")</f>
        <v/>
      </c>
      <c r="J293" s="44">
        <f>IF(Q293="","",IF(G293="","要調整",IFERROR(IF(IF(OR(設定!$C$14="〇",設定!$C$14="○"),COUNTIFS($A$7:$A$456,"&gt;="&amp;A293,$G$7:$G$456,G293),COUNTIF($G$7:$G$456,G293))&lt;=(INDEX(設定!$Q$8:$Q$27,MATCH(G293,設定!$P$8:$P$27,0))+N(INDEX(設定!$R$8:$R$27,MATCH(G293,設定!$P$8:$P$27,0)))),G293,"要調整"),"要調整")))</f>
        <v/>
      </c>
      <c r="K293" s="40" t="n"/>
      <c r="L293" s="52">
        <f>IF(P293="","",IF(K293&lt;&gt;"",K293,IF(OR(J293="",J293="要調整"),"",J293)))</f>
        <v/>
      </c>
      <c r="M293" s="44">
        <f>IF(P293="","",IF(AND(計算用!$B$1=1,T293=""),"転出",IF(L293&lt;&gt;"","決定",IF(Q293="","未提出","要調整"))))</f>
        <v/>
      </c>
      <c r="N293" s="44">
        <f>IF(OR(M293&lt;&gt;"要調整",H293=""),"",IFERROR((INDEX(設定!$Q$8:$Q$27,MATCH(H293,設定!$P$8:$P$27,0))+N(INDEX(設定!$R$8:$R$27,MATCH(H293,設定!$P$8:$P$27,0))))-INDEX(定員チェック!$F$7:$F$26,MATCH(H293,設定!$P$8:$P$27,0))-COUNTIFS($M$7:$M$456,"要調整",$G$7:$G$456,H293),""))</f>
        <v/>
      </c>
      <c r="O293" s="44">
        <f>IF(OR(M293&lt;&gt;"要調整",I293=""),"",IFERROR((INDEX(設定!$Q$8:$Q$27,MATCH(I293,設定!$P$8:$P$27,0))+N(INDEX(設定!$R$8:$R$27,MATCH(I293,設定!$P$8:$P$27,0))))-INDEX(定員チェック!$F$7:$F$26,MATCH(I293,設定!$P$8:$P$27,0))-COUNTIFS($M$7:$M$456,"要調整",$G$7:$G$456,I293),""))</f>
        <v/>
      </c>
      <c r="P293" s="8">
        <f>IFERROR(MATCH(SMALL(前年度名簿!$G$2:$G$451,287),前年度名簿!$G$2:$G$451,0),"")</f>
        <v/>
      </c>
      <c r="Q293" s="8">
        <f>IF(R293="","",IFERROR(MATCH(R293,希望入力!$M$2:$M$551,0),""))</f>
        <v/>
      </c>
      <c r="R293" s="8">
        <f>IF(P293="","",INDEX(前年度名簿!$F$2:$F$451,P293))</f>
        <v/>
      </c>
      <c r="S293" s="8">
        <f>IF(P293="","",INDEX(前年度名簿!$I$2:$I$451,P293))</f>
        <v/>
      </c>
      <c r="T293" s="8">
        <f>IF(OR(P293="",計算用!$B$1=0),"",IFERROR(MATCH(S293,新年度名簿!$H$2:$H$451,0),""))</f>
        <v/>
      </c>
      <c r="U293" s="8">
        <f>IF(OR(L293="",M293="転出"),"",IFERROR(MATCH(L293,設定!$P$8:$P$27,0),""))</f>
        <v/>
      </c>
      <c r="V293" s="8">
        <f>IF(U293="","",COUNTIF($U$7:U293,U293))</f>
        <v/>
      </c>
      <c r="W293" s="8">
        <f>IF(U293="","",U293*1000+V293)</f>
        <v/>
      </c>
    </row>
    <row r="294">
      <c r="A294" s="44">
        <f>IF(P294="","",INDEX(前年度名簿!$H$2:$H$451,P294))</f>
        <v/>
      </c>
      <c r="B294" s="44">
        <f>IF(P294="","",IFERROR(INDEX(設定!$G$8:$G$31,INT(INDEX(前年度名簿!$G$2:$G$451,P294)/1000)),INDEX(前年度名簿!$A$2:$A$451,P294)&amp;INDEX(前年度名簿!$B$2:$B$451,P294)))</f>
        <v/>
      </c>
      <c r="C294" s="44">
        <f>IF(P294="","",INDEX(前年度名簿!$C$2:$C$451,P294))</f>
        <v/>
      </c>
      <c r="D294" s="3">
        <f>IF(P294="","",INDEX(前年度名簿!$D$2:$D$451,P294))</f>
        <v/>
      </c>
      <c r="E294" s="44">
        <f>IF(T294="","",INDEX(新年度名簿!$K$2:$K$451,T294))</f>
        <v/>
      </c>
      <c r="F294" s="44">
        <f>IF(T294="","",INDEX(新年度名簿!$C$2:$C$451,T294))</f>
        <v/>
      </c>
      <c r="G294" s="44">
        <f>IF(Q294="","",INDEX(希望入力!$H$2:$H$551,Q294)&amp;"")</f>
        <v/>
      </c>
      <c r="H294" s="44">
        <f>IF(Q294="","",INDEX(希望入力!$I$2:$I$551,Q294)&amp;"")</f>
        <v/>
      </c>
      <c r="I294" s="44">
        <f>IF(Q294="","",INDEX(希望入力!$J$2:$J$551,Q294)&amp;"")</f>
        <v/>
      </c>
      <c r="J294" s="44">
        <f>IF(Q294="","",IF(G294="","要調整",IFERROR(IF(IF(OR(設定!$C$14="〇",設定!$C$14="○"),COUNTIFS($A$7:$A$456,"&gt;="&amp;A294,$G$7:$G$456,G294),COUNTIF($G$7:$G$456,G294))&lt;=(INDEX(設定!$Q$8:$Q$27,MATCH(G294,設定!$P$8:$P$27,0))+N(INDEX(設定!$R$8:$R$27,MATCH(G294,設定!$P$8:$P$27,0)))),G294,"要調整"),"要調整")))</f>
        <v/>
      </c>
      <c r="K294" s="40" t="n"/>
      <c r="L294" s="52">
        <f>IF(P294="","",IF(K294&lt;&gt;"",K294,IF(OR(J294="",J294="要調整"),"",J294)))</f>
        <v/>
      </c>
      <c r="M294" s="44">
        <f>IF(P294="","",IF(AND(計算用!$B$1=1,T294=""),"転出",IF(L294&lt;&gt;"","決定",IF(Q294="","未提出","要調整"))))</f>
        <v/>
      </c>
      <c r="N294" s="44">
        <f>IF(OR(M294&lt;&gt;"要調整",H294=""),"",IFERROR((INDEX(設定!$Q$8:$Q$27,MATCH(H294,設定!$P$8:$P$27,0))+N(INDEX(設定!$R$8:$R$27,MATCH(H294,設定!$P$8:$P$27,0))))-INDEX(定員チェック!$F$7:$F$26,MATCH(H294,設定!$P$8:$P$27,0))-COUNTIFS($M$7:$M$456,"要調整",$G$7:$G$456,H294),""))</f>
        <v/>
      </c>
      <c r="O294" s="44">
        <f>IF(OR(M294&lt;&gt;"要調整",I294=""),"",IFERROR((INDEX(設定!$Q$8:$Q$27,MATCH(I294,設定!$P$8:$P$27,0))+N(INDEX(設定!$R$8:$R$27,MATCH(I294,設定!$P$8:$P$27,0))))-INDEX(定員チェック!$F$7:$F$26,MATCH(I294,設定!$P$8:$P$27,0))-COUNTIFS($M$7:$M$456,"要調整",$G$7:$G$456,I294),""))</f>
        <v/>
      </c>
      <c r="P294" s="8">
        <f>IFERROR(MATCH(SMALL(前年度名簿!$G$2:$G$451,288),前年度名簿!$G$2:$G$451,0),"")</f>
        <v/>
      </c>
      <c r="Q294" s="8">
        <f>IF(R294="","",IFERROR(MATCH(R294,希望入力!$M$2:$M$551,0),""))</f>
        <v/>
      </c>
      <c r="R294" s="8">
        <f>IF(P294="","",INDEX(前年度名簿!$F$2:$F$451,P294))</f>
        <v/>
      </c>
      <c r="S294" s="8">
        <f>IF(P294="","",INDEX(前年度名簿!$I$2:$I$451,P294))</f>
        <v/>
      </c>
      <c r="T294" s="8">
        <f>IF(OR(P294="",計算用!$B$1=0),"",IFERROR(MATCH(S294,新年度名簿!$H$2:$H$451,0),""))</f>
        <v/>
      </c>
      <c r="U294" s="8">
        <f>IF(OR(L294="",M294="転出"),"",IFERROR(MATCH(L294,設定!$P$8:$P$27,0),""))</f>
        <v/>
      </c>
      <c r="V294" s="8">
        <f>IF(U294="","",COUNTIF($U$7:U294,U294))</f>
        <v/>
      </c>
      <c r="W294" s="8">
        <f>IF(U294="","",U294*1000+V294)</f>
        <v/>
      </c>
    </row>
    <row r="295">
      <c r="A295" s="44">
        <f>IF(P295="","",INDEX(前年度名簿!$H$2:$H$451,P295))</f>
        <v/>
      </c>
      <c r="B295" s="44">
        <f>IF(P295="","",IFERROR(INDEX(設定!$G$8:$G$31,INT(INDEX(前年度名簿!$G$2:$G$451,P295)/1000)),INDEX(前年度名簿!$A$2:$A$451,P295)&amp;INDEX(前年度名簿!$B$2:$B$451,P295)))</f>
        <v/>
      </c>
      <c r="C295" s="44">
        <f>IF(P295="","",INDEX(前年度名簿!$C$2:$C$451,P295))</f>
        <v/>
      </c>
      <c r="D295" s="3">
        <f>IF(P295="","",INDEX(前年度名簿!$D$2:$D$451,P295))</f>
        <v/>
      </c>
      <c r="E295" s="44">
        <f>IF(T295="","",INDEX(新年度名簿!$K$2:$K$451,T295))</f>
        <v/>
      </c>
      <c r="F295" s="44">
        <f>IF(T295="","",INDEX(新年度名簿!$C$2:$C$451,T295))</f>
        <v/>
      </c>
      <c r="G295" s="44">
        <f>IF(Q295="","",INDEX(希望入力!$H$2:$H$551,Q295)&amp;"")</f>
        <v/>
      </c>
      <c r="H295" s="44">
        <f>IF(Q295="","",INDEX(希望入力!$I$2:$I$551,Q295)&amp;"")</f>
        <v/>
      </c>
      <c r="I295" s="44">
        <f>IF(Q295="","",INDEX(希望入力!$J$2:$J$551,Q295)&amp;"")</f>
        <v/>
      </c>
      <c r="J295" s="44">
        <f>IF(Q295="","",IF(G295="","要調整",IFERROR(IF(IF(OR(設定!$C$14="〇",設定!$C$14="○"),COUNTIFS($A$7:$A$456,"&gt;="&amp;A295,$G$7:$G$456,G295),COUNTIF($G$7:$G$456,G295))&lt;=(INDEX(設定!$Q$8:$Q$27,MATCH(G295,設定!$P$8:$P$27,0))+N(INDEX(設定!$R$8:$R$27,MATCH(G295,設定!$P$8:$P$27,0)))),G295,"要調整"),"要調整")))</f>
        <v/>
      </c>
      <c r="K295" s="40" t="n"/>
      <c r="L295" s="52">
        <f>IF(P295="","",IF(K295&lt;&gt;"",K295,IF(OR(J295="",J295="要調整"),"",J295)))</f>
        <v/>
      </c>
      <c r="M295" s="44">
        <f>IF(P295="","",IF(AND(計算用!$B$1=1,T295=""),"転出",IF(L295&lt;&gt;"","決定",IF(Q295="","未提出","要調整"))))</f>
        <v/>
      </c>
      <c r="N295" s="44">
        <f>IF(OR(M295&lt;&gt;"要調整",H295=""),"",IFERROR((INDEX(設定!$Q$8:$Q$27,MATCH(H295,設定!$P$8:$P$27,0))+N(INDEX(設定!$R$8:$R$27,MATCH(H295,設定!$P$8:$P$27,0))))-INDEX(定員チェック!$F$7:$F$26,MATCH(H295,設定!$P$8:$P$27,0))-COUNTIFS($M$7:$M$456,"要調整",$G$7:$G$456,H295),""))</f>
        <v/>
      </c>
      <c r="O295" s="44">
        <f>IF(OR(M295&lt;&gt;"要調整",I295=""),"",IFERROR((INDEX(設定!$Q$8:$Q$27,MATCH(I295,設定!$P$8:$P$27,0))+N(INDEX(設定!$R$8:$R$27,MATCH(I295,設定!$P$8:$P$27,0))))-INDEX(定員チェック!$F$7:$F$26,MATCH(I295,設定!$P$8:$P$27,0))-COUNTIFS($M$7:$M$456,"要調整",$G$7:$G$456,I295),""))</f>
        <v/>
      </c>
      <c r="P295" s="8">
        <f>IFERROR(MATCH(SMALL(前年度名簿!$G$2:$G$451,289),前年度名簿!$G$2:$G$451,0),"")</f>
        <v/>
      </c>
      <c r="Q295" s="8">
        <f>IF(R295="","",IFERROR(MATCH(R295,希望入力!$M$2:$M$551,0),""))</f>
        <v/>
      </c>
      <c r="R295" s="8">
        <f>IF(P295="","",INDEX(前年度名簿!$F$2:$F$451,P295))</f>
        <v/>
      </c>
      <c r="S295" s="8">
        <f>IF(P295="","",INDEX(前年度名簿!$I$2:$I$451,P295))</f>
        <v/>
      </c>
      <c r="T295" s="8">
        <f>IF(OR(P295="",計算用!$B$1=0),"",IFERROR(MATCH(S295,新年度名簿!$H$2:$H$451,0),""))</f>
        <v/>
      </c>
      <c r="U295" s="8">
        <f>IF(OR(L295="",M295="転出"),"",IFERROR(MATCH(L295,設定!$P$8:$P$27,0),""))</f>
        <v/>
      </c>
      <c r="V295" s="8">
        <f>IF(U295="","",COUNTIF($U$7:U295,U295))</f>
        <v/>
      </c>
      <c r="W295" s="8">
        <f>IF(U295="","",U295*1000+V295)</f>
        <v/>
      </c>
    </row>
    <row r="296">
      <c r="A296" s="44">
        <f>IF(P296="","",INDEX(前年度名簿!$H$2:$H$451,P296))</f>
        <v/>
      </c>
      <c r="B296" s="44">
        <f>IF(P296="","",IFERROR(INDEX(設定!$G$8:$G$31,INT(INDEX(前年度名簿!$G$2:$G$451,P296)/1000)),INDEX(前年度名簿!$A$2:$A$451,P296)&amp;INDEX(前年度名簿!$B$2:$B$451,P296)))</f>
        <v/>
      </c>
      <c r="C296" s="44">
        <f>IF(P296="","",INDEX(前年度名簿!$C$2:$C$451,P296))</f>
        <v/>
      </c>
      <c r="D296" s="3">
        <f>IF(P296="","",INDEX(前年度名簿!$D$2:$D$451,P296))</f>
        <v/>
      </c>
      <c r="E296" s="44">
        <f>IF(T296="","",INDEX(新年度名簿!$K$2:$K$451,T296))</f>
        <v/>
      </c>
      <c r="F296" s="44">
        <f>IF(T296="","",INDEX(新年度名簿!$C$2:$C$451,T296))</f>
        <v/>
      </c>
      <c r="G296" s="44">
        <f>IF(Q296="","",INDEX(希望入力!$H$2:$H$551,Q296)&amp;"")</f>
        <v/>
      </c>
      <c r="H296" s="44">
        <f>IF(Q296="","",INDEX(希望入力!$I$2:$I$551,Q296)&amp;"")</f>
        <v/>
      </c>
      <c r="I296" s="44">
        <f>IF(Q296="","",INDEX(希望入力!$J$2:$J$551,Q296)&amp;"")</f>
        <v/>
      </c>
      <c r="J296" s="44">
        <f>IF(Q296="","",IF(G296="","要調整",IFERROR(IF(IF(OR(設定!$C$14="〇",設定!$C$14="○"),COUNTIFS($A$7:$A$456,"&gt;="&amp;A296,$G$7:$G$456,G296),COUNTIF($G$7:$G$456,G296))&lt;=(INDEX(設定!$Q$8:$Q$27,MATCH(G296,設定!$P$8:$P$27,0))+N(INDEX(設定!$R$8:$R$27,MATCH(G296,設定!$P$8:$P$27,0)))),G296,"要調整"),"要調整")))</f>
        <v/>
      </c>
      <c r="K296" s="40" t="n"/>
      <c r="L296" s="52">
        <f>IF(P296="","",IF(K296&lt;&gt;"",K296,IF(OR(J296="",J296="要調整"),"",J296)))</f>
        <v/>
      </c>
      <c r="M296" s="44">
        <f>IF(P296="","",IF(AND(計算用!$B$1=1,T296=""),"転出",IF(L296&lt;&gt;"","決定",IF(Q296="","未提出","要調整"))))</f>
        <v/>
      </c>
      <c r="N296" s="44">
        <f>IF(OR(M296&lt;&gt;"要調整",H296=""),"",IFERROR((INDEX(設定!$Q$8:$Q$27,MATCH(H296,設定!$P$8:$P$27,0))+N(INDEX(設定!$R$8:$R$27,MATCH(H296,設定!$P$8:$P$27,0))))-INDEX(定員チェック!$F$7:$F$26,MATCH(H296,設定!$P$8:$P$27,0))-COUNTIFS($M$7:$M$456,"要調整",$G$7:$G$456,H296),""))</f>
        <v/>
      </c>
      <c r="O296" s="44">
        <f>IF(OR(M296&lt;&gt;"要調整",I296=""),"",IFERROR((INDEX(設定!$Q$8:$Q$27,MATCH(I296,設定!$P$8:$P$27,0))+N(INDEX(設定!$R$8:$R$27,MATCH(I296,設定!$P$8:$P$27,0))))-INDEX(定員チェック!$F$7:$F$26,MATCH(I296,設定!$P$8:$P$27,0))-COUNTIFS($M$7:$M$456,"要調整",$G$7:$G$456,I296),""))</f>
        <v/>
      </c>
      <c r="P296" s="8">
        <f>IFERROR(MATCH(SMALL(前年度名簿!$G$2:$G$451,290),前年度名簿!$G$2:$G$451,0),"")</f>
        <v/>
      </c>
      <c r="Q296" s="8">
        <f>IF(R296="","",IFERROR(MATCH(R296,希望入力!$M$2:$M$551,0),""))</f>
        <v/>
      </c>
      <c r="R296" s="8">
        <f>IF(P296="","",INDEX(前年度名簿!$F$2:$F$451,P296))</f>
        <v/>
      </c>
      <c r="S296" s="8">
        <f>IF(P296="","",INDEX(前年度名簿!$I$2:$I$451,P296))</f>
        <v/>
      </c>
      <c r="T296" s="8">
        <f>IF(OR(P296="",計算用!$B$1=0),"",IFERROR(MATCH(S296,新年度名簿!$H$2:$H$451,0),""))</f>
        <v/>
      </c>
      <c r="U296" s="8">
        <f>IF(OR(L296="",M296="転出"),"",IFERROR(MATCH(L296,設定!$P$8:$P$27,0),""))</f>
        <v/>
      </c>
      <c r="V296" s="8">
        <f>IF(U296="","",COUNTIF($U$7:U296,U296))</f>
        <v/>
      </c>
      <c r="W296" s="8">
        <f>IF(U296="","",U296*1000+V296)</f>
        <v/>
      </c>
    </row>
    <row r="297">
      <c r="A297" s="44">
        <f>IF(P297="","",INDEX(前年度名簿!$H$2:$H$451,P297))</f>
        <v/>
      </c>
      <c r="B297" s="44">
        <f>IF(P297="","",IFERROR(INDEX(設定!$G$8:$G$31,INT(INDEX(前年度名簿!$G$2:$G$451,P297)/1000)),INDEX(前年度名簿!$A$2:$A$451,P297)&amp;INDEX(前年度名簿!$B$2:$B$451,P297)))</f>
        <v/>
      </c>
      <c r="C297" s="44">
        <f>IF(P297="","",INDEX(前年度名簿!$C$2:$C$451,P297))</f>
        <v/>
      </c>
      <c r="D297" s="3">
        <f>IF(P297="","",INDEX(前年度名簿!$D$2:$D$451,P297))</f>
        <v/>
      </c>
      <c r="E297" s="44">
        <f>IF(T297="","",INDEX(新年度名簿!$K$2:$K$451,T297))</f>
        <v/>
      </c>
      <c r="F297" s="44">
        <f>IF(T297="","",INDEX(新年度名簿!$C$2:$C$451,T297))</f>
        <v/>
      </c>
      <c r="G297" s="44">
        <f>IF(Q297="","",INDEX(希望入力!$H$2:$H$551,Q297)&amp;"")</f>
        <v/>
      </c>
      <c r="H297" s="44">
        <f>IF(Q297="","",INDEX(希望入力!$I$2:$I$551,Q297)&amp;"")</f>
        <v/>
      </c>
      <c r="I297" s="44">
        <f>IF(Q297="","",INDEX(希望入力!$J$2:$J$551,Q297)&amp;"")</f>
        <v/>
      </c>
      <c r="J297" s="44">
        <f>IF(Q297="","",IF(G297="","要調整",IFERROR(IF(IF(OR(設定!$C$14="〇",設定!$C$14="○"),COUNTIFS($A$7:$A$456,"&gt;="&amp;A297,$G$7:$G$456,G297),COUNTIF($G$7:$G$456,G297))&lt;=(INDEX(設定!$Q$8:$Q$27,MATCH(G297,設定!$P$8:$P$27,0))+N(INDEX(設定!$R$8:$R$27,MATCH(G297,設定!$P$8:$P$27,0)))),G297,"要調整"),"要調整")))</f>
        <v/>
      </c>
      <c r="K297" s="40" t="n"/>
      <c r="L297" s="52">
        <f>IF(P297="","",IF(K297&lt;&gt;"",K297,IF(OR(J297="",J297="要調整"),"",J297)))</f>
        <v/>
      </c>
      <c r="M297" s="44">
        <f>IF(P297="","",IF(AND(計算用!$B$1=1,T297=""),"転出",IF(L297&lt;&gt;"","決定",IF(Q297="","未提出","要調整"))))</f>
        <v/>
      </c>
      <c r="N297" s="44">
        <f>IF(OR(M297&lt;&gt;"要調整",H297=""),"",IFERROR((INDEX(設定!$Q$8:$Q$27,MATCH(H297,設定!$P$8:$P$27,0))+N(INDEX(設定!$R$8:$R$27,MATCH(H297,設定!$P$8:$P$27,0))))-INDEX(定員チェック!$F$7:$F$26,MATCH(H297,設定!$P$8:$P$27,0))-COUNTIFS($M$7:$M$456,"要調整",$G$7:$G$456,H297),""))</f>
        <v/>
      </c>
      <c r="O297" s="44">
        <f>IF(OR(M297&lt;&gt;"要調整",I297=""),"",IFERROR((INDEX(設定!$Q$8:$Q$27,MATCH(I297,設定!$P$8:$P$27,0))+N(INDEX(設定!$R$8:$R$27,MATCH(I297,設定!$P$8:$P$27,0))))-INDEX(定員チェック!$F$7:$F$26,MATCH(I297,設定!$P$8:$P$27,0))-COUNTIFS($M$7:$M$456,"要調整",$G$7:$G$456,I297),""))</f>
        <v/>
      </c>
      <c r="P297" s="8">
        <f>IFERROR(MATCH(SMALL(前年度名簿!$G$2:$G$451,291),前年度名簿!$G$2:$G$451,0),"")</f>
        <v/>
      </c>
      <c r="Q297" s="8">
        <f>IF(R297="","",IFERROR(MATCH(R297,希望入力!$M$2:$M$551,0),""))</f>
        <v/>
      </c>
      <c r="R297" s="8">
        <f>IF(P297="","",INDEX(前年度名簿!$F$2:$F$451,P297))</f>
        <v/>
      </c>
      <c r="S297" s="8">
        <f>IF(P297="","",INDEX(前年度名簿!$I$2:$I$451,P297))</f>
        <v/>
      </c>
      <c r="T297" s="8">
        <f>IF(OR(P297="",計算用!$B$1=0),"",IFERROR(MATCH(S297,新年度名簿!$H$2:$H$451,0),""))</f>
        <v/>
      </c>
      <c r="U297" s="8">
        <f>IF(OR(L297="",M297="転出"),"",IFERROR(MATCH(L297,設定!$P$8:$P$27,0),""))</f>
        <v/>
      </c>
      <c r="V297" s="8">
        <f>IF(U297="","",COUNTIF($U$7:U297,U297))</f>
        <v/>
      </c>
      <c r="W297" s="8">
        <f>IF(U297="","",U297*1000+V297)</f>
        <v/>
      </c>
    </row>
    <row r="298">
      <c r="A298" s="44">
        <f>IF(P298="","",INDEX(前年度名簿!$H$2:$H$451,P298))</f>
        <v/>
      </c>
      <c r="B298" s="44">
        <f>IF(P298="","",IFERROR(INDEX(設定!$G$8:$G$31,INT(INDEX(前年度名簿!$G$2:$G$451,P298)/1000)),INDEX(前年度名簿!$A$2:$A$451,P298)&amp;INDEX(前年度名簿!$B$2:$B$451,P298)))</f>
        <v/>
      </c>
      <c r="C298" s="44">
        <f>IF(P298="","",INDEX(前年度名簿!$C$2:$C$451,P298))</f>
        <v/>
      </c>
      <c r="D298" s="3">
        <f>IF(P298="","",INDEX(前年度名簿!$D$2:$D$451,P298))</f>
        <v/>
      </c>
      <c r="E298" s="44">
        <f>IF(T298="","",INDEX(新年度名簿!$K$2:$K$451,T298))</f>
        <v/>
      </c>
      <c r="F298" s="44">
        <f>IF(T298="","",INDEX(新年度名簿!$C$2:$C$451,T298))</f>
        <v/>
      </c>
      <c r="G298" s="44">
        <f>IF(Q298="","",INDEX(希望入力!$H$2:$H$551,Q298)&amp;"")</f>
        <v/>
      </c>
      <c r="H298" s="44">
        <f>IF(Q298="","",INDEX(希望入力!$I$2:$I$551,Q298)&amp;"")</f>
        <v/>
      </c>
      <c r="I298" s="44">
        <f>IF(Q298="","",INDEX(希望入力!$J$2:$J$551,Q298)&amp;"")</f>
        <v/>
      </c>
      <c r="J298" s="44">
        <f>IF(Q298="","",IF(G298="","要調整",IFERROR(IF(IF(OR(設定!$C$14="〇",設定!$C$14="○"),COUNTIFS($A$7:$A$456,"&gt;="&amp;A298,$G$7:$G$456,G298),COUNTIF($G$7:$G$456,G298))&lt;=(INDEX(設定!$Q$8:$Q$27,MATCH(G298,設定!$P$8:$P$27,0))+N(INDEX(設定!$R$8:$R$27,MATCH(G298,設定!$P$8:$P$27,0)))),G298,"要調整"),"要調整")))</f>
        <v/>
      </c>
      <c r="K298" s="40" t="n"/>
      <c r="L298" s="52">
        <f>IF(P298="","",IF(K298&lt;&gt;"",K298,IF(OR(J298="",J298="要調整"),"",J298)))</f>
        <v/>
      </c>
      <c r="M298" s="44">
        <f>IF(P298="","",IF(AND(計算用!$B$1=1,T298=""),"転出",IF(L298&lt;&gt;"","決定",IF(Q298="","未提出","要調整"))))</f>
        <v/>
      </c>
      <c r="N298" s="44">
        <f>IF(OR(M298&lt;&gt;"要調整",H298=""),"",IFERROR((INDEX(設定!$Q$8:$Q$27,MATCH(H298,設定!$P$8:$P$27,0))+N(INDEX(設定!$R$8:$R$27,MATCH(H298,設定!$P$8:$P$27,0))))-INDEX(定員チェック!$F$7:$F$26,MATCH(H298,設定!$P$8:$P$27,0))-COUNTIFS($M$7:$M$456,"要調整",$G$7:$G$456,H298),""))</f>
        <v/>
      </c>
      <c r="O298" s="44">
        <f>IF(OR(M298&lt;&gt;"要調整",I298=""),"",IFERROR((INDEX(設定!$Q$8:$Q$27,MATCH(I298,設定!$P$8:$P$27,0))+N(INDEX(設定!$R$8:$R$27,MATCH(I298,設定!$P$8:$P$27,0))))-INDEX(定員チェック!$F$7:$F$26,MATCH(I298,設定!$P$8:$P$27,0))-COUNTIFS($M$7:$M$456,"要調整",$G$7:$G$456,I298),""))</f>
        <v/>
      </c>
      <c r="P298" s="8">
        <f>IFERROR(MATCH(SMALL(前年度名簿!$G$2:$G$451,292),前年度名簿!$G$2:$G$451,0),"")</f>
        <v/>
      </c>
      <c r="Q298" s="8">
        <f>IF(R298="","",IFERROR(MATCH(R298,希望入力!$M$2:$M$551,0),""))</f>
        <v/>
      </c>
      <c r="R298" s="8">
        <f>IF(P298="","",INDEX(前年度名簿!$F$2:$F$451,P298))</f>
        <v/>
      </c>
      <c r="S298" s="8">
        <f>IF(P298="","",INDEX(前年度名簿!$I$2:$I$451,P298))</f>
        <v/>
      </c>
      <c r="T298" s="8">
        <f>IF(OR(P298="",計算用!$B$1=0),"",IFERROR(MATCH(S298,新年度名簿!$H$2:$H$451,0),""))</f>
        <v/>
      </c>
      <c r="U298" s="8">
        <f>IF(OR(L298="",M298="転出"),"",IFERROR(MATCH(L298,設定!$P$8:$P$27,0),""))</f>
        <v/>
      </c>
      <c r="V298" s="8">
        <f>IF(U298="","",COUNTIF($U$7:U298,U298))</f>
        <v/>
      </c>
      <c r="W298" s="8">
        <f>IF(U298="","",U298*1000+V298)</f>
        <v/>
      </c>
    </row>
    <row r="299">
      <c r="A299" s="44">
        <f>IF(P299="","",INDEX(前年度名簿!$H$2:$H$451,P299))</f>
        <v/>
      </c>
      <c r="B299" s="44">
        <f>IF(P299="","",IFERROR(INDEX(設定!$G$8:$G$31,INT(INDEX(前年度名簿!$G$2:$G$451,P299)/1000)),INDEX(前年度名簿!$A$2:$A$451,P299)&amp;INDEX(前年度名簿!$B$2:$B$451,P299)))</f>
        <v/>
      </c>
      <c r="C299" s="44">
        <f>IF(P299="","",INDEX(前年度名簿!$C$2:$C$451,P299))</f>
        <v/>
      </c>
      <c r="D299" s="3">
        <f>IF(P299="","",INDEX(前年度名簿!$D$2:$D$451,P299))</f>
        <v/>
      </c>
      <c r="E299" s="44">
        <f>IF(T299="","",INDEX(新年度名簿!$K$2:$K$451,T299))</f>
        <v/>
      </c>
      <c r="F299" s="44">
        <f>IF(T299="","",INDEX(新年度名簿!$C$2:$C$451,T299))</f>
        <v/>
      </c>
      <c r="G299" s="44">
        <f>IF(Q299="","",INDEX(希望入力!$H$2:$H$551,Q299)&amp;"")</f>
        <v/>
      </c>
      <c r="H299" s="44">
        <f>IF(Q299="","",INDEX(希望入力!$I$2:$I$551,Q299)&amp;"")</f>
        <v/>
      </c>
      <c r="I299" s="44">
        <f>IF(Q299="","",INDEX(希望入力!$J$2:$J$551,Q299)&amp;"")</f>
        <v/>
      </c>
      <c r="J299" s="44">
        <f>IF(Q299="","",IF(G299="","要調整",IFERROR(IF(IF(OR(設定!$C$14="〇",設定!$C$14="○"),COUNTIFS($A$7:$A$456,"&gt;="&amp;A299,$G$7:$G$456,G299),COUNTIF($G$7:$G$456,G299))&lt;=(INDEX(設定!$Q$8:$Q$27,MATCH(G299,設定!$P$8:$P$27,0))+N(INDEX(設定!$R$8:$R$27,MATCH(G299,設定!$P$8:$P$27,0)))),G299,"要調整"),"要調整")))</f>
        <v/>
      </c>
      <c r="K299" s="40" t="n"/>
      <c r="L299" s="52">
        <f>IF(P299="","",IF(K299&lt;&gt;"",K299,IF(OR(J299="",J299="要調整"),"",J299)))</f>
        <v/>
      </c>
      <c r="M299" s="44">
        <f>IF(P299="","",IF(AND(計算用!$B$1=1,T299=""),"転出",IF(L299&lt;&gt;"","決定",IF(Q299="","未提出","要調整"))))</f>
        <v/>
      </c>
      <c r="N299" s="44">
        <f>IF(OR(M299&lt;&gt;"要調整",H299=""),"",IFERROR((INDEX(設定!$Q$8:$Q$27,MATCH(H299,設定!$P$8:$P$27,0))+N(INDEX(設定!$R$8:$R$27,MATCH(H299,設定!$P$8:$P$27,0))))-INDEX(定員チェック!$F$7:$F$26,MATCH(H299,設定!$P$8:$P$27,0))-COUNTIFS($M$7:$M$456,"要調整",$G$7:$G$456,H299),""))</f>
        <v/>
      </c>
      <c r="O299" s="44">
        <f>IF(OR(M299&lt;&gt;"要調整",I299=""),"",IFERROR((INDEX(設定!$Q$8:$Q$27,MATCH(I299,設定!$P$8:$P$27,0))+N(INDEX(設定!$R$8:$R$27,MATCH(I299,設定!$P$8:$P$27,0))))-INDEX(定員チェック!$F$7:$F$26,MATCH(I299,設定!$P$8:$P$27,0))-COUNTIFS($M$7:$M$456,"要調整",$G$7:$G$456,I299),""))</f>
        <v/>
      </c>
      <c r="P299" s="8">
        <f>IFERROR(MATCH(SMALL(前年度名簿!$G$2:$G$451,293),前年度名簿!$G$2:$G$451,0),"")</f>
        <v/>
      </c>
      <c r="Q299" s="8">
        <f>IF(R299="","",IFERROR(MATCH(R299,希望入力!$M$2:$M$551,0),""))</f>
        <v/>
      </c>
      <c r="R299" s="8">
        <f>IF(P299="","",INDEX(前年度名簿!$F$2:$F$451,P299))</f>
        <v/>
      </c>
      <c r="S299" s="8">
        <f>IF(P299="","",INDEX(前年度名簿!$I$2:$I$451,P299))</f>
        <v/>
      </c>
      <c r="T299" s="8">
        <f>IF(OR(P299="",計算用!$B$1=0),"",IFERROR(MATCH(S299,新年度名簿!$H$2:$H$451,0),""))</f>
        <v/>
      </c>
      <c r="U299" s="8">
        <f>IF(OR(L299="",M299="転出"),"",IFERROR(MATCH(L299,設定!$P$8:$P$27,0),""))</f>
        <v/>
      </c>
      <c r="V299" s="8">
        <f>IF(U299="","",COUNTIF($U$7:U299,U299))</f>
        <v/>
      </c>
      <c r="W299" s="8">
        <f>IF(U299="","",U299*1000+V299)</f>
        <v/>
      </c>
    </row>
    <row r="300">
      <c r="A300" s="44">
        <f>IF(P300="","",INDEX(前年度名簿!$H$2:$H$451,P300))</f>
        <v/>
      </c>
      <c r="B300" s="44">
        <f>IF(P300="","",IFERROR(INDEX(設定!$G$8:$G$31,INT(INDEX(前年度名簿!$G$2:$G$451,P300)/1000)),INDEX(前年度名簿!$A$2:$A$451,P300)&amp;INDEX(前年度名簿!$B$2:$B$451,P300)))</f>
        <v/>
      </c>
      <c r="C300" s="44">
        <f>IF(P300="","",INDEX(前年度名簿!$C$2:$C$451,P300))</f>
        <v/>
      </c>
      <c r="D300" s="3">
        <f>IF(P300="","",INDEX(前年度名簿!$D$2:$D$451,P300))</f>
        <v/>
      </c>
      <c r="E300" s="44">
        <f>IF(T300="","",INDEX(新年度名簿!$K$2:$K$451,T300))</f>
        <v/>
      </c>
      <c r="F300" s="44">
        <f>IF(T300="","",INDEX(新年度名簿!$C$2:$C$451,T300))</f>
        <v/>
      </c>
      <c r="G300" s="44">
        <f>IF(Q300="","",INDEX(希望入力!$H$2:$H$551,Q300)&amp;"")</f>
        <v/>
      </c>
      <c r="H300" s="44">
        <f>IF(Q300="","",INDEX(希望入力!$I$2:$I$551,Q300)&amp;"")</f>
        <v/>
      </c>
      <c r="I300" s="44">
        <f>IF(Q300="","",INDEX(希望入力!$J$2:$J$551,Q300)&amp;"")</f>
        <v/>
      </c>
      <c r="J300" s="44">
        <f>IF(Q300="","",IF(G300="","要調整",IFERROR(IF(IF(OR(設定!$C$14="〇",設定!$C$14="○"),COUNTIFS($A$7:$A$456,"&gt;="&amp;A300,$G$7:$G$456,G300),COUNTIF($G$7:$G$456,G300))&lt;=(INDEX(設定!$Q$8:$Q$27,MATCH(G300,設定!$P$8:$P$27,0))+N(INDEX(設定!$R$8:$R$27,MATCH(G300,設定!$P$8:$P$27,0)))),G300,"要調整"),"要調整")))</f>
        <v/>
      </c>
      <c r="K300" s="40" t="n"/>
      <c r="L300" s="52">
        <f>IF(P300="","",IF(K300&lt;&gt;"",K300,IF(OR(J300="",J300="要調整"),"",J300)))</f>
        <v/>
      </c>
      <c r="M300" s="44">
        <f>IF(P300="","",IF(AND(計算用!$B$1=1,T300=""),"転出",IF(L300&lt;&gt;"","決定",IF(Q300="","未提出","要調整"))))</f>
        <v/>
      </c>
      <c r="N300" s="44">
        <f>IF(OR(M300&lt;&gt;"要調整",H300=""),"",IFERROR((INDEX(設定!$Q$8:$Q$27,MATCH(H300,設定!$P$8:$P$27,0))+N(INDEX(設定!$R$8:$R$27,MATCH(H300,設定!$P$8:$P$27,0))))-INDEX(定員チェック!$F$7:$F$26,MATCH(H300,設定!$P$8:$P$27,0))-COUNTIFS($M$7:$M$456,"要調整",$G$7:$G$456,H300),""))</f>
        <v/>
      </c>
      <c r="O300" s="44">
        <f>IF(OR(M300&lt;&gt;"要調整",I300=""),"",IFERROR((INDEX(設定!$Q$8:$Q$27,MATCH(I300,設定!$P$8:$P$27,0))+N(INDEX(設定!$R$8:$R$27,MATCH(I300,設定!$P$8:$P$27,0))))-INDEX(定員チェック!$F$7:$F$26,MATCH(I300,設定!$P$8:$P$27,0))-COUNTIFS($M$7:$M$456,"要調整",$G$7:$G$456,I300),""))</f>
        <v/>
      </c>
      <c r="P300" s="8">
        <f>IFERROR(MATCH(SMALL(前年度名簿!$G$2:$G$451,294),前年度名簿!$G$2:$G$451,0),"")</f>
        <v/>
      </c>
      <c r="Q300" s="8">
        <f>IF(R300="","",IFERROR(MATCH(R300,希望入力!$M$2:$M$551,0),""))</f>
        <v/>
      </c>
      <c r="R300" s="8">
        <f>IF(P300="","",INDEX(前年度名簿!$F$2:$F$451,P300))</f>
        <v/>
      </c>
      <c r="S300" s="8">
        <f>IF(P300="","",INDEX(前年度名簿!$I$2:$I$451,P300))</f>
        <v/>
      </c>
      <c r="T300" s="8">
        <f>IF(OR(P300="",計算用!$B$1=0),"",IFERROR(MATCH(S300,新年度名簿!$H$2:$H$451,0),""))</f>
        <v/>
      </c>
      <c r="U300" s="8">
        <f>IF(OR(L300="",M300="転出"),"",IFERROR(MATCH(L300,設定!$P$8:$P$27,0),""))</f>
        <v/>
      </c>
      <c r="V300" s="8">
        <f>IF(U300="","",COUNTIF($U$7:U300,U300))</f>
        <v/>
      </c>
      <c r="W300" s="8">
        <f>IF(U300="","",U300*1000+V300)</f>
        <v/>
      </c>
    </row>
    <row r="301">
      <c r="A301" s="44">
        <f>IF(P301="","",INDEX(前年度名簿!$H$2:$H$451,P301))</f>
        <v/>
      </c>
      <c r="B301" s="44">
        <f>IF(P301="","",IFERROR(INDEX(設定!$G$8:$G$31,INT(INDEX(前年度名簿!$G$2:$G$451,P301)/1000)),INDEX(前年度名簿!$A$2:$A$451,P301)&amp;INDEX(前年度名簿!$B$2:$B$451,P301)))</f>
        <v/>
      </c>
      <c r="C301" s="44">
        <f>IF(P301="","",INDEX(前年度名簿!$C$2:$C$451,P301))</f>
        <v/>
      </c>
      <c r="D301" s="3">
        <f>IF(P301="","",INDEX(前年度名簿!$D$2:$D$451,P301))</f>
        <v/>
      </c>
      <c r="E301" s="44">
        <f>IF(T301="","",INDEX(新年度名簿!$K$2:$K$451,T301))</f>
        <v/>
      </c>
      <c r="F301" s="44">
        <f>IF(T301="","",INDEX(新年度名簿!$C$2:$C$451,T301))</f>
        <v/>
      </c>
      <c r="G301" s="44">
        <f>IF(Q301="","",INDEX(希望入力!$H$2:$H$551,Q301)&amp;"")</f>
        <v/>
      </c>
      <c r="H301" s="44">
        <f>IF(Q301="","",INDEX(希望入力!$I$2:$I$551,Q301)&amp;"")</f>
        <v/>
      </c>
      <c r="I301" s="44">
        <f>IF(Q301="","",INDEX(希望入力!$J$2:$J$551,Q301)&amp;"")</f>
        <v/>
      </c>
      <c r="J301" s="44">
        <f>IF(Q301="","",IF(G301="","要調整",IFERROR(IF(IF(OR(設定!$C$14="〇",設定!$C$14="○"),COUNTIFS($A$7:$A$456,"&gt;="&amp;A301,$G$7:$G$456,G301),COUNTIF($G$7:$G$456,G301))&lt;=(INDEX(設定!$Q$8:$Q$27,MATCH(G301,設定!$P$8:$P$27,0))+N(INDEX(設定!$R$8:$R$27,MATCH(G301,設定!$P$8:$P$27,0)))),G301,"要調整"),"要調整")))</f>
        <v/>
      </c>
      <c r="K301" s="40" t="inlineStr">
        <is>
          <t>料理</t>
        </is>
      </c>
      <c r="L301" s="52">
        <f>IF(P301="","",IF(K301&lt;&gt;"",K301,IF(OR(J301="",J301="要調整"),"",J301)))</f>
        <v/>
      </c>
      <c r="M301" s="44">
        <f>IF(P301="","",IF(AND(計算用!$B$1=1,T301=""),"転出",IF(L301&lt;&gt;"","決定",IF(Q301="","未提出","要調整"))))</f>
        <v/>
      </c>
      <c r="N301" s="44">
        <f>IF(OR(M301&lt;&gt;"要調整",H301=""),"",IFERROR((INDEX(設定!$Q$8:$Q$27,MATCH(H301,設定!$P$8:$P$27,0))+N(INDEX(設定!$R$8:$R$27,MATCH(H301,設定!$P$8:$P$27,0))))-INDEX(定員チェック!$F$7:$F$26,MATCH(H301,設定!$P$8:$P$27,0))-COUNTIFS($M$7:$M$456,"要調整",$G$7:$G$456,H301),""))</f>
        <v/>
      </c>
      <c r="O301" s="44">
        <f>IF(OR(M301&lt;&gt;"要調整",I301=""),"",IFERROR((INDEX(設定!$Q$8:$Q$27,MATCH(I301,設定!$P$8:$P$27,0))+N(INDEX(設定!$R$8:$R$27,MATCH(I301,設定!$P$8:$P$27,0))))-INDEX(定員チェック!$F$7:$F$26,MATCH(I301,設定!$P$8:$P$27,0))-COUNTIFS($M$7:$M$456,"要調整",$G$7:$G$456,I301),""))</f>
        <v/>
      </c>
      <c r="P301" s="8">
        <f>IFERROR(MATCH(SMALL(前年度名簿!$G$2:$G$451,295),前年度名簿!$G$2:$G$451,0),"")</f>
        <v/>
      </c>
      <c r="Q301" s="8">
        <f>IF(R301="","",IFERROR(MATCH(R301,希望入力!$M$2:$M$551,0),""))</f>
        <v/>
      </c>
      <c r="R301" s="8">
        <f>IF(P301="","",INDEX(前年度名簿!$F$2:$F$451,P301))</f>
        <v/>
      </c>
      <c r="S301" s="8">
        <f>IF(P301="","",INDEX(前年度名簿!$I$2:$I$451,P301))</f>
        <v/>
      </c>
      <c r="T301" s="8">
        <f>IF(OR(P301="",計算用!$B$1=0),"",IFERROR(MATCH(S301,新年度名簿!$H$2:$H$451,0),""))</f>
        <v/>
      </c>
      <c r="U301" s="8">
        <f>IF(OR(L301="",M301="転出"),"",IFERROR(MATCH(L301,設定!$P$8:$P$27,0),""))</f>
        <v/>
      </c>
      <c r="V301" s="8">
        <f>IF(U301="","",COUNTIF($U$7:U301,U301))</f>
        <v/>
      </c>
      <c r="W301" s="8">
        <f>IF(U301="","",U301*1000+V301)</f>
        <v/>
      </c>
    </row>
    <row r="302">
      <c r="A302" s="44">
        <f>IF(P302="","",INDEX(前年度名簿!$H$2:$H$451,P302))</f>
        <v/>
      </c>
      <c r="B302" s="44">
        <f>IF(P302="","",IFERROR(INDEX(設定!$G$8:$G$31,INT(INDEX(前年度名簿!$G$2:$G$451,P302)/1000)),INDEX(前年度名簿!$A$2:$A$451,P302)&amp;INDEX(前年度名簿!$B$2:$B$451,P302)))</f>
        <v/>
      </c>
      <c r="C302" s="44">
        <f>IF(P302="","",INDEX(前年度名簿!$C$2:$C$451,P302))</f>
        <v/>
      </c>
      <c r="D302" s="3">
        <f>IF(P302="","",INDEX(前年度名簿!$D$2:$D$451,P302))</f>
        <v/>
      </c>
      <c r="E302" s="44">
        <f>IF(T302="","",INDEX(新年度名簿!$K$2:$K$451,T302))</f>
        <v/>
      </c>
      <c r="F302" s="44">
        <f>IF(T302="","",INDEX(新年度名簿!$C$2:$C$451,T302))</f>
        <v/>
      </c>
      <c r="G302" s="44">
        <f>IF(Q302="","",INDEX(希望入力!$H$2:$H$551,Q302)&amp;"")</f>
        <v/>
      </c>
      <c r="H302" s="44">
        <f>IF(Q302="","",INDEX(希望入力!$I$2:$I$551,Q302)&amp;"")</f>
        <v/>
      </c>
      <c r="I302" s="44">
        <f>IF(Q302="","",INDEX(希望入力!$J$2:$J$551,Q302)&amp;"")</f>
        <v/>
      </c>
      <c r="J302" s="44">
        <f>IF(Q302="","",IF(G302="","要調整",IFERROR(IF(IF(OR(設定!$C$14="〇",設定!$C$14="○"),COUNTIFS($A$7:$A$456,"&gt;="&amp;A302,$G$7:$G$456,G302),COUNTIF($G$7:$G$456,G302))&lt;=(INDEX(設定!$Q$8:$Q$27,MATCH(G302,設定!$P$8:$P$27,0))+N(INDEX(設定!$R$8:$R$27,MATCH(G302,設定!$P$8:$P$27,0)))),G302,"要調整"),"要調整")))</f>
        <v/>
      </c>
      <c r="K302" s="40" t="n"/>
      <c r="L302" s="52">
        <f>IF(P302="","",IF(K302&lt;&gt;"",K302,IF(OR(J302="",J302="要調整"),"",J302)))</f>
        <v/>
      </c>
      <c r="M302" s="44">
        <f>IF(P302="","",IF(AND(計算用!$B$1=1,T302=""),"転出",IF(L302&lt;&gt;"","決定",IF(Q302="","未提出","要調整"))))</f>
        <v/>
      </c>
      <c r="N302" s="44">
        <f>IF(OR(M302&lt;&gt;"要調整",H302=""),"",IFERROR((INDEX(設定!$Q$8:$Q$27,MATCH(H302,設定!$P$8:$P$27,0))+N(INDEX(設定!$R$8:$R$27,MATCH(H302,設定!$P$8:$P$27,0))))-INDEX(定員チェック!$F$7:$F$26,MATCH(H302,設定!$P$8:$P$27,0))-COUNTIFS($M$7:$M$456,"要調整",$G$7:$G$456,H302),""))</f>
        <v/>
      </c>
      <c r="O302" s="44">
        <f>IF(OR(M302&lt;&gt;"要調整",I302=""),"",IFERROR((INDEX(設定!$Q$8:$Q$27,MATCH(I302,設定!$P$8:$P$27,0))+N(INDEX(設定!$R$8:$R$27,MATCH(I302,設定!$P$8:$P$27,0))))-INDEX(定員チェック!$F$7:$F$26,MATCH(I302,設定!$P$8:$P$27,0))-COUNTIFS($M$7:$M$456,"要調整",$G$7:$G$456,I302),""))</f>
        <v/>
      </c>
      <c r="P302" s="8">
        <f>IFERROR(MATCH(SMALL(前年度名簿!$G$2:$G$451,296),前年度名簿!$G$2:$G$451,0),"")</f>
        <v/>
      </c>
      <c r="Q302" s="8">
        <f>IF(R302="","",IFERROR(MATCH(R302,希望入力!$M$2:$M$551,0),""))</f>
        <v/>
      </c>
      <c r="R302" s="8">
        <f>IF(P302="","",INDEX(前年度名簿!$F$2:$F$451,P302))</f>
        <v/>
      </c>
      <c r="S302" s="8">
        <f>IF(P302="","",INDEX(前年度名簿!$I$2:$I$451,P302))</f>
        <v/>
      </c>
      <c r="T302" s="8">
        <f>IF(OR(P302="",計算用!$B$1=0),"",IFERROR(MATCH(S302,新年度名簿!$H$2:$H$451,0),""))</f>
        <v/>
      </c>
      <c r="U302" s="8">
        <f>IF(OR(L302="",M302="転出"),"",IFERROR(MATCH(L302,設定!$P$8:$P$27,0),""))</f>
        <v/>
      </c>
      <c r="V302" s="8">
        <f>IF(U302="","",COUNTIF($U$7:U302,U302))</f>
        <v/>
      </c>
      <c r="W302" s="8">
        <f>IF(U302="","",U302*1000+V302)</f>
        <v/>
      </c>
    </row>
    <row r="303">
      <c r="A303" s="44">
        <f>IF(P303="","",INDEX(前年度名簿!$H$2:$H$451,P303))</f>
        <v/>
      </c>
      <c r="B303" s="44">
        <f>IF(P303="","",IFERROR(INDEX(設定!$G$8:$G$31,INT(INDEX(前年度名簿!$G$2:$G$451,P303)/1000)),INDEX(前年度名簿!$A$2:$A$451,P303)&amp;INDEX(前年度名簿!$B$2:$B$451,P303)))</f>
        <v/>
      </c>
      <c r="C303" s="44">
        <f>IF(P303="","",INDEX(前年度名簿!$C$2:$C$451,P303))</f>
        <v/>
      </c>
      <c r="D303" s="3">
        <f>IF(P303="","",INDEX(前年度名簿!$D$2:$D$451,P303))</f>
        <v/>
      </c>
      <c r="E303" s="44">
        <f>IF(T303="","",INDEX(新年度名簿!$K$2:$K$451,T303))</f>
        <v/>
      </c>
      <c r="F303" s="44">
        <f>IF(T303="","",INDEX(新年度名簿!$C$2:$C$451,T303))</f>
        <v/>
      </c>
      <c r="G303" s="44">
        <f>IF(Q303="","",INDEX(希望入力!$H$2:$H$551,Q303)&amp;"")</f>
        <v/>
      </c>
      <c r="H303" s="44">
        <f>IF(Q303="","",INDEX(希望入力!$I$2:$I$551,Q303)&amp;"")</f>
        <v/>
      </c>
      <c r="I303" s="44">
        <f>IF(Q303="","",INDEX(希望入力!$J$2:$J$551,Q303)&amp;"")</f>
        <v/>
      </c>
      <c r="J303" s="44">
        <f>IF(Q303="","",IF(G303="","要調整",IFERROR(IF(IF(OR(設定!$C$14="〇",設定!$C$14="○"),COUNTIFS($A$7:$A$456,"&gt;="&amp;A303,$G$7:$G$456,G303),COUNTIF($G$7:$G$456,G303))&lt;=(INDEX(設定!$Q$8:$Q$27,MATCH(G303,設定!$P$8:$P$27,0))+N(INDEX(設定!$R$8:$R$27,MATCH(G303,設定!$P$8:$P$27,0)))),G303,"要調整"),"要調整")))</f>
        <v/>
      </c>
      <c r="K303" s="40" t="n"/>
      <c r="L303" s="52">
        <f>IF(P303="","",IF(K303&lt;&gt;"",K303,IF(OR(J303="",J303="要調整"),"",J303)))</f>
        <v/>
      </c>
      <c r="M303" s="44">
        <f>IF(P303="","",IF(AND(計算用!$B$1=1,T303=""),"転出",IF(L303&lt;&gt;"","決定",IF(Q303="","未提出","要調整"))))</f>
        <v/>
      </c>
      <c r="N303" s="44">
        <f>IF(OR(M303&lt;&gt;"要調整",H303=""),"",IFERROR((INDEX(設定!$Q$8:$Q$27,MATCH(H303,設定!$P$8:$P$27,0))+N(INDEX(設定!$R$8:$R$27,MATCH(H303,設定!$P$8:$P$27,0))))-INDEX(定員チェック!$F$7:$F$26,MATCH(H303,設定!$P$8:$P$27,0))-COUNTIFS($M$7:$M$456,"要調整",$G$7:$G$456,H303),""))</f>
        <v/>
      </c>
      <c r="O303" s="44">
        <f>IF(OR(M303&lt;&gt;"要調整",I303=""),"",IFERROR((INDEX(設定!$Q$8:$Q$27,MATCH(I303,設定!$P$8:$P$27,0))+N(INDEX(設定!$R$8:$R$27,MATCH(I303,設定!$P$8:$P$27,0))))-INDEX(定員チェック!$F$7:$F$26,MATCH(I303,設定!$P$8:$P$27,0))-COUNTIFS($M$7:$M$456,"要調整",$G$7:$G$456,I303),""))</f>
        <v/>
      </c>
      <c r="P303" s="8">
        <f>IFERROR(MATCH(SMALL(前年度名簿!$G$2:$G$451,297),前年度名簿!$G$2:$G$451,0),"")</f>
        <v/>
      </c>
      <c r="Q303" s="8">
        <f>IF(R303="","",IFERROR(MATCH(R303,希望入力!$M$2:$M$551,0),""))</f>
        <v/>
      </c>
      <c r="R303" s="8">
        <f>IF(P303="","",INDEX(前年度名簿!$F$2:$F$451,P303))</f>
        <v/>
      </c>
      <c r="S303" s="8">
        <f>IF(P303="","",INDEX(前年度名簿!$I$2:$I$451,P303))</f>
        <v/>
      </c>
      <c r="T303" s="8">
        <f>IF(OR(P303="",計算用!$B$1=0),"",IFERROR(MATCH(S303,新年度名簿!$H$2:$H$451,0),""))</f>
        <v/>
      </c>
      <c r="U303" s="8">
        <f>IF(OR(L303="",M303="転出"),"",IFERROR(MATCH(L303,設定!$P$8:$P$27,0),""))</f>
        <v/>
      </c>
      <c r="V303" s="8">
        <f>IF(U303="","",COUNTIF($U$7:U303,U303))</f>
        <v/>
      </c>
      <c r="W303" s="8">
        <f>IF(U303="","",U303*1000+V303)</f>
        <v/>
      </c>
    </row>
    <row r="304">
      <c r="A304" s="44">
        <f>IF(P304="","",INDEX(前年度名簿!$H$2:$H$451,P304))</f>
        <v/>
      </c>
      <c r="B304" s="44">
        <f>IF(P304="","",IFERROR(INDEX(設定!$G$8:$G$31,INT(INDEX(前年度名簿!$G$2:$G$451,P304)/1000)),INDEX(前年度名簿!$A$2:$A$451,P304)&amp;INDEX(前年度名簿!$B$2:$B$451,P304)))</f>
        <v/>
      </c>
      <c r="C304" s="44">
        <f>IF(P304="","",INDEX(前年度名簿!$C$2:$C$451,P304))</f>
        <v/>
      </c>
      <c r="D304" s="3">
        <f>IF(P304="","",INDEX(前年度名簿!$D$2:$D$451,P304))</f>
        <v/>
      </c>
      <c r="E304" s="44">
        <f>IF(T304="","",INDEX(新年度名簿!$K$2:$K$451,T304))</f>
        <v/>
      </c>
      <c r="F304" s="44">
        <f>IF(T304="","",INDEX(新年度名簿!$C$2:$C$451,T304))</f>
        <v/>
      </c>
      <c r="G304" s="44">
        <f>IF(Q304="","",INDEX(希望入力!$H$2:$H$551,Q304)&amp;"")</f>
        <v/>
      </c>
      <c r="H304" s="44">
        <f>IF(Q304="","",INDEX(希望入力!$I$2:$I$551,Q304)&amp;"")</f>
        <v/>
      </c>
      <c r="I304" s="44">
        <f>IF(Q304="","",INDEX(希望入力!$J$2:$J$551,Q304)&amp;"")</f>
        <v/>
      </c>
      <c r="J304" s="44">
        <f>IF(Q304="","",IF(G304="","要調整",IFERROR(IF(IF(OR(設定!$C$14="〇",設定!$C$14="○"),COUNTIFS($A$7:$A$456,"&gt;="&amp;A304,$G$7:$G$456,G304),COUNTIF($G$7:$G$456,G304))&lt;=(INDEX(設定!$Q$8:$Q$27,MATCH(G304,設定!$P$8:$P$27,0))+N(INDEX(設定!$R$8:$R$27,MATCH(G304,設定!$P$8:$P$27,0)))),G304,"要調整"),"要調整")))</f>
        <v/>
      </c>
      <c r="K304" s="40" t="n"/>
      <c r="L304" s="52">
        <f>IF(P304="","",IF(K304&lt;&gt;"",K304,IF(OR(J304="",J304="要調整"),"",J304)))</f>
        <v/>
      </c>
      <c r="M304" s="44">
        <f>IF(P304="","",IF(AND(計算用!$B$1=1,T304=""),"転出",IF(L304&lt;&gt;"","決定",IF(Q304="","未提出","要調整"))))</f>
        <v/>
      </c>
      <c r="N304" s="44">
        <f>IF(OR(M304&lt;&gt;"要調整",H304=""),"",IFERROR((INDEX(設定!$Q$8:$Q$27,MATCH(H304,設定!$P$8:$P$27,0))+N(INDEX(設定!$R$8:$R$27,MATCH(H304,設定!$P$8:$P$27,0))))-INDEX(定員チェック!$F$7:$F$26,MATCH(H304,設定!$P$8:$P$27,0))-COUNTIFS($M$7:$M$456,"要調整",$G$7:$G$456,H304),""))</f>
        <v/>
      </c>
      <c r="O304" s="44">
        <f>IF(OR(M304&lt;&gt;"要調整",I304=""),"",IFERROR((INDEX(設定!$Q$8:$Q$27,MATCH(I304,設定!$P$8:$P$27,0))+N(INDEX(設定!$R$8:$R$27,MATCH(I304,設定!$P$8:$P$27,0))))-INDEX(定員チェック!$F$7:$F$26,MATCH(I304,設定!$P$8:$P$27,0))-COUNTIFS($M$7:$M$456,"要調整",$G$7:$G$456,I304),""))</f>
        <v/>
      </c>
      <c r="P304" s="8">
        <f>IFERROR(MATCH(SMALL(前年度名簿!$G$2:$G$451,298),前年度名簿!$G$2:$G$451,0),"")</f>
        <v/>
      </c>
      <c r="Q304" s="8">
        <f>IF(R304="","",IFERROR(MATCH(R304,希望入力!$M$2:$M$551,0),""))</f>
        <v/>
      </c>
      <c r="R304" s="8">
        <f>IF(P304="","",INDEX(前年度名簿!$F$2:$F$451,P304))</f>
        <v/>
      </c>
      <c r="S304" s="8">
        <f>IF(P304="","",INDEX(前年度名簿!$I$2:$I$451,P304))</f>
        <v/>
      </c>
      <c r="T304" s="8">
        <f>IF(OR(P304="",計算用!$B$1=0),"",IFERROR(MATCH(S304,新年度名簿!$H$2:$H$451,0),""))</f>
        <v/>
      </c>
      <c r="U304" s="8">
        <f>IF(OR(L304="",M304="転出"),"",IFERROR(MATCH(L304,設定!$P$8:$P$27,0),""))</f>
        <v/>
      </c>
      <c r="V304" s="8">
        <f>IF(U304="","",COUNTIF($U$7:U304,U304))</f>
        <v/>
      </c>
      <c r="W304" s="8">
        <f>IF(U304="","",U304*1000+V304)</f>
        <v/>
      </c>
    </row>
    <row r="305">
      <c r="A305" s="44">
        <f>IF(P305="","",INDEX(前年度名簿!$H$2:$H$451,P305))</f>
        <v/>
      </c>
      <c r="B305" s="44">
        <f>IF(P305="","",IFERROR(INDEX(設定!$G$8:$G$31,INT(INDEX(前年度名簿!$G$2:$G$451,P305)/1000)),INDEX(前年度名簿!$A$2:$A$451,P305)&amp;INDEX(前年度名簿!$B$2:$B$451,P305)))</f>
        <v/>
      </c>
      <c r="C305" s="44">
        <f>IF(P305="","",INDEX(前年度名簿!$C$2:$C$451,P305))</f>
        <v/>
      </c>
      <c r="D305" s="3">
        <f>IF(P305="","",INDEX(前年度名簿!$D$2:$D$451,P305))</f>
        <v/>
      </c>
      <c r="E305" s="44">
        <f>IF(T305="","",INDEX(新年度名簿!$K$2:$K$451,T305))</f>
        <v/>
      </c>
      <c r="F305" s="44">
        <f>IF(T305="","",INDEX(新年度名簿!$C$2:$C$451,T305))</f>
        <v/>
      </c>
      <c r="G305" s="44">
        <f>IF(Q305="","",INDEX(希望入力!$H$2:$H$551,Q305)&amp;"")</f>
        <v/>
      </c>
      <c r="H305" s="44">
        <f>IF(Q305="","",INDEX(希望入力!$I$2:$I$551,Q305)&amp;"")</f>
        <v/>
      </c>
      <c r="I305" s="44">
        <f>IF(Q305="","",INDEX(希望入力!$J$2:$J$551,Q305)&amp;"")</f>
        <v/>
      </c>
      <c r="J305" s="44">
        <f>IF(Q305="","",IF(G305="","要調整",IFERROR(IF(IF(OR(設定!$C$14="〇",設定!$C$14="○"),COUNTIFS($A$7:$A$456,"&gt;="&amp;A305,$G$7:$G$456,G305),COUNTIF($G$7:$G$456,G305))&lt;=(INDEX(設定!$Q$8:$Q$27,MATCH(G305,設定!$P$8:$P$27,0))+N(INDEX(設定!$R$8:$R$27,MATCH(G305,設定!$P$8:$P$27,0)))),G305,"要調整"),"要調整")))</f>
        <v/>
      </c>
      <c r="K305" s="40" t="n"/>
      <c r="L305" s="52">
        <f>IF(P305="","",IF(K305&lt;&gt;"",K305,IF(OR(J305="",J305="要調整"),"",J305)))</f>
        <v/>
      </c>
      <c r="M305" s="44">
        <f>IF(P305="","",IF(AND(計算用!$B$1=1,T305=""),"転出",IF(L305&lt;&gt;"","決定",IF(Q305="","未提出","要調整"))))</f>
        <v/>
      </c>
      <c r="N305" s="44">
        <f>IF(OR(M305&lt;&gt;"要調整",H305=""),"",IFERROR((INDEX(設定!$Q$8:$Q$27,MATCH(H305,設定!$P$8:$P$27,0))+N(INDEX(設定!$R$8:$R$27,MATCH(H305,設定!$P$8:$P$27,0))))-INDEX(定員チェック!$F$7:$F$26,MATCH(H305,設定!$P$8:$P$27,0))-COUNTIFS($M$7:$M$456,"要調整",$G$7:$G$456,H305),""))</f>
        <v/>
      </c>
      <c r="O305" s="44">
        <f>IF(OR(M305&lt;&gt;"要調整",I305=""),"",IFERROR((INDEX(設定!$Q$8:$Q$27,MATCH(I305,設定!$P$8:$P$27,0))+N(INDEX(設定!$R$8:$R$27,MATCH(I305,設定!$P$8:$P$27,0))))-INDEX(定員チェック!$F$7:$F$26,MATCH(I305,設定!$P$8:$P$27,0))-COUNTIFS($M$7:$M$456,"要調整",$G$7:$G$456,I305),""))</f>
        <v/>
      </c>
      <c r="P305" s="8">
        <f>IFERROR(MATCH(SMALL(前年度名簿!$G$2:$G$451,299),前年度名簿!$G$2:$G$451,0),"")</f>
        <v/>
      </c>
      <c r="Q305" s="8">
        <f>IF(R305="","",IFERROR(MATCH(R305,希望入力!$M$2:$M$551,0),""))</f>
        <v/>
      </c>
      <c r="R305" s="8">
        <f>IF(P305="","",INDEX(前年度名簿!$F$2:$F$451,P305))</f>
        <v/>
      </c>
      <c r="S305" s="8">
        <f>IF(P305="","",INDEX(前年度名簿!$I$2:$I$451,P305))</f>
        <v/>
      </c>
      <c r="T305" s="8">
        <f>IF(OR(P305="",計算用!$B$1=0),"",IFERROR(MATCH(S305,新年度名簿!$H$2:$H$451,0),""))</f>
        <v/>
      </c>
      <c r="U305" s="8">
        <f>IF(OR(L305="",M305="転出"),"",IFERROR(MATCH(L305,設定!$P$8:$P$27,0),""))</f>
        <v/>
      </c>
      <c r="V305" s="8">
        <f>IF(U305="","",COUNTIF($U$7:U305,U305))</f>
        <v/>
      </c>
      <c r="W305" s="8">
        <f>IF(U305="","",U305*1000+V305)</f>
        <v/>
      </c>
    </row>
    <row r="306">
      <c r="A306" s="44">
        <f>IF(P306="","",INDEX(前年度名簿!$H$2:$H$451,P306))</f>
        <v/>
      </c>
      <c r="B306" s="44">
        <f>IF(P306="","",IFERROR(INDEX(設定!$G$8:$G$31,INT(INDEX(前年度名簿!$G$2:$G$451,P306)/1000)),INDEX(前年度名簿!$A$2:$A$451,P306)&amp;INDEX(前年度名簿!$B$2:$B$451,P306)))</f>
        <v/>
      </c>
      <c r="C306" s="44">
        <f>IF(P306="","",INDEX(前年度名簿!$C$2:$C$451,P306))</f>
        <v/>
      </c>
      <c r="D306" s="3">
        <f>IF(P306="","",INDEX(前年度名簿!$D$2:$D$451,P306))</f>
        <v/>
      </c>
      <c r="E306" s="44">
        <f>IF(T306="","",INDEX(新年度名簿!$K$2:$K$451,T306))</f>
        <v/>
      </c>
      <c r="F306" s="44">
        <f>IF(T306="","",INDEX(新年度名簿!$C$2:$C$451,T306))</f>
        <v/>
      </c>
      <c r="G306" s="44">
        <f>IF(Q306="","",INDEX(希望入力!$H$2:$H$551,Q306)&amp;"")</f>
        <v/>
      </c>
      <c r="H306" s="44">
        <f>IF(Q306="","",INDEX(希望入力!$I$2:$I$551,Q306)&amp;"")</f>
        <v/>
      </c>
      <c r="I306" s="44">
        <f>IF(Q306="","",INDEX(希望入力!$J$2:$J$551,Q306)&amp;"")</f>
        <v/>
      </c>
      <c r="J306" s="44">
        <f>IF(Q306="","",IF(G306="","要調整",IFERROR(IF(IF(OR(設定!$C$14="〇",設定!$C$14="○"),COUNTIFS($A$7:$A$456,"&gt;="&amp;A306,$G$7:$G$456,G306),COUNTIF($G$7:$G$456,G306))&lt;=(INDEX(設定!$Q$8:$Q$27,MATCH(G306,設定!$P$8:$P$27,0))+N(INDEX(設定!$R$8:$R$27,MATCH(G306,設定!$P$8:$P$27,0)))),G306,"要調整"),"要調整")))</f>
        <v/>
      </c>
      <c r="K306" s="40" t="inlineStr">
        <is>
          <t>料理</t>
        </is>
      </c>
      <c r="L306" s="52">
        <f>IF(P306="","",IF(K306&lt;&gt;"",K306,IF(OR(J306="",J306="要調整"),"",J306)))</f>
        <v/>
      </c>
      <c r="M306" s="44">
        <f>IF(P306="","",IF(AND(計算用!$B$1=1,T306=""),"転出",IF(L306&lt;&gt;"","決定",IF(Q306="","未提出","要調整"))))</f>
        <v/>
      </c>
      <c r="N306" s="44">
        <f>IF(OR(M306&lt;&gt;"要調整",H306=""),"",IFERROR((INDEX(設定!$Q$8:$Q$27,MATCH(H306,設定!$P$8:$P$27,0))+N(INDEX(設定!$R$8:$R$27,MATCH(H306,設定!$P$8:$P$27,0))))-INDEX(定員チェック!$F$7:$F$26,MATCH(H306,設定!$P$8:$P$27,0))-COUNTIFS($M$7:$M$456,"要調整",$G$7:$G$456,H306),""))</f>
        <v/>
      </c>
      <c r="O306" s="44">
        <f>IF(OR(M306&lt;&gt;"要調整",I306=""),"",IFERROR((INDEX(設定!$Q$8:$Q$27,MATCH(I306,設定!$P$8:$P$27,0))+N(INDEX(設定!$R$8:$R$27,MATCH(I306,設定!$P$8:$P$27,0))))-INDEX(定員チェック!$F$7:$F$26,MATCH(I306,設定!$P$8:$P$27,0))-COUNTIFS($M$7:$M$456,"要調整",$G$7:$G$456,I306),""))</f>
        <v/>
      </c>
      <c r="P306" s="8">
        <f>IFERROR(MATCH(SMALL(前年度名簿!$G$2:$G$451,300),前年度名簿!$G$2:$G$451,0),"")</f>
        <v/>
      </c>
      <c r="Q306" s="8">
        <f>IF(R306="","",IFERROR(MATCH(R306,希望入力!$M$2:$M$551,0),""))</f>
        <v/>
      </c>
      <c r="R306" s="8">
        <f>IF(P306="","",INDEX(前年度名簿!$F$2:$F$451,P306))</f>
        <v/>
      </c>
      <c r="S306" s="8">
        <f>IF(P306="","",INDEX(前年度名簿!$I$2:$I$451,P306))</f>
        <v/>
      </c>
      <c r="T306" s="8">
        <f>IF(OR(P306="",計算用!$B$1=0),"",IFERROR(MATCH(S306,新年度名簿!$H$2:$H$451,0),""))</f>
        <v/>
      </c>
      <c r="U306" s="8">
        <f>IF(OR(L306="",M306="転出"),"",IFERROR(MATCH(L306,設定!$P$8:$P$27,0),""))</f>
        <v/>
      </c>
      <c r="V306" s="8">
        <f>IF(U306="","",COUNTIF($U$7:U306,U306))</f>
        <v/>
      </c>
      <c r="W306" s="8">
        <f>IF(U306="","",U306*1000+V306)</f>
        <v/>
      </c>
    </row>
    <row r="307">
      <c r="A307" s="44">
        <f>IF(P307="","",INDEX(前年度名簿!$H$2:$H$451,P307))</f>
        <v/>
      </c>
      <c r="B307" s="44">
        <f>IF(P307="","",IFERROR(INDEX(設定!$G$8:$G$31,INT(INDEX(前年度名簿!$G$2:$G$451,P307)/1000)),INDEX(前年度名簿!$A$2:$A$451,P307)&amp;INDEX(前年度名簿!$B$2:$B$451,P307)))</f>
        <v/>
      </c>
      <c r="C307" s="44">
        <f>IF(P307="","",INDEX(前年度名簿!$C$2:$C$451,P307))</f>
        <v/>
      </c>
      <c r="D307" s="3">
        <f>IF(P307="","",INDEX(前年度名簿!$D$2:$D$451,P307))</f>
        <v/>
      </c>
      <c r="E307" s="44">
        <f>IF(T307="","",INDEX(新年度名簿!$K$2:$K$451,T307))</f>
        <v/>
      </c>
      <c r="F307" s="44">
        <f>IF(T307="","",INDEX(新年度名簿!$C$2:$C$451,T307))</f>
        <v/>
      </c>
      <c r="G307" s="44">
        <f>IF(Q307="","",INDEX(希望入力!$H$2:$H$551,Q307)&amp;"")</f>
        <v/>
      </c>
      <c r="H307" s="44">
        <f>IF(Q307="","",INDEX(希望入力!$I$2:$I$551,Q307)&amp;"")</f>
        <v/>
      </c>
      <c r="I307" s="44">
        <f>IF(Q307="","",INDEX(希望入力!$J$2:$J$551,Q307)&amp;"")</f>
        <v/>
      </c>
      <c r="J307" s="44">
        <f>IF(Q307="","",IF(G307="","要調整",IFERROR(IF(IF(OR(設定!$C$14="〇",設定!$C$14="○"),COUNTIFS($A$7:$A$456,"&gt;="&amp;A307,$G$7:$G$456,G307),COUNTIF($G$7:$G$456,G307))&lt;=(INDEX(設定!$Q$8:$Q$27,MATCH(G307,設定!$P$8:$P$27,0))+N(INDEX(設定!$R$8:$R$27,MATCH(G307,設定!$P$8:$P$27,0)))),G307,"要調整"),"要調整")))</f>
        <v/>
      </c>
      <c r="K307" s="40" t="n"/>
      <c r="L307" s="52">
        <f>IF(P307="","",IF(K307&lt;&gt;"",K307,IF(OR(J307="",J307="要調整"),"",J307)))</f>
        <v/>
      </c>
      <c r="M307" s="44">
        <f>IF(P307="","",IF(AND(計算用!$B$1=1,T307=""),"転出",IF(L307&lt;&gt;"","決定",IF(Q307="","未提出","要調整"))))</f>
        <v/>
      </c>
      <c r="N307" s="44">
        <f>IF(OR(M307&lt;&gt;"要調整",H307=""),"",IFERROR((INDEX(設定!$Q$8:$Q$27,MATCH(H307,設定!$P$8:$P$27,0))+N(INDEX(設定!$R$8:$R$27,MATCH(H307,設定!$P$8:$P$27,0))))-INDEX(定員チェック!$F$7:$F$26,MATCH(H307,設定!$P$8:$P$27,0))-COUNTIFS($M$7:$M$456,"要調整",$G$7:$G$456,H307),""))</f>
        <v/>
      </c>
      <c r="O307" s="44">
        <f>IF(OR(M307&lt;&gt;"要調整",I307=""),"",IFERROR((INDEX(設定!$Q$8:$Q$27,MATCH(I307,設定!$P$8:$P$27,0))+N(INDEX(設定!$R$8:$R$27,MATCH(I307,設定!$P$8:$P$27,0))))-INDEX(定員チェック!$F$7:$F$26,MATCH(I307,設定!$P$8:$P$27,0))-COUNTIFS($M$7:$M$456,"要調整",$G$7:$G$456,I307),""))</f>
        <v/>
      </c>
      <c r="P307" s="8">
        <f>IFERROR(MATCH(SMALL(前年度名簿!$G$2:$G$451,301),前年度名簿!$G$2:$G$451,0),"")</f>
        <v/>
      </c>
      <c r="Q307" s="8">
        <f>IF(R307="","",IFERROR(MATCH(R307,希望入力!$M$2:$M$551,0),""))</f>
        <v/>
      </c>
      <c r="R307" s="8">
        <f>IF(P307="","",INDEX(前年度名簿!$F$2:$F$451,P307))</f>
        <v/>
      </c>
      <c r="S307" s="8">
        <f>IF(P307="","",INDEX(前年度名簿!$I$2:$I$451,P307))</f>
        <v/>
      </c>
      <c r="T307" s="8">
        <f>IF(OR(P307="",計算用!$B$1=0),"",IFERROR(MATCH(S307,新年度名簿!$H$2:$H$451,0),""))</f>
        <v/>
      </c>
      <c r="U307" s="8">
        <f>IF(OR(L307="",M307="転出"),"",IFERROR(MATCH(L307,設定!$P$8:$P$27,0),""))</f>
        <v/>
      </c>
      <c r="V307" s="8">
        <f>IF(U307="","",COUNTIF($U$7:U307,U307))</f>
        <v/>
      </c>
      <c r="W307" s="8">
        <f>IF(U307="","",U307*1000+V307)</f>
        <v/>
      </c>
    </row>
    <row r="308">
      <c r="A308" s="44">
        <f>IF(P308="","",INDEX(前年度名簿!$H$2:$H$451,P308))</f>
        <v/>
      </c>
      <c r="B308" s="44">
        <f>IF(P308="","",IFERROR(INDEX(設定!$G$8:$G$31,INT(INDEX(前年度名簿!$G$2:$G$451,P308)/1000)),INDEX(前年度名簿!$A$2:$A$451,P308)&amp;INDEX(前年度名簿!$B$2:$B$451,P308)))</f>
        <v/>
      </c>
      <c r="C308" s="44">
        <f>IF(P308="","",INDEX(前年度名簿!$C$2:$C$451,P308))</f>
        <v/>
      </c>
      <c r="D308" s="3">
        <f>IF(P308="","",INDEX(前年度名簿!$D$2:$D$451,P308))</f>
        <v/>
      </c>
      <c r="E308" s="44">
        <f>IF(T308="","",INDEX(新年度名簿!$K$2:$K$451,T308))</f>
        <v/>
      </c>
      <c r="F308" s="44">
        <f>IF(T308="","",INDEX(新年度名簿!$C$2:$C$451,T308))</f>
        <v/>
      </c>
      <c r="G308" s="44">
        <f>IF(Q308="","",INDEX(希望入力!$H$2:$H$551,Q308)&amp;"")</f>
        <v/>
      </c>
      <c r="H308" s="44">
        <f>IF(Q308="","",INDEX(希望入力!$I$2:$I$551,Q308)&amp;"")</f>
        <v/>
      </c>
      <c r="I308" s="44">
        <f>IF(Q308="","",INDEX(希望入力!$J$2:$J$551,Q308)&amp;"")</f>
        <v/>
      </c>
      <c r="J308" s="44">
        <f>IF(Q308="","",IF(G308="","要調整",IFERROR(IF(IF(OR(設定!$C$14="〇",設定!$C$14="○"),COUNTIFS($A$7:$A$456,"&gt;="&amp;A308,$G$7:$G$456,G308),COUNTIF($G$7:$G$456,G308))&lt;=(INDEX(設定!$Q$8:$Q$27,MATCH(G308,設定!$P$8:$P$27,0))+N(INDEX(設定!$R$8:$R$27,MATCH(G308,設定!$P$8:$P$27,0)))),G308,"要調整"),"要調整")))</f>
        <v/>
      </c>
      <c r="K308" s="40" t="n"/>
      <c r="L308" s="52">
        <f>IF(P308="","",IF(K308&lt;&gt;"",K308,IF(OR(J308="",J308="要調整"),"",J308)))</f>
        <v/>
      </c>
      <c r="M308" s="44">
        <f>IF(P308="","",IF(AND(計算用!$B$1=1,T308=""),"転出",IF(L308&lt;&gt;"","決定",IF(Q308="","未提出","要調整"))))</f>
        <v/>
      </c>
      <c r="N308" s="44">
        <f>IF(OR(M308&lt;&gt;"要調整",H308=""),"",IFERROR((INDEX(設定!$Q$8:$Q$27,MATCH(H308,設定!$P$8:$P$27,0))+N(INDEX(設定!$R$8:$R$27,MATCH(H308,設定!$P$8:$P$27,0))))-INDEX(定員チェック!$F$7:$F$26,MATCH(H308,設定!$P$8:$P$27,0))-COUNTIFS($M$7:$M$456,"要調整",$G$7:$G$456,H308),""))</f>
        <v/>
      </c>
      <c r="O308" s="44">
        <f>IF(OR(M308&lt;&gt;"要調整",I308=""),"",IFERROR((INDEX(設定!$Q$8:$Q$27,MATCH(I308,設定!$P$8:$P$27,0))+N(INDEX(設定!$R$8:$R$27,MATCH(I308,設定!$P$8:$P$27,0))))-INDEX(定員チェック!$F$7:$F$26,MATCH(I308,設定!$P$8:$P$27,0))-COUNTIFS($M$7:$M$456,"要調整",$G$7:$G$456,I308),""))</f>
        <v/>
      </c>
      <c r="P308" s="8">
        <f>IFERROR(MATCH(SMALL(前年度名簿!$G$2:$G$451,302),前年度名簿!$G$2:$G$451,0),"")</f>
        <v/>
      </c>
      <c r="Q308" s="8">
        <f>IF(R308="","",IFERROR(MATCH(R308,希望入力!$M$2:$M$551,0),""))</f>
        <v/>
      </c>
      <c r="R308" s="8">
        <f>IF(P308="","",INDEX(前年度名簿!$F$2:$F$451,P308))</f>
        <v/>
      </c>
      <c r="S308" s="8">
        <f>IF(P308="","",INDEX(前年度名簿!$I$2:$I$451,P308))</f>
        <v/>
      </c>
      <c r="T308" s="8">
        <f>IF(OR(P308="",計算用!$B$1=0),"",IFERROR(MATCH(S308,新年度名簿!$H$2:$H$451,0),""))</f>
        <v/>
      </c>
      <c r="U308" s="8">
        <f>IF(OR(L308="",M308="転出"),"",IFERROR(MATCH(L308,設定!$P$8:$P$27,0),""))</f>
        <v/>
      </c>
      <c r="V308" s="8">
        <f>IF(U308="","",COUNTIF($U$7:U308,U308))</f>
        <v/>
      </c>
      <c r="W308" s="8">
        <f>IF(U308="","",U308*1000+V308)</f>
        <v/>
      </c>
    </row>
    <row r="309">
      <c r="A309" s="44">
        <f>IF(P309="","",INDEX(前年度名簿!$H$2:$H$451,P309))</f>
        <v/>
      </c>
      <c r="B309" s="44">
        <f>IF(P309="","",IFERROR(INDEX(設定!$G$8:$G$31,INT(INDEX(前年度名簿!$G$2:$G$451,P309)/1000)),INDEX(前年度名簿!$A$2:$A$451,P309)&amp;INDEX(前年度名簿!$B$2:$B$451,P309)))</f>
        <v/>
      </c>
      <c r="C309" s="44">
        <f>IF(P309="","",INDEX(前年度名簿!$C$2:$C$451,P309))</f>
        <v/>
      </c>
      <c r="D309" s="3">
        <f>IF(P309="","",INDEX(前年度名簿!$D$2:$D$451,P309))</f>
        <v/>
      </c>
      <c r="E309" s="44">
        <f>IF(T309="","",INDEX(新年度名簿!$K$2:$K$451,T309))</f>
        <v/>
      </c>
      <c r="F309" s="44">
        <f>IF(T309="","",INDEX(新年度名簿!$C$2:$C$451,T309))</f>
        <v/>
      </c>
      <c r="G309" s="44">
        <f>IF(Q309="","",INDEX(希望入力!$H$2:$H$551,Q309)&amp;"")</f>
        <v/>
      </c>
      <c r="H309" s="44">
        <f>IF(Q309="","",INDEX(希望入力!$I$2:$I$551,Q309)&amp;"")</f>
        <v/>
      </c>
      <c r="I309" s="44">
        <f>IF(Q309="","",INDEX(希望入力!$J$2:$J$551,Q309)&amp;"")</f>
        <v/>
      </c>
      <c r="J309" s="44">
        <f>IF(Q309="","",IF(G309="","要調整",IFERROR(IF(IF(OR(設定!$C$14="〇",設定!$C$14="○"),COUNTIFS($A$7:$A$456,"&gt;="&amp;A309,$G$7:$G$456,G309),COUNTIF($G$7:$G$456,G309))&lt;=(INDEX(設定!$Q$8:$Q$27,MATCH(G309,設定!$P$8:$P$27,0))+N(INDEX(設定!$R$8:$R$27,MATCH(G309,設定!$P$8:$P$27,0)))),G309,"要調整"),"要調整")))</f>
        <v/>
      </c>
      <c r="K309" s="40" t="n"/>
      <c r="L309" s="52">
        <f>IF(P309="","",IF(K309&lt;&gt;"",K309,IF(OR(J309="",J309="要調整"),"",J309)))</f>
        <v/>
      </c>
      <c r="M309" s="44">
        <f>IF(P309="","",IF(AND(計算用!$B$1=1,T309=""),"転出",IF(L309&lt;&gt;"","決定",IF(Q309="","未提出","要調整"))))</f>
        <v/>
      </c>
      <c r="N309" s="44">
        <f>IF(OR(M309&lt;&gt;"要調整",H309=""),"",IFERROR((INDEX(設定!$Q$8:$Q$27,MATCH(H309,設定!$P$8:$P$27,0))+N(INDEX(設定!$R$8:$R$27,MATCH(H309,設定!$P$8:$P$27,0))))-INDEX(定員チェック!$F$7:$F$26,MATCH(H309,設定!$P$8:$P$27,0))-COUNTIFS($M$7:$M$456,"要調整",$G$7:$G$456,H309),""))</f>
        <v/>
      </c>
      <c r="O309" s="44">
        <f>IF(OR(M309&lt;&gt;"要調整",I309=""),"",IFERROR((INDEX(設定!$Q$8:$Q$27,MATCH(I309,設定!$P$8:$P$27,0))+N(INDEX(設定!$R$8:$R$27,MATCH(I309,設定!$P$8:$P$27,0))))-INDEX(定員チェック!$F$7:$F$26,MATCH(I309,設定!$P$8:$P$27,0))-COUNTIFS($M$7:$M$456,"要調整",$G$7:$G$456,I309),""))</f>
        <v/>
      </c>
      <c r="P309" s="8">
        <f>IFERROR(MATCH(SMALL(前年度名簿!$G$2:$G$451,303),前年度名簿!$G$2:$G$451,0),"")</f>
        <v/>
      </c>
      <c r="Q309" s="8">
        <f>IF(R309="","",IFERROR(MATCH(R309,希望入力!$M$2:$M$551,0),""))</f>
        <v/>
      </c>
      <c r="R309" s="8">
        <f>IF(P309="","",INDEX(前年度名簿!$F$2:$F$451,P309))</f>
        <v/>
      </c>
      <c r="S309" s="8">
        <f>IF(P309="","",INDEX(前年度名簿!$I$2:$I$451,P309))</f>
        <v/>
      </c>
      <c r="T309" s="8">
        <f>IF(OR(P309="",計算用!$B$1=0),"",IFERROR(MATCH(S309,新年度名簿!$H$2:$H$451,0),""))</f>
        <v/>
      </c>
      <c r="U309" s="8">
        <f>IF(OR(L309="",M309="転出"),"",IFERROR(MATCH(L309,設定!$P$8:$P$27,0),""))</f>
        <v/>
      </c>
      <c r="V309" s="8">
        <f>IF(U309="","",COUNTIF($U$7:U309,U309))</f>
        <v/>
      </c>
      <c r="W309" s="8">
        <f>IF(U309="","",U309*1000+V309)</f>
        <v/>
      </c>
    </row>
    <row r="310">
      <c r="A310" s="44">
        <f>IF(P310="","",INDEX(前年度名簿!$H$2:$H$451,P310))</f>
        <v/>
      </c>
      <c r="B310" s="44">
        <f>IF(P310="","",IFERROR(INDEX(設定!$G$8:$G$31,INT(INDEX(前年度名簿!$G$2:$G$451,P310)/1000)),INDEX(前年度名簿!$A$2:$A$451,P310)&amp;INDEX(前年度名簿!$B$2:$B$451,P310)))</f>
        <v/>
      </c>
      <c r="C310" s="44">
        <f>IF(P310="","",INDEX(前年度名簿!$C$2:$C$451,P310))</f>
        <v/>
      </c>
      <c r="D310" s="3">
        <f>IF(P310="","",INDEX(前年度名簿!$D$2:$D$451,P310))</f>
        <v/>
      </c>
      <c r="E310" s="44">
        <f>IF(T310="","",INDEX(新年度名簿!$K$2:$K$451,T310))</f>
        <v/>
      </c>
      <c r="F310" s="44">
        <f>IF(T310="","",INDEX(新年度名簿!$C$2:$C$451,T310))</f>
        <v/>
      </c>
      <c r="G310" s="44">
        <f>IF(Q310="","",INDEX(希望入力!$H$2:$H$551,Q310)&amp;"")</f>
        <v/>
      </c>
      <c r="H310" s="44">
        <f>IF(Q310="","",INDEX(希望入力!$I$2:$I$551,Q310)&amp;"")</f>
        <v/>
      </c>
      <c r="I310" s="44">
        <f>IF(Q310="","",INDEX(希望入力!$J$2:$J$551,Q310)&amp;"")</f>
        <v/>
      </c>
      <c r="J310" s="44">
        <f>IF(Q310="","",IF(G310="","要調整",IFERROR(IF(IF(OR(設定!$C$14="〇",設定!$C$14="○"),COUNTIFS($A$7:$A$456,"&gt;="&amp;A310,$G$7:$G$456,G310),COUNTIF($G$7:$G$456,G310))&lt;=(INDEX(設定!$Q$8:$Q$27,MATCH(G310,設定!$P$8:$P$27,0))+N(INDEX(設定!$R$8:$R$27,MATCH(G310,設定!$P$8:$P$27,0)))),G310,"要調整"),"要調整")))</f>
        <v/>
      </c>
      <c r="K310" s="40" t="n"/>
      <c r="L310" s="52">
        <f>IF(P310="","",IF(K310&lt;&gt;"",K310,IF(OR(J310="",J310="要調整"),"",J310)))</f>
        <v/>
      </c>
      <c r="M310" s="44">
        <f>IF(P310="","",IF(AND(計算用!$B$1=1,T310=""),"転出",IF(L310&lt;&gt;"","決定",IF(Q310="","未提出","要調整"))))</f>
        <v/>
      </c>
      <c r="N310" s="44">
        <f>IF(OR(M310&lt;&gt;"要調整",H310=""),"",IFERROR((INDEX(設定!$Q$8:$Q$27,MATCH(H310,設定!$P$8:$P$27,0))+N(INDEX(設定!$R$8:$R$27,MATCH(H310,設定!$P$8:$P$27,0))))-INDEX(定員チェック!$F$7:$F$26,MATCH(H310,設定!$P$8:$P$27,0))-COUNTIFS($M$7:$M$456,"要調整",$G$7:$G$456,H310),""))</f>
        <v/>
      </c>
      <c r="O310" s="44">
        <f>IF(OR(M310&lt;&gt;"要調整",I310=""),"",IFERROR((INDEX(設定!$Q$8:$Q$27,MATCH(I310,設定!$P$8:$P$27,0))+N(INDEX(設定!$R$8:$R$27,MATCH(I310,設定!$P$8:$P$27,0))))-INDEX(定員チェック!$F$7:$F$26,MATCH(I310,設定!$P$8:$P$27,0))-COUNTIFS($M$7:$M$456,"要調整",$G$7:$G$456,I310),""))</f>
        <v/>
      </c>
      <c r="P310" s="8">
        <f>IFERROR(MATCH(SMALL(前年度名簿!$G$2:$G$451,304),前年度名簿!$G$2:$G$451,0),"")</f>
        <v/>
      </c>
      <c r="Q310" s="8">
        <f>IF(R310="","",IFERROR(MATCH(R310,希望入力!$M$2:$M$551,0),""))</f>
        <v/>
      </c>
      <c r="R310" s="8">
        <f>IF(P310="","",INDEX(前年度名簿!$F$2:$F$451,P310))</f>
        <v/>
      </c>
      <c r="S310" s="8">
        <f>IF(P310="","",INDEX(前年度名簿!$I$2:$I$451,P310))</f>
        <v/>
      </c>
      <c r="T310" s="8">
        <f>IF(OR(P310="",計算用!$B$1=0),"",IFERROR(MATCH(S310,新年度名簿!$H$2:$H$451,0),""))</f>
        <v/>
      </c>
      <c r="U310" s="8">
        <f>IF(OR(L310="",M310="転出"),"",IFERROR(MATCH(L310,設定!$P$8:$P$27,0),""))</f>
        <v/>
      </c>
      <c r="V310" s="8">
        <f>IF(U310="","",COUNTIF($U$7:U310,U310))</f>
        <v/>
      </c>
      <c r="W310" s="8">
        <f>IF(U310="","",U310*1000+V310)</f>
        <v/>
      </c>
    </row>
    <row r="311">
      <c r="A311" s="44">
        <f>IF(P311="","",INDEX(前年度名簿!$H$2:$H$451,P311))</f>
        <v/>
      </c>
      <c r="B311" s="44">
        <f>IF(P311="","",IFERROR(INDEX(設定!$G$8:$G$31,INT(INDEX(前年度名簿!$G$2:$G$451,P311)/1000)),INDEX(前年度名簿!$A$2:$A$451,P311)&amp;INDEX(前年度名簿!$B$2:$B$451,P311)))</f>
        <v/>
      </c>
      <c r="C311" s="44">
        <f>IF(P311="","",INDEX(前年度名簿!$C$2:$C$451,P311))</f>
        <v/>
      </c>
      <c r="D311" s="3">
        <f>IF(P311="","",INDEX(前年度名簿!$D$2:$D$451,P311))</f>
        <v/>
      </c>
      <c r="E311" s="44">
        <f>IF(T311="","",INDEX(新年度名簿!$K$2:$K$451,T311))</f>
        <v/>
      </c>
      <c r="F311" s="44">
        <f>IF(T311="","",INDEX(新年度名簿!$C$2:$C$451,T311))</f>
        <v/>
      </c>
      <c r="G311" s="44">
        <f>IF(Q311="","",INDEX(希望入力!$H$2:$H$551,Q311)&amp;"")</f>
        <v/>
      </c>
      <c r="H311" s="44">
        <f>IF(Q311="","",INDEX(希望入力!$I$2:$I$551,Q311)&amp;"")</f>
        <v/>
      </c>
      <c r="I311" s="44">
        <f>IF(Q311="","",INDEX(希望入力!$J$2:$J$551,Q311)&amp;"")</f>
        <v/>
      </c>
      <c r="J311" s="44">
        <f>IF(Q311="","",IF(G311="","要調整",IFERROR(IF(IF(OR(設定!$C$14="〇",設定!$C$14="○"),COUNTIFS($A$7:$A$456,"&gt;="&amp;A311,$G$7:$G$456,G311),COUNTIF($G$7:$G$456,G311))&lt;=(INDEX(設定!$Q$8:$Q$27,MATCH(G311,設定!$P$8:$P$27,0))+N(INDEX(設定!$R$8:$R$27,MATCH(G311,設定!$P$8:$P$27,0)))),G311,"要調整"),"要調整")))</f>
        <v/>
      </c>
      <c r="K311" s="40" t="n"/>
      <c r="L311" s="52">
        <f>IF(P311="","",IF(K311&lt;&gt;"",K311,IF(OR(J311="",J311="要調整"),"",J311)))</f>
        <v/>
      </c>
      <c r="M311" s="44">
        <f>IF(P311="","",IF(AND(計算用!$B$1=1,T311=""),"転出",IF(L311&lt;&gt;"","決定",IF(Q311="","未提出","要調整"))))</f>
        <v/>
      </c>
      <c r="N311" s="44">
        <f>IF(OR(M311&lt;&gt;"要調整",H311=""),"",IFERROR((INDEX(設定!$Q$8:$Q$27,MATCH(H311,設定!$P$8:$P$27,0))+N(INDEX(設定!$R$8:$R$27,MATCH(H311,設定!$P$8:$P$27,0))))-INDEX(定員チェック!$F$7:$F$26,MATCH(H311,設定!$P$8:$P$27,0))-COUNTIFS($M$7:$M$456,"要調整",$G$7:$G$456,H311),""))</f>
        <v/>
      </c>
      <c r="O311" s="44">
        <f>IF(OR(M311&lt;&gt;"要調整",I311=""),"",IFERROR((INDEX(設定!$Q$8:$Q$27,MATCH(I311,設定!$P$8:$P$27,0))+N(INDEX(設定!$R$8:$R$27,MATCH(I311,設定!$P$8:$P$27,0))))-INDEX(定員チェック!$F$7:$F$26,MATCH(I311,設定!$P$8:$P$27,0))-COUNTIFS($M$7:$M$456,"要調整",$G$7:$G$456,I311),""))</f>
        <v/>
      </c>
      <c r="P311" s="8">
        <f>IFERROR(MATCH(SMALL(前年度名簿!$G$2:$G$451,305),前年度名簿!$G$2:$G$451,0),"")</f>
        <v/>
      </c>
      <c r="Q311" s="8">
        <f>IF(R311="","",IFERROR(MATCH(R311,希望入力!$M$2:$M$551,0),""))</f>
        <v/>
      </c>
      <c r="R311" s="8">
        <f>IF(P311="","",INDEX(前年度名簿!$F$2:$F$451,P311))</f>
        <v/>
      </c>
      <c r="S311" s="8">
        <f>IF(P311="","",INDEX(前年度名簿!$I$2:$I$451,P311))</f>
        <v/>
      </c>
      <c r="T311" s="8">
        <f>IF(OR(P311="",計算用!$B$1=0),"",IFERROR(MATCH(S311,新年度名簿!$H$2:$H$451,0),""))</f>
        <v/>
      </c>
      <c r="U311" s="8">
        <f>IF(OR(L311="",M311="転出"),"",IFERROR(MATCH(L311,設定!$P$8:$P$27,0),""))</f>
        <v/>
      </c>
      <c r="V311" s="8">
        <f>IF(U311="","",COUNTIF($U$7:U311,U311))</f>
        <v/>
      </c>
      <c r="W311" s="8">
        <f>IF(U311="","",U311*1000+V311)</f>
        <v/>
      </c>
    </row>
    <row r="312">
      <c r="A312" s="44">
        <f>IF(P312="","",INDEX(前年度名簿!$H$2:$H$451,P312))</f>
        <v/>
      </c>
      <c r="B312" s="44">
        <f>IF(P312="","",IFERROR(INDEX(設定!$G$8:$G$31,INT(INDEX(前年度名簿!$G$2:$G$451,P312)/1000)),INDEX(前年度名簿!$A$2:$A$451,P312)&amp;INDEX(前年度名簿!$B$2:$B$451,P312)))</f>
        <v/>
      </c>
      <c r="C312" s="44">
        <f>IF(P312="","",INDEX(前年度名簿!$C$2:$C$451,P312))</f>
        <v/>
      </c>
      <c r="D312" s="3">
        <f>IF(P312="","",INDEX(前年度名簿!$D$2:$D$451,P312))</f>
        <v/>
      </c>
      <c r="E312" s="44">
        <f>IF(T312="","",INDEX(新年度名簿!$K$2:$K$451,T312))</f>
        <v/>
      </c>
      <c r="F312" s="44">
        <f>IF(T312="","",INDEX(新年度名簿!$C$2:$C$451,T312))</f>
        <v/>
      </c>
      <c r="G312" s="44">
        <f>IF(Q312="","",INDEX(希望入力!$H$2:$H$551,Q312)&amp;"")</f>
        <v/>
      </c>
      <c r="H312" s="44">
        <f>IF(Q312="","",INDEX(希望入力!$I$2:$I$551,Q312)&amp;"")</f>
        <v/>
      </c>
      <c r="I312" s="44">
        <f>IF(Q312="","",INDEX(希望入力!$J$2:$J$551,Q312)&amp;"")</f>
        <v/>
      </c>
      <c r="J312" s="44">
        <f>IF(Q312="","",IF(G312="","要調整",IFERROR(IF(IF(OR(設定!$C$14="〇",設定!$C$14="○"),COUNTIFS($A$7:$A$456,"&gt;="&amp;A312,$G$7:$G$456,G312),COUNTIF($G$7:$G$456,G312))&lt;=(INDEX(設定!$Q$8:$Q$27,MATCH(G312,設定!$P$8:$P$27,0))+N(INDEX(設定!$R$8:$R$27,MATCH(G312,設定!$P$8:$P$27,0)))),G312,"要調整"),"要調整")))</f>
        <v/>
      </c>
      <c r="K312" s="40" t="n"/>
      <c r="L312" s="52">
        <f>IF(P312="","",IF(K312&lt;&gt;"",K312,IF(OR(J312="",J312="要調整"),"",J312)))</f>
        <v/>
      </c>
      <c r="M312" s="44">
        <f>IF(P312="","",IF(AND(計算用!$B$1=1,T312=""),"転出",IF(L312&lt;&gt;"","決定",IF(Q312="","未提出","要調整"))))</f>
        <v/>
      </c>
      <c r="N312" s="44">
        <f>IF(OR(M312&lt;&gt;"要調整",H312=""),"",IFERROR((INDEX(設定!$Q$8:$Q$27,MATCH(H312,設定!$P$8:$P$27,0))+N(INDEX(設定!$R$8:$R$27,MATCH(H312,設定!$P$8:$P$27,0))))-INDEX(定員チェック!$F$7:$F$26,MATCH(H312,設定!$P$8:$P$27,0))-COUNTIFS($M$7:$M$456,"要調整",$G$7:$G$456,H312),""))</f>
        <v/>
      </c>
      <c r="O312" s="44">
        <f>IF(OR(M312&lt;&gt;"要調整",I312=""),"",IFERROR((INDEX(設定!$Q$8:$Q$27,MATCH(I312,設定!$P$8:$P$27,0))+N(INDEX(設定!$R$8:$R$27,MATCH(I312,設定!$P$8:$P$27,0))))-INDEX(定員チェック!$F$7:$F$26,MATCH(I312,設定!$P$8:$P$27,0))-COUNTIFS($M$7:$M$456,"要調整",$G$7:$G$456,I312),""))</f>
        <v/>
      </c>
      <c r="P312" s="8">
        <f>IFERROR(MATCH(SMALL(前年度名簿!$G$2:$G$451,306),前年度名簿!$G$2:$G$451,0),"")</f>
        <v/>
      </c>
      <c r="Q312" s="8">
        <f>IF(R312="","",IFERROR(MATCH(R312,希望入力!$M$2:$M$551,0),""))</f>
        <v/>
      </c>
      <c r="R312" s="8">
        <f>IF(P312="","",INDEX(前年度名簿!$F$2:$F$451,P312))</f>
        <v/>
      </c>
      <c r="S312" s="8">
        <f>IF(P312="","",INDEX(前年度名簿!$I$2:$I$451,P312))</f>
        <v/>
      </c>
      <c r="T312" s="8">
        <f>IF(OR(P312="",計算用!$B$1=0),"",IFERROR(MATCH(S312,新年度名簿!$H$2:$H$451,0),""))</f>
        <v/>
      </c>
      <c r="U312" s="8">
        <f>IF(OR(L312="",M312="転出"),"",IFERROR(MATCH(L312,設定!$P$8:$P$27,0),""))</f>
        <v/>
      </c>
      <c r="V312" s="8">
        <f>IF(U312="","",COUNTIF($U$7:U312,U312))</f>
        <v/>
      </c>
      <c r="W312" s="8">
        <f>IF(U312="","",U312*1000+V312)</f>
        <v/>
      </c>
    </row>
    <row r="313">
      <c r="A313" s="44">
        <f>IF(P313="","",INDEX(前年度名簿!$H$2:$H$451,P313))</f>
        <v/>
      </c>
      <c r="B313" s="44">
        <f>IF(P313="","",IFERROR(INDEX(設定!$G$8:$G$31,INT(INDEX(前年度名簿!$G$2:$G$451,P313)/1000)),INDEX(前年度名簿!$A$2:$A$451,P313)&amp;INDEX(前年度名簿!$B$2:$B$451,P313)))</f>
        <v/>
      </c>
      <c r="C313" s="44">
        <f>IF(P313="","",INDEX(前年度名簿!$C$2:$C$451,P313))</f>
        <v/>
      </c>
      <c r="D313" s="3">
        <f>IF(P313="","",INDEX(前年度名簿!$D$2:$D$451,P313))</f>
        <v/>
      </c>
      <c r="E313" s="44">
        <f>IF(T313="","",INDEX(新年度名簿!$K$2:$K$451,T313))</f>
        <v/>
      </c>
      <c r="F313" s="44">
        <f>IF(T313="","",INDEX(新年度名簿!$C$2:$C$451,T313))</f>
        <v/>
      </c>
      <c r="G313" s="44">
        <f>IF(Q313="","",INDEX(希望入力!$H$2:$H$551,Q313)&amp;"")</f>
        <v/>
      </c>
      <c r="H313" s="44">
        <f>IF(Q313="","",INDEX(希望入力!$I$2:$I$551,Q313)&amp;"")</f>
        <v/>
      </c>
      <c r="I313" s="44">
        <f>IF(Q313="","",INDEX(希望入力!$J$2:$J$551,Q313)&amp;"")</f>
        <v/>
      </c>
      <c r="J313" s="44">
        <f>IF(Q313="","",IF(G313="","要調整",IFERROR(IF(IF(OR(設定!$C$14="〇",設定!$C$14="○"),COUNTIFS($A$7:$A$456,"&gt;="&amp;A313,$G$7:$G$456,G313),COUNTIF($G$7:$G$456,G313))&lt;=(INDEX(設定!$Q$8:$Q$27,MATCH(G313,設定!$P$8:$P$27,0))+N(INDEX(設定!$R$8:$R$27,MATCH(G313,設定!$P$8:$P$27,0)))),G313,"要調整"),"要調整")))</f>
        <v/>
      </c>
      <c r="K313" s="40" t="n"/>
      <c r="L313" s="52">
        <f>IF(P313="","",IF(K313&lt;&gt;"",K313,IF(OR(J313="",J313="要調整"),"",J313)))</f>
        <v/>
      </c>
      <c r="M313" s="44">
        <f>IF(P313="","",IF(AND(計算用!$B$1=1,T313=""),"転出",IF(L313&lt;&gt;"","決定",IF(Q313="","未提出","要調整"))))</f>
        <v/>
      </c>
      <c r="N313" s="44">
        <f>IF(OR(M313&lt;&gt;"要調整",H313=""),"",IFERROR((INDEX(設定!$Q$8:$Q$27,MATCH(H313,設定!$P$8:$P$27,0))+N(INDEX(設定!$R$8:$R$27,MATCH(H313,設定!$P$8:$P$27,0))))-INDEX(定員チェック!$F$7:$F$26,MATCH(H313,設定!$P$8:$P$27,0))-COUNTIFS($M$7:$M$456,"要調整",$G$7:$G$456,H313),""))</f>
        <v/>
      </c>
      <c r="O313" s="44">
        <f>IF(OR(M313&lt;&gt;"要調整",I313=""),"",IFERROR((INDEX(設定!$Q$8:$Q$27,MATCH(I313,設定!$P$8:$P$27,0))+N(INDEX(設定!$R$8:$R$27,MATCH(I313,設定!$P$8:$P$27,0))))-INDEX(定員チェック!$F$7:$F$26,MATCH(I313,設定!$P$8:$P$27,0))-COUNTIFS($M$7:$M$456,"要調整",$G$7:$G$456,I313),""))</f>
        <v/>
      </c>
      <c r="P313" s="8">
        <f>IFERROR(MATCH(SMALL(前年度名簿!$G$2:$G$451,307),前年度名簿!$G$2:$G$451,0),"")</f>
        <v/>
      </c>
      <c r="Q313" s="8">
        <f>IF(R313="","",IFERROR(MATCH(R313,希望入力!$M$2:$M$551,0),""))</f>
        <v/>
      </c>
      <c r="R313" s="8">
        <f>IF(P313="","",INDEX(前年度名簿!$F$2:$F$451,P313))</f>
        <v/>
      </c>
      <c r="S313" s="8">
        <f>IF(P313="","",INDEX(前年度名簿!$I$2:$I$451,P313))</f>
        <v/>
      </c>
      <c r="T313" s="8">
        <f>IF(OR(P313="",計算用!$B$1=0),"",IFERROR(MATCH(S313,新年度名簿!$H$2:$H$451,0),""))</f>
        <v/>
      </c>
      <c r="U313" s="8">
        <f>IF(OR(L313="",M313="転出"),"",IFERROR(MATCH(L313,設定!$P$8:$P$27,0),""))</f>
        <v/>
      </c>
      <c r="V313" s="8">
        <f>IF(U313="","",COUNTIF($U$7:U313,U313))</f>
        <v/>
      </c>
      <c r="W313" s="8">
        <f>IF(U313="","",U313*1000+V313)</f>
        <v/>
      </c>
    </row>
    <row r="314">
      <c r="A314" s="44">
        <f>IF(P314="","",INDEX(前年度名簿!$H$2:$H$451,P314))</f>
        <v/>
      </c>
      <c r="B314" s="44">
        <f>IF(P314="","",IFERROR(INDEX(設定!$G$8:$G$31,INT(INDEX(前年度名簿!$G$2:$G$451,P314)/1000)),INDEX(前年度名簿!$A$2:$A$451,P314)&amp;INDEX(前年度名簿!$B$2:$B$451,P314)))</f>
        <v/>
      </c>
      <c r="C314" s="44">
        <f>IF(P314="","",INDEX(前年度名簿!$C$2:$C$451,P314))</f>
        <v/>
      </c>
      <c r="D314" s="3">
        <f>IF(P314="","",INDEX(前年度名簿!$D$2:$D$451,P314))</f>
        <v/>
      </c>
      <c r="E314" s="44">
        <f>IF(T314="","",INDEX(新年度名簿!$K$2:$K$451,T314))</f>
        <v/>
      </c>
      <c r="F314" s="44">
        <f>IF(T314="","",INDEX(新年度名簿!$C$2:$C$451,T314))</f>
        <v/>
      </c>
      <c r="G314" s="44">
        <f>IF(Q314="","",INDEX(希望入力!$H$2:$H$551,Q314)&amp;"")</f>
        <v/>
      </c>
      <c r="H314" s="44">
        <f>IF(Q314="","",INDEX(希望入力!$I$2:$I$551,Q314)&amp;"")</f>
        <v/>
      </c>
      <c r="I314" s="44">
        <f>IF(Q314="","",INDEX(希望入力!$J$2:$J$551,Q314)&amp;"")</f>
        <v/>
      </c>
      <c r="J314" s="44">
        <f>IF(Q314="","",IF(G314="","要調整",IFERROR(IF(IF(OR(設定!$C$14="〇",設定!$C$14="○"),COUNTIFS($A$7:$A$456,"&gt;="&amp;A314,$G$7:$G$456,G314),COUNTIF($G$7:$G$456,G314))&lt;=(INDEX(設定!$Q$8:$Q$27,MATCH(G314,設定!$P$8:$P$27,0))+N(INDEX(設定!$R$8:$R$27,MATCH(G314,設定!$P$8:$P$27,0)))),G314,"要調整"),"要調整")))</f>
        <v/>
      </c>
      <c r="K314" s="40" t="n"/>
      <c r="L314" s="52">
        <f>IF(P314="","",IF(K314&lt;&gt;"",K314,IF(OR(J314="",J314="要調整"),"",J314)))</f>
        <v/>
      </c>
      <c r="M314" s="44">
        <f>IF(P314="","",IF(AND(計算用!$B$1=1,T314=""),"転出",IF(L314&lt;&gt;"","決定",IF(Q314="","未提出","要調整"))))</f>
        <v/>
      </c>
      <c r="N314" s="44">
        <f>IF(OR(M314&lt;&gt;"要調整",H314=""),"",IFERROR((INDEX(設定!$Q$8:$Q$27,MATCH(H314,設定!$P$8:$P$27,0))+N(INDEX(設定!$R$8:$R$27,MATCH(H314,設定!$P$8:$P$27,0))))-INDEX(定員チェック!$F$7:$F$26,MATCH(H314,設定!$P$8:$P$27,0))-COUNTIFS($M$7:$M$456,"要調整",$G$7:$G$456,H314),""))</f>
        <v/>
      </c>
      <c r="O314" s="44">
        <f>IF(OR(M314&lt;&gt;"要調整",I314=""),"",IFERROR((INDEX(設定!$Q$8:$Q$27,MATCH(I314,設定!$P$8:$P$27,0))+N(INDEX(設定!$R$8:$R$27,MATCH(I314,設定!$P$8:$P$27,0))))-INDEX(定員チェック!$F$7:$F$26,MATCH(I314,設定!$P$8:$P$27,0))-COUNTIFS($M$7:$M$456,"要調整",$G$7:$G$456,I314),""))</f>
        <v/>
      </c>
      <c r="P314" s="8">
        <f>IFERROR(MATCH(SMALL(前年度名簿!$G$2:$G$451,308),前年度名簿!$G$2:$G$451,0),"")</f>
        <v/>
      </c>
      <c r="Q314" s="8">
        <f>IF(R314="","",IFERROR(MATCH(R314,希望入力!$M$2:$M$551,0),""))</f>
        <v/>
      </c>
      <c r="R314" s="8">
        <f>IF(P314="","",INDEX(前年度名簿!$F$2:$F$451,P314))</f>
        <v/>
      </c>
      <c r="S314" s="8">
        <f>IF(P314="","",INDEX(前年度名簿!$I$2:$I$451,P314))</f>
        <v/>
      </c>
      <c r="T314" s="8">
        <f>IF(OR(P314="",計算用!$B$1=0),"",IFERROR(MATCH(S314,新年度名簿!$H$2:$H$451,0),""))</f>
        <v/>
      </c>
      <c r="U314" s="8">
        <f>IF(OR(L314="",M314="転出"),"",IFERROR(MATCH(L314,設定!$P$8:$P$27,0),""))</f>
        <v/>
      </c>
      <c r="V314" s="8">
        <f>IF(U314="","",COUNTIF($U$7:U314,U314))</f>
        <v/>
      </c>
      <c r="W314" s="8">
        <f>IF(U314="","",U314*1000+V314)</f>
        <v/>
      </c>
    </row>
    <row r="315">
      <c r="A315" s="44">
        <f>IF(P315="","",INDEX(前年度名簿!$H$2:$H$451,P315))</f>
        <v/>
      </c>
      <c r="B315" s="44">
        <f>IF(P315="","",IFERROR(INDEX(設定!$G$8:$G$31,INT(INDEX(前年度名簿!$G$2:$G$451,P315)/1000)),INDEX(前年度名簿!$A$2:$A$451,P315)&amp;INDEX(前年度名簿!$B$2:$B$451,P315)))</f>
        <v/>
      </c>
      <c r="C315" s="44">
        <f>IF(P315="","",INDEX(前年度名簿!$C$2:$C$451,P315))</f>
        <v/>
      </c>
      <c r="D315" s="3">
        <f>IF(P315="","",INDEX(前年度名簿!$D$2:$D$451,P315))</f>
        <v/>
      </c>
      <c r="E315" s="44">
        <f>IF(T315="","",INDEX(新年度名簿!$K$2:$K$451,T315))</f>
        <v/>
      </c>
      <c r="F315" s="44">
        <f>IF(T315="","",INDEX(新年度名簿!$C$2:$C$451,T315))</f>
        <v/>
      </c>
      <c r="G315" s="44">
        <f>IF(Q315="","",INDEX(希望入力!$H$2:$H$551,Q315)&amp;"")</f>
        <v/>
      </c>
      <c r="H315" s="44">
        <f>IF(Q315="","",INDEX(希望入力!$I$2:$I$551,Q315)&amp;"")</f>
        <v/>
      </c>
      <c r="I315" s="44">
        <f>IF(Q315="","",INDEX(希望入力!$J$2:$J$551,Q315)&amp;"")</f>
        <v/>
      </c>
      <c r="J315" s="44">
        <f>IF(Q315="","",IF(G315="","要調整",IFERROR(IF(IF(OR(設定!$C$14="〇",設定!$C$14="○"),COUNTIFS($A$7:$A$456,"&gt;="&amp;A315,$G$7:$G$456,G315),COUNTIF($G$7:$G$456,G315))&lt;=(INDEX(設定!$Q$8:$Q$27,MATCH(G315,設定!$P$8:$P$27,0))+N(INDEX(設定!$R$8:$R$27,MATCH(G315,設定!$P$8:$P$27,0)))),G315,"要調整"),"要調整")))</f>
        <v/>
      </c>
      <c r="K315" s="40" t="n"/>
      <c r="L315" s="52">
        <f>IF(P315="","",IF(K315&lt;&gt;"",K315,IF(OR(J315="",J315="要調整"),"",J315)))</f>
        <v/>
      </c>
      <c r="M315" s="44">
        <f>IF(P315="","",IF(AND(計算用!$B$1=1,T315=""),"転出",IF(L315&lt;&gt;"","決定",IF(Q315="","未提出","要調整"))))</f>
        <v/>
      </c>
      <c r="N315" s="44">
        <f>IF(OR(M315&lt;&gt;"要調整",H315=""),"",IFERROR((INDEX(設定!$Q$8:$Q$27,MATCH(H315,設定!$P$8:$P$27,0))+N(INDEX(設定!$R$8:$R$27,MATCH(H315,設定!$P$8:$P$27,0))))-INDEX(定員チェック!$F$7:$F$26,MATCH(H315,設定!$P$8:$P$27,0))-COUNTIFS($M$7:$M$456,"要調整",$G$7:$G$456,H315),""))</f>
        <v/>
      </c>
      <c r="O315" s="44">
        <f>IF(OR(M315&lt;&gt;"要調整",I315=""),"",IFERROR((INDEX(設定!$Q$8:$Q$27,MATCH(I315,設定!$P$8:$P$27,0))+N(INDEX(設定!$R$8:$R$27,MATCH(I315,設定!$P$8:$P$27,0))))-INDEX(定員チェック!$F$7:$F$26,MATCH(I315,設定!$P$8:$P$27,0))-COUNTIFS($M$7:$M$456,"要調整",$G$7:$G$456,I315),""))</f>
        <v/>
      </c>
      <c r="P315" s="8">
        <f>IFERROR(MATCH(SMALL(前年度名簿!$G$2:$G$451,309),前年度名簿!$G$2:$G$451,0),"")</f>
        <v/>
      </c>
      <c r="Q315" s="8">
        <f>IF(R315="","",IFERROR(MATCH(R315,希望入力!$M$2:$M$551,0),""))</f>
        <v/>
      </c>
      <c r="R315" s="8">
        <f>IF(P315="","",INDEX(前年度名簿!$F$2:$F$451,P315))</f>
        <v/>
      </c>
      <c r="S315" s="8">
        <f>IF(P315="","",INDEX(前年度名簿!$I$2:$I$451,P315))</f>
        <v/>
      </c>
      <c r="T315" s="8">
        <f>IF(OR(P315="",計算用!$B$1=0),"",IFERROR(MATCH(S315,新年度名簿!$H$2:$H$451,0),""))</f>
        <v/>
      </c>
      <c r="U315" s="8">
        <f>IF(OR(L315="",M315="転出"),"",IFERROR(MATCH(L315,設定!$P$8:$P$27,0),""))</f>
        <v/>
      </c>
      <c r="V315" s="8">
        <f>IF(U315="","",COUNTIF($U$7:U315,U315))</f>
        <v/>
      </c>
      <c r="W315" s="8">
        <f>IF(U315="","",U315*1000+V315)</f>
        <v/>
      </c>
    </row>
    <row r="316">
      <c r="A316" s="44">
        <f>IF(P316="","",INDEX(前年度名簿!$H$2:$H$451,P316))</f>
        <v/>
      </c>
      <c r="B316" s="44">
        <f>IF(P316="","",IFERROR(INDEX(設定!$G$8:$G$31,INT(INDEX(前年度名簿!$G$2:$G$451,P316)/1000)),INDEX(前年度名簿!$A$2:$A$451,P316)&amp;INDEX(前年度名簿!$B$2:$B$451,P316)))</f>
        <v/>
      </c>
      <c r="C316" s="44">
        <f>IF(P316="","",INDEX(前年度名簿!$C$2:$C$451,P316))</f>
        <v/>
      </c>
      <c r="D316" s="3">
        <f>IF(P316="","",INDEX(前年度名簿!$D$2:$D$451,P316))</f>
        <v/>
      </c>
      <c r="E316" s="44">
        <f>IF(T316="","",INDEX(新年度名簿!$K$2:$K$451,T316))</f>
        <v/>
      </c>
      <c r="F316" s="44">
        <f>IF(T316="","",INDEX(新年度名簿!$C$2:$C$451,T316))</f>
        <v/>
      </c>
      <c r="G316" s="44">
        <f>IF(Q316="","",INDEX(希望入力!$H$2:$H$551,Q316)&amp;"")</f>
        <v/>
      </c>
      <c r="H316" s="44">
        <f>IF(Q316="","",INDEX(希望入力!$I$2:$I$551,Q316)&amp;"")</f>
        <v/>
      </c>
      <c r="I316" s="44">
        <f>IF(Q316="","",INDEX(希望入力!$J$2:$J$551,Q316)&amp;"")</f>
        <v/>
      </c>
      <c r="J316" s="44">
        <f>IF(Q316="","",IF(G316="","要調整",IFERROR(IF(IF(OR(設定!$C$14="〇",設定!$C$14="○"),COUNTIFS($A$7:$A$456,"&gt;="&amp;A316,$G$7:$G$456,G316),COUNTIF($G$7:$G$456,G316))&lt;=(INDEX(設定!$Q$8:$Q$27,MATCH(G316,設定!$P$8:$P$27,0))+N(INDEX(設定!$R$8:$R$27,MATCH(G316,設定!$P$8:$P$27,0)))),G316,"要調整"),"要調整")))</f>
        <v/>
      </c>
      <c r="K316" s="40" t="n"/>
      <c r="L316" s="52">
        <f>IF(P316="","",IF(K316&lt;&gt;"",K316,IF(OR(J316="",J316="要調整"),"",J316)))</f>
        <v/>
      </c>
      <c r="M316" s="44">
        <f>IF(P316="","",IF(AND(計算用!$B$1=1,T316=""),"転出",IF(L316&lt;&gt;"","決定",IF(Q316="","未提出","要調整"))))</f>
        <v/>
      </c>
      <c r="N316" s="44">
        <f>IF(OR(M316&lt;&gt;"要調整",H316=""),"",IFERROR((INDEX(設定!$Q$8:$Q$27,MATCH(H316,設定!$P$8:$P$27,0))+N(INDEX(設定!$R$8:$R$27,MATCH(H316,設定!$P$8:$P$27,0))))-INDEX(定員チェック!$F$7:$F$26,MATCH(H316,設定!$P$8:$P$27,0))-COUNTIFS($M$7:$M$456,"要調整",$G$7:$G$456,H316),""))</f>
        <v/>
      </c>
      <c r="O316" s="44">
        <f>IF(OR(M316&lt;&gt;"要調整",I316=""),"",IFERROR((INDEX(設定!$Q$8:$Q$27,MATCH(I316,設定!$P$8:$P$27,0))+N(INDEX(設定!$R$8:$R$27,MATCH(I316,設定!$P$8:$P$27,0))))-INDEX(定員チェック!$F$7:$F$26,MATCH(I316,設定!$P$8:$P$27,0))-COUNTIFS($M$7:$M$456,"要調整",$G$7:$G$456,I316),""))</f>
        <v/>
      </c>
      <c r="P316" s="8">
        <f>IFERROR(MATCH(SMALL(前年度名簿!$G$2:$G$451,310),前年度名簿!$G$2:$G$451,0),"")</f>
        <v/>
      </c>
      <c r="Q316" s="8">
        <f>IF(R316="","",IFERROR(MATCH(R316,希望入力!$M$2:$M$551,0),""))</f>
        <v/>
      </c>
      <c r="R316" s="8">
        <f>IF(P316="","",INDEX(前年度名簿!$F$2:$F$451,P316))</f>
        <v/>
      </c>
      <c r="S316" s="8">
        <f>IF(P316="","",INDEX(前年度名簿!$I$2:$I$451,P316))</f>
        <v/>
      </c>
      <c r="T316" s="8">
        <f>IF(OR(P316="",計算用!$B$1=0),"",IFERROR(MATCH(S316,新年度名簿!$H$2:$H$451,0),""))</f>
        <v/>
      </c>
      <c r="U316" s="8">
        <f>IF(OR(L316="",M316="転出"),"",IFERROR(MATCH(L316,設定!$P$8:$P$27,0),""))</f>
        <v/>
      </c>
      <c r="V316" s="8">
        <f>IF(U316="","",COUNTIF($U$7:U316,U316))</f>
        <v/>
      </c>
      <c r="W316" s="8">
        <f>IF(U316="","",U316*1000+V316)</f>
        <v/>
      </c>
    </row>
    <row r="317">
      <c r="A317" s="44">
        <f>IF(P317="","",INDEX(前年度名簿!$H$2:$H$451,P317))</f>
        <v/>
      </c>
      <c r="B317" s="44">
        <f>IF(P317="","",IFERROR(INDEX(設定!$G$8:$G$31,INT(INDEX(前年度名簿!$G$2:$G$451,P317)/1000)),INDEX(前年度名簿!$A$2:$A$451,P317)&amp;INDEX(前年度名簿!$B$2:$B$451,P317)))</f>
        <v/>
      </c>
      <c r="C317" s="44">
        <f>IF(P317="","",INDEX(前年度名簿!$C$2:$C$451,P317))</f>
        <v/>
      </c>
      <c r="D317" s="3">
        <f>IF(P317="","",INDEX(前年度名簿!$D$2:$D$451,P317))</f>
        <v/>
      </c>
      <c r="E317" s="44">
        <f>IF(T317="","",INDEX(新年度名簿!$K$2:$K$451,T317))</f>
        <v/>
      </c>
      <c r="F317" s="44">
        <f>IF(T317="","",INDEX(新年度名簿!$C$2:$C$451,T317))</f>
        <v/>
      </c>
      <c r="G317" s="44">
        <f>IF(Q317="","",INDEX(希望入力!$H$2:$H$551,Q317)&amp;"")</f>
        <v/>
      </c>
      <c r="H317" s="44">
        <f>IF(Q317="","",INDEX(希望入力!$I$2:$I$551,Q317)&amp;"")</f>
        <v/>
      </c>
      <c r="I317" s="44">
        <f>IF(Q317="","",INDEX(希望入力!$J$2:$J$551,Q317)&amp;"")</f>
        <v/>
      </c>
      <c r="J317" s="44">
        <f>IF(Q317="","",IF(G317="","要調整",IFERROR(IF(IF(OR(設定!$C$14="〇",設定!$C$14="○"),COUNTIFS($A$7:$A$456,"&gt;="&amp;A317,$G$7:$G$456,G317),COUNTIF($G$7:$G$456,G317))&lt;=(INDEX(設定!$Q$8:$Q$27,MATCH(G317,設定!$P$8:$P$27,0))+N(INDEX(設定!$R$8:$R$27,MATCH(G317,設定!$P$8:$P$27,0)))),G317,"要調整"),"要調整")))</f>
        <v/>
      </c>
      <c r="K317" s="40" t="n"/>
      <c r="L317" s="52">
        <f>IF(P317="","",IF(K317&lt;&gt;"",K317,IF(OR(J317="",J317="要調整"),"",J317)))</f>
        <v/>
      </c>
      <c r="M317" s="44">
        <f>IF(P317="","",IF(AND(計算用!$B$1=1,T317=""),"転出",IF(L317&lt;&gt;"","決定",IF(Q317="","未提出","要調整"))))</f>
        <v/>
      </c>
      <c r="N317" s="44">
        <f>IF(OR(M317&lt;&gt;"要調整",H317=""),"",IFERROR((INDEX(設定!$Q$8:$Q$27,MATCH(H317,設定!$P$8:$P$27,0))+N(INDEX(設定!$R$8:$R$27,MATCH(H317,設定!$P$8:$P$27,0))))-INDEX(定員チェック!$F$7:$F$26,MATCH(H317,設定!$P$8:$P$27,0))-COUNTIFS($M$7:$M$456,"要調整",$G$7:$G$456,H317),""))</f>
        <v/>
      </c>
      <c r="O317" s="44">
        <f>IF(OR(M317&lt;&gt;"要調整",I317=""),"",IFERROR((INDEX(設定!$Q$8:$Q$27,MATCH(I317,設定!$P$8:$P$27,0))+N(INDEX(設定!$R$8:$R$27,MATCH(I317,設定!$P$8:$P$27,0))))-INDEX(定員チェック!$F$7:$F$26,MATCH(I317,設定!$P$8:$P$27,0))-COUNTIFS($M$7:$M$456,"要調整",$G$7:$G$456,I317),""))</f>
        <v/>
      </c>
      <c r="P317" s="8">
        <f>IFERROR(MATCH(SMALL(前年度名簿!$G$2:$G$451,311),前年度名簿!$G$2:$G$451,0),"")</f>
        <v/>
      </c>
      <c r="Q317" s="8">
        <f>IF(R317="","",IFERROR(MATCH(R317,希望入力!$M$2:$M$551,0),""))</f>
        <v/>
      </c>
      <c r="R317" s="8">
        <f>IF(P317="","",INDEX(前年度名簿!$F$2:$F$451,P317))</f>
        <v/>
      </c>
      <c r="S317" s="8">
        <f>IF(P317="","",INDEX(前年度名簿!$I$2:$I$451,P317))</f>
        <v/>
      </c>
      <c r="T317" s="8">
        <f>IF(OR(P317="",計算用!$B$1=0),"",IFERROR(MATCH(S317,新年度名簿!$H$2:$H$451,0),""))</f>
        <v/>
      </c>
      <c r="U317" s="8">
        <f>IF(OR(L317="",M317="転出"),"",IFERROR(MATCH(L317,設定!$P$8:$P$27,0),""))</f>
        <v/>
      </c>
      <c r="V317" s="8">
        <f>IF(U317="","",COUNTIF($U$7:U317,U317))</f>
        <v/>
      </c>
      <c r="W317" s="8">
        <f>IF(U317="","",U317*1000+V317)</f>
        <v/>
      </c>
    </row>
    <row r="318">
      <c r="A318" s="44">
        <f>IF(P318="","",INDEX(前年度名簿!$H$2:$H$451,P318))</f>
        <v/>
      </c>
      <c r="B318" s="44">
        <f>IF(P318="","",IFERROR(INDEX(設定!$G$8:$G$31,INT(INDEX(前年度名簿!$G$2:$G$451,P318)/1000)),INDEX(前年度名簿!$A$2:$A$451,P318)&amp;INDEX(前年度名簿!$B$2:$B$451,P318)))</f>
        <v/>
      </c>
      <c r="C318" s="44">
        <f>IF(P318="","",INDEX(前年度名簿!$C$2:$C$451,P318))</f>
        <v/>
      </c>
      <c r="D318" s="3">
        <f>IF(P318="","",INDEX(前年度名簿!$D$2:$D$451,P318))</f>
        <v/>
      </c>
      <c r="E318" s="44">
        <f>IF(T318="","",INDEX(新年度名簿!$K$2:$K$451,T318))</f>
        <v/>
      </c>
      <c r="F318" s="44">
        <f>IF(T318="","",INDEX(新年度名簿!$C$2:$C$451,T318))</f>
        <v/>
      </c>
      <c r="G318" s="44">
        <f>IF(Q318="","",INDEX(希望入力!$H$2:$H$551,Q318)&amp;"")</f>
        <v/>
      </c>
      <c r="H318" s="44">
        <f>IF(Q318="","",INDEX(希望入力!$I$2:$I$551,Q318)&amp;"")</f>
        <v/>
      </c>
      <c r="I318" s="44">
        <f>IF(Q318="","",INDEX(希望入力!$J$2:$J$551,Q318)&amp;"")</f>
        <v/>
      </c>
      <c r="J318" s="44">
        <f>IF(Q318="","",IF(G318="","要調整",IFERROR(IF(IF(OR(設定!$C$14="〇",設定!$C$14="○"),COUNTIFS($A$7:$A$456,"&gt;="&amp;A318,$G$7:$G$456,G318),COUNTIF($G$7:$G$456,G318))&lt;=(INDEX(設定!$Q$8:$Q$27,MATCH(G318,設定!$P$8:$P$27,0))+N(INDEX(設定!$R$8:$R$27,MATCH(G318,設定!$P$8:$P$27,0)))),G318,"要調整"),"要調整")))</f>
        <v/>
      </c>
      <c r="K318" s="40" t="n"/>
      <c r="L318" s="52">
        <f>IF(P318="","",IF(K318&lt;&gt;"",K318,IF(OR(J318="",J318="要調整"),"",J318)))</f>
        <v/>
      </c>
      <c r="M318" s="44">
        <f>IF(P318="","",IF(AND(計算用!$B$1=1,T318=""),"転出",IF(L318&lt;&gt;"","決定",IF(Q318="","未提出","要調整"))))</f>
        <v/>
      </c>
      <c r="N318" s="44">
        <f>IF(OR(M318&lt;&gt;"要調整",H318=""),"",IFERROR((INDEX(設定!$Q$8:$Q$27,MATCH(H318,設定!$P$8:$P$27,0))+N(INDEX(設定!$R$8:$R$27,MATCH(H318,設定!$P$8:$P$27,0))))-INDEX(定員チェック!$F$7:$F$26,MATCH(H318,設定!$P$8:$P$27,0))-COUNTIFS($M$7:$M$456,"要調整",$G$7:$G$456,H318),""))</f>
        <v/>
      </c>
      <c r="O318" s="44">
        <f>IF(OR(M318&lt;&gt;"要調整",I318=""),"",IFERROR((INDEX(設定!$Q$8:$Q$27,MATCH(I318,設定!$P$8:$P$27,0))+N(INDEX(設定!$R$8:$R$27,MATCH(I318,設定!$P$8:$P$27,0))))-INDEX(定員チェック!$F$7:$F$26,MATCH(I318,設定!$P$8:$P$27,0))-COUNTIFS($M$7:$M$456,"要調整",$G$7:$G$456,I318),""))</f>
        <v/>
      </c>
      <c r="P318" s="8">
        <f>IFERROR(MATCH(SMALL(前年度名簿!$G$2:$G$451,312),前年度名簿!$G$2:$G$451,0),"")</f>
        <v/>
      </c>
      <c r="Q318" s="8">
        <f>IF(R318="","",IFERROR(MATCH(R318,希望入力!$M$2:$M$551,0),""))</f>
        <v/>
      </c>
      <c r="R318" s="8">
        <f>IF(P318="","",INDEX(前年度名簿!$F$2:$F$451,P318))</f>
        <v/>
      </c>
      <c r="S318" s="8">
        <f>IF(P318="","",INDEX(前年度名簿!$I$2:$I$451,P318))</f>
        <v/>
      </c>
      <c r="T318" s="8">
        <f>IF(OR(P318="",計算用!$B$1=0),"",IFERROR(MATCH(S318,新年度名簿!$H$2:$H$451,0),""))</f>
        <v/>
      </c>
      <c r="U318" s="8">
        <f>IF(OR(L318="",M318="転出"),"",IFERROR(MATCH(L318,設定!$P$8:$P$27,0),""))</f>
        <v/>
      </c>
      <c r="V318" s="8">
        <f>IF(U318="","",COUNTIF($U$7:U318,U318))</f>
        <v/>
      </c>
      <c r="W318" s="8">
        <f>IF(U318="","",U318*1000+V318)</f>
        <v/>
      </c>
    </row>
    <row r="319">
      <c r="A319" s="44">
        <f>IF(P319="","",INDEX(前年度名簿!$H$2:$H$451,P319))</f>
        <v/>
      </c>
      <c r="B319" s="44">
        <f>IF(P319="","",IFERROR(INDEX(設定!$G$8:$G$31,INT(INDEX(前年度名簿!$G$2:$G$451,P319)/1000)),INDEX(前年度名簿!$A$2:$A$451,P319)&amp;INDEX(前年度名簿!$B$2:$B$451,P319)))</f>
        <v/>
      </c>
      <c r="C319" s="44">
        <f>IF(P319="","",INDEX(前年度名簿!$C$2:$C$451,P319))</f>
        <v/>
      </c>
      <c r="D319" s="3">
        <f>IF(P319="","",INDEX(前年度名簿!$D$2:$D$451,P319))</f>
        <v/>
      </c>
      <c r="E319" s="44">
        <f>IF(T319="","",INDEX(新年度名簿!$K$2:$K$451,T319))</f>
        <v/>
      </c>
      <c r="F319" s="44">
        <f>IF(T319="","",INDEX(新年度名簿!$C$2:$C$451,T319))</f>
        <v/>
      </c>
      <c r="G319" s="44">
        <f>IF(Q319="","",INDEX(希望入力!$H$2:$H$551,Q319)&amp;"")</f>
        <v/>
      </c>
      <c r="H319" s="44">
        <f>IF(Q319="","",INDEX(希望入力!$I$2:$I$551,Q319)&amp;"")</f>
        <v/>
      </c>
      <c r="I319" s="44">
        <f>IF(Q319="","",INDEX(希望入力!$J$2:$J$551,Q319)&amp;"")</f>
        <v/>
      </c>
      <c r="J319" s="44">
        <f>IF(Q319="","",IF(G319="","要調整",IFERROR(IF(IF(OR(設定!$C$14="〇",設定!$C$14="○"),COUNTIFS($A$7:$A$456,"&gt;="&amp;A319,$G$7:$G$456,G319),COUNTIF($G$7:$G$456,G319))&lt;=(INDEX(設定!$Q$8:$Q$27,MATCH(G319,設定!$P$8:$P$27,0))+N(INDEX(設定!$R$8:$R$27,MATCH(G319,設定!$P$8:$P$27,0)))),G319,"要調整"),"要調整")))</f>
        <v/>
      </c>
      <c r="K319" s="40" t="n"/>
      <c r="L319" s="52">
        <f>IF(P319="","",IF(K319&lt;&gt;"",K319,IF(OR(J319="",J319="要調整"),"",J319)))</f>
        <v/>
      </c>
      <c r="M319" s="44">
        <f>IF(P319="","",IF(AND(計算用!$B$1=1,T319=""),"転出",IF(L319&lt;&gt;"","決定",IF(Q319="","未提出","要調整"))))</f>
        <v/>
      </c>
      <c r="N319" s="44">
        <f>IF(OR(M319&lt;&gt;"要調整",H319=""),"",IFERROR((INDEX(設定!$Q$8:$Q$27,MATCH(H319,設定!$P$8:$P$27,0))+N(INDEX(設定!$R$8:$R$27,MATCH(H319,設定!$P$8:$P$27,0))))-INDEX(定員チェック!$F$7:$F$26,MATCH(H319,設定!$P$8:$P$27,0))-COUNTIFS($M$7:$M$456,"要調整",$G$7:$G$456,H319),""))</f>
        <v/>
      </c>
      <c r="O319" s="44">
        <f>IF(OR(M319&lt;&gt;"要調整",I319=""),"",IFERROR((INDEX(設定!$Q$8:$Q$27,MATCH(I319,設定!$P$8:$P$27,0))+N(INDEX(設定!$R$8:$R$27,MATCH(I319,設定!$P$8:$P$27,0))))-INDEX(定員チェック!$F$7:$F$26,MATCH(I319,設定!$P$8:$P$27,0))-COUNTIFS($M$7:$M$456,"要調整",$G$7:$G$456,I319),""))</f>
        <v/>
      </c>
      <c r="P319" s="8">
        <f>IFERROR(MATCH(SMALL(前年度名簿!$G$2:$G$451,313),前年度名簿!$G$2:$G$451,0),"")</f>
        <v/>
      </c>
      <c r="Q319" s="8">
        <f>IF(R319="","",IFERROR(MATCH(R319,希望入力!$M$2:$M$551,0),""))</f>
        <v/>
      </c>
      <c r="R319" s="8">
        <f>IF(P319="","",INDEX(前年度名簿!$F$2:$F$451,P319))</f>
        <v/>
      </c>
      <c r="S319" s="8">
        <f>IF(P319="","",INDEX(前年度名簿!$I$2:$I$451,P319))</f>
        <v/>
      </c>
      <c r="T319" s="8">
        <f>IF(OR(P319="",計算用!$B$1=0),"",IFERROR(MATCH(S319,新年度名簿!$H$2:$H$451,0),""))</f>
        <v/>
      </c>
      <c r="U319" s="8">
        <f>IF(OR(L319="",M319="転出"),"",IFERROR(MATCH(L319,設定!$P$8:$P$27,0),""))</f>
        <v/>
      </c>
      <c r="V319" s="8">
        <f>IF(U319="","",COUNTIF($U$7:U319,U319))</f>
        <v/>
      </c>
      <c r="W319" s="8">
        <f>IF(U319="","",U319*1000+V319)</f>
        <v/>
      </c>
    </row>
    <row r="320">
      <c r="A320" s="44">
        <f>IF(P320="","",INDEX(前年度名簿!$H$2:$H$451,P320))</f>
        <v/>
      </c>
      <c r="B320" s="44">
        <f>IF(P320="","",IFERROR(INDEX(設定!$G$8:$G$31,INT(INDEX(前年度名簿!$G$2:$G$451,P320)/1000)),INDEX(前年度名簿!$A$2:$A$451,P320)&amp;INDEX(前年度名簿!$B$2:$B$451,P320)))</f>
        <v/>
      </c>
      <c r="C320" s="44">
        <f>IF(P320="","",INDEX(前年度名簿!$C$2:$C$451,P320))</f>
        <v/>
      </c>
      <c r="D320" s="3">
        <f>IF(P320="","",INDEX(前年度名簿!$D$2:$D$451,P320))</f>
        <v/>
      </c>
      <c r="E320" s="44">
        <f>IF(T320="","",INDEX(新年度名簿!$K$2:$K$451,T320))</f>
        <v/>
      </c>
      <c r="F320" s="44">
        <f>IF(T320="","",INDEX(新年度名簿!$C$2:$C$451,T320))</f>
        <v/>
      </c>
      <c r="G320" s="44">
        <f>IF(Q320="","",INDEX(希望入力!$H$2:$H$551,Q320)&amp;"")</f>
        <v/>
      </c>
      <c r="H320" s="44">
        <f>IF(Q320="","",INDEX(希望入力!$I$2:$I$551,Q320)&amp;"")</f>
        <v/>
      </c>
      <c r="I320" s="44">
        <f>IF(Q320="","",INDEX(希望入力!$J$2:$J$551,Q320)&amp;"")</f>
        <v/>
      </c>
      <c r="J320" s="44">
        <f>IF(Q320="","",IF(G320="","要調整",IFERROR(IF(IF(OR(設定!$C$14="〇",設定!$C$14="○"),COUNTIFS($A$7:$A$456,"&gt;="&amp;A320,$G$7:$G$456,G320),COUNTIF($G$7:$G$456,G320))&lt;=(INDEX(設定!$Q$8:$Q$27,MATCH(G320,設定!$P$8:$P$27,0))+N(INDEX(設定!$R$8:$R$27,MATCH(G320,設定!$P$8:$P$27,0)))),G320,"要調整"),"要調整")))</f>
        <v/>
      </c>
      <c r="K320" s="40" t="n"/>
      <c r="L320" s="52">
        <f>IF(P320="","",IF(K320&lt;&gt;"",K320,IF(OR(J320="",J320="要調整"),"",J320)))</f>
        <v/>
      </c>
      <c r="M320" s="44">
        <f>IF(P320="","",IF(AND(計算用!$B$1=1,T320=""),"転出",IF(L320&lt;&gt;"","決定",IF(Q320="","未提出","要調整"))))</f>
        <v/>
      </c>
      <c r="N320" s="44">
        <f>IF(OR(M320&lt;&gt;"要調整",H320=""),"",IFERROR((INDEX(設定!$Q$8:$Q$27,MATCH(H320,設定!$P$8:$P$27,0))+N(INDEX(設定!$R$8:$R$27,MATCH(H320,設定!$P$8:$P$27,0))))-INDEX(定員チェック!$F$7:$F$26,MATCH(H320,設定!$P$8:$P$27,0))-COUNTIFS($M$7:$M$456,"要調整",$G$7:$G$456,H320),""))</f>
        <v/>
      </c>
      <c r="O320" s="44">
        <f>IF(OR(M320&lt;&gt;"要調整",I320=""),"",IFERROR((INDEX(設定!$Q$8:$Q$27,MATCH(I320,設定!$P$8:$P$27,0))+N(INDEX(設定!$R$8:$R$27,MATCH(I320,設定!$P$8:$P$27,0))))-INDEX(定員チェック!$F$7:$F$26,MATCH(I320,設定!$P$8:$P$27,0))-COUNTIFS($M$7:$M$456,"要調整",$G$7:$G$456,I320),""))</f>
        <v/>
      </c>
      <c r="P320" s="8">
        <f>IFERROR(MATCH(SMALL(前年度名簿!$G$2:$G$451,314),前年度名簿!$G$2:$G$451,0),"")</f>
        <v/>
      </c>
      <c r="Q320" s="8">
        <f>IF(R320="","",IFERROR(MATCH(R320,希望入力!$M$2:$M$551,0),""))</f>
        <v/>
      </c>
      <c r="R320" s="8">
        <f>IF(P320="","",INDEX(前年度名簿!$F$2:$F$451,P320))</f>
        <v/>
      </c>
      <c r="S320" s="8">
        <f>IF(P320="","",INDEX(前年度名簿!$I$2:$I$451,P320))</f>
        <v/>
      </c>
      <c r="T320" s="8">
        <f>IF(OR(P320="",計算用!$B$1=0),"",IFERROR(MATCH(S320,新年度名簿!$H$2:$H$451,0),""))</f>
        <v/>
      </c>
      <c r="U320" s="8">
        <f>IF(OR(L320="",M320="転出"),"",IFERROR(MATCH(L320,設定!$P$8:$P$27,0),""))</f>
        <v/>
      </c>
      <c r="V320" s="8">
        <f>IF(U320="","",COUNTIF($U$7:U320,U320))</f>
        <v/>
      </c>
      <c r="W320" s="8">
        <f>IF(U320="","",U320*1000+V320)</f>
        <v/>
      </c>
    </row>
    <row r="321">
      <c r="A321" s="44">
        <f>IF(P321="","",INDEX(前年度名簿!$H$2:$H$451,P321))</f>
        <v/>
      </c>
      <c r="B321" s="44">
        <f>IF(P321="","",IFERROR(INDEX(設定!$G$8:$G$31,INT(INDEX(前年度名簿!$G$2:$G$451,P321)/1000)),INDEX(前年度名簿!$A$2:$A$451,P321)&amp;INDEX(前年度名簿!$B$2:$B$451,P321)))</f>
        <v/>
      </c>
      <c r="C321" s="44">
        <f>IF(P321="","",INDEX(前年度名簿!$C$2:$C$451,P321))</f>
        <v/>
      </c>
      <c r="D321" s="3">
        <f>IF(P321="","",INDEX(前年度名簿!$D$2:$D$451,P321))</f>
        <v/>
      </c>
      <c r="E321" s="44">
        <f>IF(T321="","",INDEX(新年度名簿!$K$2:$K$451,T321))</f>
        <v/>
      </c>
      <c r="F321" s="44">
        <f>IF(T321="","",INDEX(新年度名簿!$C$2:$C$451,T321))</f>
        <v/>
      </c>
      <c r="G321" s="44">
        <f>IF(Q321="","",INDEX(希望入力!$H$2:$H$551,Q321)&amp;"")</f>
        <v/>
      </c>
      <c r="H321" s="44">
        <f>IF(Q321="","",INDEX(希望入力!$I$2:$I$551,Q321)&amp;"")</f>
        <v/>
      </c>
      <c r="I321" s="44">
        <f>IF(Q321="","",INDEX(希望入力!$J$2:$J$551,Q321)&amp;"")</f>
        <v/>
      </c>
      <c r="J321" s="44">
        <f>IF(Q321="","",IF(G321="","要調整",IFERROR(IF(IF(OR(設定!$C$14="〇",設定!$C$14="○"),COUNTIFS($A$7:$A$456,"&gt;="&amp;A321,$G$7:$G$456,G321),COUNTIF($G$7:$G$456,G321))&lt;=(INDEX(設定!$Q$8:$Q$27,MATCH(G321,設定!$P$8:$P$27,0))+N(INDEX(設定!$R$8:$R$27,MATCH(G321,設定!$P$8:$P$27,0)))),G321,"要調整"),"要調整")))</f>
        <v/>
      </c>
      <c r="K321" s="40" t="n"/>
      <c r="L321" s="52">
        <f>IF(P321="","",IF(K321&lt;&gt;"",K321,IF(OR(J321="",J321="要調整"),"",J321)))</f>
        <v/>
      </c>
      <c r="M321" s="44">
        <f>IF(P321="","",IF(AND(計算用!$B$1=1,T321=""),"転出",IF(L321&lt;&gt;"","決定",IF(Q321="","未提出","要調整"))))</f>
        <v/>
      </c>
      <c r="N321" s="44">
        <f>IF(OR(M321&lt;&gt;"要調整",H321=""),"",IFERROR((INDEX(設定!$Q$8:$Q$27,MATCH(H321,設定!$P$8:$P$27,0))+N(INDEX(設定!$R$8:$R$27,MATCH(H321,設定!$P$8:$P$27,0))))-INDEX(定員チェック!$F$7:$F$26,MATCH(H321,設定!$P$8:$P$27,0))-COUNTIFS($M$7:$M$456,"要調整",$G$7:$G$456,H321),""))</f>
        <v/>
      </c>
      <c r="O321" s="44">
        <f>IF(OR(M321&lt;&gt;"要調整",I321=""),"",IFERROR((INDEX(設定!$Q$8:$Q$27,MATCH(I321,設定!$P$8:$P$27,0))+N(INDEX(設定!$R$8:$R$27,MATCH(I321,設定!$P$8:$P$27,0))))-INDEX(定員チェック!$F$7:$F$26,MATCH(I321,設定!$P$8:$P$27,0))-COUNTIFS($M$7:$M$456,"要調整",$G$7:$G$456,I321),""))</f>
        <v/>
      </c>
      <c r="P321" s="8">
        <f>IFERROR(MATCH(SMALL(前年度名簿!$G$2:$G$451,315),前年度名簿!$G$2:$G$451,0),"")</f>
        <v/>
      </c>
      <c r="Q321" s="8">
        <f>IF(R321="","",IFERROR(MATCH(R321,希望入力!$M$2:$M$551,0),""))</f>
        <v/>
      </c>
      <c r="R321" s="8">
        <f>IF(P321="","",INDEX(前年度名簿!$F$2:$F$451,P321))</f>
        <v/>
      </c>
      <c r="S321" s="8">
        <f>IF(P321="","",INDEX(前年度名簿!$I$2:$I$451,P321))</f>
        <v/>
      </c>
      <c r="T321" s="8">
        <f>IF(OR(P321="",計算用!$B$1=0),"",IFERROR(MATCH(S321,新年度名簿!$H$2:$H$451,0),""))</f>
        <v/>
      </c>
      <c r="U321" s="8">
        <f>IF(OR(L321="",M321="転出"),"",IFERROR(MATCH(L321,設定!$P$8:$P$27,0),""))</f>
        <v/>
      </c>
      <c r="V321" s="8">
        <f>IF(U321="","",COUNTIF($U$7:U321,U321))</f>
        <v/>
      </c>
      <c r="W321" s="8">
        <f>IF(U321="","",U321*1000+V321)</f>
        <v/>
      </c>
    </row>
    <row r="322">
      <c r="A322" s="44">
        <f>IF(P322="","",INDEX(前年度名簿!$H$2:$H$451,P322))</f>
        <v/>
      </c>
      <c r="B322" s="44">
        <f>IF(P322="","",IFERROR(INDEX(設定!$G$8:$G$31,INT(INDEX(前年度名簿!$G$2:$G$451,P322)/1000)),INDEX(前年度名簿!$A$2:$A$451,P322)&amp;INDEX(前年度名簿!$B$2:$B$451,P322)))</f>
        <v/>
      </c>
      <c r="C322" s="44">
        <f>IF(P322="","",INDEX(前年度名簿!$C$2:$C$451,P322))</f>
        <v/>
      </c>
      <c r="D322" s="3">
        <f>IF(P322="","",INDEX(前年度名簿!$D$2:$D$451,P322))</f>
        <v/>
      </c>
      <c r="E322" s="44">
        <f>IF(T322="","",INDEX(新年度名簿!$K$2:$K$451,T322))</f>
        <v/>
      </c>
      <c r="F322" s="44">
        <f>IF(T322="","",INDEX(新年度名簿!$C$2:$C$451,T322))</f>
        <v/>
      </c>
      <c r="G322" s="44">
        <f>IF(Q322="","",INDEX(希望入力!$H$2:$H$551,Q322)&amp;"")</f>
        <v/>
      </c>
      <c r="H322" s="44">
        <f>IF(Q322="","",INDEX(希望入力!$I$2:$I$551,Q322)&amp;"")</f>
        <v/>
      </c>
      <c r="I322" s="44">
        <f>IF(Q322="","",INDEX(希望入力!$J$2:$J$551,Q322)&amp;"")</f>
        <v/>
      </c>
      <c r="J322" s="44">
        <f>IF(Q322="","",IF(G322="","要調整",IFERROR(IF(IF(OR(設定!$C$14="〇",設定!$C$14="○"),COUNTIFS($A$7:$A$456,"&gt;="&amp;A322,$G$7:$G$456,G322),COUNTIF($G$7:$G$456,G322))&lt;=(INDEX(設定!$Q$8:$Q$27,MATCH(G322,設定!$P$8:$P$27,0))+N(INDEX(設定!$R$8:$R$27,MATCH(G322,設定!$P$8:$P$27,0)))),G322,"要調整"),"要調整")))</f>
        <v/>
      </c>
      <c r="K322" s="40" t="n"/>
      <c r="L322" s="52">
        <f>IF(P322="","",IF(K322&lt;&gt;"",K322,IF(OR(J322="",J322="要調整"),"",J322)))</f>
        <v/>
      </c>
      <c r="M322" s="44">
        <f>IF(P322="","",IF(AND(計算用!$B$1=1,T322=""),"転出",IF(L322&lt;&gt;"","決定",IF(Q322="","未提出","要調整"))))</f>
        <v/>
      </c>
      <c r="N322" s="44">
        <f>IF(OR(M322&lt;&gt;"要調整",H322=""),"",IFERROR((INDEX(設定!$Q$8:$Q$27,MATCH(H322,設定!$P$8:$P$27,0))+N(INDEX(設定!$R$8:$R$27,MATCH(H322,設定!$P$8:$P$27,0))))-INDEX(定員チェック!$F$7:$F$26,MATCH(H322,設定!$P$8:$P$27,0))-COUNTIFS($M$7:$M$456,"要調整",$G$7:$G$456,H322),""))</f>
        <v/>
      </c>
      <c r="O322" s="44">
        <f>IF(OR(M322&lt;&gt;"要調整",I322=""),"",IFERROR((INDEX(設定!$Q$8:$Q$27,MATCH(I322,設定!$P$8:$P$27,0))+N(INDEX(設定!$R$8:$R$27,MATCH(I322,設定!$P$8:$P$27,0))))-INDEX(定員チェック!$F$7:$F$26,MATCH(I322,設定!$P$8:$P$27,0))-COUNTIFS($M$7:$M$456,"要調整",$G$7:$G$456,I322),""))</f>
        <v/>
      </c>
      <c r="P322" s="8">
        <f>IFERROR(MATCH(SMALL(前年度名簿!$G$2:$G$451,316),前年度名簿!$G$2:$G$451,0),"")</f>
        <v/>
      </c>
      <c r="Q322" s="8">
        <f>IF(R322="","",IFERROR(MATCH(R322,希望入力!$M$2:$M$551,0),""))</f>
        <v/>
      </c>
      <c r="R322" s="8">
        <f>IF(P322="","",INDEX(前年度名簿!$F$2:$F$451,P322))</f>
        <v/>
      </c>
      <c r="S322" s="8">
        <f>IF(P322="","",INDEX(前年度名簿!$I$2:$I$451,P322))</f>
        <v/>
      </c>
      <c r="T322" s="8">
        <f>IF(OR(P322="",計算用!$B$1=0),"",IFERROR(MATCH(S322,新年度名簿!$H$2:$H$451,0),""))</f>
        <v/>
      </c>
      <c r="U322" s="8">
        <f>IF(OR(L322="",M322="転出"),"",IFERROR(MATCH(L322,設定!$P$8:$P$27,0),""))</f>
        <v/>
      </c>
      <c r="V322" s="8">
        <f>IF(U322="","",COUNTIF($U$7:U322,U322))</f>
        <v/>
      </c>
      <c r="W322" s="8">
        <f>IF(U322="","",U322*1000+V322)</f>
        <v/>
      </c>
    </row>
    <row r="323">
      <c r="A323" s="44">
        <f>IF(P323="","",INDEX(前年度名簿!$H$2:$H$451,P323))</f>
        <v/>
      </c>
      <c r="B323" s="44">
        <f>IF(P323="","",IFERROR(INDEX(設定!$G$8:$G$31,INT(INDEX(前年度名簿!$G$2:$G$451,P323)/1000)),INDEX(前年度名簿!$A$2:$A$451,P323)&amp;INDEX(前年度名簿!$B$2:$B$451,P323)))</f>
        <v/>
      </c>
      <c r="C323" s="44">
        <f>IF(P323="","",INDEX(前年度名簿!$C$2:$C$451,P323))</f>
        <v/>
      </c>
      <c r="D323" s="3">
        <f>IF(P323="","",INDEX(前年度名簿!$D$2:$D$451,P323))</f>
        <v/>
      </c>
      <c r="E323" s="44">
        <f>IF(T323="","",INDEX(新年度名簿!$K$2:$K$451,T323))</f>
        <v/>
      </c>
      <c r="F323" s="44">
        <f>IF(T323="","",INDEX(新年度名簿!$C$2:$C$451,T323))</f>
        <v/>
      </c>
      <c r="G323" s="44">
        <f>IF(Q323="","",INDEX(希望入力!$H$2:$H$551,Q323)&amp;"")</f>
        <v/>
      </c>
      <c r="H323" s="44">
        <f>IF(Q323="","",INDEX(希望入力!$I$2:$I$551,Q323)&amp;"")</f>
        <v/>
      </c>
      <c r="I323" s="44">
        <f>IF(Q323="","",INDEX(希望入力!$J$2:$J$551,Q323)&amp;"")</f>
        <v/>
      </c>
      <c r="J323" s="44">
        <f>IF(Q323="","",IF(G323="","要調整",IFERROR(IF(IF(OR(設定!$C$14="〇",設定!$C$14="○"),COUNTIFS($A$7:$A$456,"&gt;="&amp;A323,$G$7:$G$456,G323),COUNTIF($G$7:$G$456,G323))&lt;=(INDEX(設定!$Q$8:$Q$27,MATCH(G323,設定!$P$8:$P$27,0))+N(INDEX(設定!$R$8:$R$27,MATCH(G323,設定!$P$8:$P$27,0)))),G323,"要調整"),"要調整")))</f>
        <v/>
      </c>
      <c r="K323" s="40" t="n"/>
      <c r="L323" s="52">
        <f>IF(P323="","",IF(K323&lt;&gt;"",K323,IF(OR(J323="",J323="要調整"),"",J323)))</f>
        <v/>
      </c>
      <c r="M323" s="44">
        <f>IF(P323="","",IF(AND(計算用!$B$1=1,T323=""),"転出",IF(L323&lt;&gt;"","決定",IF(Q323="","未提出","要調整"))))</f>
        <v/>
      </c>
      <c r="N323" s="44">
        <f>IF(OR(M323&lt;&gt;"要調整",H323=""),"",IFERROR((INDEX(設定!$Q$8:$Q$27,MATCH(H323,設定!$P$8:$P$27,0))+N(INDEX(設定!$R$8:$R$27,MATCH(H323,設定!$P$8:$P$27,0))))-INDEX(定員チェック!$F$7:$F$26,MATCH(H323,設定!$P$8:$P$27,0))-COUNTIFS($M$7:$M$456,"要調整",$G$7:$G$456,H323),""))</f>
        <v/>
      </c>
      <c r="O323" s="44">
        <f>IF(OR(M323&lt;&gt;"要調整",I323=""),"",IFERROR((INDEX(設定!$Q$8:$Q$27,MATCH(I323,設定!$P$8:$P$27,0))+N(INDEX(設定!$R$8:$R$27,MATCH(I323,設定!$P$8:$P$27,0))))-INDEX(定員チェック!$F$7:$F$26,MATCH(I323,設定!$P$8:$P$27,0))-COUNTIFS($M$7:$M$456,"要調整",$G$7:$G$456,I323),""))</f>
        <v/>
      </c>
      <c r="P323" s="8">
        <f>IFERROR(MATCH(SMALL(前年度名簿!$G$2:$G$451,317),前年度名簿!$G$2:$G$451,0),"")</f>
        <v/>
      </c>
      <c r="Q323" s="8">
        <f>IF(R323="","",IFERROR(MATCH(R323,希望入力!$M$2:$M$551,0),""))</f>
        <v/>
      </c>
      <c r="R323" s="8">
        <f>IF(P323="","",INDEX(前年度名簿!$F$2:$F$451,P323))</f>
        <v/>
      </c>
      <c r="S323" s="8">
        <f>IF(P323="","",INDEX(前年度名簿!$I$2:$I$451,P323))</f>
        <v/>
      </c>
      <c r="T323" s="8">
        <f>IF(OR(P323="",計算用!$B$1=0),"",IFERROR(MATCH(S323,新年度名簿!$H$2:$H$451,0),""))</f>
        <v/>
      </c>
      <c r="U323" s="8">
        <f>IF(OR(L323="",M323="転出"),"",IFERROR(MATCH(L323,設定!$P$8:$P$27,0),""))</f>
        <v/>
      </c>
      <c r="V323" s="8">
        <f>IF(U323="","",COUNTIF($U$7:U323,U323))</f>
        <v/>
      </c>
      <c r="W323" s="8">
        <f>IF(U323="","",U323*1000+V323)</f>
        <v/>
      </c>
    </row>
    <row r="324">
      <c r="A324" s="44">
        <f>IF(P324="","",INDEX(前年度名簿!$H$2:$H$451,P324))</f>
        <v/>
      </c>
      <c r="B324" s="44">
        <f>IF(P324="","",IFERROR(INDEX(設定!$G$8:$G$31,INT(INDEX(前年度名簿!$G$2:$G$451,P324)/1000)),INDEX(前年度名簿!$A$2:$A$451,P324)&amp;INDEX(前年度名簿!$B$2:$B$451,P324)))</f>
        <v/>
      </c>
      <c r="C324" s="44">
        <f>IF(P324="","",INDEX(前年度名簿!$C$2:$C$451,P324))</f>
        <v/>
      </c>
      <c r="D324" s="3">
        <f>IF(P324="","",INDEX(前年度名簿!$D$2:$D$451,P324))</f>
        <v/>
      </c>
      <c r="E324" s="44">
        <f>IF(T324="","",INDEX(新年度名簿!$K$2:$K$451,T324))</f>
        <v/>
      </c>
      <c r="F324" s="44">
        <f>IF(T324="","",INDEX(新年度名簿!$C$2:$C$451,T324))</f>
        <v/>
      </c>
      <c r="G324" s="44">
        <f>IF(Q324="","",INDEX(希望入力!$H$2:$H$551,Q324)&amp;"")</f>
        <v/>
      </c>
      <c r="H324" s="44">
        <f>IF(Q324="","",INDEX(希望入力!$I$2:$I$551,Q324)&amp;"")</f>
        <v/>
      </c>
      <c r="I324" s="44">
        <f>IF(Q324="","",INDEX(希望入力!$J$2:$J$551,Q324)&amp;"")</f>
        <v/>
      </c>
      <c r="J324" s="44">
        <f>IF(Q324="","",IF(G324="","要調整",IFERROR(IF(IF(OR(設定!$C$14="〇",設定!$C$14="○"),COUNTIFS($A$7:$A$456,"&gt;="&amp;A324,$G$7:$G$456,G324),COUNTIF($G$7:$G$456,G324))&lt;=(INDEX(設定!$Q$8:$Q$27,MATCH(G324,設定!$P$8:$P$27,0))+N(INDEX(設定!$R$8:$R$27,MATCH(G324,設定!$P$8:$P$27,0)))),G324,"要調整"),"要調整")))</f>
        <v/>
      </c>
      <c r="K324" s="40" t="n"/>
      <c r="L324" s="52">
        <f>IF(P324="","",IF(K324&lt;&gt;"",K324,IF(OR(J324="",J324="要調整"),"",J324)))</f>
        <v/>
      </c>
      <c r="M324" s="44">
        <f>IF(P324="","",IF(AND(計算用!$B$1=1,T324=""),"転出",IF(L324&lt;&gt;"","決定",IF(Q324="","未提出","要調整"))))</f>
        <v/>
      </c>
      <c r="N324" s="44">
        <f>IF(OR(M324&lt;&gt;"要調整",H324=""),"",IFERROR((INDEX(設定!$Q$8:$Q$27,MATCH(H324,設定!$P$8:$P$27,0))+N(INDEX(設定!$R$8:$R$27,MATCH(H324,設定!$P$8:$P$27,0))))-INDEX(定員チェック!$F$7:$F$26,MATCH(H324,設定!$P$8:$P$27,0))-COUNTIFS($M$7:$M$456,"要調整",$G$7:$G$456,H324),""))</f>
        <v/>
      </c>
      <c r="O324" s="44">
        <f>IF(OR(M324&lt;&gt;"要調整",I324=""),"",IFERROR((INDEX(設定!$Q$8:$Q$27,MATCH(I324,設定!$P$8:$P$27,0))+N(INDEX(設定!$R$8:$R$27,MATCH(I324,設定!$P$8:$P$27,0))))-INDEX(定員チェック!$F$7:$F$26,MATCH(I324,設定!$P$8:$P$27,0))-COUNTIFS($M$7:$M$456,"要調整",$G$7:$G$456,I324),""))</f>
        <v/>
      </c>
      <c r="P324" s="8">
        <f>IFERROR(MATCH(SMALL(前年度名簿!$G$2:$G$451,318),前年度名簿!$G$2:$G$451,0),"")</f>
        <v/>
      </c>
      <c r="Q324" s="8">
        <f>IF(R324="","",IFERROR(MATCH(R324,希望入力!$M$2:$M$551,0),""))</f>
        <v/>
      </c>
      <c r="R324" s="8">
        <f>IF(P324="","",INDEX(前年度名簿!$F$2:$F$451,P324))</f>
        <v/>
      </c>
      <c r="S324" s="8">
        <f>IF(P324="","",INDEX(前年度名簿!$I$2:$I$451,P324))</f>
        <v/>
      </c>
      <c r="T324" s="8">
        <f>IF(OR(P324="",計算用!$B$1=0),"",IFERROR(MATCH(S324,新年度名簿!$H$2:$H$451,0),""))</f>
        <v/>
      </c>
      <c r="U324" s="8">
        <f>IF(OR(L324="",M324="転出"),"",IFERROR(MATCH(L324,設定!$P$8:$P$27,0),""))</f>
        <v/>
      </c>
      <c r="V324" s="8">
        <f>IF(U324="","",COUNTIF($U$7:U324,U324))</f>
        <v/>
      </c>
      <c r="W324" s="8">
        <f>IF(U324="","",U324*1000+V324)</f>
        <v/>
      </c>
    </row>
    <row r="325">
      <c r="A325" s="44">
        <f>IF(P325="","",INDEX(前年度名簿!$H$2:$H$451,P325))</f>
        <v/>
      </c>
      <c r="B325" s="44">
        <f>IF(P325="","",IFERROR(INDEX(設定!$G$8:$G$31,INT(INDEX(前年度名簿!$G$2:$G$451,P325)/1000)),INDEX(前年度名簿!$A$2:$A$451,P325)&amp;INDEX(前年度名簿!$B$2:$B$451,P325)))</f>
        <v/>
      </c>
      <c r="C325" s="44">
        <f>IF(P325="","",INDEX(前年度名簿!$C$2:$C$451,P325))</f>
        <v/>
      </c>
      <c r="D325" s="3">
        <f>IF(P325="","",INDEX(前年度名簿!$D$2:$D$451,P325))</f>
        <v/>
      </c>
      <c r="E325" s="44">
        <f>IF(T325="","",INDEX(新年度名簿!$K$2:$K$451,T325))</f>
        <v/>
      </c>
      <c r="F325" s="44">
        <f>IF(T325="","",INDEX(新年度名簿!$C$2:$C$451,T325))</f>
        <v/>
      </c>
      <c r="G325" s="44">
        <f>IF(Q325="","",INDEX(希望入力!$H$2:$H$551,Q325)&amp;"")</f>
        <v/>
      </c>
      <c r="H325" s="44">
        <f>IF(Q325="","",INDEX(希望入力!$I$2:$I$551,Q325)&amp;"")</f>
        <v/>
      </c>
      <c r="I325" s="44">
        <f>IF(Q325="","",INDEX(希望入力!$J$2:$J$551,Q325)&amp;"")</f>
        <v/>
      </c>
      <c r="J325" s="44">
        <f>IF(Q325="","",IF(G325="","要調整",IFERROR(IF(IF(OR(設定!$C$14="〇",設定!$C$14="○"),COUNTIFS($A$7:$A$456,"&gt;="&amp;A325,$G$7:$G$456,G325),COUNTIF($G$7:$G$456,G325))&lt;=(INDEX(設定!$Q$8:$Q$27,MATCH(G325,設定!$P$8:$P$27,0))+N(INDEX(設定!$R$8:$R$27,MATCH(G325,設定!$P$8:$P$27,0)))),G325,"要調整"),"要調整")))</f>
        <v/>
      </c>
      <c r="K325" s="40" t="n"/>
      <c r="L325" s="52">
        <f>IF(P325="","",IF(K325&lt;&gt;"",K325,IF(OR(J325="",J325="要調整"),"",J325)))</f>
        <v/>
      </c>
      <c r="M325" s="44">
        <f>IF(P325="","",IF(AND(計算用!$B$1=1,T325=""),"転出",IF(L325&lt;&gt;"","決定",IF(Q325="","未提出","要調整"))))</f>
        <v/>
      </c>
      <c r="N325" s="44">
        <f>IF(OR(M325&lt;&gt;"要調整",H325=""),"",IFERROR((INDEX(設定!$Q$8:$Q$27,MATCH(H325,設定!$P$8:$P$27,0))+N(INDEX(設定!$R$8:$R$27,MATCH(H325,設定!$P$8:$P$27,0))))-INDEX(定員チェック!$F$7:$F$26,MATCH(H325,設定!$P$8:$P$27,0))-COUNTIFS($M$7:$M$456,"要調整",$G$7:$G$456,H325),""))</f>
        <v/>
      </c>
      <c r="O325" s="44">
        <f>IF(OR(M325&lt;&gt;"要調整",I325=""),"",IFERROR((INDEX(設定!$Q$8:$Q$27,MATCH(I325,設定!$P$8:$P$27,0))+N(INDEX(設定!$R$8:$R$27,MATCH(I325,設定!$P$8:$P$27,0))))-INDEX(定員チェック!$F$7:$F$26,MATCH(I325,設定!$P$8:$P$27,0))-COUNTIFS($M$7:$M$456,"要調整",$G$7:$G$456,I325),""))</f>
        <v/>
      </c>
      <c r="P325" s="8">
        <f>IFERROR(MATCH(SMALL(前年度名簿!$G$2:$G$451,319),前年度名簿!$G$2:$G$451,0),"")</f>
        <v/>
      </c>
      <c r="Q325" s="8">
        <f>IF(R325="","",IFERROR(MATCH(R325,希望入力!$M$2:$M$551,0),""))</f>
        <v/>
      </c>
      <c r="R325" s="8">
        <f>IF(P325="","",INDEX(前年度名簿!$F$2:$F$451,P325))</f>
        <v/>
      </c>
      <c r="S325" s="8">
        <f>IF(P325="","",INDEX(前年度名簿!$I$2:$I$451,P325))</f>
        <v/>
      </c>
      <c r="T325" s="8">
        <f>IF(OR(P325="",計算用!$B$1=0),"",IFERROR(MATCH(S325,新年度名簿!$H$2:$H$451,0),""))</f>
        <v/>
      </c>
      <c r="U325" s="8">
        <f>IF(OR(L325="",M325="転出"),"",IFERROR(MATCH(L325,設定!$P$8:$P$27,0),""))</f>
        <v/>
      </c>
      <c r="V325" s="8">
        <f>IF(U325="","",COUNTIF($U$7:U325,U325))</f>
        <v/>
      </c>
      <c r="W325" s="8">
        <f>IF(U325="","",U325*1000+V325)</f>
        <v/>
      </c>
    </row>
    <row r="326">
      <c r="A326" s="44">
        <f>IF(P326="","",INDEX(前年度名簿!$H$2:$H$451,P326))</f>
        <v/>
      </c>
      <c r="B326" s="44">
        <f>IF(P326="","",IFERROR(INDEX(設定!$G$8:$G$31,INT(INDEX(前年度名簿!$G$2:$G$451,P326)/1000)),INDEX(前年度名簿!$A$2:$A$451,P326)&amp;INDEX(前年度名簿!$B$2:$B$451,P326)))</f>
        <v/>
      </c>
      <c r="C326" s="44">
        <f>IF(P326="","",INDEX(前年度名簿!$C$2:$C$451,P326))</f>
        <v/>
      </c>
      <c r="D326" s="3">
        <f>IF(P326="","",INDEX(前年度名簿!$D$2:$D$451,P326))</f>
        <v/>
      </c>
      <c r="E326" s="44">
        <f>IF(T326="","",INDEX(新年度名簿!$K$2:$K$451,T326))</f>
        <v/>
      </c>
      <c r="F326" s="44">
        <f>IF(T326="","",INDEX(新年度名簿!$C$2:$C$451,T326))</f>
        <v/>
      </c>
      <c r="G326" s="44">
        <f>IF(Q326="","",INDEX(希望入力!$H$2:$H$551,Q326)&amp;"")</f>
        <v/>
      </c>
      <c r="H326" s="44">
        <f>IF(Q326="","",INDEX(希望入力!$I$2:$I$551,Q326)&amp;"")</f>
        <v/>
      </c>
      <c r="I326" s="44">
        <f>IF(Q326="","",INDEX(希望入力!$J$2:$J$551,Q326)&amp;"")</f>
        <v/>
      </c>
      <c r="J326" s="44">
        <f>IF(Q326="","",IF(G326="","要調整",IFERROR(IF(IF(OR(設定!$C$14="〇",設定!$C$14="○"),COUNTIFS($A$7:$A$456,"&gt;="&amp;A326,$G$7:$G$456,G326),COUNTIF($G$7:$G$456,G326))&lt;=(INDEX(設定!$Q$8:$Q$27,MATCH(G326,設定!$P$8:$P$27,0))+N(INDEX(設定!$R$8:$R$27,MATCH(G326,設定!$P$8:$P$27,0)))),G326,"要調整"),"要調整")))</f>
        <v/>
      </c>
      <c r="K326" s="40" t="inlineStr">
        <is>
          <t>料理</t>
        </is>
      </c>
      <c r="L326" s="52">
        <f>IF(P326="","",IF(K326&lt;&gt;"",K326,IF(OR(J326="",J326="要調整"),"",J326)))</f>
        <v/>
      </c>
      <c r="M326" s="44">
        <f>IF(P326="","",IF(AND(計算用!$B$1=1,T326=""),"転出",IF(L326&lt;&gt;"","決定",IF(Q326="","未提出","要調整"))))</f>
        <v/>
      </c>
      <c r="N326" s="44">
        <f>IF(OR(M326&lt;&gt;"要調整",H326=""),"",IFERROR((INDEX(設定!$Q$8:$Q$27,MATCH(H326,設定!$P$8:$P$27,0))+N(INDEX(設定!$R$8:$R$27,MATCH(H326,設定!$P$8:$P$27,0))))-INDEX(定員チェック!$F$7:$F$26,MATCH(H326,設定!$P$8:$P$27,0))-COUNTIFS($M$7:$M$456,"要調整",$G$7:$G$456,H326),""))</f>
        <v/>
      </c>
      <c r="O326" s="44">
        <f>IF(OR(M326&lt;&gt;"要調整",I326=""),"",IFERROR((INDEX(設定!$Q$8:$Q$27,MATCH(I326,設定!$P$8:$P$27,0))+N(INDEX(設定!$R$8:$R$27,MATCH(I326,設定!$P$8:$P$27,0))))-INDEX(定員チェック!$F$7:$F$26,MATCH(I326,設定!$P$8:$P$27,0))-COUNTIFS($M$7:$M$456,"要調整",$G$7:$G$456,I326),""))</f>
        <v/>
      </c>
      <c r="P326" s="8">
        <f>IFERROR(MATCH(SMALL(前年度名簿!$G$2:$G$451,320),前年度名簿!$G$2:$G$451,0),"")</f>
        <v/>
      </c>
      <c r="Q326" s="8">
        <f>IF(R326="","",IFERROR(MATCH(R326,希望入力!$M$2:$M$551,0),""))</f>
        <v/>
      </c>
      <c r="R326" s="8">
        <f>IF(P326="","",INDEX(前年度名簿!$F$2:$F$451,P326))</f>
        <v/>
      </c>
      <c r="S326" s="8">
        <f>IF(P326="","",INDEX(前年度名簿!$I$2:$I$451,P326))</f>
        <v/>
      </c>
      <c r="T326" s="8">
        <f>IF(OR(P326="",計算用!$B$1=0),"",IFERROR(MATCH(S326,新年度名簿!$H$2:$H$451,0),""))</f>
        <v/>
      </c>
      <c r="U326" s="8">
        <f>IF(OR(L326="",M326="転出"),"",IFERROR(MATCH(L326,設定!$P$8:$P$27,0),""))</f>
        <v/>
      </c>
      <c r="V326" s="8">
        <f>IF(U326="","",COUNTIF($U$7:U326,U326))</f>
        <v/>
      </c>
      <c r="W326" s="8">
        <f>IF(U326="","",U326*1000+V326)</f>
        <v/>
      </c>
    </row>
    <row r="327">
      <c r="A327" s="44">
        <f>IF(P327="","",INDEX(前年度名簿!$H$2:$H$451,P327))</f>
        <v/>
      </c>
      <c r="B327" s="44">
        <f>IF(P327="","",IFERROR(INDEX(設定!$G$8:$G$31,INT(INDEX(前年度名簿!$G$2:$G$451,P327)/1000)),INDEX(前年度名簿!$A$2:$A$451,P327)&amp;INDEX(前年度名簿!$B$2:$B$451,P327)))</f>
        <v/>
      </c>
      <c r="C327" s="44">
        <f>IF(P327="","",INDEX(前年度名簿!$C$2:$C$451,P327))</f>
        <v/>
      </c>
      <c r="D327" s="3">
        <f>IF(P327="","",INDEX(前年度名簿!$D$2:$D$451,P327))</f>
        <v/>
      </c>
      <c r="E327" s="44">
        <f>IF(T327="","",INDEX(新年度名簿!$K$2:$K$451,T327))</f>
        <v/>
      </c>
      <c r="F327" s="44">
        <f>IF(T327="","",INDEX(新年度名簿!$C$2:$C$451,T327))</f>
        <v/>
      </c>
      <c r="G327" s="44">
        <f>IF(Q327="","",INDEX(希望入力!$H$2:$H$551,Q327)&amp;"")</f>
        <v/>
      </c>
      <c r="H327" s="44">
        <f>IF(Q327="","",INDEX(希望入力!$I$2:$I$551,Q327)&amp;"")</f>
        <v/>
      </c>
      <c r="I327" s="44">
        <f>IF(Q327="","",INDEX(希望入力!$J$2:$J$551,Q327)&amp;"")</f>
        <v/>
      </c>
      <c r="J327" s="44">
        <f>IF(Q327="","",IF(G327="","要調整",IFERROR(IF(IF(OR(設定!$C$14="〇",設定!$C$14="○"),COUNTIFS($A$7:$A$456,"&gt;="&amp;A327,$G$7:$G$456,G327),COUNTIF($G$7:$G$456,G327))&lt;=(INDEX(設定!$Q$8:$Q$27,MATCH(G327,設定!$P$8:$P$27,0))+N(INDEX(設定!$R$8:$R$27,MATCH(G327,設定!$P$8:$P$27,0)))),G327,"要調整"),"要調整")))</f>
        <v/>
      </c>
      <c r="K327" s="40" t="n"/>
      <c r="L327" s="52">
        <f>IF(P327="","",IF(K327&lt;&gt;"",K327,IF(OR(J327="",J327="要調整"),"",J327)))</f>
        <v/>
      </c>
      <c r="M327" s="44">
        <f>IF(P327="","",IF(AND(計算用!$B$1=1,T327=""),"転出",IF(L327&lt;&gt;"","決定",IF(Q327="","未提出","要調整"))))</f>
        <v/>
      </c>
      <c r="N327" s="44">
        <f>IF(OR(M327&lt;&gt;"要調整",H327=""),"",IFERROR((INDEX(設定!$Q$8:$Q$27,MATCH(H327,設定!$P$8:$P$27,0))+N(INDEX(設定!$R$8:$R$27,MATCH(H327,設定!$P$8:$P$27,0))))-INDEX(定員チェック!$F$7:$F$26,MATCH(H327,設定!$P$8:$P$27,0))-COUNTIFS($M$7:$M$456,"要調整",$G$7:$G$456,H327),""))</f>
        <v/>
      </c>
      <c r="O327" s="44">
        <f>IF(OR(M327&lt;&gt;"要調整",I327=""),"",IFERROR((INDEX(設定!$Q$8:$Q$27,MATCH(I327,設定!$P$8:$P$27,0))+N(INDEX(設定!$R$8:$R$27,MATCH(I327,設定!$P$8:$P$27,0))))-INDEX(定員チェック!$F$7:$F$26,MATCH(I327,設定!$P$8:$P$27,0))-COUNTIFS($M$7:$M$456,"要調整",$G$7:$G$456,I327),""))</f>
        <v/>
      </c>
      <c r="P327" s="8">
        <f>IFERROR(MATCH(SMALL(前年度名簿!$G$2:$G$451,321),前年度名簿!$G$2:$G$451,0),"")</f>
        <v/>
      </c>
      <c r="Q327" s="8">
        <f>IF(R327="","",IFERROR(MATCH(R327,希望入力!$M$2:$M$551,0),""))</f>
        <v/>
      </c>
      <c r="R327" s="8">
        <f>IF(P327="","",INDEX(前年度名簿!$F$2:$F$451,P327))</f>
        <v/>
      </c>
      <c r="S327" s="8">
        <f>IF(P327="","",INDEX(前年度名簿!$I$2:$I$451,P327))</f>
        <v/>
      </c>
      <c r="T327" s="8">
        <f>IF(OR(P327="",計算用!$B$1=0),"",IFERROR(MATCH(S327,新年度名簿!$H$2:$H$451,0),""))</f>
        <v/>
      </c>
      <c r="U327" s="8">
        <f>IF(OR(L327="",M327="転出"),"",IFERROR(MATCH(L327,設定!$P$8:$P$27,0),""))</f>
        <v/>
      </c>
      <c r="V327" s="8">
        <f>IF(U327="","",COUNTIF($U$7:U327,U327))</f>
        <v/>
      </c>
      <c r="W327" s="8">
        <f>IF(U327="","",U327*1000+V327)</f>
        <v/>
      </c>
    </row>
    <row r="328">
      <c r="A328" s="44">
        <f>IF(P328="","",INDEX(前年度名簿!$H$2:$H$451,P328))</f>
        <v/>
      </c>
      <c r="B328" s="44">
        <f>IF(P328="","",IFERROR(INDEX(設定!$G$8:$G$31,INT(INDEX(前年度名簿!$G$2:$G$451,P328)/1000)),INDEX(前年度名簿!$A$2:$A$451,P328)&amp;INDEX(前年度名簿!$B$2:$B$451,P328)))</f>
        <v/>
      </c>
      <c r="C328" s="44">
        <f>IF(P328="","",INDEX(前年度名簿!$C$2:$C$451,P328))</f>
        <v/>
      </c>
      <c r="D328" s="3">
        <f>IF(P328="","",INDEX(前年度名簿!$D$2:$D$451,P328))</f>
        <v/>
      </c>
      <c r="E328" s="44">
        <f>IF(T328="","",INDEX(新年度名簿!$K$2:$K$451,T328))</f>
        <v/>
      </c>
      <c r="F328" s="44">
        <f>IF(T328="","",INDEX(新年度名簿!$C$2:$C$451,T328))</f>
        <v/>
      </c>
      <c r="G328" s="44">
        <f>IF(Q328="","",INDEX(希望入力!$H$2:$H$551,Q328)&amp;"")</f>
        <v/>
      </c>
      <c r="H328" s="44">
        <f>IF(Q328="","",INDEX(希望入力!$I$2:$I$551,Q328)&amp;"")</f>
        <v/>
      </c>
      <c r="I328" s="44">
        <f>IF(Q328="","",INDEX(希望入力!$J$2:$J$551,Q328)&amp;"")</f>
        <v/>
      </c>
      <c r="J328" s="44">
        <f>IF(Q328="","",IF(G328="","要調整",IFERROR(IF(IF(OR(設定!$C$14="〇",設定!$C$14="○"),COUNTIFS($A$7:$A$456,"&gt;="&amp;A328,$G$7:$G$456,G328),COUNTIF($G$7:$G$456,G328))&lt;=(INDEX(設定!$Q$8:$Q$27,MATCH(G328,設定!$P$8:$P$27,0))+N(INDEX(設定!$R$8:$R$27,MATCH(G328,設定!$P$8:$P$27,0)))),G328,"要調整"),"要調整")))</f>
        <v/>
      </c>
      <c r="K328" s="40" t="n"/>
      <c r="L328" s="52">
        <f>IF(P328="","",IF(K328&lt;&gt;"",K328,IF(OR(J328="",J328="要調整"),"",J328)))</f>
        <v/>
      </c>
      <c r="M328" s="44">
        <f>IF(P328="","",IF(AND(計算用!$B$1=1,T328=""),"転出",IF(L328&lt;&gt;"","決定",IF(Q328="","未提出","要調整"))))</f>
        <v/>
      </c>
      <c r="N328" s="44">
        <f>IF(OR(M328&lt;&gt;"要調整",H328=""),"",IFERROR((INDEX(設定!$Q$8:$Q$27,MATCH(H328,設定!$P$8:$P$27,0))+N(INDEX(設定!$R$8:$R$27,MATCH(H328,設定!$P$8:$P$27,0))))-INDEX(定員チェック!$F$7:$F$26,MATCH(H328,設定!$P$8:$P$27,0))-COUNTIFS($M$7:$M$456,"要調整",$G$7:$G$456,H328),""))</f>
        <v/>
      </c>
      <c r="O328" s="44">
        <f>IF(OR(M328&lt;&gt;"要調整",I328=""),"",IFERROR((INDEX(設定!$Q$8:$Q$27,MATCH(I328,設定!$P$8:$P$27,0))+N(INDEX(設定!$R$8:$R$27,MATCH(I328,設定!$P$8:$P$27,0))))-INDEX(定員チェック!$F$7:$F$26,MATCH(I328,設定!$P$8:$P$27,0))-COUNTIFS($M$7:$M$456,"要調整",$G$7:$G$456,I328),""))</f>
        <v/>
      </c>
      <c r="P328" s="8">
        <f>IFERROR(MATCH(SMALL(前年度名簿!$G$2:$G$451,322),前年度名簿!$G$2:$G$451,0),"")</f>
        <v/>
      </c>
      <c r="Q328" s="8">
        <f>IF(R328="","",IFERROR(MATCH(R328,希望入力!$M$2:$M$551,0),""))</f>
        <v/>
      </c>
      <c r="R328" s="8">
        <f>IF(P328="","",INDEX(前年度名簿!$F$2:$F$451,P328))</f>
        <v/>
      </c>
      <c r="S328" s="8">
        <f>IF(P328="","",INDEX(前年度名簿!$I$2:$I$451,P328))</f>
        <v/>
      </c>
      <c r="T328" s="8">
        <f>IF(OR(P328="",計算用!$B$1=0),"",IFERROR(MATCH(S328,新年度名簿!$H$2:$H$451,0),""))</f>
        <v/>
      </c>
      <c r="U328" s="8">
        <f>IF(OR(L328="",M328="転出"),"",IFERROR(MATCH(L328,設定!$P$8:$P$27,0),""))</f>
        <v/>
      </c>
      <c r="V328" s="8">
        <f>IF(U328="","",COUNTIF($U$7:U328,U328))</f>
        <v/>
      </c>
      <c r="W328" s="8">
        <f>IF(U328="","",U328*1000+V328)</f>
        <v/>
      </c>
    </row>
    <row r="329">
      <c r="A329" s="44">
        <f>IF(P329="","",INDEX(前年度名簿!$H$2:$H$451,P329))</f>
        <v/>
      </c>
      <c r="B329" s="44">
        <f>IF(P329="","",IFERROR(INDEX(設定!$G$8:$G$31,INT(INDEX(前年度名簿!$G$2:$G$451,P329)/1000)),INDEX(前年度名簿!$A$2:$A$451,P329)&amp;INDEX(前年度名簿!$B$2:$B$451,P329)))</f>
        <v/>
      </c>
      <c r="C329" s="44">
        <f>IF(P329="","",INDEX(前年度名簿!$C$2:$C$451,P329))</f>
        <v/>
      </c>
      <c r="D329" s="3">
        <f>IF(P329="","",INDEX(前年度名簿!$D$2:$D$451,P329))</f>
        <v/>
      </c>
      <c r="E329" s="44">
        <f>IF(T329="","",INDEX(新年度名簿!$K$2:$K$451,T329))</f>
        <v/>
      </c>
      <c r="F329" s="44">
        <f>IF(T329="","",INDEX(新年度名簿!$C$2:$C$451,T329))</f>
        <v/>
      </c>
      <c r="G329" s="44">
        <f>IF(Q329="","",INDEX(希望入力!$H$2:$H$551,Q329)&amp;"")</f>
        <v/>
      </c>
      <c r="H329" s="44">
        <f>IF(Q329="","",INDEX(希望入力!$I$2:$I$551,Q329)&amp;"")</f>
        <v/>
      </c>
      <c r="I329" s="44">
        <f>IF(Q329="","",INDEX(希望入力!$J$2:$J$551,Q329)&amp;"")</f>
        <v/>
      </c>
      <c r="J329" s="44">
        <f>IF(Q329="","",IF(G329="","要調整",IFERROR(IF(IF(OR(設定!$C$14="〇",設定!$C$14="○"),COUNTIFS($A$7:$A$456,"&gt;="&amp;A329,$G$7:$G$456,G329),COUNTIF($G$7:$G$456,G329))&lt;=(INDEX(設定!$Q$8:$Q$27,MATCH(G329,設定!$P$8:$P$27,0))+N(INDEX(設定!$R$8:$R$27,MATCH(G329,設定!$P$8:$P$27,0)))),G329,"要調整"),"要調整")))</f>
        <v/>
      </c>
      <c r="K329" s="40" t="inlineStr">
        <is>
          <t>料理</t>
        </is>
      </c>
      <c r="L329" s="52">
        <f>IF(P329="","",IF(K329&lt;&gt;"",K329,IF(OR(J329="",J329="要調整"),"",J329)))</f>
        <v/>
      </c>
      <c r="M329" s="44">
        <f>IF(P329="","",IF(AND(計算用!$B$1=1,T329=""),"転出",IF(L329&lt;&gt;"","決定",IF(Q329="","未提出","要調整"))))</f>
        <v/>
      </c>
      <c r="N329" s="44">
        <f>IF(OR(M329&lt;&gt;"要調整",H329=""),"",IFERROR((INDEX(設定!$Q$8:$Q$27,MATCH(H329,設定!$P$8:$P$27,0))+N(INDEX(設定!$R$8:$R$27,MATCH(H329,設定!$P$8:$P$27,0))))-INDEX(定員チェック!$F$7:$F$26,MATCH(H329,設定!$P$8:$P$27,0))-COUNTIFS($M$7:$M$456,"要調整",$G$7:$G$456,H329),""))</f>
        <v/>
      </c>
      <c r="O329" s="44">
        <f>IF(OR(M329&lt;&gt;"要調整",I329=""),"",IFERROR((INDEX(設定!$Q$8:$Q$27,MATCH(I329,設定!$P$8:$P$27,0))+N(INDEX(設定!$R$8:$R$27,MATCH(I329,設定!$P$8:$P$27,0))))-INDEX(定員チェック!$F$7:$F$26,MATCH(I329,設定!$P$8:$P$27,0))-COUNTIFS($M$7:$M$456,"要調整",$G$7:$G$456,I329),""))</f>
        <v/>
      </c>
      <c r="P329" s="8">
        <f>IFERROR(MATCH(SMALL(前年度名簿!$G$2:$G$451,323),前年度名簿!$G$2:$G$451,0),"")</f>
        <v/>
      </c>
      <c r="Q329" s="8">
        <f>IF(R329="","",IFERROR(MATCH(R329,希望入力!$M$2:$M$551,0),""))</f>
        <v/>
      </c>
      <c r="R329" s="8">
        <f>IF(P329="","",INDEX(前年度名簿!$F$2:$F$451,P329))</f>
        <v/>
      </c>
      <c r="S329" s="8">
        <f>IF(P329="","",INDEX(前年度名簿!$I$2:$I$451,P329))</f>
        <v/>
      </c>
      <c r="T329" s="8">
        <f>IF(OR(P329="",計算用!$B$1=0),"",IFERROR(MATCH(S329,新年度名簿!$H$2:$H$451,0),""))</f>
        <v/>
      </c>
      <c r="U329" s="8">
        <f>IF(OR(L329="",M329="転出"),"",IFERROR(MATCH(L329,設定!$P$8:$P$27,0),""))</f>
        <v/>
      </c>
      <c r="V329" s="8">
        <f>IF(U329="","",COUNTIF($U$7:U329,U329))</f>
        <v/>
      </c>
      <c r="W329" s="8">
        <f>IF(U329="","",U329*1000+V329)</f>
        <v/>
      </c>
    </row>
    <row r="330">
      <c r="A330" s="44">
        <f>IF(P330="","",INDEX(前年度名簿!$H$2:$H$451,P330))</f>
        <v/>
      </c>
      <c r="B330" s="44">
        <f>IF(P330="","",IFERROR(INDEX(設定!$G$8:$G$31,INT(INDEX(前年度名簿!$G$2:$G$451,P330)/1000)),INDEX(前年度名簿!$A$2:$A$451,P330)&amp;INDEX(前年度名簿!$B$2:$B$451,P330)))</f>
        <v/>
      </c>
      <c r="C330" s="44">
        <f>IF(P330="","",INDEX(前年度名簿!$C$2:$C$451,P330))</f>
        <v/>
      </c>
      <c r="D330" s="3">
        <f>IF(P330="","",INDEX(前年度名簿!$D$2:$D$451,P330))</f>
        <v/>
      </c>
      <c r="E330" s="44">
        <f>IF(T330="","",INDEX(新年度名簿!$K$2:$K$451,T330))</f>
        <v/>
      </c>
      <c r="F330" s="44">
        <f>IF(T330="","",INDEX(新年度名簿!$C$2:$C$451,T330))</f>
        <v/>
      </c>
      <c r="G330" s="44">
        <f>IF(Q330="","",INDEX(希望入力!$H$2:$H$551,Q330)&amp;"")</f>
        <v/>
      </c>
      <c r="H330" s="44">
        <f>IF(Q330="","",INDEX(希望入力!$I$2:$I$551,Q330)&amp;"")</f>
        <v/>
      </c>
      <c r="I330" s="44">
        <f>IF(Q330="","",INDEX(希望入力!$J$2:$J$551,Q330)&amp;"")</f>
        <v/>
      </c>
      <c r="J330" s="44">
        <f>IF(Q330="","",IF(G330="","要調整",IFERROR(IF(IF(OR(設定!$C$14="〇",設定!$C$14="○"),COUNTIFS($A$7:$A$456,"&gt;="&amp;A330,$G$7:$G$456,G330),COUNTIF($G$7:$G$456,G330))&lt;=(INDEX(設定!$Q$8:$Q$27,MATCH(G330,設定!$P$8:$P$27,0))+N(INDEX(設定!$R$8:$R$27,MATCH(G330,設定!$P$8:$P$27,0)))),G330,"要調整"),"要調整")))</f>
        <v/>
      </c>
      <c r="K330" s="40" t="n"/>
      <c r="L330" s="52">
        <f>IF(P330="","",IF(K330&lt;&gt;"",K330,IF(OR(J330="",J330="要調整"),"",J330)))</f>
        <v/>
      </c>
      <c r="M330" s="44">
        <f>IF(P330="","",IF(AND(計算用!$B$1=1,T330=""),"転出",IF(L330&lt;&gt;"","決定",IF(Q330="","未提出","要調整"))))</f>
        <v/>
      </c>
      <c r="N330" s="44">
        <f>IF(OR(M330&lt;&gt;"要調整",H330=""),"",IFERROR((INDEX(設定!$Q$8:$Q$27,MATCH(H330,設定!$P$8:$P$27,0))+N(INDEX(設定!$R$8:$R$27,MATCH(H330,設定!$P$8:$P$27,0))))-INDEX(定員チェック!$F$7:$F$26,MATCH(H330,設定!$P$8:$P$27,0))-COUNTIFS($M$7:$M$456,"要調整",$G$7:$G$456,H330),""))</f>
        <v/>
      </c>
      <c r="O330" s="44">
        <f>IF(OR(M330&lt;&gt;"要調整",I330=""),"",IFERROR((INDEX(設定!$Q$8:$Q$27,MATCH(I330,設定!$P$8:$P$27,0))+N(INDEX(設定!$R$8:$R$27,MATCH(I330,設定!$P$8:$P$27,0))))-INDEX(定員チェック!$F$7:$F$26,MATCH(I330,設定!$P$8:$P$27,0))-COUNTIFS($M$7:$M$456,"要調整",$G$7:$G$456,I330),""))</f>
        <v/>
      </c>
      <c r="P330" s="8">
        <f>IFERROR(MATCH(SMALL(前年度名簿!$G$2:$G$451,324),前年度名簿!$G$2:$G$451,0),"")</f>
        <v/>
      </c>
      <c r="Q330" s="8">
        <f>IF(R330="","",IFERROR(MATCH(R330,希望入力!$M$2:$M$551,0),""))</f>
        <v/>
      </c>
      <c r="R330" s="8">
        <f>IF(P330="","",INDEX(前年度名簿!$F$2:$F$451,P330))</f>
        <v/>
      </c>
      <c r="S330" s="8">
        <f>IF(P330="","",INDEX(前年度名簿!$I$2:$I$451,P330))</f>
        <v/>
      </c>
      <c r="T330" s="8">
        <f>IF(OR(P330="",計算用!$B$1=0),"",IFERROR(MATCH(S330,新年度名簿!$H$2:$H$451,0),""))</f>
        <v/>
      </c>
      <c r="U330" s="8">
        <f>IF(OR(L330="",M330="転出"),"",IFERROR(MATCH(L330,設定!$P$8:$P$27,0),""))</f>
        <v/>
      </c>
      <c r="V330" s="8">
        <f>IF(U330="","",COUNTIF($U$7:U330,U330))</f>
        <v/>
      </c>
      <c r="W330" s="8">
        <f>IF(U330="","",U330*1000+V330)</f>
        <v/>
      </c>
    </row>
    <row r="331">
      <c r="A331" s="44">
        <f>IF(P331="","",INDEX(前年度名簿!$H$2:$H$451,P331))</f>
        <v/>
      </c>
      <c r="B331" s="44">
        <f>IF(P331="","",IFERROR(INDEX(設定!$G$8:$G$31,INT(INDEX(前年度名簿!$G$2:$G$451,P331)/1000)),INDEX(前年度名簿!$A$2:$A$451,P331)&amp;INDEX(前年度名簿!$B$2:$B$451,P331)))</f>
        <v/>
      </c>
      <c r="C331" s="44">
        <f>IF(P331="","",INDEX(前年度名簿!$C$2:$C$451,P331))</f>
        <v/>
      </c>
      <c r="D331" s="3">
        <f>IF(P331="","",INDEX(前年度名簿!$D$2:$D$451,P331))</f>
        <v/>
      </c>
      <c r="E331" s="44">
        <f>IF(T331="","",INDEX(新年度名簿!$K$2:$K$451,T331))</f>
        <v/>
      </c>
      <c r="F331" s="44">
        <f>IF(T331="","",INDEX(新年度名簿!$C$2:$C$451,T331))</f>
        <v/>
      </c>
      <c r="G331" s="44">
        <f>IF(Q331="","",INDEX(希望入力!$H$2:$H$551,Q331)&amp;"")</f>
        <v/>
      </c>
      <c r="H331" s="44">
        <f>IF(Q331="","",INDEX(希望入力!$I$2:$I$551,Q331)&amp;"")</f>
        <v/>
      </c>
      <c r="I331" s="44">
        <f>IF(Q331="","",INDEX(希望入力!$J$2:$J$551,Q331)&amp;"")</f>
        <v/>
      </c>
      <c r="J331" s="44">
        <f>IF(Q331="","",IF(G331="","要調整",IFERROR(IF(IF(OR(設定!$C$14="〇",設定!$C$14="○"),COUNTIFS($A$7:$A$456,"&gt;="&amp;A331,$G$7:$G$456,G331),COUNTIF($G$7:$G$456,G331))&lt;=(INDEX(設定!$Q$8:$Q$27,MATCH(G331,設定!$P$8:$P$27,0))+N(INDEX(設定!$R$8:$R$27,MATCH(G331,設定!$P$8:$P$27,0)))),G331,"要調整"),"要調整")))</f>
        <v/>
      </c>
      <c r="K331" s="40" t="n"/>
      <c r="L331" s="52">
        <f>IF(P331="","",IF(K331&lt;&gt;"",K331,IF(OR(J331="",J331="要調整"),"",J331)))</f>
        <v/>
      </c>
      <c r="M331" s="44">
        <f>IF(P331="","",IF(AND(計算用!$B$1=1,T331=""),"転出",IF(L331&lt;&gt;"","決定",IF(Q331="","未提出","要調整"))))</f>
        <v/>
      </c>
      <c r="N331" s="44">
        <f>IF(OR(M331&lt;&gt;"要調整",H331=""),"",IFERROR((INDEX(設定!$Q$8:$Q$27,MATCH(H331,設定!$P$8:$P$27,0))+N(INDEX(設定!$R$8:$R$27,MATCH(H331,設定!$P$8:$P$27,0))))-INDEX(定員チェック!$F$7:$F$26,MATCH(H331,設定!$P$8:$P$27,0))-COUNTIFS($M$7:$M$456,"要調整",$G$7:$G$456,H331),""))</f>
        <v/>
      </c>
      <c r="O331" s="44">
        <f>IF(OR(M331&lt;&gt;"要調整",I331=""),"",IFERROR((INDEX(設定!$Q$8:$Q$27,MATCH(I331,設定!$P$8:$P$27,0))+N(INDEX(設定!$R$8:$R$27,MATCH(I331,設定!$P$8:$P$27,0))))-INDEX(定員チェック!$F$7:$F$26,MATCH(I331,設定!$P$8:$P$27,0))-COUNTIFS($M$7:$M$456,"要調整",$G$7:$G$456,I331),""))</f>
        <v/>
      </c>
      <c r="P331" s="8">
        <f>IFERROR(MATCH(SMALL(前年度名簿!$G$2:$G$451,325),前年度名簿!$G$2:$G$451,0),"")</f>
        <v/>
      </c>
      <c r="Q331" s="8">
        <f>IF(R331="","",IFERROR(MATCH(R331,希望入力!$M$2:$M$551,0),""))</f>
        <v/>
      </c>
      <c r="R331" s="8">
        <f>IF(P331="","",INDEX(前年度名簿!$F$2:$F$451,P331))</f>
        <v/>
      </c>
      <c r="S331" s="8">
        <f>IF(P331="","",INDEX(前年度名簿!$I$2:$I$451,P331))</f>
        <v/>
      </c>
      <c r="T331" s="8">
        <f>IF(OR(P331="",計算用!$B$1=0),"",IFERROR(MATCH(S331,新年度名簿!$H$2:$H$451,0),""))</f>
        <v/>
      </c>
      <c r="U331" s="8">
        <f>IF(OR(L331="",M331="転出"),"",IFERROR(MATCH(L331,設定!$P$8:$P$27,0),""))</f>
        <v/>
      </c>
      <c r="V331" s="8">
        <f>IF(U331="","",COUNTIF($U$7:U331,U331))</f>
        <v/>
      </c>
      <c r="W331" s="8">
        <f>IF(U331="","",U331*1000+V331)</f>
        <v/>
      </c>
    </row>
    <row r="332">
      <c r="A332" s="44">
        <f>IF(P332="","",INDEX(前年度名簿!$H$2:$H$451,P332))</f>
        <v/>
      </c>
      <c r="B332" s="44">
        <f>IF(P332="","",IFERROR(INDEX(設定!$G$8:$G$31,INT(INDEX(前年度名簿!$G$2:$G$451,P332)/1000)),INDEX(前年度名簿!$A$2:$A$451,P332)&amp;INDEX(前年度名簿!$B$2:$B$451,P332)))</f>
        <v/>
      </c>
      <c r="C332" s="44">
        <f>IF(P332="","",INDEX(前年度名簿!$C$2:$C$451,P332))</f>
        <v/>
      </c>
      <c r="D332" s="3">
        <f>IF(P332="","",INDEX(前年度名簿!$D$2:$D$451,P332))</f>
        <v/>
      </c>
      <c r="E332" s="44">
        <f>IF(T332="","",INDEX(新年度名簿!$K$2:$K$451,T332))</f>
        <v/>
      </c>
      <c r="F332" s="44">
        <f>IF(T332="","",INDEX(新年度名簿!$C$2:$C$451,T332))</f>
        <v/>
      </c>
      <c r="G332" s="44">
        <f>IF(Q332="","",INDEX(希望入力!$H$2:$H$551,Q332)&amp;"")</f>
        <v/>
      </c>
      <c r="H332" s="44">
        <f>IF(Q332="","",INDEX(希望入力!$I$2:$I$551,Q332)&amp;"")</f>
        <v/>
      </c>
      <c r="I332" s="44">
        <f>IF(Q332="","",INDEX(希望入力!$J$2:$J$551,Q332)&amp;"")</f>
        <v/>
      </c>
      <c r="J332" s="44">
        <f>IF(Q332="","",IF(G332="","要調整",IFERROR(IF(IF(OR(設定!$C$14="〇",設定!$C$14="○"),COUNTIFS($A$7:$A$456,"&gt;="&amp;A332,$G$7:$G$456,G332),COUNTIF($G$7:$G$456,G332))&lt;=(INDEX(設定!$Q$8:$Q$27,MATCH(G332,設定!$P$8:$P$27,0))+N(INDEX(設定!$R$8:$R$27,MATCH(G332,設定!$P$8:$P$27,0)))),G332,"要調整"),"要調整")))</f>
        <v/>
      </c>
      <c r="K332" s="40" t="n"/>
      <c r="L332" s="52">
        <f>IF(P332="","",IF(K332&lt;&gt;"",K332,IF(OR(J332="",J332="要調整"),"",J332)))</f>
        <v/>
      </c>
      <c r="M332" s="44">
        <f>IF(P332="","",IF(AND(計算用!$B$1=1,T332=""),"転出",IF(L332&lt;&gt;"","決定",IF(Q332="","未提出","要調整"))))</f>
        <v/>
      </c>
      <c r="N332" s="44">
        <f>IF(OR(M332&lt;&gt;"要調整",H332=""),"",IFERROR((INDEX(設定!$Q$8:$Q$27,MATCH(H332,設定!$P$8:$P$27,0))+N(INDEX(設定!$R$8:$R$27,MATCH(H332,設定!$P$8:$P$27,0))))-INDEX(定員チェック!$F$7:$F$26,MATCH(H332,設定!$P$8:$P$27,0))-COUNTIFS($M$7:$M$456,"要調整",$G$7:$G$456,H332),""))</f>
        <v/>
      </c>
      <c r="O332" s="44">
        <f>IF(OR(M332&lt;&gt;"要調整",I332=""),"",IFERROR((INDEX(設定!$Q$8:$Q$27,MATCH(I332,設定!$P$8:$P$27,0))+N(INDEX(設定!$R$8:$R$27,MATCH(I332,設定!$P$8:$P$27,0))))-INDEX(定員チェック!$F$7:$F$26,MATCH(I332,設定!$P$8:$P$27,0))-COUNTIFS($M$7:$M$456,"要調整",$G$7:$G$456,I332),""))</f>
        <v/>
      </c>
      <c r="P332" s="8">
        <f>IFERROR(MATCH(SMALL(前年度名簿!$G$2:$G$451,326),前年度名簿!$G$2:$G$451,0),"")</f>
        <v/>
      </c>
      <c r="Q332" s="8">
        <f>IF(R332="","",IFERROR(MATCH(R332,希望入力!$M$2:$M$551,0),""))</f>
        <v/>
      </c>
      <c r="R332" s="8">
        <f>IF(P332="","",INDEX(前年度名簿!$F$2:$F$451,P332))</f>
        <v/>
      </c>
      <c r="S332" s="8">
        <f>IF(P332="","",INDEX(前年度名簿!$I$2:$I$451,P332))</f>
        <v/>
      </c>
      <c r="T332" s="8">
        <f>IF(OR(P332="",計算用!$B$1=0),"",IFERROR(MATCH(S332,新年度名簿!$H$2:$H$451,0),""))</f>
        <v/>
      </c>
      <c r="U332" s="8">
        <f>IF(OR(L332="",M332="転出"),"",IFERROR(MATCH(L332,設定!$P$8:$P$27,0),""))</f>
        <v/>
      </c>
      <c r="V332" s="8">
        <f>IF(U332="","",COUNTIF($U$7:U332,U332))</f>
        <v/>
      </c>
      <c r="W332" s="8">
        <f>IF(U332="","",U332*1000+V332)</f>
        <v/>
      </c>
    </row>
    <row r="333">
      <c r="A333" s="44">
        <f>IF(P333="","",INDEX(前年度名簿!$H$2:$H$451,P333))</f>
        <v/>
      </c>
      <c r="B333" s="44">
        <f>IF(P333="","",IFERROR(INDEX(設定!$G$8:$G$31,INT(INDEX(前年度名簿!$G$2:$G$451,P333)/1000)),INDEX(前年度名簿!$A$2:$A$451,P333)&amp;INDEX(前年度名簿!$B$2:$B$451,P333)))</f>
        <v/>
      </c>
      <c r="C333" s="44">
        <f>IF(P333="","",INDEX(前年度名簿!$C$2:$C$451,P333))</f>
        <v/>
      </c>
      <c r="D333" s="3">
        <f>IF(P333="","",INDEX(前年度名簿!$D$2:$D$451,P333))</f>
        <v/>
      </c>
      <c r="E333" s="44">
        <f>IF(T333="","",INDEX(新年度名簿!$K$2:$K$451,T333))</f>
        <v/>
      </c>
      <c r="F333" s="44">
        <f>IF(T333="","",INDEX(新年度名簿!$C$2:$C$451,T333))</f>
        <v/>
      </c>
      <c r="G333" s="44">
        <f>IF(Q333="","",INDEX(希望入力!$H$2:$H$551,Q333)&amp;"")</f>
        <v/>
      </c>
      <c r="H333" s="44">
        <f>IF(Q333="","",INDEX(希望入力!$I$2:$I$551,Q333)&amp;"")</f>
        <v/>
      </c>
      <c r="I333" s="44">
        <f>IF(Q333="","",INDEX(希望入力!$J$2:$J$551,Q333)&amp;"")</f>
        <v/>
      </c>
      <c r="J333" s="44">
        <f>IF(Q333="","",IF(G333="","要調整",IFERROR(IF(IF(OR(設定!$C$14="〇",設定!$C$14="○"),COUNTIFS($A$7:$A$456,"&gt;="&amp;A333,$G$7:$G$456,G333),COUNTIF($G$7:$G$456,G333))&lt;=(INDEX(設定!$Q$8:$Q$27,MATCH(G333,設定!$P$8:$P$27,0))+N(INDEX(設定!$R$8:$R$27,MATCH(G333,設定!$P$8:$P$27,0)))),G333,"要調整"),"要調整")))</f>
        <v/>
      </c>
      <c r="K333" s="40" t="inlineStr">
        <is>
          <t>料理</t>
        </is>
      </c>
      <c r="L333" s="52">
        <f>IF(P333="","",IF(K333&lt;&gt;"",K333,IF(OR(J333="",J333="要調整"),"",J333)))</f>
        <v/>
      </c>
      <c r="M333" s="44">
        <f>IF(P333="","",IF(AND(計算用!$B$1=1,T333=""),"転出",IF(L333&lt;&gt;"","決定",IF(Q333="","未提出","要調整"))))</f>
        <v/>
      </c>
      <c r="N333" s="44">
        <f>IF(OR(M333&lt;&gt;"要調整",H333=""),"",IFERROR((INDEX(設定!$Q$8:$Q$27,MATCH(H333,設定!$P$8:$P$27,0))+N(INDEX(設定!$R$8:$R$27,MATCH(H333,設定!$P$8:$P$27,0))))-INDEX(定員チェック!$F$7:$F$26,MATCH(H333,設定!$P$8:$P$27,0))-COUNTIFS($M$7:$M$456,"要調整",$G$7:$G$456,H333),""))</f>
        <v/>
      </c>
      <c r="O333" s="44">
        <f>IF(OR(M333&lt;&gt;"要調整",I333=""),"",IFERROR((INDEX(設定!$Q$8:$Q$27,MATCH(I333,設定!$P$8:$P$27,0))+N(INDEX(設定!$R$8:$R$27,MATCH(I333,設定!$P$8:$P$27,0))))-INDEX(定員チェック!$F$7:$F$26,MATCH(I333,設定!$P$8:$P$27,0))-COUNTIFS($M$7:$M$456,"要調整",$G$7:$G$456,I333),""))</f>
        <v/>
      </c>
      <c r="P333" s="8">
        <f>IFERROR(MATCH(SMALL(前年度名簿!$G$2:$G$451,327),前年度名簿!$G$2:$G$451,0),"")</f>
        <v/>
      </c>
      <c r="Q333" s="8">
        <f>IF(R333="","",IFERROR(MATCH(R333,希望入力!$M$2:$M$551,0),""))</f>
        <v/>
      </c>
      <c r="R333" s="8">
        <f>IF(P333="","",INDEX(前年度名簿!$F$2:$F$451,P333))</f>
        <v/>
      </c>
      <c r="S333" s="8">
        <f>IF(P333="","",INDEX(前年度名簿!$I$2:$I$451,P333))</f>
        <v/>
      </c>
      <c r="T333" s="8">
        <f>IF(OR(P333="",計算用!$B$1=0),"",IFERROR(MATCH(S333,新年度名簿!$H$2:$H$451,0),""))</f>
        <v/>
      </c>
      <c r="U333" s="8">
        <f>IF(OR(L333="",M333="転出"),"",IFERROR(MATCH(L333,設定!$P$8:$P$27,0),""))</f>
        <v/>
      </c>
      <c r="V333" s="8">
        <f>IF(U333="","",COUNTIF($U$7:U333,U333))</f>
        <v/>
      </c>
      <c r="W333" s="8">
        <f>IF(U333="","",U333*1000+V333)</f>
        <v/>
      </c>
    </row>
    <row r="334">
      <c r="A334" s="44">
        <f>IF(P334="","",INDEX(前年度名簿!$H$2:$H$451,P334))</f>
        <v/>
      </c>
      <c r="B334" s="44">
        <f>IF(P334="","",IFERROR(INDEX(設定!$G$8:$G$31,INT(INDEX(前年度名簿!$G$2:$G$451,P334)/1000)),INDEX(前年度名簿!$A$2:$A$451,P334)&amp;INDEX(前年度名簿!$B$2:$B$451,P334)))</f>
        <v/>
      </c>
      <c r="C334" s="44">
        <f>IF(P334="","",INDEX(前年度名簿!$C$2:$C$451,P334))</f>
        <v/>
      </c>
      <c r="D334" s="3">
        <f>IF(P334="","",INDEX(前年度名簿!$D$2:$D$451,P334))</f>
        <v/>
      </c>
      <c r="E334" s="44">
        <f>IF(T334="","",INDEX(新年度名簿!$K$2:$K$451,T334))</f>
        <v/>
      </c>
      <c r="F334" s="44">
        <f>IF(T334="","",INDEX(新年度名簿!$C$2:$C$451,T334))</f>
        <v/>
      </c>
      <c r="G334" s="44">
        <f>IF(Q334="","",INDEX(希望入力!$H$2:$H$551,Q334)&amp;"")</f>
        <v/>
      </c>
      <c r="H334" s="44">
        <f>IF(Q334="","",INDEX(希望入力!$I$2:$I$551,Q334)&amp;"")</f>
        <v/>
      </c>
      <c r="I334" s="44">
        <f>IF(Q334="","",INDEX(希望入力!$J$2:$J$551,Q334)&amp;"")</f>
        <v/>
      </c>
      <c r="J334" s="44">
        <f>IF(Q334="","",IF(G334="","要調整",IFERROR(IF(IF(OR(設定!$C$14="〇",設定!$C$14="○"),COUNTIFS($A$7:$A$456,"&gt;="&amp;A334,$G$7:$G$456,G334),COUNTIF($G$7:$G$456,G334))&lt;=(INDEX(設定!$Q$8:$Q$27,MATCH(G334,設定!$P$8:$P$27,0))+N(INDEX(設定!$R$8:$R$27,MATCH(G334,設定!$P$8:$P$27,0)))),G334,"要調整"),"要調整")))</f>
        <v/>
      </c>
      <c r="K334" s="40" t="n"/>
      <c r="L334" s="52">
        <f>IF(P334="","",IF(K334&lt;&gt;"",K334,IF(OR(J334="",J334="要調整"),"",J334)))</f>
        <v/>
      </c>
      <c r="M334" s="44">
        <f>IF(P334="","",IF(AND(計算用!$B$1=1,T334=""),"転出",IF(L334&lt;&gt;"","決定",IF(Q334="","未提出","要調整"))))</f>
        <v/>
      </c>
      <c r="N334" s="44">
        <f>IF(OR(M334&lt;&gt;"要調整",H334=""),"",IFERROR((INDEX(設定!$Q$8:$Q$27,MATCH(H334,設定!$P$8:$P$27,0))+N(INDEX(設定!$R$8:$R$27,MATCH(H334,設定!$P$8:$P$27,0))))-INDEX(定員チェック!$F$7:$F$26,MATCH(H334,設定!$P$8:$P$27,0))-COUNTIFS($M$7:$M$456,"要調整",$G$7:$G$456,H334),""))</f>
        <v/>
      </c>
      <c r="O334" s="44">
        <f>IF(OR(M334&lt;&gt;"要調整",I334=""),"",IFERROR((INDEX(設定!$Q$8:$Q$27,MATCH(I334,設定!$P$8:$P$27,0))+N(INDEX(設定!$R$8:$R$27,MATCH(I334,設定!$P$8:$P$27,0))))-INDEX(定員チェック!$F$7:$F$26,MATCH(I334,設定!$P$8:$P$27,0))-COUNTIFS($M$7:$M$456,"要調整",$G$7:$G$456,I334),""))</f>
        <v/>
      </c>
      <c r="P334" s="8">
        <f>IFERROR(MATCH(SMALL(前年度名簿!$G$2:$G$451,328),前年度名簿!$G$2:$G$451,0),"")</f>
        <v/>
      </c>
      <c r="Q334" s="8">
        <f>IF(R334="","",IFERROR(MATCH(R334,希望入力!$M$2:$M$551,0),""))</f>
        <v/>
      </c>
      <c r="R334" s="8">
        <f>IF(P334="","",INDEX(前年度名簿!$F$2:$F$451,P334))</f>
        <v/>
      </c>
      <c r="S334" s="8">
        <f>IF(P334="","",INDEX(前年度名簿!$I$2:$I$451,P334))</f>
        <v/>
      </c>
      <c r="T334" s="8">
        <f>IF(OR(P334="",計算用!$B$1=0),"",IFERROR(MATCH(S334,新年度名簿!$H$2:$H$451,0),""))</f>
        <v/>
      </c>
      <c r="U334" s="8">
        <f>IF(OR(L334="",M334="転出"),"",IFERROR(MATCH(L334,設定!$P$8:$P$27,0),""))</f>
        <v/>
      </c>
      <c r="V334" s="8">
        <f>IF(U334="","",COUNTIF($U$7:U334,U334))</f>
        <v/>
      </c>
      <c r="W334" s="8">
        <f>IF(U334="","",U334*1000+V334)</f>
        <v/>
      </c>
    </row>
    <row r="335">
      <c r="A335" s="44">
        <f>IF(P335="","",INDEX(前年度名簿!$H$2:$H$451,P335))</f>
        <v/>
      </c>
      <c r="B335" s="44">
        <f>IF(P335="","",IFERROR(INDEX(設定!$G$8:$G$31,INT(INDEX(前年度名簿!$G$2:$G$451,P335)/1000)),INDEX(前年度名簿!$A$2:$A$451,P335)&amp;INDEX(前年度名簿!$B$2:$B$451,P335)))</f>
        <v/>
      </c>
      <c r="C335" s="44">
        <f>IF(P335="","",INDEX(前年度名簿!$C$2:$C$451,P335))</f>
        <v/>
      </c>
      <c r="D335" s="3">
        <f>IF(P335="","",INDEX(前年度名簿!$D$2:$D$451,P335))</f>
        <v/>
      </c>
      <c r="E335" s="44">
        <f>IF(T335="","",INDEX(新年度名簿!$K$2:$K$451,T335))</f>
        <v/>
      </c>
      <c r="F335" s="44">
        <f>IF(T335="","",INDEX(新年度名簿!$C$2:$C$451,T335))</f>
        <v/>
      </c>
      <c r="G335" s="44">
        <f>IF(Q335="","",INDEX(希望入力!$H$2:$H$551,Q335)&amp;"")</f>
        <v/>
      </c>
      <c r="H335" s="44">
        <f>IF(Q335="","",INDEX(希望入力!$I$2:$I$551,Q335)&amp;"")</f>
        <v/>
      </c>
      <c r="I335" s="44">
        <f>IF(Q335="","",INDEX(希望入力!$J$2:$J$551,Q335)&amp;"")</f>
        <v/>
      </c>
      <c r="J335" s="44">
        <f>IF(Q335="","",IF(G335="","要調整",IFERROR(IF(IF(OR(設定!$C$14="〇",設定!$C$14="○"),COUNTIFS($A$7:$A$456,"&gt;="&amp;A335,$G$7:$G$456,G335),COUNTIF($G$7:$G$456,G335))&lt;=(INDEX(設定!$Q$8:$Q$27,MATCH(G335,設定!$P$8:$P$27,0))+N(INDEX(設定!$R$8:$R$27,MATCH(G335,設定!$P$8:$P$27,0)))),G335,"要調整"),"要調整")))</f>
        <v/>
      </c>
      <c r="K335" s="40" t="n"/>
      <c r="L335" s="52">
        <f>IF(P335="","",IF(K335&lt;&gt;"",K335,IF(OR(J335="",J335="要調整"),"",J335)))</f>
        <v/>
      </c>
      <c r="M335" s="44">
        <f>IF(P335="","",IF(AND(計算用!$B$1=1,T335=""),"転出",IF(L335&lt;&gt;"","決定",IF(Q335="","未提出","要調整"))))</f>
        <v/>
      </c>
      <c r="N335" s="44">
        <f>IF(OR(M335&lt;&gt;"要調整",H335=""),"",IFERROR((INDEX(設定!$Q$8:$Q$27,MATCH(H335,設定!$P$8:$P$27,0))+N(INDEX(設定!$R$8:$R$27,MATCH(H335,設定!$P$8:$P$27,0))))-INDEX(定員チェック!$F$7:$F$26,MATCH(H335,設定!$P$8:$P$27,0))-COUNTIFS($M$7:$M$456,"要調整",$G$7:$G$456,H335),""))</f>
        <v/>
      </c>
      <c r="O335" s="44">
        <f>IF(OR(M335&lt;&gt;"要調整",I335=""),"",IFERROR((INDEX(設定!$Q$8:$Q$27,MATCH(I335,設定!$P$8:$P$27,0))+N(INDEX(設定!$R$8:$R$27,MATCH(I335,設定!$P$8:$P$27,0))))-INDEX(定員チェック!$F$7:$F$26,MATCH(I335,設定!$P$8:$P$27,0))-COUNTIFS($M$7:$M$456,"要調整",$G$7:$G$456,I335),""))</f>
        <v/>
      </c>
      <c r="P335" s="8">
        <f>IFERROR(MATCH(SMALL(前年度名簿!$G$2:$G$451,329),前年度名簿!$G$2:$G$451,0),"")</f>
        <v/>
      </c>
      <c r="Q335" s="8">
        <f>IF(R335="","",IFERROR(MATCH(R335,希望入力!$M$2:$M$551,0),""))</f>
        <v/>
      </c>
      <c r="R335" s="8">
        <f>IF(P335="","",INDEX(前年度名簿!$F$2:$F$451,P335))</f>
        <v/>
      </c>
      <c r="S335" s="8">
        <f>IF(P335="","",INDEX(前年度名簿!$I$2:$I$451,P335))</f>
        <v/>
      </c>
      <c r="T335" s="8">
        <f>IF(OR(P335="",計算用!$B$1=0),"",IFERROR(MATCH(S335,新年度名簿!$H$2:$H$451,0),""))</f>
        <v/>
      </c>
      <c r="U335" s="8">
        <f>IF(OR(L335="",M335="転出"),"",IFERROR(MATCH(L335,設定!$P$8:$P$27,0),""))</f>
        <v/>
      </c>
      <c r="V335" s="8">
        <f>IF(U335="","",COUNTIF($U$7:U335,U335))</f>
        <v/>
      </c>
      <c r="W335" s="8">
        <f>IF(U335="","",U335*1000+V335)</f>
        <v/>
      </c>
    </row>
    <row r="336">
      <c r="A336" s="44">
        <f>IF(P336="","",INDEX(前年度名簿!$H$2:$H$451,P336))</f>
        <v/>
      </c>
      <c r="B336" s="44">
        <f>IF(P336="","",IFERROR(INDEX(設定!$G$8:$G$31,INT(INDEX(前年度名簿!$G$2:$G$451,P336)/1000)),INDEX(前年度名簿!$A$2:$A$451,P336)&amp;INDEX(前年度名簿!$B$2:$B$451,P336)))</f>
        <v/>
      </c>
      <c r="C336" s="44">
        <f>IF(P336="","",INDEX(前年度名簿!$C$2:$C$451,P336))</f>
        <v/>
      </c>
      <c r="D336" s="3">
        <f>IF(P336="","",INDEX(前年度名簿!$D$2:$D$451,P336))</f>
        <v/>
      </c>
      <c r="E336" s="44">
        <f>IF(T336="","",INDEX(新年度名簿!$K$2:$K$451,T336))</f>
        <v/>
      </c>
      <c r="F336" s="44">
        <f>IF(T336="","",INDEX(新年度名簿!$C$2:$C$451,T336))</f>
        <v/>
      </c>
      <c r="G336" s="44">
        <f>IF(Q336="","",INDEX(希望入力!$H$2:$H$551,Q336)&amp;"")</f>
        <v/>
      </c>
      <c r="H336" s="44">
        <f>IF(Q336="","",INDEX(希望入力!$I$2:$I$551,Q336)&amp;"")</f>
        <v/>
      </c>
      <c r="I336" s="44">
        <f>IF(Q336="","",INDEX(希望入力!$J$2:$J$551,Q336)&amp;"")</f>
        <v/>
      </c>
      <c r="J336" s="44">
        <f>IF(Q336="","",IF(G336="","要調整",IFERROR(IF(IF(OR(設定!$C$14="〇",設定!$C$14="○"),COUNTIFS($A$7:$A$456,"&gt;="&amp;A336,$G$7:$G$456,G336),COUNTIF($G$7:$G$456,G336))&lt;=(INDEX(設定!$Q$8:$Q$27,MATCH(G336,設定!$P$8:$P$27,0))+N(INDEX(設定!$R$8:$R$27,MATCH(G336,設定!$P$8:$P$27,0)))),G336,"要調整"),"要調整")))</f>
        <v/>
      </c>
      <c r="K336" s="40" t="n"/>
      <c r="L336" s="52">
        <f>IF(P336="","",IF(K336&lt;&gt;"",K336,IF(OR(J336="",J336="要調整"),"",J336)))</f>
        <v/>
      </c>
      <c r="M336" s="44">
        <f>IF(P336="","",IF(AND(計算用!$B$1=1,T336=""),"転出",IF(L336&lt;&gt;"","決定",IF(Q336="","未提出","要調整"))))</f>
        <v/>
      </c>
      <c r="N336" s="44">
        <f>IF(OR(M336&lt;&gt;"要調整",H336=""),"",IFERROR((INDEX(設定!$Q$8:$Q$27,MATCH(H336,設定!$P$8:$P$27,0))+N(INDEX(設定!$R$8:$R$27,MATCH(H336,設定!$P$8:$P$27,0))))-INDEX(定員チェック!$F$7:$F$26,MATCH(H336,設定!$P$8:$P$27,0))-COUNTIFS($M$7:$M$456,"要調整",$G$7:$G$456,H336),""))</f>
        <v/>
      </c>
      <c r="O336" s="44">
        <f>IF(OR(M336&lt;&gt;"要調整",I336=""),"",IFERROR((INDEX(設定!$Q$8:$Q$27,MATCH(I336,設定!$P$8:$P$27,0))+N(INDEX(設定!$R$8:$R$27,MATCH(I336,設定!$P$8:$P$27,0))))-INDEX(定員チェック!$F$7:$F$26,MATCH(I336,設定!$P$8:$P$27,0))-COUNTIFS($M$7:$M$456,"要調整",$G$7:$G$456,I336),""))</f>
        <v/>
      </c>
      <c r="P336" s="8">
        <f>IFERROR(MATCH(SMALL(前年度名簿!$G$2:$G$451,330),前年度名簿!$G$2:$G$451,0),"")</f>
        <v/>
      </c>
      <c r="Q336" s="8">
        <f>IF(R336="","",IFERROR(MATCH(R336,希望入力!$M$2:$M$551,0),""))</f>
        <v/>
      </c>
      <c r="R336" s="8">
        <f>IF(P336="","",INDEX(前年度名簿!$F$2:$F$451,P336))</f>
        <v/>
      </c>
      <c r="S336" s="8">
        <f>IF(P336="","",INDEX(前年度名簿!$I$2:$I$451,P336))</f>
        <v/>
      </c>
      <c r="T336" s="8">
        <f>IF(OR(P336="",計算用!$B$1=0),"",IFERROR(MATCH(S336,新年度名簿!$H$2:$H$451,0),""))</f>
        <v/>
      </c>
      <c r="U336" s="8">
        <f>IF(OR(L336="",M336="転出"),"",IFERROR(MATCH(L336,設定!$P$8:$P$27,0),""))</f>
        <v/>
      </c>
      <c r="V336" s="8">
        <f>IF(U336="","",COUNTIF($U$7:U336,U336))</f>
        <v/>
      </c>
      <c r="W336" s="8">
        <f>IF(U336="","",U336*1000+V336)</f>
        <v/>
      </c>
    </row>
    <row r="337">
      <c r="A337" s="44">
        <f>IF(P337="","",INDEX(前年度名簿!$H$2:$H$451,P337))</f>
        <v/>
      </c>
      <c r="B337" s="44">
        <f>IF(P337="","",IFERROR(INDEX(設定!$G$8:$G$31,INT(INDEX(前年度名簿!$G$2:$G$451,P337)/1000)),INDEX(前年度名簿!$A$2:$A$451,P337)&amp;INDEX(前年度名簿!$B$2:$B$451,P337)))</f>
        <v/>
      </c>
      <c r="C337" s="44">
        <f>IF(P337="","",INDEX(前年度名簿!$C$2:$C$451,P337))</f>
        <v/>
      </c>
      <c r="D337" s="3">
        <f>IF(P337="","",INDEX(前年度名簿!$D$2:$D$451,P337))</f>
        <v/>
      </c>
      <c r="E337" s="44">
        <f>IF(T337="","",INDEX(新年度名簿!$K$2:$K$451,T337))</f>
        <v/>
      </c>
      <c r="F337" s="44">
        <f>IF(T337="","",INDEX(新年度名簿!$C$2:$C$451,T337))</f>
        <v/>
      </c>
      <c r="G337" s="44">
        <f>IF(Q337="","",INDEX(希望入力!$H$2:$H$551,Q337)&amp;"")</f>
        <v/>
      </c>
      <c r="H337" s="44">
        <f>IF(Q337="","",INDEX(希望入力!$I$2:$I$551,Q337)&amp;"")</f>
        <v/>
      </c>
      <c r="I337" s="44">
        <f>IF(Q337="","",INDEX(希望入力!$J$2:$J$551,Q337)&amp;"")</f>
        <v/>
      </c>
      <c r="J337" s="44">
        <f>IF(Q337="","",IF(G337="","要調整",IFERROR(IF(IF(OR(設定!$C$14="〇",設定!$C$14="○"),COUNTIFS($A$7:$A$456,"&gt;="&amp;A337,$G$7:$G$456,G337),COUNTIF($G$7:$G$456,G337))&lt;=(INDEX(設定!$Q$8:$Q$27,MATCH(G337,設定!$P$8:$P$27,0))+N(INDEX(設定!$R$8:$R$27,MATCH(G337,設定!$P$8:$P$27,0)))),G337,"要調整"),"要調整")))</f>
        <v/>
      </c>
      <c r="K337" s="40" t="inlineStr">
        <is>
          <t>料理</t>
        </is>
      </c>
      <c r="L337" s="52">
        <f>IF(P337="","",IF(K337&lt;&gt;"",K337,IF(OR(J337="",J337="要調整"),"",J337)))</f>
        <v/>
      </c>
      <c r="M337" s="44">
        <f>IF(P337="","",IF(AND(計算用!$B$1=1,T337=""),"転出",IF(L337&lt;&gt;"","決定",IF(Q337="","未提出","要調整"))))</f>
        <v/>
      </c>
      <c r="N337" s="44">
        <f>IF(OR(M337&lt;&gt;"要調整",H337=""),"",IFERROR((INDEX(設定!$Q$8:$Q$27,MATCH(H337,設定!$P$8:$P$27,0))+N(INDEX(設定!$R$8:$R$27,MATCH(H337,設定!$P$8:$P$27,0))))-INDEX(定員チェック!$F$7:$F$26,MATCH(H337,設定!$P$8:$P$27,0))-COUNTIFS($M$7:$M$456,"要調整",$G$7:$G$456,H337),""))</f>
        <v/>
      </c>
      <c r="O337" s="44">
        <f>IF(OR(M337&lt;&gt;"要調整",I337=""),"",IFERROR((INDEX(設定!$Q$8:$Q$27,MATCH(I337,設定!$P$8:$P$27,0))+N(INDEX(設定!$R$8:$R$27,MATCH(I337,設定!$P$8:$P$27,0))))-INDEX(定員チェック!$F$7:$F$26,MATCH(I337,設定!$P$8:$P$27,0))-COUNTIFS($M$7:$M$456,"要調整",$G$7:$G$456,I337),""))</f>
        <v/>
      </c>
      <c r="P337" s="8">
        <f>IFERROR(MATCH(SMALL(前年度名簿!$G$2:$G$451,331),前年度名簿!$G$2:$G$451,0),"")</f>
        <v/>
      </c>
      <c r="Q337" s="8">
        <f>IF(R337="","",IFERROR(MATCH(R337,希望入力!$M$2:$M$551,0),""))</f>
        <v/>
      </c>
      <c r="R337" s="8">
        <f>IF(P337="","",INDEX(前年度名簿!$F$2:$F$451,P337))</f>
        <v/>
      </c>
      <c r="S337" s="8">
        <f>IF(P337="","",INDEX(前年度名簿!$I$2:$I$451,P337))</f>
        <v/>
      </c>
      <c r="T337" s="8">
        <f>IF(OR(P337="",計算用!$B$1=0),"",IFERROR(MATCH(S337,新年度名簿!$H$2:$H$451,0),""))</f>
        <v/>
      </c>
      <c r="U337" s="8">
        <f>IF(OR(L337="",M337="転出"),"",IFERROR(MATCH(L337,設定!$P$8:$P$27,0),""))</f>
        <v/>
      </c>
      <c r="V337" s="8">
        <f>IF(U337="","",COUNTIF($U$7:U337,U337))</f>
        <v/>
      </c>
      <c r="W337" s="8">
        <f>IF(U337="","",U337*1000+V337)</f>
        <v/>
      </c>
    </row>
    <row r="338">
      <c r="A338" s="44">
        <f>IF(P338="","",INDEX(前年度名簿!$H$2:$H$451,P338))</f>
        <v/>
      </c>
      <c r="B338" s="44">
        <f>IF(P338="","",IFERROR(INDEX(設定!$G$8:$G$31,INT(INDEX(前年度名簿!$G$2:$G$451,P338)/1000)),INDEX(前年度名簿!$A$2:$A$451,P338)&amp;INDEX(前年度名簿!$B$2:$B$451,P338)))</f>
        <v/>
      </c>
      <c r="C338" s="44">
        <f>IF(P338="","",INDEX(前年度名簿!$C$2:$C$451,P338))</f>
        <v/>
      </c>
      <c r="D338" s="3">
        <f>IF(P338="","",INDEX(前年度名簿!$D$2:$D$451,P338))</f>
        <v/>
      </c>
      <c r="E338" s="44">
        <f>IF(T338="","",INDEX(新年度名簿!$K$2:$K$451,T338))</f>
        <v/>
      </c>
      <c r="F338" s="44">
        <f>IF(T338="","",INDEX(新年度名簿!$C$2:$C$451,T338))</f>
        <v/>
      </c>
      <c r="G338" s="44">
        <f>IF(Q338="","",INDEX(希望入力!$H$2:$H$551,Q338)&amp;"")</f>
        <v/>
      </c>
      <c r="H338" s="44">
        <f>IF(Q338="","",INDEX(希望入力!$I$2:$I$551,Q338)&amp;"")</f>
        <v/>
      </c>
      <c r="I338" s="44">
        <f>IF(Q338="","",INDEX(希望入力!$J$2:$J$551,Q338)&amp;"")</f>
        <v/>
      </c>
      <c r="J338" s="44">
        <f>IF(Q338="","",IF(G338="","要調整",IFERROR(IF(IF(OR(設定!$C$14="〇",設定!$C$14="○"),COUNTIFS($A$7:$A$456,"&gt;="&amp;A338,$G$7:$G$456,G338),COUNTIF($G$7:$G$456,G338))&lt;=(INDEX(設定!$Q$8:$Q$27,MATCH(G338,設定!$P$8:$P$27,0))+N(INDEX(設定!$R$8:$R$27,MATCH(G338,設定!$P$8:$P$27,0)))),G338,"要調整"),"要調整")))</f>
        <v/>
      </c>
      <c r="K338" s="40" t="n"/>
      <c r="L338" s="52">
        <f>IF(P338="","",IF(K338&lt;&gt;"",K338,IF(OR(J338="",J338="要調整"),"",J338)))</f>
        <v/>
      </c>
      <c r="M338" s="44">
        <f>IF(P338="","",IF(AND(計算用!$B$1=1,T338=""),"転出",IF(L338&lt;&gt;"","決定",IF(Q338="","未提出","要調整"))))</f>
        <v/>
      </c>
      <c r="N338" s="44">
        <f>IF(OR(M338&lt;&gt;"要調整",H338=""),"",IFERROR((INDEX(設定!$Q$8:$Q$27,MATCH(H338,設定!$P$8:$P$27,0))+N(INDEX(設定!$R$8:$R$27,MATCH(H338,設定!$P$8:$P$27,0))))-INDEX(定員チェック!$F$7:$F$26,MATCH(H338,設定!$P$8:$P$27,0))-COUNTIFS($M$7:$M$456,"要調整",$G$7:$G$456,H338),""))</f>
        <v/>
      </c>
      <c r="O338" s="44">
        <f>IF(OR(M338&lt;&gt;"要調整",I338=""),"",IFERROR((INDEX(設定!$Q$8:$Q$27,MATCH(I338,設定!$P$8:$P$27,0))+N(INDEX(設定!$R$8:$R$27,MATCH(I338,設定!$P$8:$P$27,0))))-INDEX(定員チェック!$F$7:$F$26,MATCH(I338,設定!$P$8:$P$27,0))-COUNTIFS($M$7:$M$456,"要調整",$G$7:$G$456,I338),""))</f>
        <v/>
      </c>
      <c r="P338" s="8">
        <f>IFERROR(MATCH(SMALL(前年度名簿!$G$2:$G$451,332),前年度名簿!$G$2:$G$451,0),"")</f>
        <v/>
      </c>
      <c r="Q338" s="8">
        <f>IF(R338="","",IFERROR(MATCH(R338,希望入力!$M$2:$M$551,0),""))</f>
        <v/>
      </c>
      <c r="R338" s="8">
        <f>IF(P338="","",INDEX(前年度名簿!$F$2:$F$451,P338))</f>
        <v/>
      </c>
      <c r="S338" s="8">
        <f>IF(P338="","",INDEX(前年度名簿!$I$2:$I$451,P338))</f>
        <v/>
      </c>
      <c r="T338" s="8">
        <f>IF(OR(P338="",計算用!$B$1=0),"",IFERROR(MATCH(S338,新年度名簿!$H$2:$H$451,0),""))</f>
        <v/>
      </c>
      <c r="U338" s="8">
        <f>IF(OR(L338="",M338="転出"),"",IFERROR(MATCH(L338,設定!$P$8:$P$27,0),""))</f>
        <v/>
      </c>
      <c r="V338" s="8">
        <f>IF(U338="","",COUNTIF($U$7:U338,U338))</f>
        <v/>
      </c>
      <c r="W338" s="8">
        <f>IF(U338="","",U338*1000+V338)</f>
        <v/>
      </c>
    </row>
    <row r="339">
      <c r="A339" s="44">
        <f>IF(P339="","",INDEX(前年度名簿!$H$2:$H$451,P339))</f>
        <v/>
      </c>
      <c r="B339" s="44">
        <f>IF(P339="","",IFERROR(INDEX(設定!$G$8:$G$31,INT(INDEX(前年度名簿!$G$2:$G$451,P339)/1000)),INDEX(前年度名簿!$A$2:$A$451,P339)&amp;INDEX(前年度名簿!$B$2:$B$451,P339)))</f>
        <v/>
      </c>
      <c r="C339" s="44">
        <f>IF(P339="","",INDEX(前年度名簿!$C$2:$C$451,P339))</f>
        <v/>
      </c>
      <c r="D339" s="3">
        <f>IF(P339="","",INDEX(前年度名簿!$D$2:$D$451,P339))</f>
        <v/>
      </c>
      <c r="E339" s="44">
        <f>IF(T339="","",INDEX(新年度名簿!$K$2:$K$451,T339))</f>
        <v/>
      </c>
      <c r="F339" s="44">
        <f>IF(T339="","",INDEX(新年度名簿!$C$2:$C$451,T339))</f>
        <v/>
      </c>
      <c r="G339" s="44">
        <f>IF(Q339="","",INDEX(希望入力!$H$2:$H$551,Q339)&amp;"")</f>
        <v/>
      </c>
      <c r="H339" s="44">
        <f>IF(Q339="","",INDEX(希望入力!$I$2:$I$551,Q339)&amp;"")</f>
        <v/>
      </c>
      <c r="I339" s="44">
        <f>IF(Q339="","",INDEX(希望入力!$J$2:$J$551,Q339)&amp;"")</f>
        <v/>
      </c>
      <c r="J339" s="44">
        <f>IF(Q339="","",IF(G339="","要調整",IFERROR(IF(IF(OR(設定!$C$14="〇",設定!$C$14="○"),COUNTIFS($A$7:$A$456,"&gt;="&amp;A339,$G$7:$G$456,G339),COUNTIF($G$7:$G$456,G339))&lt;=(INDEX(設定!$Q$8:$Q$27,MATCH(G339,設定!$P$8:$P$27,0))+N(INDEX(設定!$R$8:$R$27,MATCH(G339,設定!$P$8:$P$27,0)))),G339,"要調整"),"要調整")))</f>
        <v/>
      </c>
      <c r="K339" s="40" t="n"/>
      <c r="L339" s="52">
        <f>IF(P339="","",IF(K339&lt;&gt;"",K339,IF(OR(J339="",J339="要調整"),"",J339)))</f>
        <v/>
      </c>
      <c r="M339" s="44">
        <f>IF(P339="","",IF(AND(計算用!$B$1=1,T339=""),"転出",IF(L339&lt;&gt;"","決定",IF(Q339="","未提出","要調整"))))</f>
        <v/>
      </c>
      <c r="N339" s="44">
        <f>IF(OR(M339&lt;&gt;"要調整",H339=""),"",IFERROR((INDEX(設定!$Q$8:$Q$27,MATCH(H339,設定!$P$8:$P$27,0))+N(INDEX(設定!$R$8:$R$27,MATCH(H339,設定!$P$8:$P$27,0))))-INDEX(定員チェック!$F$7:$F$26,MATCH(H339,設定!$P$8:$P$27,0))-COUNTIFS($M$7:$M$456,"要調整",$G$7:$G$456,H339),""))</f>
        <v/>
      </c>
      <c r="O339" s="44">
        <f>IF(OR(M339&lt;&gt;"要調整",I339=""),"",IFERROR((INDEX(設定!$Q$8:$Q$27,MATCH(I339,設定!$P$8:$P$27,0))+N(INDEX(設定!$R$8:$R$27,MATCH(I339,設定!$P$8:$P$27,0))))-INDEX(定員チェック!$F$7:$F$26,MATCH(I339,設定!$P$8:$P$27,0))-COUNTIFS($M$7:$M$456,"要調整",$G$7:$G$456,I339),""))</f>
        <v/>
      </c>
      <c r="P339" s="8">
        <f>IFERROR(MATCH(SMALL(前年度名簿!$G$2:$G$451,333),前年度名簿!$G$2:$G$451,0),"")</f>
        <v/>
      </c>
      <c r="Q339" s="8">
        <f>IF(R339="","",IFERROR(MATCH(R339,希望入力!$M$2:$M$551,0),""))</f>
        <v/>
      </c>
      <c r="R339" s="8">
        <f>IF(P339="","",INDEX(前年度名簿!$F$2:$F$451,P339))</f>
        <v/>
      </c>
      <c r="S339" s="8">
        <f>IF(P339="","",INDEX(前年度名簿!$I$2:$I$451,P339))</f>
        <v/>
      </c>
      <c r="T339" s="8">
        <f>IF(OR(P339="",計算用!$B$1=0),"",IFERROR(MATCH(S339,新年度名簿!$H$2:$H$451,0),""))</f>
        <v/>
      </c>
      <c r="U339" s="8">
        <f>IF(OR(L339="",M339="転出"),"",IFERROR(MATCH(L339,設定!$P$8:$P$27,0),""))</f>
        <v/>
      </c>
      <c r="V339" s="8">
        <f>IF(U339="","",COUNTIF($U$7:U339,U339))</f>
        <v/>
      </c>
      <c r="W339" s="8">
        <f>IF(U339="","",U339*1000+V339)</f>
        <v/>
      </c>
    </row>
    <row r="340">
      <c r="A340" s="44">
        <f>IF(P340="","",INDEX(前年度名簿!$H$2:$H$451,P340))</f>
        <v/>
      </c>
      <c r="B340" s="44">
        <f>IF(P340="","",IFERROR(INDEX(設定!$G$8:$G$31,INT(INDEX(前年度名簿!$G$2:$G$451,P340)/1000)),INDEX(前年度名簿!$A$2:$A$451,P340)&amp;INDEX(前年度名簿!$B$2:$B$451,P340)))</f>
        <v/>
      </c>
      <c r="C340" s="44">
        <f>IF(P340="","",INDEX(前年度名簿!$C$2:$C$451,P340))</f>
        <v/>
      </c>
      <c r="D340" s="3">
        <f>IF(P340="","",INDEX(前年度名簿!$D$2:$D$451,P340))</f>
        <v/>
      </c>
      <c r="E340" s="44">
        <f>IF(T340="","",INDEX(新年度名簿!$K$2:$K$451,T340))</f>
        <v/>
      </c>
      <c r="F340" s="44">
        <f>IF(T340="","",INDEX(新年度名簿!$C$2:$C$451,T340))</f>
        <v/>
      </c>
      <c r="G340" s="44">
        <f>IF(Q340="","",INDEX(希望入力!$H$2:$H$551,Q340)&amp;"")</f>
        <v/>
      </c>
      <c r="H340" s="44">
        <f>IF(Q340="","",INDEX(希望入力!$I$2:$I$551,Q340)&amp;"")</f>
        <v/>
      </c>
      <c r="I340" s="44">
        <f>IF(Q340="","",INDEX(希望入力!$J$2:$J$551,Q340)&amp;"")</f>
        <v/>
      </c>
      <c r="J340" s="44">
        <f>IF(Q340="","",IF(G340="","要調整",IFERROR(IF(IF(OR(設定!$C$14="〇",設定!$C$14="○"),COUNTIFS($A$7:$A$456,"&gt;="&amp;A340,$G$7:$G$456,G340),COUNTIF($G$7:$G$456,G340))&lt;=(INDEX(設定!$Q$8:$Q$27,MATCH(G340,設定!$P$8:$P$27,0))+N(INDEX(設定!$R$8:$R$27,MATCH(G340,設定!$P$8:$P$27,0)))),G340,"要調整"),"要調整")))</f>
        <v/>
      </c>
      <c r="K340" s="40" t="n"/>
      <c r="L340" s="52">
        <f>IF(P340="","",IF(K340&lt;&gt;"",K340,IF(OR(J340="",J340="要調整"),"",J340)))</f>
        <v/>
      </c>
      <c r="M340" s="44">
        <f>IF(P340="","",IF(AND(計算用!$B$1=1,T340=""),"転出",IF(L340&lt;&gt;"","決定",IF(Q340="","未提出","要調整"))))</f>
        <v/>
      </c>
      <c r="N340" s="44">
        <f>IF(OR(M340&lt;&gt;"要調整",H340=""),"",IFERROR((INDEX(設定!$Q$8:$Q$27,MATCH(H340,設定!$P$8:$P$27,0))+N(INDEX(設定!$R$8:$R$27,MATCH(H340,設定!$P$8:$P$27,0))))-INDEX(定員チェック!$F$7:$F$26,MATCH(H340,設定!$P$8:$P$27,0))-COUNTIFS($M$7:$M$456,"要調整",$G$7:$G$456,H340),""))</f>
        <v/>
      </c>
      <c r="O340" s="44">
        <f>IF(OR(M340&lt;&gt;"要調整",I340=""),"",IFERROR((INDEX(設定!$Q$8:$Q$27,MATCH(I340,設定!$P$8:$P$27,0))+N(INDEX(設定!$R$8:$R$27,MATCH(I340,設定!$P$8:$P$27,0))))-INDEX(定員チェック!$F$7:$F$26,MATCH(I340,設定!$P$8:$P$27,0))-COUNTIFS($M$7:$M$456,"要調整",$G$7:$G$456,I340),""))</f>
        <v/>
      </c>
      <c r="P340" s="8">
        <f>IFERROR(MATCH(SMALL(前年度名簿!$G$2:$G$451,334),前年度名簿!$G$2:$G$451,0),"")</f>
        <v/>
      </c>
      <c r="Q340" s="8">
        <f>IF(R340="","",IFERROR(MATCH(R340,希望入力!$M$2:$M$551,0),""))</f>
        <v/>
      </c>
      <c r="R340" s="8">
        <f>IF(P340="","",INDEX(前年度名簿!$F$2:$F$451,P340))</f>
        <v/>
      </c>
      <c r="S340" s="8">
        <f>IF(P340="","",INDEX(前年度名簿!$I$2:$I$451,P340))</f>
        <v/>
      </c>
      <c r="T340" s="8">
        <f>IF(OR(P340="",計算用!$B$1=0),"",IFERROR(MATCH(S340,新年度名簿!$H$2:$H$451,0),""))</f>
        <v/>
      </c>
      <c r="U340" s="8">
        <f>IF(OR(L340="",M340="転出"),"",IFERROR(MATCH(L340,設定!$P$8:$P$27,0),""))</f>
        <v/>
      </c>
      <c r="V340" s="8">
        <f>IF(U340="","",COUNTIF($U$7:U340,U340))</f>
        <v/>
      </c>
      <c r="W340" s="8">
        <f>IF(U340="","",U340*1000+V340)</f>
        <v/>
      </c>
    </row>
    <row r="341">
      <c r="A341" s="44">
        <f>IF(P341="","",INDEX(前年度名簿!$H$2:$H$451,P341))</f>
        <v/>
      </c>
      <c r="B341" s="44">
        <f>IF(P341="","",IFERROR(INDEX(設定!$G$8:$G$31,INT(INDEX(前年度名簿!$G$2:$G$451,P341)/1000)),INDEX(前年度名簿!$A$2:$A$451,P341)&amp;INDEX(前年度名簿!$B$2:$B$451,P341)))</f>
        <v/>
      </c>
      <c r="C341" s="44">
        <f>IF(P341="","",INDEX(前年度名簿!$C$2:$C$451,P341))</f>
        <v/>
      </c>
      <c r="D341" s="3">
        <f>IF(P341="","",INDEX(前年度名簿!$D$2:$D$451,P341))</f>
        <v/>
      </c>
      <c r="E341" s="44">
        <f>IF(T341="","",INDEX(新年度名簿!$K$2:$K$451,T341))</f>
        <v/>
      </c>
      <c r="F341" s="44">
        <f>IF(T341="","",INDEX(新年度名簿!$C$2:$C$451,T341))</f>
        <v/>
      </c>
      <c r="G341" s="44">
        <f>IF(Q341="","",INDEX(希望入力!$H$2:$H$551,Q341)&amp;"")</f>
        <v/>
      </c>
      <c r="H341" s="44">
        <f>IF(Q341="","",INDEX(希望入力!$I$2:$I$551,Q341)&amp;"")</f>
        <v/>
      </c>
      <c r="I341" s="44">
        <f>IF(Q341="","",INDEX(希望入力!$J$2:$J$551,Q341)&amp;"")</f>
        <v/>
      </c>
      <c r="J341" s="44">
        <f>IF(Q341="","",IF(G341="","要調整",IFERROR(IF(IF(OR(設定!$C$14="〇",設定!$C$14="○"),COUNTIFS($A$7:$A$456,"&gt;="&amp;A341,$G$7:$G$456,G341),COUNTIF($G$7:$G$456,G341))&lt;=(INDEX(設定!$Q$8:$Q$27,MATCH(G341,設定!$P$8:$P$27,0))+N(INDEX(設定!$R$8:$R$27,MATCH(G341,設定!$P$8:$P$27,0)))),G341,"要調整"),"要調整")))</f>
        <v/>
      </c>
      <c r="K341" s="40" t="n"/>
      <c r="L341" s="52">
        <f>IF(P341="","",IF(K341&lt;&gt;"",K341,IF(OR(J341="",J341="要調整"),"",J341)))</f>
        <v/>
      </c>
      <c r="M341" s="44">
        <f>IF(P341="","",IF(AND(計算用!$B$1=1,T341=""),"転出",IF(L341&lt;&gt;"","決定",IF(Q341="","未提出","要調整"))))</f>
        <v/>
      </c>
      <c r="N341" s="44">
        <f>IF(OR(M341&lt;&gt;"要調整",H341=""),"",IFERROR((INDEX(設定!$Q$8:$Q$27,MATCH(H341,設定!$P$8:$P$27,0))+N(INDEX(設定!$R$8:$R$27,MATCH(H341,設定!$P$8:$P$27,0))))-INDEX(定員チェック!$F$7:$F$26,MATCH(H341,設定!$P$8:$P$27,0))-COUNTIFS($M$7:$M$456,"要調整",$G$7:$G$456,H341),""))</f>
        <v/>
      </c>
      <c r="O341" s="44">
        <f>IF(OR(M341&lt;&gt;"要調整",I341=""),"",IFERROR((INDEX(設定!$Q$8:$Q$27,MATCH(I341,設定!$P$8:$P$27,0))+N(INDEX(設定!$R$8:$R$27,MATCH(I341,設定!$P$8:$P$27,0))))-INDEX(定員チェック!$F$7:$F$26,MATCH(I341,設定!$P$8:$P$27,0))-COUNTIFS($M$7:$M$456,"要調整",$G$7:$G$456,I341),""))</f>
        <v/>
      </c>
      <c r="P341" s="8">
        <f>IFERROR(MATCH(SMALL(前年度名簿!$G$2:$G$451,335),前年度名簿!$G$2:$G$451,0),"")</f>
        <v/>
      </c>
      <c r="Q341" s="8">
        <f>IF(R341="","",IFERROR(MATCH(R341,希望入力!$M$2:$M$551,0),""))</f>
        <v/>
      </c>
      <c r="R341" s="8">
        <f>IF(P341="","",INDEX(前年度名簿!$F$2:$F$451,P341))</f>
        <v/>
      </c>
      <c r="S341" s="8">
        <f>IF(P341="","",INDEX(前年度名簿!$I$2:$I$451,P341))</f>
        <v/>
      </c>
      <c r="T341" s="8">
        <f>IF(OR(P341="",計算用!$B$1=0),"",IFERROR(MATCH(S341,新年度名簿!$H$2:$H$451,0),""))</f>
        <v/>
      </c>
      <c r="U341" s="8">
        <f>IF(OR(L341="",M341="転出"),"",IFERROR(MATCH(L341,設定!$P$8:$P$27,0),""))</f>
        <v/>
      </c>
      <c r="V341" s="8">
        <f>IF(U341="","",COUNTIF($U$7:U341,U341))</f>
        <v/>
      </c>
      <c r="W341" s="8">
        <f>IF(U341="","",U341*1000+V341)</f>
        <v/>
      </c>
    </row>
    <row r="342">
      <c r="A342" s="44">
        <f>IF(P342="","",INDEX(前年度名簿!$H$2:$H$451,P342))</f>
        <v/>
      </c>
      <c r="B342" s="44">
        <f>IF(P342="","",IFERROR(INDEX(設定!$G$8:$G$31,INT(INDEX(前年度名簿!$G$2:$G$451,P342)/1000)),INDEX(前年度名簿!$A$2:$A$451,P342)&amp;INDEX(前年度名簿!$B$2:$B$451,P342)))</f>
        <v/>
      </c>
      <c r="C342" s="44">
        <f>IF(P342="","",INDEX(前年度名簿!$C$2:$C$451,P342))</f>
        <v/>
      </c>
      <c r="D342" s="3">
        <f>IF(P342="","",INDEX(前年度名簿!$D$2:$D$451,P342))</f>
        <v/>
      </c>
      <c r="E342" s="44">
        <f>IF(T342="","",INDEX(新年度名簿!$K$2:$K$451,T342))</f>
        <v/>
      </c>
      <c r="F342" s="44">
        <f>IF(T342="","",INDEX(新年度名簿!$C$2:$C$451,T342))</f>
        <v/>
      </c>
      <c r="G342" s="44">
        <f>IF(Q342="","",INDEX(希望入力!$H$2:$H$551,Q342)&amp;"")</f>
        <v/>
      </c>
      <c r="H342" s="44">
        <f>IF(Q342="","",INDEX(希望入力!$I$2:$I$551,Q342)&amp;"")</f>
        <v/>
      </c>
      <c r="I342" s="44">
        <f>IF(Q342="","",INDEX(希望入力!$J$2:$J$551,Q342)&amp;"")</f>
        <v/>
      </c>
      <c r="J342" s="44">
        <f>IF(Q342="","",IF(G342="","要調整",IFERROR(IF(IF(OR(設定!$C$14="〇",設定!$C$14="○"),COUNTIFS($A$7:$A$456,"&gt;="&amp;A342,$G$7:$G$456,G342),COUNTIF($G$7:$G$456,G342))&lt;=(INDEX(設定!$Q$8:$Q$27,MATCH(G342,設定!$P$8:$P$27,0))+N(INDEX(設定!$R$8:$R$27,MATCH(G342,設定!$P$8:$P$27,0)))),G342,"要調整"),"要調整")))</f>
        <v/>
      </c>
      <c r="K342" s="40" t="n"/>
      <c r="L342" s="52">
        <f>IF(P342="","",IF(K342&lt;&gt;"",K342,IF(OR(J342="",J342="要調整"),"",J342)))</f>
        <v/>
      </c>
      <c r="M342" s="44">
        <f>IF(P342="","",IF(AND(計算用!$B$1=1,T342=""),"転出",IF(L342&lt;&gt;"","決定",IF(Q342="","未提出","要調整"))))</f>
        <v/>
      </c>
      <c r="N342" s="44">
        <f>IF(OR(M342&lt;&gt;"要調整",H342=""),"",IFERROR((INDEX(設定!$Q$8:$Q$27,MATCH(H342,設定!$P$8:$P$27,0))+N(INDEX(設定!$R$8:$R$27,MATCH(H342,設定!$P$8:$P$27,0))))-INDEX(定員チェック!$F$7:$F$26,MATCH(H342,設定!$P$8:$P$27,0))-COUNTIFS($M$7:$M$456,"要調整",$G$7:$G$456,H342),""))</f>
        <v/>
      </c>
      <c r="O342" s="44">
        <f>IF(OR(M342&lt;&gt;"要調整",I342=""),"",IFERROR((INDEX(設定!$Q$8:$Q$27,MATCH(I342,設定!$P$8:$P$27,0))+N(INDEX(設定!$R$8:$R$27,MATCH(I342,設定!$P$8:$P$27,0))))-INDEX(定員チェック!$F$7:$F$26,MATCH(I342,設定!$P$8:$P$27,0))-COUNTIFS($M$7:$M$456,"要調整",$G$7:$G$456,I342),""))</f>
        <v/>
      </c>
      <c r="P342" s="8">
        <f>IFERROR(MATCH(SMALL(前年度名簿!$G$2:$G$451,336),前年度名簿!$G$2:$G$451,0),"")</f>
        <v/>
      </c>
      <c r="Q342" s="8">
        <f>IF(R342="","",IFERROR(MATCH(R342,希望入力!$M$2:$M$551,0),""))</f>
        <v/>
      </c>
      <c r="R342" s="8">
        <f>IF(P342="","",INDEX(前年度名簿!$F$2:$F$451,P342))</f>
        <v/>
      </c>
      <c r="S342" s="8">
        <f>IF(P342="","",INDEX(前年度名簿!$I$2:$I$451,P342))</f>
        <v/>
      </c>
      <c r="T342" s="8">
        <f>IF(OR(P342="",計算用!$B$1=0),"",IFERROR(MATCH(S342,新年度名簿!$H$2:$H$451,0),""))</f>
        <v/>
      </c>
      <c r="U342" s="8">
        <f>IF(OR(L342="",M342="転出"),"",IFERROR(MATCH(L342,設定!$P$8:$P$27,0),""))</f>
        <v/>
      </c>
      <c r="V342" s="8">
        <f>IF(U342="","",COUNTIF($U$7:U342,U342))</f>
        <v/>
      </c>
      <c r="W342" s="8">
        <f>IF(U342="","",U342*1000+V342)</f>
        <v/>
      </c>
    </row>
    <row r="343">
      <c r="A343" s="44">
        <f>IF(P343="","",INDEX(前年度名簿!$H$2:$H$451,P343))</f>
        <v/>
      </c>
      <c r="B343" s="44">
        <f>IF(P343="","",IFERROR(INDEX(設定!$G$8:$G$31,INT(INDEX(前年度名簿!$G$2:$G$451,P343)/1000)),INDEX(前年度名簿!$A$2:$A$451,P343)&amp;INDEX(前年度名簿!$B$2:$B$451,P343)))</f>
        <v/>
      </c>
      <c r="C343" s="44">
        <f>IF(P343="","",INDEX(前年度名簿!$C$2:$C$451,P343))</f>
        <v/>
      </c>
      <c r="D343" s="3">
        <f>IF(P343="","",INDEX(前年度名簿!$D$2:$D$451,P343))</f>
        <v/>
      </c>
      <c r="E343" s="44">
        <f>IF(T343="","",INDEX(新年度名簿!$K$2:$K$451,T343))</f>
        <v/>
      </c>
      <c r="F343" s="44">
        <f>IF(T343="","",INDEX(新年度名簿!$C$2:$C$451,T343))</f>
        <v/>
      </c>
      <c r="G343" s="44">
        <f>IF(Q343="","",INDEX(希望入力!$H$2:$H$551,Q343)&amp;"")</f>
        <v/>
      </c>
      <c r="H343" s="44">
        <f>IF(Q343="","",INDEX(希望入力!$I$2:$I$551,Q343)&amp;"")</f>
        <v/>
      </c>
      <c r="I343" s="44">
        <f>IF(Q343="","",INDEX(希望入力!$J$2:$J$551,Q343)&amp;"")</f>
        <v/>
      </c>
      <c r="J343" s="44">
        <f>IF(Q343="","",IF(G343="","要調整",IFERROR(IF(IF(OR(設定!$C$14="〇",設定!$C$14="○"),COUNTIFS($A$7:$A$456,"&gt;="&amp;A343,$G$7:$G$456,G343),COUNTIF($G$7:$G$456,G343))&lt;=(INDEX(設定!$Q$8:$Q$27,MATCH(G343,設定!$P$8:$P$27,0))+N(INDEX(設定!$R$8:$R$27,MATCH(G343,設定!$P$8:$P$27,0)))),G343,"要調整"),"要調整")))</f>
        <v/>
      </c>
      <c r="K343" s="40" t="n"/>
      <c r="L343" s="52">
        <f>IF(P343="","",IF(K343&lt;&gt;"",K343,IF(OR(J343="",J343="要調整"),"",J343)))</f>
        <v/>
      </c>
      <c r="M343" s="44">
        <f>IF(P343="","",IF(AND(計算用!$B$1=1,T343=""),"転出",IF(L343&lt;&gt;"","決定",IF(Q343="","未提出","要調整"))))</f>
        <v/>
      </c>
      <c r="N343" s="44">
        <f>IF(OR(M343&lt;&gt;"要調整",H343=""),"",IFERROR((INDEX(設定!$Q$8:$Q$27,MATCH(H343,設定!$P$8:$P$27,0))+N(INDEX(設定!$R$8:$R$27,MATCH(H343,設定!$P$8:$P$27,0))))-INDEX(定員チェック!$F$7:$F$26,MATCH(H343,設定!$P$8:$P$27,0))-COUNTIFS($M$7:$M$456,"要調整",$G$7:$G$456,H343),""))</f>
        <v/>
      </c>
      <c r="O343" s="44">
        <f>IF(OR(M343&lt;&gt;"要調整",I343=""),"",IFERROR((INDEX(設定!$Q$8:$Q$27,MATCH(I343,設定!$P$8:$P$27,0))+N(INDEX(設定!$R$8:$R$27,MATCH(I343,設定!$P$8:$P$27,0))))-INDEX(定員チェック!$F$7:$F$26,MATCH(I343,設定!$P$8:$P$27,0))-COUNTIFS($M$7:$M$456,"要調整",$G$7:$G$456,I343),""))</f>
        <v/>
      </c>
      <c r="P343" s="8">
        <f>IFERROR(MATCH(SMALL(前年度名簿!$G$2:$G$451,337),前年度名簿!$G$2:$G$451,0),"")</f>
        <v/>
      </c>
      <c r="Q343" s="8">
        <f>IF(R343="","",IFERROR(MATCH(R343,希望入力!$M$2:$M$551,0),""))</f>
        <v/>
      </c>
      <c r="R343" s="8">
        <f>IF(P343="","",INDEX(前年度名簿!$F$2:$F$451,P343))</f>
        <v/>
      </c>
      <c r="S343" s="8">
        <f>IF(P343="","",INDEX(前年度名簿!$I$2:$I$451,P343))</f>
        <v/>
      </c>
      <c r="T343" s="8">
        <f>IF(OR(P343="",計算用!$B$1=0),"",IFERROR(MATCH(S343,新年度名簿!$H$2:$H$451,0),""))</f>
        <v/>
      </c>
      <c r="U343" s="8">
        <f>IF(OR(L343="",M343="転出"),"",IFERROR(MATCH(L343,設定!$P$8:$P$27,0),""))</f>
        <v/>
      </c>
      <c r="V343" s="8">
        <f>IF(U343="","",COUNTIF($U$7:U343,U343))</f>
        <v/>
      </c>
      <c r="W343" s="8">
        <f>IF(U343="","",U343*1000+V343)</f>
        <v/>
      </c>
    </row>
    <row r="344">
      <c r="A344" s="44">
        <f>IF(P344="","",INDEX(前年度名簿!$H$2:$H$451,P344))</f>
        <v/>
      </c>
      <c r="B344" s="44">
        <f>IF(P344="","",IFERROR(INDEX(設定!$G$8:$G$31,INT(INDEX(前年度名簿!$G$2:$G$451,P344)/1000)),INDEX(前年度名簿!$A$2:$A$451,P344)&amp;INDEX(前年度名簿!$B$2:$B$451,P344)))</f>
        <v/>
      </c>
      <c r="C344" s="44">
        <f>IF(P344="","",INDEX(前年度名簿!$C$2:$C$451,P344))</f>
        <v/>
      </c>
      <c r="D344" s="3">
        <f>IF(P344="","",INDEX(前年度名簿!$D$2:$D$451,P344))</f>
        <v/>
      </c>
      <c r="E344" s="44">
        <f>IF(T344="","",INDEX(新年度名簿!$K$2:$K$451,T344))</f>
        <v/>
      </c>
      <c r="F344" s="44">
        <f>IF(T344="","",INDEX(新年度名簿!$C$2:$C$451,T344))</f>
        <v/>
      </c>
      <c r="G344" s="44">
        <f>IF(Q344="","",INDEX(希望入力!$H$2:$H$551,Q344)&amp;"")</f>
        <v/>
      </c>
      <c r="H344" s="44">
        <f>IF(Q344="","",INDEX(希望入力!$I$2:$I$551,Q344)&amp;"")</f>
        <v/>
      </c>
      <c r="I344" s="44">
        <f>IF(Q344="","",INDEX(希望入力!$J$2:$J$551,Q344)&amp;"")</f>
        <v/>
      </c>
      <c r="J344" s="44">
        <f>IF(Q344="","",IF(G344="","要調整",IFERROR(IF(IF(OR(設定!$C$14="〇",設定!$C$14="○"),COUNTIFS($A$7:$A$456,"&gt;="&amp;A344,$G$7:$G$456,G344),COUNTIF($G$7:$G$456,G344))&lt;=(INDEX(設定!$Q$8:$Q$27,MATCH(G344,設定!$P$8:$P$27,0))+N(INDEX(設定!$R$8:$R$27,MATCH(G344,設定!$P$8:$P$27,0)))),G344,"要調整"),"要調整")))</f>
        <v/>
      </c>
      <c r="K344" s="40" t="n"/>
      <c r="L344" s="52">
        <f>IF(P344="","",IF(K344&lt;&gt;"",K344,IF(OR(J344="",J344="要調整"),"",J344)))</f>
        <v/>
      </c>
      <c r="M344" s="44">
        <f>IF(P344="","",IF(AND(計算用!$B$1=1,T344=""),"転出",IF(L344&lt;&gt;"","決定",IF(Q344="","未提出","要調整"))))</f>
        <v/>
      </c>
      <c r="N344" s="44">
        <f>IF(OR(M344&lt;&gt;"要調整",H344=""),"",IFERROR((INDEX(設定!$Q$8:$Q$27,MATCH(H344,設定!$P$8:$P$27,0))+N(INDEX(設定!$R$8:$R$27,MATCH(H344,設定!$P$8:$P$27,0))))-INDEX(定員チェック!$F$7:$F$26,MATCH(H344,設定!$P$8:$P$27,0))-COUNTIFS($M$7:$M$456,"要調整",$G$7:$G$456,H344),""))</f>
        <v/>
      </c>
      <c r="O344" s="44">
        <f>IF(OR(M344&lt;&gt;"要調整",I344=""),"",IFERROR((INDEX(設定!$Q$8:$Q$27,MATCH(I344,設定!$P$8:$P$27,0))+N(INDEX(設定!$R$8:$R$27,MATCH(I344,設定!$P$8:$P$27,0))))-INDEX(定員チェック!$F$7:$F$26,MATCH(I344,設定!$P$8:$P$27,0))-COUNTIFS($M$7:$M$456,"要調整",$G$7:$G$456,I344),""))</f>
        <v/>
      </c>
      <c r="P344" s="8">
        <f>IFERROR(MATCH(SMALL(前年度名簿!$G$2:$G$451,338),前年度名簿!$G$2:$G$451,0),"")</f>
        <v/>
      </c>
      <c r="Q344" s="8">
        <f>IF(R344="","",IFERROR(MATCH(R344,希望入力!$M$2:$M$551,0),""))</f>
        <v/>
      </c>
      <c r="R344" s="8">
        <f>IF(P344="","",INDEX(前年度名簿!$F$2:$F$451,P344))</f>
        <v/>
      </c>
      <c r="S344" s="8">
        <f>IF(P344="","",INDEX(前年度名簿!$I$2:$I$451,P344))</f>
        <v/>
      </c>
      <c r="T344" s="8">
        <f>IF(OR(P344="",計算用!$B$1=0),"",IFERROR(MATCH(S344,新年度名簿!$H$2:$H$451,0),""))</f>
        <v/>
      </c>
      <c r="U344" s="8">
        <f>IF(OR(L344="",M344="転出"),"",IFERROR(MATCH(L344,設定!$P$8:$P$27,0),""))</f>
        <v/>
      </c>
      <c r="V344" s="8">
        <f>IF(U344="","",COUNTIF($U$7:U344,U344))</f>
        <v/>
      </c>
      <c r="W344" s="8">
        <f>IF(U344="","",U344*1000+V344)</f>
        <v/>
      </c>
    </row>
    <row r="345">
      <c r="A345" s="44">
        <f>IF(P345="","",INDEX(前年度名簿!$H$2:$H$451,P345))</f>
        <v/>
      </c>
      <c r="B345" s="44">
        <f>IF(P345="","",IFERROR(INDEX(設定!$G$8:$G$31,INT(INDEX(前年度名簿!$G$2:$G$451,P345)/1000)),INDEX(前年度名簿!$A$2:$A$451,P345)&amp;INDEX(前年度名簿!$B$2:$B$451,P345)))</f>
        <v/>
      </c>
      <c r="C345" s="44">
        <f>IF(P345="","",INDEX(前年度名簿!$C$2:$C$451,P345))</f>
        <v/>
      </c>
      <c r="D345" s="3">
        <f>IF(P345="","",INDEX(前年度名簿!$D$2:$D$451,P345))</f>
        <v/>
      </c>
      <c r="E345" s="44">
        <f>IF(T345="","",INDEX(新年度名簿!$K$2:$K$451,T345))</f>
        <v/>
      </c>
      <c r="F345" s="44">
        <f>IF(T345="","",INDEX(新年度名簿!$C$2:$C$451,T345))</f>
        <v/>
      </c>
      <c r="G345" s="44">
        <f>IF(Q345="","",INDEX(希望入力!$H$2:$H$551,Q345)&amp;"")</f>
        <v/>
      </c>
      <c r="H345" s="44">
        <f>IF(Q345="","",INDEX(希望入力!$I$2:$I$551,Q345)&amp;"")</f>
        <v/>
      </c>
      <c r="I345" s="44">
        <f>IF(Q345="","",INDEX(希望入力!$J$2:$J$551,Q345)&amp;"")</f>
        <v/>
      </c>
      <c r="J345" s="44">
        <f>IF(Q345="","",IF(G345="","要調整",IFERROR(IF(IF(OR(設定!$C$14="〇",設定!$C$14="○"),COUNTIFS($A$7:$A$456,"&gt;="&amp;A345,$G$7:$G$456,G345),COUNTIF($G$7:$G$456,G345))&lt;=(INDEX(設定!$Q$8:$Q$27,MATCH(G345,設定!$P$8:$P$27,0))+N(INDEX(設定!$R$8:$R$27,MATCH(G345,設定!$P$8:$P$27,0)))),G345,"要調整"),"要調整")))</f>
        <v/>
      </c>
      <c r="K345" s="40" t="n"/>
      <c r="L345" s="52">
        <f>IF(P345="","",IF(K345&lt;&gt;"",K345,IF(OR(J345="",J345="要調整"),"",J345)))</f>
        <v/>
      </c>
      <c r="M345" s="44">
        <f>IF(P345="","",IF(AND(計算用!$B$1=1,T345=""),"転出",IF(L345&lt;&gt;"","決定",IF(Q345="","未提出","要調整"))))</f>
        <v/>
      </c>
      <c r="N345" s="44">
        <f>IF(OR(M345&lt;&gt;"要調整",H345=""),"",IFERROR((INDEX(設定!$Q$8:$Q$27,MATCH(H345,設定!$P$8:$P$27,0))+N(INDEX(設定!$R$8:$R$27,MATCH(H345,設定!$P$8:$P$27,0))))-INDEX(定員チェック!$F$7:$F$26,MATCH(H345,設定!$P$8:$P$27,0))-COUNTIFS($M$7:$M$456,"要調整",$G$7:$G$456,H345),""))</f>
        <v/>
      </c>
      <c r="O345" s="44">
        <f>IF(OR(M345&lt;&gt;"要調整",I345=""),"",IFERROR((INDEX(設定!$Q$8:$Q$27,MATCH(I345,設定!$P$8:$P$27,0))+N(INDEX(設定!$R$8:$R$27,MATCH(I345,設定!$P$8:$P$27,0))))-INDEX(定員チェック!$F$7:$F$26,MATCH(I345,設定!$P$8:$P$27,0))-COUNTIFS($M$7:$M$456,"要調整",$G$7:$G$456,I345),""))</f>
        <v/>
      </c>
      <c r="P345" s="8">
        <f>IFERROR(MATCH(SMALL(前年度名簿!$G$2:$G$451,339),前年度名簿!$G$2:$G$451,0),"")</f>
        <v/>
      </c>
      <c r="Q345" s="8">
        <f>IF(R345="","",IFERROR(MATCH(R345,希望入力!$M$2:$M$551,0),""))</f>
        <v/>
      </c>
      <c r="R345" s="8">
        <f>IF(P345="","",INDEX(前年度名簿!$F$2:$F$451,P345))</f>
        <v/>
      </c>
      <c r="S345" s="8">
        <f>IF(P345="","",INDEX(前年度名簿!$I$2:$I$451,P345))</f>
        <v/>
      </c>
      <c r="T345" s="8">
        <f>IF(OR(P345="",計算用!$B$1=0),"",IFERROR(MATCH(S345,新年度名簿!$H$2:$H$451,0),""))</f>
        <v/>
      </c>
      <c r="U345" s="8">
        <f>IF(OR(L345="",M345="転出"),"",IFERROR(MATCH(L345,設定!$P$8:$P$27,0),""))</f>
        <v/>
      </c>
      <c r="V345" s="8">
        <f>IF(U345="","",COUNTIF($U$7:U345,U345))</f>
        <v/>
      </c>
      <c r="W345" s="8">
        <f>IF(U345="","",U345*1000+V345)</f>
        <v/>
      </c>
    </row>
    <row r="346">
      <c r="A346" s="44">
        <f>IF(P346="","",INDEX(前年度名簿!$H$2:$H$451,P346))</f>
        <v/>
      </c>
      <c r="B346" s="44">
        <f>IF(P346="","",IFERROR(INDEX(設定!$G$8:$G$31,INT(INDEX(前年度名簿!$G$2:$G$451,P346)/1000)),INDEX(前年度名簿!$A$2:$A$451,P346)&amp;INDEX(前年度名簿!$B$2:$B$451,P346)))</f>
        <v/>
      </c>
      <c r="C346" s="44">
        <f>IF(P346="","",INDEX(前年度名簿!$C$2:$C$451,P346))</f>
        <v/>
      </c>
      <c r="D346" s="3">
        <f>IF(P346="","",INDEX(前年度名簿!$D$2:$D$451,P346))</f>
        <v/>
      </c>
      <c r="E346" s="44">
        <f>IF(T346="","",INDEX(新年度名簿!$K$2:$K$451,T346))</f>
        <v/>
      </c>
      <c r="F346" s="44">
        <f>IF(T346="","",INDEX(新年度名簿!$C$2:$C$451,T346))</f>
        <v/>
      </c>
      <c r="G346" s="44">
        <f>IF(Q346="","",INDEX(希望入力!$H$2:$H$551,Q346)&amp;"")</f>
        <v/>
      </c>
      <c r="H346" s="44">
        <f>IF(Q346="","",INDEX(希望入力!$I$2:$I$551,Q346)&amp;"")</f>
        <v/>
      </c>
      <c r="I346" s="44">
        <f>IF(Q346="","",INDEX(希望入力!$J$2:$J$551,Q346)&amp;"")</f>
        <v/>
      </c>
      <c r="J346" s="44">
        <f>IF(Q346="","",IF(G346="","要調整",IFERROR(IF(IF(OR(設定!$C$14="〇",設定!$C$14="○"),COUNTIFS($A$7:$A$456,"&gt;="&amp;A346,$G$7:$G$456,G346),COUNTIF($G$7:$G$456,G346))&lt;=(INDEX(設定!$Q$8:$Q$27,MATCH(G346,設定!$P$8:$P$27,0))+N(INDEX(設定!$R$8:$R$27,MATCH(G346,設定!$P$8:$P$27,0)))),G346,"要調整"),"要調整")))</f>
        <v/>
      </c>
      <c r="K346" s="40" t="n"/>
      <c r="L346" s="52">
        <f>IF(P346="","",IF(K346&lt;&gt;"",K346,IF(OR(J346="",J346="要調整"),"",J346)))</f>
        <v/>
      </c>
      <c r="M346" s="44">
        <f>IF(P346="","",IF(AND(計算用!$B$1=1,T346=""),"転出",IF(L346&lt;&gt;"","決定",IF(Q346="","未提出","要調整"))))</f>
        <v/>
      </c>
      <c r="N346" s="44">
        <f>IF(OR(M346&lt;&gt;"要調整",H346=""),"",IFERROR((INDEX(設定!$Q$8:$Q$27,MATCH(H346,設定!$P$8:$P$27,0))+N(INDEX(設定!$R$8:$R$27,MATCH(H346,設定!$P$8:$P$27,0))))-INDEX(定員チェック!$F$7:$F$26,MATCH(H346,設定!$P$8:$P$27,0))-COUNTIFS($M$7:$M$456,"要調整",$G$7:$G$456,H346),""))</f>
        <v/>
      </c>
      <c r="O346" s="44">
        <f>IF(OR(M346&lt;&gt;"要調整",I346=""),"",IFERROR((INDEX(設定!$Q$8:$Q$27,MATCH(I346,設定!$P$8:$P$27,0))+N(INDEX(設定!$R$8:$R$27,MATCH(I346,設定!$P$8:$P$27,0))))-INDEX(定員チェック!$F$7:$F$26,MATCH(I346,設定!$P$8:$P$27,0))-COUNTIFS($M$7:$M$456,"要調整",$G$7:$G$456,I346),""))</f>
        <v/>
      </c>
      <c r="P346" s="8">
        <f>IFERROR(MATCH(SMALL(前年度名簿!$G$2:$G$451,340),前年度名簿!$G$2:$G$451,0),"")</f>
        <v/>
      </c>
      <c r="Q346" s="8">
        <f>IF(R346="","",IFERROR(MATCH(R346,希望入力!$M$2:$M$551,0),""))</f>
        <v/>
      </c>
      <c r="R346" s="8">
        <f>IF(P346="","",INDEX(前年度名簿!$F$2:$F$451,P346))</f>
        <v/>
      </c>
      <c r="S346" s="8">
        <f>IF(P346="","",INDEX(前年度名簿!$I$2:$I$451,P346))</f>
        <v/>
      </c>
      <c r="T346" s="8">
        <f>IF(OR(P346="",計算用!$B$1=0),"",IFERROR(MATCH(S346,新年度名簿!$H$2:$H$451,0),""))</f>
        <v/>
      </c>
      <c r="U346" s="8">
        <f>IF(OR(L346="",M346="転出"),"",IFERROR(MATCH(L346,設定!$P$8:$P$27,0),""))</f>
        <v/>
      </c>
      <c r="V346" s="8">
        <f>IF(U346="","",COUNTIF($U$7:U346,U346))</f>
        <v/>
      </c>
      <c r="W346" s="8">
        <f>IF(U346="","",U346*1000+V346)</f>
        <v/>
      </c>
    </row>
    <row r="347">
      <c r="A347" s="44">
        <f>IF(P347="","",INDEX(前年度名簿!$H$2:$H$451,P347))</f>
        <v/>
      </c>
      <c r="B347" s="44">
        <f>IF(P347="","",IFERROR(INDEX(設定!$G$8:$G$31,INT(INDEX(前年度名簿!$G$2:$G$451,P347)/1000)),INDEX(前年度名簿!$A$2:$A$451,P347)&amp;INDEX(前年度名簿!$B$2:$B$451,P347)))</f>
        <v/>
      </c>
      <c r="C347" s="44">
        <f>IF(P347="","",INDEX(前年度名簿!$C$2:$C$451,P347))</f>
        <v/>
      </c>
      <c r="D347" s="3">
        <f>IF(P347="","",INDEX(前年度名簿!$D$2:$D$451,P347))</f>
        <v/>
      </c>
      <c r="E347" s="44">
        <f>IF(T347="","",INDEX(新年度名簿!$K$2:$K$451,T347))</f>
        <v/>
      </c>
      <c r="F347" s="44">
        <f>IF(T347="","",INDEX(新年度名簿!$C$2:$C$451,T347))</f>
        <v/>
      </c>
      <c r="G347" s="44">
        <f>IF(Q347="","",INDEX(希望入力!$H$2:$H$551,Q347)&amp;"")</f>
        <v/>
      </c>
      <c r="H347" s="44">
        <f>IF(Q347="","",INDEX(希望入力!$I$2:$I$551,Q347)&amp;"")</f>
        <v/>
      </c>
      <c r="I347" s="44">
        <f>IF(Q347="","",INDEX(希望入力!$J$2:$J$551,Q347)&amp;"")</f>
        <v/>
      </c>
      <c r="J347" s="44">
        <f>IF(Q347="","",IF(G347="","要調整",IFERROR(IF(IF(OR(設定!$C$14="〇",設定!$C$14="○"),COUNTIFS($A$7:$A$456,"&gt;="&amp;A347,$G$7:$G$456,G347),COUNTIF($G$7:$G$456,G347))&lt;=(INDEX(設定!$Q$8:$Q$27,MATCH(G347,設定!$P$8:$P$27,0))+N(INDEX(設定!$R$8:$R$27,MATCH(G347,設定!$P$8:$P$27,0)))),G347,"要調整"),"要調整")))</f>
        <v/>
      </c>
      <c r="K347" s="40" t="n"/>
      <c r="L347" s="52">
        <f>IF(P347="","",IF(K347&lt;&gt;"",K347,IF(OR(J347="",J347="要調整"),"",J347)))</f>
        <v/>
      </c>
      <c r="M347" s="44">
        <f>IF(P347="","",IF(AND(計算用!$B$1=1,T347=""),"転出",IF(L347&lt;&gt;"","決定",IF(Q347="","未提出","要調整"))))</f>
        <v/>
      </c>
      <c r="N347" s="44">
        <f>IF(OR(M347&lt;&gt;"要調整",H347=""),"",IFERROR((INDEX(設定!$Q$8:$Q$27,MATCH(H347,設定!$P$8:$P$27,0))+N(INDEX(設定!$R$8:$R$27,MATCH(H347,設定!$P$8:$P$27,0))))-INDEX(定員チェック!$F$7:$F$26,MATCH(H347,設定!$P$8:$P$27,0))-COUNTIFS($M$7:$M$456,"要調整",$G$7:$G$456,H347),""))</f>
        <v/>
      </c>
      <c r="O347" s="44">
        <f>IF(OR(M347&lt;&gt;"要調整",I347=""),"",IFERROR((INDEX(設定!$Q$8:$Q$27,MATCH(I347,設定!$P$8:$P$27,0))+N(INDEX(設定!$R$8:$R$27,MATCH(I347,設定!$P$8:$P$27,0))))-INDEX(定員チェック!$F$7:$F$26,MATCH(I347,設定!$P$8:$P$27,0))-COUNTIFS($M$7:$M$456,"要調整",$G$7:$G$456,I347),""))</f>
        <v/>
      </c>
      <c r="P347" s="8">
        <f>IFERROR(MATCH(SMALL(前年度名簿!$G$2:$G$451,341),前年度名簿!$G$2:$G$451,0),"")</f>
        <v/>
      </c>
      <c r="Q347" s="8">
        <f>IF(R347="","",IFERROR(MATCH(R347,希望入力!$M$2:$M$551,0),""))</f>
        <v/>
      </c>
      <c r="R347" s="8">
        <f>IF(P347="","",INDEX(前年度名簿!$F$2:$F$451,P347))</f>
        <v/>
      </c>
      <c r="S347" s="8">
        <f>IF(P347="","",INDEX(前年度名簿!$I$2:$I$451,P347))</f>
        <v/>
      </c>
      <c r="T347" s="8">
        <f>IF(OR(P347="",計算用!$B$1=0),"",IFERROR(MATCH(S347,新年度名簿!$H$2:$H$451,0),""))</f>
        <v/>
      </c>
      <c r="U347" s="8">
        <f>IF(OR(L347="",M347="転出"),"",IFERROR(MATCH(L347,設定!$P$8:$P$27,0),""))</f>
        <v/>
      </c>
      <c r="V347" s="8">
        <f>IF(U347="","",COUNTIF($U$7:U347,U347))</f>
        <v/>
      </c>
      <c r="W347" s="8">
        <f>IF(U347="","",U347*1000+V347)</f>
        <v/>
      </c>
    </row>
    <row r="348">
      <c r="A348" s="44">
        <f>IF(P348="","",INDEX(前年度名簿!$H$2:$H$451,P348))</f>
        <v/>
      </c>
      <c r="B348" s="44">
        <f>IF(P348="","",IFERROR(INDEX(設定!$G$8:$G$31,INT(INDEX(前年度名簿!$G$2:$G$451,P348)/1000)),INDEX(前年度名簿!$A$2:$A$451,P348)&amp;INDEX(前年度名簿!$B$2:$B$451,P348)))</f>
        <v/>
      </c>
      <c r="C348" s="44">
        <f>IF(P348="","",INDEX(前年度名簿!$C$2:$C$451,P348))</f>
        <v/>
      </c>
      <c r="D348" s="3">
        <f>IF(P348="","",INDEX(前年度名簿!$D$2:$D$451,P348))</f>
        <v/>
      </c>
      <c r="E348" s="44">
        <f>IF(T348="","",INDEX(新年度名簿!$K$2:$K$451,T348))</f>
        <v/>
      </c>
      <c r="F348" s="44">
        <f>IF(T348="","",INDEX(新年度名簿!$C$2:$C$451,T348))</f>
        <v/>
      </c>
      <c r="G348" s="44">
        <f>IF(Q348="","",INDEX(希望入力!$H$2:$H$551,Q348)&amp;"")</f>
        <v/>
      </c>
      <c r="H348" s="44">
        <f>IF(Q348="","",INDEX(希望入力!$I$2:$I$551,Q348)&amp;"")</f>
        <v/>
      </c>
      <c r="I348" s="44">
        <f>IF(Q348="","",INDEX(希望入力!$J$2:$J$551,Q348)&amp;"")</f>
        <v/>
      </c>
      <c r="J348" s="44">
        <f>IF(Q348="","",IF(G348="","要調整",IFERROR(IF(IF(OR(設定!$C$14="〇",設定!$C$14="○"),COUNTIFS($A$7:$A$456,"&gt;="&amp;A348,$G$7:$G$456,G348),COUNTIF($G$7:$G$456,G348))&lt;=(INDEX(設定!$Q$8:$Q$27,MATCH(G348,設定!$P$8:$P$27,0))+N(INDEX(設定!$R$8:$R$27,MATCH(G348,設定!$P$8:$P$27,0)))),G348,"要調整"),"要調整")))</f>
        <v/>
      </c>
      <c r="K348" s="40" t="n"/>
      <c r="L348" s="52">
        <f>IF(P348="","",IF(K348&lt;&gt;"",K348,IF(OR(J348="",J348="要調整"),"",J348)))</f>
        <v/>
      </c>
      <c r="M348" s="44">
        <f>IF(P348="","",IF(AND(計算用!$B$1=1,T348=""),"転出",IF(L348&lt;&gt;"","決定",IF(Q348="","未提出","要調整"))))</f>
        <v/>
      </c>
      <c r="N348" s="44">
        <f>IF(OR(M348&lt;&gt;"要調整",H348=""),"",IFERROR((INDEX(設定!$Q$8:$Q$27,MATCH(H348,設定!$P$8:$P$27,0))+N(INDEX(設定!$R$8:$R$27,MATCH(H348,設定!$P$8:$P$27,0))))-INDEX(定員チェック!$F$7:$F$26,MATCH(H348,設定!$P$8:$P$27,0))-COUNTIFS($M$7:$M$456,"要調整",$G$7:$G$456,H348),""))</f>
        <v/>
      </c>
      <c r="O348" s="44">
        <f>IF(OR(M348&lt;&gt;"要調整",I348=""),"",IFERROR((INDEX(設定!$Q$8:$Q$27,MATCH(I348,設定!$P$8:$P$27,0))+N(INDEX(設定!$R$8:$R$27,MATCH(I348,設定!$P$8:$P$27,0))))-INDEX(定員チェック!$F$7:$F$26,MATCH(I348,設定!$P$8:$P$27,0))-COUNTIFS($M$7:$M$456,"要調整",$G$7:$G$456,I348),""))</f>
        <v/>
      </c>
      <c r="P348" s="8">
        <f>IFERROR(MATCH(SMALL(前年度名簿!$G$2:$G$451,342),前年度名簿!$G$2:$G$451,0),"")</f>
        <v/>
      </c>
      <c r="Q348" s="8">
        <f>IF(R348="","",IFERROR(MATCH(R348,希望入力!$M$2:$M$551,0),""))</f>
        <v/>
      </c>
      <c r="R348" s="8">
        <f>IF(P348="","",INDEX(前年度名簿!$F$2:$F$451,P348))</f>
        <v/>
      </c>
      <c r="S348" s="8">
        <f>IF(P348="","",INDEX(前年度名簿!$I$2:$I$451,P348))</f>
        <v/>
      </c>
      <c r="T348" s="8">
        <f>IF(OR(P348="",計算用!$B$1=0),"",IFERROR(MATCH(S348,新年度名簿!$H$2:$H$451,0),""))</f>
        <v/>
      </c>
      <c r="U348" s="8">
        <f>IF(OR(L348="",M348="転出"),"",IFERROR(MATCH(L348,設定!$P$8:$P$27,0),""))</f>
        <v/>
      </c>
      <c r="V348" s="8">
        <f>IF(U348="","",COUNTIF($U$7:U348,U348))</f>
        <v/>
      </c>
      <c r="W348" s="8">
        <f>IF(U348="","",U348*1000+V348)</f>
        <v/>
      </c>
    </row>
    <row r="349">
      <c r="A349" s="44">
        <f>IF(P349="","",INDEX(前年度名簿!$H$2:$H$451,P349))</f>
        <v/>
      </c>
      <c r="B349" s="44">
        <f>IF(P349="","",IFERROR(INDEX(設定!$G$8:$G$31,INT(INDEX(前年度名簿!$G$2:$G$451,P349)/1000)),INDEX(前年度名簿!$A$2:$A$451,P349)&amp;INDEX(前年度名簿!$B$2:$B$451,P349)))</f>
        <v/>
      </c>
      <c r="C349" s="44">
        <f>IF(P349="","",INDEX(前年度名簿!$C$2:$C$451,P349))</f>
        <v/>
      </c>
      <c r="D349" s="3">
        <f>IF(P349="","",INDEX(前年度名簿!$D$2:$D$451,P349))</f>
        <v/>
      </c>
      <c r="E349" s="44">
        <f>IF(T349="","",INDEX(新年度名簿!$K$2:$K$451,T349))</f>
        <v/>
      </c>
      <c r="F349" s="44">
        <f>IF(T349="","",INDEX(新年度名簿!$C$2:$C$451,T349))</f>
        <v/>
      </c>
      <c r="G349" s="44">
        <f>IF(Q349="","",INDEX(希望入力!$H$2:$H$551,Q349)&amp;"")</f>
        <v/>
      </c>
      <c r="H349" s="44">
        <f>IF(Q349="","",INDEX(希望入力!$I$2:$I$551,Q349)&amp;"")</f>
        <v/>
      </c>
      <c r="I349" s="44">
        <f>IF(Q349="","",INDEX(希望入力!$J$2:$J$551,Q349)&amp;"")</f>
        <v/>
      </c>
      <c r="J349" s="44">
        <f>IF(Q349="","",IF(G349="","要調整",IFERROR(IF(IF(OR(設定!$C$14="〇",設定!$C$14="○"),COUNTIFS($A$7:$A$456,"&gt;="&amp;A349,$G$7:$G$456,G349),COUNTIF($G$7:$G$456,G349))&lt;=(INDEX(設定!$Q$8:$Q$27,MATCH(G349,設定!$P$8:$P$27,0))+N(INDEX(設定!$R$8:$R$27,MATCH(G349,設定!$P$8:$P$27,0)))),G349,"要調整"),"要調整")))</f>
        <v/>
      </c>
      <c r="K349" s="40" t="n"/>
      <c r="L349" s="52">
        <f>IF(P349="","",IF(K349&lt;&gt;"",K349,IF(OR(J349="",J349="要調整"),"",J349)))</f>
        <v/>
      </c>
      <c r="M349" s="44">
        <f>IF(P349="","",IF(AND(計算用!$B$1=1,T349=""),"転出",IF(L349&lt;&gt;"","決定",IF(Q349="","未提出","要調整"))))</f>
        <v/>
      </c>
      <c r="N349" s="44">
        <f>IF(OR(M349&lt;&gt;"要調整",H349=""),"",IFERROR((INDEX(設定!$Q$8:$Q$27,MATCH(H349,設定!$P$8:$P$27,0))+N(INDEX(設定!$R$8:$R$27,MATCH(H349,設定!$P$8:$P$27,0))))-INDEX(定員チェック!$F$7:$F$26,MATCH(H349,設定!$P$8:$P$27,0))-COUNTIFS($M$7:$M$456,"要調整",$G$7:$G$456,H349),""))</f>
        <v/>
      </c>
      <c r="O349" s="44">
        <f>IF(OR(M349&lt;&gt;"要調整",I349=""),"",IFERROR((INDEX(設定!$Q$8:$Q$27,MATCH(I349,設定!$P$8:$P$27,0))+N(INDEX(設定!$R$8:$R$27,MATCH(I349,設定!$P$8:$P$27,0))))-INDEX(定員チェック!$F$7:$F$26,MATCH(I349,設定!$P$8:$P$27,0))-COUNTIFS($M$7:$M$456,"要調整",$G$7:$G$456,I349),""))</f>
        <v/>
      </c>
      <c r="P349" s="8">
        <f>IFERROR(MATCH(SMALL(前年度名簿!$G$2:$G$451,343),前年度名簿!$G$2:$G$451,0),"")</f>
        <v/>
      </c>
      <c r="Q349" s="8">
        <f>IF(R349="","",IFERROR(MATCH(R349,希望入力!$M$2:$M$551,0),""))</f>
        <v/>
      </c>
      <c r="R349" s="8">
        <f>IF(P349="","",INDEX(前年度名簿!$F$2:$F$451,P349))</f>
        <v/>
      </c>
      <c r="S349" s="8">
        <f>IF(P349="","",INDEX(前年度名簿!$I$2:$I$451,P349))</f>
        <v/>
      </c>
      <c r="T349" s="8">
        <f>IF(OR(P349="",計算用!$B$1=0),"",IFERROR(MATCH(S349,新年度名簿!$H$2:$H$451,0),""))</f>
        <v/>
      </c>
      <c r="U349" s="8">
        <f>IF(OR(L349="",M349="転出"),"",IFERROR(MATCH(L349,設定!$P$8:$P$27,0),""))</f>
        <v/>
      </c>
      <c r="V349" s="8">
        <f>IF(U349="","",COUNTIF($U$7:U349,U349))</f>
        <v/>
      </c>
      <c r="W349" s="8">
        <f>IF(U349="","",U349*1000+V349)</f>
        <v/>
      </c>
    </row>
    <row r="350">
      <c r="A350" s="44">
        <f>IF(P350="","",INDEX(前年度名簿!$H$2:$H$451,P350))</f>
        <v/>
      </c>
      <c r="B350" s="44">
        <f>IF(P350="","",IFERROR(INDEX(設定!$G$8:$G$31,INT(INDEX(前年度名簿!$G$2:$G$451,P350)/1000)),INDEX(前年度名簿!$A$2:$A$451,P350)&amp;INDEX(前年度名簿!$B$2:$B$451,P350)))</f>
        <v/>
      </c>
      <c r="C350" s="44">
        <f>IF(P350="","",INDEX(前年度名簿!$C$2:$C$451,P350))</f>
        <v/>
      </c>
      <c r="D350" s="3">
        <f>IF(P350="","",INDEX(前年度名簿!$D$2:$D$451,P350))</f>
        <v/>
      </c>
      <c r="E350" s="44">
        <f>IF(T350="","",INDEX(新年度名簿!$K$2:$K$451,T350))</f>
        <v/>
      </c>
      <c r="F350" s="44">
        <f>IF(T350="","",INDEX(新年度名簿!$C$2:$C$451,T350))</f>
        <v/>
      </c>
      <c r="G350" s="44">
        <f>IF(Q350="","",INDEX(希望入力!$H$2:$H$551,Q350)&amp;"")</f>
        <v/>
      </c>
      <c r="H350" s="44">
        <f>IF(Q350="","",INDEX(希望入力!$I$2:$I$551,Q350)&amp;"")</f>
        <v/>
      </c>
      <c r="I350" s="44">
        <f>IF(Q350="","",INDEX(希望入力!$J$2:$J$551,Q350)&amp;"")</f>
        <v/>
      </c>
      <c r="J350" s="44">
        <f>IF(Q350="","",IF(G350="","要調整",IFERROR(IF(IF(OR(設定!$C$14="〇",設定!$C$14="○"),COUNTIFS($A$7:$A$456,"&gt;="&amp;A350,$G$7:$G$456,G350),COUNTIF($G$7:$G$456,G350))&lt;=(INDEX(設定!$Q$8:$Q$27,MATCH(G350,設定!$P$8:$P$27,0))+N(INDEX(設定!$R$8:$R$27,MATCH(G350,設定!$P$8:$P$27,0)))),G350,"要調整"),"要調整")))</f>
        <v/>
      </c>
      <c r="K350" s="40" t="inlineStr">
        <is>
          <t>料理</t>
        </is>
      </c>
      <c r="L350" s="52">
        <f>IF(P350="","",IF(K350&lt;&gt;"",K350,IF(OR(J350="",J350="要調整"),"",J350)))</f>
        <v/>
      </c>
      <c r="M350" s="44">
        <f>IF(P350="","",IF(AND(計算用!$B$1=1,T350=""),"転出",IF(L350&lt;&gt;"","決定",IF(Q350="","未提出","要調整"))))</f>
        <v/>
      </c>
      <c r="N350" s="44">
        <f>IF(OR(M350&lt;&gt;"要調整",H350=""),"",IFERROR((INDEX(設定!$Q$8:$Q$27,MATCH(H350,設定!$P$8:$P$27,0))+N(INDEX(設定!$R$8:$R$27,MATCH(H350,設定!$P$8:$P$27,0))))-INDEX(定員チェック!$F$7:$F$26,MATCH(H350,設定!$P$8:$P$27,0))-COUNTIFS($M$7:$M$456,"要調整",$G$7:$G$456,H350),""))</f>
        <v/>
      </c>
      <c r="O350" s="44">
        <f>IF(OR(M350&lt;&gt;"要調整",I350=""),"",IFERROR((INDEX(設定!$Q$8:$Q$27,MATCH(I350,設定!$P$8:$P$27,0))+N(INDEX(設定!$R$8:$R$27,MATCH(I350,設定!$P$8:$P$27,0))))-INDEX(定員チェック!$F$7:$F$26,MATCH(I350,設定!$P$8:$P$27,0))-COUNTIFS($M$7:$M$456,"要調整",$G$7:$G$456,I350),""))</f>
        <v/>
      </c>
      <c r="P350" s="8">
        <f>IFERROR(MATCH(SMALL(前年度名簿!$G$2:$G$451,344),前年度名簿!$G$2:$G$451,0),"")</f>
        <v/>
      </c>
      <c r="Q350" s="8">
        <f>IF(R350="","",IFERROR(MATCH(R350,希望入力!$M$2:$M$551,0),""))</f>
        <v/>
      </c>
      <c r="R350" s="8">
        <f>IF(P350="","",INDEX(前年度名簿!$F$2:$F$451,P350))</f>
        <v/>
      </c>
      <c r="S350" s="8">
        <f>IF(P350="","",INDEX(前年度名簿!$I$2:$I$451,P350))</f>
        <v/>
      </c>
      <c r="T350" s="8">
        <f>IF(OR(P350="",計算用!$B$1=0),"",IFERROR(MATCH(S350,新年度名簿!$H$2:$H$451,0),""))</f>
        <v/>
      </c>
      <c r="U350" s="8">
        <f>IF(OR(L350="",M350="転出"),"",IFERROR(MATCH(L350,設定!$P$8:$P$27,0),""))</f>
        <v/>
      </c>
      <c r="V350" s="8">
        <f>IF(U350="","",COUNTIF($U$7:U350,U350))</f>
        <v/>
      </c>
      <c r="W350" s="8">
        <f>IF(U350="","",U350*1000+V350)</f>
        <v/>
      </c>
    </row>
    <row r="351">
      <c r="A351" s="44">
        <f>IF(P351="","",INDEX(前年度名簿!$H$2:$H$451,P351))</f>
        <v/>
      </c>
      <c r="B351" s="44">
        <f>IF(P351="","",IFERROR(INDEX(設定!$G$8:$G$31,INT(INDEX(前年度名簿!$G$2:$G$451,P351)/1000)),INDEX(前年度名簿!$A$2:$A$451,P351)&amp;INDEX(前年度名簿!$B$2:$B$451,P351)))</f>
        <v/>
      </c>
      <c r="C351" s="44">
        <f>IF(P351="","",INDEX(前年度名簿!$C$2:$C$451,P351))</f>
        <v/>
      </c>
      <c r="D351" s="3">
        <f>IF(P351="","",INDEX(前年度名簿!$D$2:$D$451,P351))</f>
        <v/>
      </c>
      <c r="E351" s="44">
        <f>IF(T351="","",INDEX(新年度名簿!$K$2:$K$451,T351))</f>
        <v/>
      </c>
      <c r="F351" s="44">
        <f>IF(T351="","",INDEX(新年度名簿!$C$2:$C$451,T351))</f>
        <v/>
      </c>
      <c r="G351" s="44">
        <f>IF(Q351="","",INDEX(希望入力!$H$2:$H$551,Q351)&amp;"")</f>
        <v/>
      </c>
      <c r="H351" s="44">
        <f>IF(Q351="","",INDEX(希望入力!$I$2:$I$551,Q351)&amp;"")</f>
        <v/>
      </c>
      <c r="I351" s="44">
        <f>IF(Q351="","",INDEX(希望入力!$J$2:$J$551,Q351)&amp;"")</f>
        <v/>
      </c>
      <c r="J351" s="44">
        <f>IF(Q351="","",IF(G351="","要調整",IFERROR(IF(IF(OR(設定!$C$14="〇",設定!$C$14="○"),COUNTIFS($A$7:$A$456,"&gt;="&amp;A351,$G$7:$G$456,G351),COUNTIF($G$7:$G$456,G351))&lt;=(INDEX(設定!$Q$8:$Q$27,MATCH(G351,設定!$P$8:$P$27,0))+N(INDEX(設定!$R$8:$R$27,MATCH(G351,設定!$P$8:$P$27,0)))),G351,"要調整"),"要調整")))</f>
        <v/>
      </c>
      <c r="K351" s="40" t="n"/>
      <c r="L351" s="52">
        <f>IF(P351="","",IF(K351&lt;&gt;"",K351,IF(OR(J351="",J351="要調整"),"",J351)))</f>
        <v/>
      </c>
      <c r="M351" s="44">
        <f>IF(P351="","",IF(AND(計算用!$B$1=1,T351=""),"転出",IF(L351&lt;&gt;"","決定",IF(Q351="","未提出","要調整"))))</f>
        <v/>
      </c>
      <c r="N351" s="44">
        <f>IF(OR(M351&lt;&gt;"要調整",H351=""),"",IFERROR((INDEX(設定!$Q$8:$Q$27,MATCH(H351,設定!$P$8:$P$27,0))+N(INDEX(設定!$R$8:$R$27,MATCH(H351,設定!$P$8:$P$27,0))))-INDEX(定員チェック!$F$7:$F$26,MATCH(H351,設定!$P$8:$P$27,0))-COUNTIFS($M$7:$M$456,"要調整",$G$7:$G$456,H351),""))</f>
        <v/>
      </c>
      <c r="O351" s="44">
        <f>IF(OR(M351&lt;&gt;"要調整",I351=""),"",IFERROR((INDEX(設定!$Q$8:$Q$27,MATCH(I351,設定!$P$8:$P$27,0))+N(INDEX(設定!$R$8:$R$27,MATCH(I351,設定!$P$8:$P$27,0))))-INDEX(定員チェック!$F$7:$F$26,MATCH(I351,設定!$P$8:$P$27,0))-COUNTIFS($M$7:$M$456,"要調整",$G$7:$G$456,I351),""))</f>
        <v/>
      </c>
      <c r="P351" s="8">
        <f>IFERROR(MATCH(SMALL(前年度名簿!$G$2:$G$451,345),前年度名簿!$G$2:$G$451,0),"")</f>
        <v/>
      </c>
      <c r="Q351" s="8">
        <f>IF(R351="","",IFERROR(MATCH(R351,希望入力!$M$2:$M$551,0),""))</f>
        <v/>
      </c>
      <c r="R351" s="8">
        <f>IF(P351="","",INDEX(前年度名簿!$F$2:$F$451,P351))</f>
        <v/>
      </c>
      <c r="S351" s="8">
        <f>IF(P351="","",INDEX(前年度名簿!$I$2:$I$451,P351))</f>
        <v/>
      </c>
      <c r="T351" s="8">
        <f>IF(OR(P351="",計算用!$B$1=0),"",IFERROR(MATCH(S351,新年度名簿!$H$2:$H$451,0),""))</f>
        <v/>
      </c>
      <c r="U351" s="8">
        <f>IF(OR(L351="",M351="転出"),"",IFERROR(MATCH(L351,設定!$P$8:$P$27,0),""))</f>
        <v/>
      </c>
      <c r="V351" s="8">
        <f>IF(U351="","",COUNTIF($U$7:U351,U351))</f>
        <v/>
      </c>
      <c r="W351" s="8">
        <f>IF(U351="","",U351*1000+V351)</f>
        <v/>
      </c>
    </row>
    <row r="352">
      <c r="A352" s="44">
        <f>IF(P352="","",INDEX(前年度名簿!$H$2:$H$451,P352))</f>
        <v/>
      </c>
      <c r="B352" s="44">
        <f>IF(P352="","",IFERROR(INDEX(設定!$G$8:$G$31,INT(INDEX(前年度名簿!$G$2:$G$451,P352)/1000)),INDEX(前年度名簿!$A$2:$A$451,P352)&amp;INDEX(前年度名簿!$B$2:$B$451,P352)))</f>
        <v/>
      </c>
      <c r="C352" s="44">
        <f>IF(P352="","",INDEX(前年度名簿!$C$2:$C$451,P352))</f>
        <v/>
      </c>
      <c r="D352" s="3">
        <f>IF(P352="","",INDEX(前年度名簿!$D$2:$D$451,P352))</f>
        <v/>
      </c>
      <c r="E352" s="44">
        <f>IF(T352="","",INDEX(新年度名簿!$K$2:$K$451,T352))</f>
        <v/>
      </c>
      <c r="F352" s="44">
        <f>IF(T352="","",INDEX(新年度名簿!$C$2:$C$451,T352))</f>
        <v/>
      </c>
      <c r="G352" s="44">
        <f>IF(Q352="","",INDEX(希望入力!$H$2:$H$551,Q352)&amp;"")</f>
        <v/>
      </c>
      <c r="H352" s="44">
        <f>IF(Q352="","",INDEX(希望入力!$I$2:$I$551,Q352)&amp;"")</f>
        <v/>
      </c>
      <c r="I352" s="44">
        <f>IF(Q352="","",INDEX(希望入力!$J$2:$J$551,Q352)&amp;"")</f>
        <v/>
      </c>
      <c r="J352" s="44">
        <f>IF(Q352="","",IF(G352="","要調整",IFERROR(IF(IF(OR(設定!$C$14="〇",設定!$C$14="○"),COUNTIFS($A$7:$A$456,"&gt;="&amp;A352,$G$7:$G$456,G352),COUNTIF($G$7:$G$456,G352))&lt;=(INDEX(設定!$Q$8:$Q$27,MATCH(G352,設定!$P$8:$P$27,0))+N(INDEX(設定!$R$8:$R$27,MATCH(G352,設定!$P$8:$P$27,0)))),G352,"要調整"),"要調整")))</f>
        <v/>
      </c>
      <c r="K352" s="40" t="n"/>
      <c r="L352" s="52">
        <f>IF(P352="","",IF(K352&lt;&gt;"",K352,IF(OR(J352="",J352="要調整"),"",J352)))</f>
        <v/>
      </c>
      <c r="M352" s="44">
        <f>IF(P352="","",IF(AND(計算用!$B$1=1,T352=""),"転出",IF(L352&lt;&gt;"","決定",IF(Q352="","未提出","要調整"))))</f>
        <v/>
      </c>
      <c r="N352" s="44">
        <f>IF(OR(M352&lt;&gt;"要調整",H352=""),"",IFERROR((INDEX(設定!$Q$8:$Q$27,MATCH(H352,設定!$P$8:$P$27,0))+N(INDEX(設定!$R$8:$R$27,MATCH(H352,設定!$P$8:$P$27,0))))-INDEX(定員チェック!$F$7:$F$26,MATCH(H352,設定!$P$8:$P$27,0))-COUNTIFS($M$7:$M$456,"要調整",$G$7:$G$456,H352),""))</f>
        <v/>
      </c>
      <c r="O352" s="44">
        <f>IF(OR(M352&lt;&gt;"要調整",I352=""),"",IFERROR((INDEX(設定!$Q$8:$Q$27,MATCH(I352,設定!$P$8:$P$27,0))+N(INDEX(設定!$R$8:$R$27,MATCH(I352,設定!$P$8:$P$27,0))))-INDEX(定員チェック!$F$7:$F$26,MATCH(I352,設定!$P$8:$P$27,0))-COUNTIFS($M$7:$M$456,"要調整",$G$7:$G$456,I352),""))</f>
        <v/>
      </c>
      <c r="P352" s="8">
        <f>IFERROR(MATCH(SMALL(前年度名簿!$G$2:$G$451,346),前年度名簿!$G$2:$G$451,0),"")</f>
        <v/>
      </c>
      <c r="Q352" s="8">
        <f>IF(R352="","",IFERROR(MATCH(R352,希望入力!$M$2:$M$551,0),""))</f>
        <v/>
      </c>
      <c r="R352" s="8">
        <f>IF(P352="","",INDEX(前年度名簿!$F$2:$F$451,P352))</f>
        <v/>
      </c>
      <c r="S352" s="8">
        <f>IF(P352="","",INDEX(前年度名簿!$I$2:$I$451,P352))</f>
        <v/>
      </c>
      <c r="T352" s="8">
        <f>IF(OR(P352="",計算用!$B$1=0),"",IFERROR(MATCH(S352,新年度名簿!$H$2:$H$451,0),""))</f>
        <v/>
      </c>
      <c r="U352" s="8">
        <f>IF(OR(L352="",M352="転出"),"",IFERROR(MATCH(L352,設定!$P$8:$P$27,0),""))</f>
        <v/>
      </c>
      <c r="V352" s="8">
        <f>IF(U352="","",COUNTIF($U$7:U352,U352))</f>
        <v/>
      </c>
      <c r="W352" s="8">
        <f>IF(U352="","",U352*1000+V352)</f>
        <v/>
      </c>
    </row>
    <row r="353">
      <c r="A353" s="44">
        <f>IF(P353="","",INDEX(前年度名簿!$H$2:$H$451,P353))</f>
        <v/>
      </c>
      <c r="B353" s="44">
        <f>IF(P353="","",IFERROR(INDEX(設定!$G$8:$G$31,INT(INDEX(前年度名簿!$G$2:$G$451,P353)/1000)),INDEX(前年度名簿!$A$2:$A$451,P353)&amp;INDEX(前年度名簿!$B$2:$B$451,P353)))</f>
        <v/>
      </c>
      <c r="C353" s="44">
        <f>IF(P353="","",INDEX(前年度名簿!$C$2:$C$451,P353))</f>
        <v/>
      </c>
      <c r="D353" s="3">
        <f>IF(P353="","",INDEX(前年度名簿!$D$2:$D$451,P353))</f>
        <v/>
      </c>
      <c r="E353" s="44">
        <f>IF(T353="","",INDEX(新年度名簿!$K$2:$K$451,T353))</f>
        <v/>
      </c>
      <c r="F353" s="44">
        <f>IF(T353="","",INDEX(新年度名簿!$C$2:$C$451,T353))</f>
        <v/>
      </c>
      <c r="G353" s="44">
        <f>IF(Q353="","",INDEX(希望入力!$H$2:$H$551,Q353)&amp;"")</f>
        <v/>
      </c>
      <c r="H353" s="44">
        <f>IF(Q353="","",INDEX(希望入力!$I$2:$I$551,Q353)&amp;"")</f>
        <v/>
      </c>
      <c r="I353" s="44">
        <f>IF(Q353="","",INDEX(希望入力!$J$2:$J$551,Q353)&amp;"")</f>
        <v/>
      </c>
      <c r="J353" s="44">
        <f>IF(Q353="","",IF(G353="","要調整",IFERROR(IF(IF(OR(設定!$C$14="〇",設定!$C$14="○"),COUNTIFS($A$7:$A$456,"&gt;="&amp;A353,$G$7:$G$456,G353),COUNTIF($G$7:$G$456,G353))&lt;=(INDEX(設定!$Q$8:$Q$27,MATCH(G353,設定!$P$8:$P$27,0))+N(INDEX(設定!$R$8:$R$27,MATCH(G353,設定!$P$8:$P$27,0)))),G353,"要調整"),"要調整")))</f>
        <v/>
      </c>
      <c r="K353" s="40" t="n"/>
      <c r="L353" s="52">
        <f>IF(P353="","",IF(K353&lt;&gt;"",K353,IF(OR(J353="",J353="要調整"),"",J353)))</f>
        <v/>
      </c>
      <c r="M353" s="44">
        <f>IF(P353="","",IF(AND(計算用!$B$1=1,T353=""),"転出",IF(L353&lt;&gt;"","決定",IF(Q353="","未提出","要調整"))))</f>
        <v/>
      </c>
      <c r="N353" s="44">
        <f>IF(OR(M353&lt;&gt;"要調整",H353=""),"",IFERROR((INDEX(設定!$Q$8:$Q$27,MATCH(H353,設定!$P$8:$P$27,0))+N(INDEX(設定!$R$8:$R$27,MATCH(H353,設定!$P$8:$P$27,0))))-INDEX(定員チェック!$F$7:$F$26,MATCH(H353,設定!$P$8:$P$27,0))-COUNTIFS($M$7:$M$456,"要調整",$G$7:$G$456,H353),""))</f>
        <v/>
      </c>
      <c r="O353" s="44">
        <f>IF(OR(M353&lt;&gt;"要調整",I353=""),"",IFERROR((INDEX(設定!$Q$8:$Q$27,MATCH(I353,設定!$P$8:$P$27,0))+N(INDEX(設定!$R$8:$R$27,MATCH(I353,設定!$P$8:$P$27,0))))-INDEX(定員チェック!$F$7:$F$26,MATCH(I353,設定!$P$8:$P$27,0))-COUNTIFS($M$7:$M$456,"要調整",$G$7:$G$456,I353),""))</f>
        <v/>
      </c>
      <c r="P353" s="8">
        <f>IFERROR(MATCH(SMALL(前年度名簿!$G$2:$G$451,347),前年度名簿!$G$2:$G$451,0),"")</f>
        <v/>
      </c>
      <c r="Q353" s="8">
        <f>IF(R353="","",IFERROR(MATCH(R353,希望入力!$M$2:$M$551,0),""))</f>
        <v/>
      </c>
      <c r="R353" s="8">
        <f>IF(P353="","",INDEX(前年度名簿!$F$2:$F$451,P353))</f>
        <v/>
      </c>
      <c r="S353" s="8">
        <f>IF(P353="","",INDEX(前年度名簿!$I$2:$I$451,P353))</f>
        <v/>
      </c>
      <c r="T353" s="8">
        <f>IF(OR(P353="",計算用!$B$1=0),"",IFERROR(MATCH(S353,新年度名簿!$H$2:$H$451,0),""))</f>
        <v/>
      </c>
      <c r="U353" s="8">
        <f>IF(OR(L353="",M353="転出"),"",IFERROR(MATCH(L353,設定!$P$8:$P$27,0),""))</f>
        <v/>
      </c>
      <c r="V353" s="8">
        <f>IF(U353="","",COUNTIF($U$7:U353,U353))</f>
        <v/>
      </c>
      <c r="W353" s="8">
        <f>IF(U353="","",U353*1000+V353)</f>
        <v/>
      </c>
    </row>
    <row r="354">
      <c r="A354" s="44">
        <f>IF(P354="","",INDEX(前年度名簿!$H$2:$H$451,P354))</f>
        <v/>
      </c>
      <c r="B354" s="44">
        <f>IF(P354="","",IFERROR(INDEX(設定!$G$8:$G$31,INT(INDEX(前年度名簿!$G$2:$G$451,P354)/1000)),INDEX(前年度名簿!$A$2:$A$451,P354)&amp;INDEX(前年度名簿!$B$2:$B$451,P354)))</f>
        <v/>
      </c>
      <c r="C354" s="44">
        <f>IF(P354="","",INDEX(前年度名簿!$C$2:$C$451,P354))</f>
        <v/>
      </c>
      <c r="D354" s="3">
        <f>IF(P354="","",INDEX(前年度名簿!$D$2:$D$451,P354))</f>
        <v/>
      </c>
      <c r="E354" s="44">
        <f>IF(T354="","",INDEX(新年度名簿!$K$2:$K$451,T354))</f>
        <v/>
      </c>
      <c r="F354" s="44">
        <f>IF(T354="","",INDEX(新年度名簿!$C$2:$C$451,T354))</f>
        <v/>
      </c>
      <c r="G354" s="44">
        <f>IF(Q354="","",INDEX(希望入力!$H$2:$H$551,Q354)&amp;"")</f>
        <v/>
      </c>
      <c r="H354" s="44">
        <f>IF(Q354="","",INDEX(希望入力!$I$2:$I$551,Q354)&amp;"")</f>
        <v/>
      </c>
      <c r="I354" s="44">
        <f>IF(Q354="","",INDEX(希望入力!$J$2:$J$551,Q354)&amp;"")</f>
        <v/>
      </c>
      <c r="J354" s="44">
        <f>IF(Q354="","",IF(G354="","要調整",IFERROR(IF(IF(OR(設定!$C$14="〇",設定!$C$14="○"),COUNTIFS($A$7:$A$456,"&gt;="&amp;A354,$G$7:$G$456,G354),COUNTIF($G$7:$G$456,G354))&lt;=(INDEX(設定!$Q$8:$Q$27,MATCH(G354,設定!$P$8:$P$27,0))+N(INDEX(設定!$R$8:$R$27,MATCH(G354,設定!$P$8:$P$27,0)))),G354,"要調整"),"要調整")))</f>
        <v/>
      </c>
      <c r="K354" s="40" t="n"/>
      <c r="L354" s="52">
        <f>IF(P354="","",IF(K354&lt;&gt;"",K354,IF(OR(J354="",J354="要調整"),"",J354)))</f>
        <v/>
      </c>
      <c r="M354" s="44">
        <f>IF(P354="","",IF(AND(計算用!$B$1=1,T354=""),"転出",IF(L354&lt;&gt;"","決定",IF(Q354="","未提出","要調整"))))</f>
        <v/>
      </c>
      <c r="N354" s="44">
        <f>IF(OR(M354&lt;&gt;"要調整",H354=""),"",IFERROR((INDEX(設定!$Q$8:$Q$27,MATCH(H354,設定!$P$8:$P$27,0))+N(INDEX(設定!$R$8:$R$27,MATCH(H354,設定!$P$8:$P$27,0))))-INDEX(定員チェック!$F$7:$F$26,MATCH(H354,設定!$P$8:$P$27,0))-COUNTIFS($M$7:$M$456,"要調整",$G$7:$G$456,H354),""))</f>
        <v/>
      </c>
      <c r="O354" s="44">
        <f>IF(OR(M354&lt;&gt;"要調整",I354=""),"",IFERROR((INDEX(設定!$Q$8:$Q$27,MATCH(I354,設定!$P$8:$P$27,0))+N(INDEX(設定!$R$8:$R$27,MATCH(I354,設定!$P$8:$P$27,0))))-INDEX(定員チェック!$F$7:$F$26,MATCH(I354,設定!$P$8:$P$27,0))-COUNTIFS($M$7:$M$456,"要調整",$G$7:$G$456,I354),""))</f>
        <v/>
      </c>
      <c r="P354" s="8">
        <f>IFERROR(MATCH(SMALL(前年度名簿!$G$2:$G$451,348),前年度名簿!$G$2:$G$451,0),"")</f>
        <v/>
      </c>
      <c r="Q354" s="8">
        <f>IF(R354="","",IFERROR(MATCH(R354,希望入力!$M$2:$M$551,0),""))</f>
        <v/>
      </c>
      <c r="R354" s="8">
        <f>IF(P354="","",INDEX(前年度名簿!$F$2:$F$451,P354))</f>
        <v/>
      </c>
      <c r="S354" s="8">
        <f>IF(P354="","",INDEX(前年度名簿!$I$2:$I$451,P354))</f>
        <v/>
      </c>
      <c r="T354" s="8">
        <f>IF(OR(P354="",計算用!$B$1=0),"",IFERROR(MATCH(S354,新年度名簿!$H$2:$H$451,0),""))</f>
        <v/>
      </c>
      <c r="U354" s="8">
        <f>IF(OR(L354="",M354="転出"),"",IFERROR(MATCH(L354,設定!$P$8:$P$27,0),""))</f>
        <v/>
      </c>
      <c r="V354" s="8">
        <f>IF(U354="","",COUNTIF($U$7:U354,U354))</f>
        <v/>
      </c>
      <c r="W354" s="8">
        <f>IF(U354="","",U354*1000+V354)</f>
        <v/>
      </c>
    </row>
    <row r="355">
      <c r="A355" s="44">
        <f>IF(P355="","",INDEX(前年度名簿!$H$2:$H$451,P355))</f>
        <v/>
      </c>
      <c r="B355" s="44">
        <f>IF(P355="","",IFERROR(INDEX(設定!$G$8:$G$31,INT(INDEX(前年度名簿!$G$2:$G$451,P355)/1000)),INDEX(前年度名簿!$A$2:$A$451,P355)&amp;INDEX(前年度名簿!$B$2:$B$451,P355)))</f>
        <v/>
      </c>
      <c r="C355" s="44">
        <f>IF(P355="","",INDEX(前年度名簿!$C$2:$C$451,P355))</f>
        <v/>
      </c>
      <c r="D355" s="3">
        <f>IF(P355="","",INDEX(前年度名簿!$D$2:$D$451,P355))</f>
        <v/>
      </c>
      <c r="E355" s="44">
        <f>IF(T355="","",INDEX(新年度名簿!$K$2:$K$451,T355))</f>
        <v/>
      </c>
      <c r="F355" s="44">
        <f>IF(T355="","",INDEX(新年度名簿!$C$2:$C$451,T355))</f>
        <v/>
      </c>
      <c r="G355" s="44">
        <f>IF(Q355="","",INDEX(希望入力!$H$2:$H$551,Q355)&amp;"")</f>
        <v/>
      </c>
      <c r="H355" s="44">
        <f>IF(Q355="","",INDEX(希望入力!$I$2:$I$551,Q355)&amp;"")</f>
        <v/>
      </c>
      <c r="I355" s="44">
        <f>IF(Q355="","",INDEX(希望入力!$J$2:$J$551,Q355)&amp;"")</f>
        <v/>
      </c>
      <c r="J355" s="44">
        <f>IF(Q355="","",IF(G355="","要調整",IFERROR(IF(IF(OR(設定!$C$14="〇",設定!$C$14="○"),COUNTIFS($A$7:$A$456,"&gt;="&amp;A355,$G$7:$G$456,G355),COUNTIF($G$7:$G$456,G355))&lt;=(INDEX(設定!$Q$8:$Q$27,MATCH(G355,設定!$P$8:$P$27,0))+N(INDEX(設定!$R$8:$R$27,MATCH(G355,設定!$P$8:$P$27,0)))),G355,"要調整"),"要調整")))</f>
        <v/>
      </c>
      <c r="K355" s="40" t="n"/>
      <c r="L355" s="52">
        <f>IF(P355="","",IF(K355&lt;&gt;"",K355,IF(OR(J355="",J355="要調整"),"",J355)))</f>
        <v/>
      </c>
      <c r="M355" s="44">
        <f>IF(P355="","",IF(AND(計算用!$B$1=1,T355=""),"転出",IF(L355&lt;&gt;"","決定",IF(Q355="","未提出","要調整"))))</f>
        <v/>
      </c>
      <c r="N355" s="44">
        <f>IF(OR(M355&lt;&gt;"要調整",H355=""),"",IFERROR((INDEX(設定!$Q$8:$Q$27,MATCH(H355,設定!$P$8:$P$27,0))+N(INDEX(設定!$R$8:$R$27,MATCH(H355,設定!$P$8:$P$27,0))))-INDEX(定員チェック!$F$7:$F$26,MATCH(H355,設定!$P$8:$P$27,0))-COUNTIFS($M$7:$M$456,"要調整",$G$7:$G$456,H355),""))</f>
        <v/>
      </c>
      <c r="O355" s="44">
        <f>IF(OR(M355&lt;&gt;"要調整",I355=""),"",IFERROR((INDEX(設定!$Q$8:$Q$27,MATCH(I355,設定!$P$8:$P$27,0))+N(INDEX(設定!$R$8:$R$27,MATCH(I355,設定!$P$8:$P$27,0))))-INDEX(定員チェック!$F$7:$F$26,MATCH(I355,設定!$P$8:$P$27,0))-COUNTIFS($M$7:$M$456,"要調整",$G$7:$G$456,I355),""))</f>
        <v/>
      </c>
      <c r="P355" s="8">
        <f>IFERROR(MATCH(SMALL(前年度名簿!$G$2:$G$451,349),前年度名簿!$G$2:$G$451,0),"")</f>
        <v/>
      </c>
      <c r="Q355" s="8">
        <f>IF(R355="","",IFERROR(MATCH(R355,希望入力!$M$2:$M$551,0),""))</f>
        <v/>
      </c>
      <c r="R355" s="8">
        <f>IF(P355="","",INDEX(前年度名簿!$F$2:$F$451,P355))</f>
        <v/>
      </c>
      <c r="S355" s="8">
        <f>IF(P355="","",INDEX(前年度名簿!$I$2:$I$451,P355))</f>
        <v/>
      </c>
      <c r="T355" s="8">
        <f>IF(OR(P355="",計算用!$B$1=0),"",IFERROR(MATCH(S355,新年度名簿!$H$2:$H$451,0),""))</f>
        <v/>
      </c>
      <c r="U355" s="8">
        <f>IF(OR(L355="",M355="転出"),"",IFERROR(MATCH(L355,設定!$P$8:$P$27,0),""))</f>
        <v/>
      </c>
      <c r="V355" s="8">
        <f>IF(U355="","",COUNTIF($U$7:U355,U355))</f>
        <v/>
      </c>
      <c r="W355" s="8">
        <f>IF(U355="","",U355*1000+V355)</f>
        <v/>
      </c>
    </row>
    <row r="356">
      <c r="A356" s="44">
        <f>IF(P356="","",INDEX(前年度名簿!$H$2:$H$451,P356))</f>
        <v/>
      </c>
      <c r="B356" s="44">
        <f>IF(P356="","",IFERROR(INDEX(設定!$G$8:$G$31,INT(INDEX(前年度名簿!$G$2:$G$451,P356)/1000)),INDEX(前年度名簿!$A$2:$A$451,P356)&amp;INDEX(前年度名簿!$B$2:$B$451,P356)))</f>
        <v/>
      </c>
      <c r="C356" s="44">
        <f>IF(P356="","",INDEX(前年度名簿!$C$2:$C$451,P356))</f>
        <v/>
      </c>
      <c r="D356" s="3">
        <f>IF(P356="","",INDEX(前年度名簿!$D$2:$D$451,P356))</f>
        <v/>
      </c>
      <c r="E356" s="44">
        <f>IF(T356="","",INDEX(新年度名簿!$K$2:$K$451,T356))</f>
        <v/>
      </c>
      <c r="F356" s="44">
        <f>IF(T356="","",INDEX(新年度名簿!$C$2:$C$451,T356))</f>
        <v/>
      </c>
      <c r="G356" s="44">
        <f>IF(Q356="","",INDEX(希望入力!$H$2:$H$551,Q356)&amp;"")</f>
        <v/>
      </c>
      <c r="H356" s="44">
        <f>IF(Q356="","",INDEX(希望入力!$I$2:$I$551,Q356)&amp;"")</f>
        <v/>
      </c>
      <c r="I356" s="44">
        <f>IF(Q356="","",INDEX(希望入力!$J$2:$J$551,Q356)&amp;"")</f>
        <v/>
      </c>
      <c r="J356" s="44">
        <f>IF(Q356="","",IF(G356="","要調整",IFERROR(IF(IF(OR(設定!$C$14="〇",設定!$C$14="○"),COUNTIFS($A$7:$A$456,"&gt;="&amp;A356,$G$7:$G$456,G356),COUNTIF($G$7:$G$456,G356))&lt;=(INDEX(設定!$Q$8:$Q$27,MATCH(G356,設定!$P$8:$P$27,0))+N(INDEX(設定!$R$8:$R$27,MATCH(G356,設定!$P$8:$P$27,0)))),G356,"要調整"),"要調整")))</f>
        <v/>
      </c>
      <c r="K356" s="40" t="n"/>
      <c r="L356" s="52">
        <f>IF(P356="","",IF(K356&lt;&gt;"",K356,IF(OR(J356="",J356="要調整"),"",J356)))</f>
        <v/>
      </c>
      <c r="M356" s="44">
        <f>IF(P356="","",IF(AND(計算用!$B$1=1,T356=""),"転出",IF(L356&lt;&gt;"","決定",IF(Q356="","未提出","要調整"))))</f>
        <v/>
      </c>
      <c r="N356" s="44">
        <f>IF(OR(M356&lt;&gt;"要調整",H356=""),"",IFERROR((INDEX(設定!$Q$8:$Q$27,MATCH(H356,設定!$P$8:$P$27,0))+N(INDEX(設定!$R$8:$R$27,MATCH(H356,設定!$P$8:$P$27,0))))-INDEX(定員チェック!$F$7:$F$26,MATCH(H356,設定!$P$8:$P$27,0))-COUNTIFS($M$7:$M$456,"要調整",$G$7:$G$456,H356),""))</f>
        <v/>
      </c>
      <c r="O356" s="44">
        <f>IF(OR(M356&lt;&gt;"要調整",I356=""),"",IFERROR((INDEX(設定!$Q$8:$Q$27,MATCH(I356,設定!$P$8:$P$27,0))+N(INDEX(設定!$R$8:$R$27,MATCH(I356,設定!$P$8:$P$27,0))))-INDEX(定員チェック!$F$7:$F$26,MATCH(I356,設定!$P$8:$P$27,0))-COUNTIFS($M$7:$M$456,"要調整",$G$7:$G$456,I356),""))</f>
        <v/>
      </c>
      <c r="P356" s="8">
        <f>IFERROR(MATCH(SMALL(前年度名簿!$G$2:$G$451,350),前年度名簿!$G$2:$G$451,0),"")</f>
        <v/>
      </c>
      <c r="Q356" s="8">
        <f>IF(R356="","",IFERROR(MATCH(R356,希望入力!$M$2:$M$551,0),""))</f>
        <v/>
      </c>
      <c r="R356" s="8">
        <f>IF(P356="","",INDEX(前年度名簿!$F$2:$F$451,P356))</f>
        <v/>
      </c>
      <c r="S356" s="8">
        <f>IF(P356="","",INDEX(前年度名簿!$I$2:$I$451,P356))</f>
        <v/>
      </c>
      <c r="T356" s="8">
        <f>IF(OR(P356="",計算用!$B$1=0),"",IFERROR(MATCH(S356,新年度名簿!$H$2:$H$451,0),""))</f>
        <v/>
      </c>
      <c r="U356" s="8">
        <f>IF(OR(L356="",M356="転出"),"",IFERROR(MATCH(L356,設定!$P$8:$P$27,0),""))</f>
        <v/>
      </c>
      <c r="V356" s="8">
        <f>IF(U356="","",COUNTIF($U$7:U356,U356))</f>
        <v/>
      </c>
      <c r="W356" s="8">
        <f>IF(U356="","",U356*1000+V356)</f>
        <v/>
      </c>
    </row>
    <row r="357">
      <c r="A357" s="44">
        <f>IF(P357="","",INDEX(前年度名簿!$H$2:$H$451,P357))</f>
        <v/>
      </c>
      <c r="B357" s="44">
        <f>IF(P357="","",IFERROR(INDEX(設定!$G$8:$G$31,INT(INDEX(前年度名簿!$G$2:$G$451,P357)/1000)),INDEX(前年度名簿!$A$2:$A$451,P357)&amp;INDEX(前年度名簿!$B$2:$B$451,P357)))</f>
        <v/>
      </c>
      <c r="C357" s="44">
        <f>IF(P357="","",INDEX(前年度名簿!$C$2:$C$451,P357))</f>
        <v/>
      </c>
      <c r="D357" s="3">
        <f>IF(P357="","",INDEX(前年度名簿!$D$2:$D$451,P357))</f>
        <v/>
      </c>
      <c r="E357" s="44">
        <f>IF(T357="","",INDEX(新年度名簿!$K$2:$K$451,T357))</f>
        <v/>
      </c>
      <c r="F357" s="44">
        <f>IF(T357="","",INDEX(新年度名簿!$C$2:$C$451,T357))</f>
        <v/>
      </c>
      <c r="G357" s="44">
        <f>IF(Q357="","",INDEX(希望入力!$H$2:$H$551,Q357)&amp;"")</f>
        <v/>
      </c>
      <c r="H357" s="44">
        <f>IF(Q357="","",INDEX(希望入力!$I$2:$I$551,Q357)&amp;"")</f>
        <v/>
      </c>
      <c r="I357" s="44">
        <f>IF(Q357="","",INDEX(希望入力!$J$2:$J$551,Q357)&amp;"")</f>
        <v/>
      </c>
      <c r="J357" s="44">
        <f>IF(Q357="","",IF(G357="","要調整",IFERROR(IF(IF(OR(設定!$C$14="〇",設定!$C$14="○"),COUNTIFS($A$7:$A$456,"&gt;="&amp;A357,$G$7:$G$456,G357),COUNTIF($G$7:$G$456,G357))&lt;=(INDEX(設定!$Q$8:$Q$27,MATCH(G357,設定!$P$8:$P$27,0))+N(INDEX(設定!$R$8:$R$27,MATCH(G357,設定!$P$8:$P$27,0)))),G357,"要調整"),"要調整")))</f>
        <v/>
      </c>
      <c r="K357" s="40" t="n"/>
      <c r="L357" s="52">
        <f>IF(P357="","",IF(K357&lt;&gt;"",K357,IF(OR(J357="",J357="要調整"),"",J357)))</f>
        <v/>
      </c>
      <c r="M357" s="44">
        <f>IF(P357="","",IF(AND(計算用!$B$1=1,T357=""),"転出",IF(L357&lt;&gt;"","決定",IF(Q357="","未提出","要調整"))))</f>
        <v/>
      </c>
      <c r="N357" s="44">
        <f>IF(OR(M357&lt;&gt;"要調整",H357=""),"",IFERROR((INDEX(設定!$Q$8:$Q$27,MATCH(H357,設定!$P$8:$P$27,0))+N(INDEX(設定!$R$8:$R$27,MATCH(H357,設定!$P$8:$P$27,0))))-INDEX(定員チェック!$F$7:$F$26,MATCH(H357,設定!$P$8:$P$27,0))-COUNTIFS($M$7:$M$456,"要調整",$G$7:$G$456,H357),""))</f>
        <v/>
      </c>
      <c r="O357" s="44">
        <f>IF(OR(M357&lt;&gt;"要調整",I357=""),"",IFERROR((INDEX(設定!$Q$8:$Q$27,MATCH(I357,設定!$P$8:$P$27,0))+N(INDEX(設定!$R$8:$R$27,MATCH(I357,設定!$P$8:$P$27,0))))-INDEX(定員チェック!$F$7:$F$26,MATCH(I357,設定!$P$8:$P$27,0))-COUNTIFS($M$7:$M$456,"要調整",$G$7:$G$456,I357),""))</f>
        <v/>
      </c>
      <c r="P357" s="8">
        <f>IFERROR(MATCH(SMALL(前年度名簿!$G$2:$G$451,351),前年度名簿!$G$2:$G$451,0),"")</f>
        <v/>
      </c>
      <c r="Q357" s="8">
        <f>IF(R357="","",IFERROR(MATCH(R357,希望入力!$M$2:$M$551,0),""))</f>
        <v/>
      </c>
      <c r="R357" s="8">
        <f>IF(P357="","",INDEX(前年度名簿!$F$2:$F$451,P357))</f>
        <v/>
      </c>
      <c r="S357" s="8">
        <f>IF(P357="","",INDEX(前年度名簿!$I$2:$I$451,P357))</f>
        <v/>
      </c>
      <c r="T357" s="8">
        <f>IF(OR(P357="",計算用!$B$1=0),"",IFERROR(MATCH(S357,新年度名簿!$H$2:$H$451,0),""))</f>
        <v/>
      </c>
      <c r="U357" s="8">
        <f>IF(OR(L357="",M357="転出"),"",IFERROR(MATCH(L357,設定!$P$8:$P$27,0),""))</f>
        <v/>
      </c>
      <c r="V357" s="8">
        <f>IF(U357="","",COUNTIF($U$7:U357,U357))</f>
        <v/>
      </c>
      <c r="W357" s="8">
        <f>IF(U357="","",U357*1000+V357)</f>
        <v/>
      </c>
    </row>
    <row r="358">
      <c r="A358" s="44">
        <f>IF(P358="","",INDEX(前年度名簿!$H$2:$H$451,P358))</f>
        <v/>
      </c>
      <c r="B358" s="44">
        <f>IF(P358="","",IFERROR(INDEX(設定!$G$8:$G$31,INT(INDEX(前年度名簿!$G$2:$G$451,P358)/1000)),INDEX(前年度名簿!$A$2:$A$451,P358)&amp;INDEX(前年度名簿!$B$2:$B$451,P358)))</f>
        <v/>
      </c>
      <c r="C358" s="44">
        <f>IF(P358="","",INDEX(前年度名簿!$C$2:$C$451,P358))</f>
        <v/>
      </c>
      <c r="D358" s="3">
        <f>IF(P358="","",INDEX(前年度名簿!$D$2:$D$451,P358))</f>
        <v/>
      </c>
      <c r="E358" s="44">
        <f>IF(T358="","",INDEX(新年度名簿!$K$2:$K$451,T358))</f>
        <v/>
      </c>
      <c r="F358" s="44">
        <f>IF(T358="","",INDEX(新年度名簿!$C$2:$C$451,T358))</f>
        <v/>
      </c>
      <c r="G358" s="44">
        <f>IF(Q358="","",INDEX(希望入力!$H$2:$H$551,Q358)&amp;"")</f>
        <v/>
      </c>
      <c r="H358" s="44">
        <f>IF(Q358="","",INDEX(希望入力!$I$2:$I$551,Q358)&amp;"")</f>
        <v/>
      </c>
      <c r="I358" s="44">
        <f>IF(Q358="","",INDEX(希望入力!$J$2:$J$551,Q358)&amp;"")</f>
        <v/>
      </c>
      <c r="J358" s="44">
        <f>IF(Q358="","",IF(G358="","要調整",IFERROR(IF(IF(OR(設定!$C$14="〇",設定!$C$14="○"),COUNTIFS($A$7:$A$456,"&gt;="&amp;A358,$G$7:$G$456,G358),COUNTIF($G$7:$G$456,G358))&lt;=(INDEX(設定!$Q$8:$Q$27,MATCH(G358,設定!$P$8:$P$27,0))+N(INDEX(設定!$R$8:$R$27,MATCH(G358,設定!$P$8:$P$27,0)))),G358,"要調整"),"要調整")))</f>
        <v/>
      </c>
      <c r="K358" s="40" t="n"/>
      <c r="L358" s="52">
        <f>IF(P358="","",IF(K358&lt;&gt;"",K358,IF(OR(J358="",J358="要調整"),"",J358)))</f>
        <v/>
      </c>
      <c r="M358" s="44">
        <f>IF(P358="","",IF(AND(計算用!$B$1=1,T358=""),"転出",IF(L358&lt;&gt;"","決定",IF(Q358="","未提出","要調整"))))</f>
        <v/>
      </c>
      <c r="N358" s="44">
        <f>IF(OR(M358&lt;&gt;"要調整",H358=""),"",IFERROR((INDEX(設定!$Q$8:$Q$27,MATCH(H358,設定!$P$8:$P$27,0))+N(INDEX(設定!$R$8:$R$27,MATCH(H358,設定!$P$8:$P$27,0))))-INDEX(定員チェック!$F$7:$F$26,MATCH(H358,設定!$P$8:$P$27,0))-COUNTIFS($M$7:$M$456,"要調整",$G$7:$G$456,H358),""))</f>
        <v/>
      </c>
      <c r="O358" s="44">
        <f>IF(OR(M358&lt;&gt;"要調整",I358=""),"",IFERROR((INDEX(設定!$Q$8:$Q$27,MATCH(I358,設定!$P$8:$P$27,0))+N(INDEX(設定!$R$8:$R$27,MATCH(I358,設定!$P$8:$P$27,0))))-INDEX(定員チェック!$F$7:$F$26,MATCH(I358,設定!$P$8:$P$27,0))-COUNTIFS($M$7:$M$456,"要調整",$G$7:$G$456,I358),""))</f>
        <v/>
      </c>
      <c r="P358" s="8">
        <f>IFERROR(MATCH(SMALL(前年度名簿!$G$2:$G$451,352),前年度名簿!$G$2:$G$451,0),"")</f>
        <v/>
      </c>
      <c r="Q358" s="8">
        <f>IF(R358="","",IFERROR(MATCH(R358,希望入力!$M$2:$M$551,0),""))</f>
        <v/>
      </c>
      <c r="R358" s="8">
        <f>IF(P358="","",INDEX(前年度名簿!$F$2:$F$451,P358))</f>
        <v/>
      </c>
      <c r="S358" s="8">
        <f>IF(P358="","",INDEX(前年度名簿!$I$2:$I$451,P358))</f>
        <v/>
      </c>
      <c r="T358" s="8">
        <f>IF(OR(P358="",計算用!$B$1=0),"",IFERROR(MATCH(S358,新年度名簿!$H$2:$H$451,0),""))</f>
        <v/>
      </c>
      <c r="U358" s="8">
        <f>IF(OR(L358="",M358="転出"),"",IFERROR(MATCH(L358,設定!$P$8:$P$27,0),""))</f>
        <v/>
      </c>
      <c r="V358" s="8">
        <f>IF(U358="","",COUNTIF($U$7:U358,U358))</f>
        <v/>
      </c>
      <c r="W358" s="8">
        <f>IF(U358="","",U358*1000+V358)</f>
        <v/>
      </c>
    </row>
    <row r="359">
      <c r="A359" s="44">
        <f>IF(P359="","",INDEX(前年度名簿!$H$2:$H$451,P359))</f>
        <v/>
      </c>
      <c r="B359" s="44">
        <f>IF(P359="","",IFERROR(INDEX(設定!$G$8:$G$31,INT(INDEX(前年度名簿!$G$2:$G$451,P359)/1000)),INDEX(前年度名簿!$A$2:$A$451,P359)&amp;INDEX(前年度名簿!$B$2:$B$451,P359)))</f>
        <v/>
      </c>
      <c r="C359" s="44">
        <f>IF(P359="","",INDEX(前年度名簿!$C$2:$C$451,P359))</f>
        <v/>
      </c>
      <c r="D359" s="3">
        <f>IF(P359="","",INDEX(前年度名簿!$D$2:$D$451,P359))</f>
        <v/>
      </c>
      <c r="E359" s="44">
        <f>IF(T359="","",INDEX(新年度名簿!$K$2:$K$451,T359))</f>
        <v/>
      </c>
      <c r="F359" s="44">
        <f>IF(T359="","",INDEX(新年度名簿!$C$2:$C$451,T359))</f>
        <v/>
      </c>
      <c r="G359" s="44">
        <f>IF(Q359="","",INDEX(希望入力!$H$2:$H$551,Q359)&amp;"")</f>
        <v/>
      </c>
      <c r="H359" s="44">
        <f>IF(Q359="","",INDEX(希望入力!$I$2:$I$551,Q359)&amp;"")</f>
        <v/>
      </c>
      <c r="I359" s="44">
        <f>IF(Q359="","",INDEX(希望入力!$J$2:$J$551,Q359)&amp;"")</f>
        <v/>
      </c>
      <c r="J359" s="44">
        <f>IF(Q359="","",IF(G359="","要調整",IFERROR(IF(IF(OR(設定!$C$14="〇",設定!$C$14="○"),COUNTIFS($A$7:$A$456,"&gt;="&amp;A359,$G$7:$G$456,G359),COUNTIF($G$7:$G$456,G359))&lt;=(INDEX(設定!$Q$8:$Q$27,MATCH(G359,設定!$P$8:$P$27,0))+N(INDEX(設定!$R$8:$R$27,MATCH(G359,設定!$P$8:$P$27,0)))),G359,"要調整"),"要調整")))</f>
        <v/>
      </c>
      <c r="K359" s="40" t="inlineStr">
        <is>
          <t>料理</t>
        </is>
      </c>
      <c r="L359" s="52">
        <f>IF(P359="","",IF(K359&lt;&gt;"",K359,IF(OR(J359="",J359="要調整"),"",J359)))</f>
        <v/>
      </c>
      <c r="M359" s="44">
        <f>IF(P359="","",IF(AND(計算用!$B$1=1,T359=""),"転出",IF(L359&lt;&gt;"","決定",IF(Q359="","未提出","要調整"))))</f>
        <v/>
      </c>
      <c r="N359" s="44">
        <f>IF(OR(M359&lt;&gt;"要調整",H359=""),"",IFERROR((INDEX(設定!$Q$8:$Q$27,MATCH(H359,設定!$P$8:$P$27,0))+N(INDEX(設定!$R$8:$R$27,MATCH(H359,設定!$P$8:$P$27,0))))-INDEX(定員チェック!$F$7:$F$26,MATCH(H359,設定!$P$8:$P$27,0))-COUNTIFS($M$7:$M$456,"要調整",$G$7:$G$456,H359),""))</f>
        <v/>
      </c>
      <c r="O359" s="44">
        <f>IF(OR(M359&lt;&gt;"要調整",I359=""),"",IFERROR((INDEX(設定!$Q$8:$Q$27,MATCH(I359,設定!$P$8:$P$27,0))+N(INDEX(設定!$R$8:$R$27,MATCH(I359,設定!$P$8:$P$27,0))))-INDEX(定員チェック!$F$7:$F$26,MATCH(I359,設定!$P$8:$P$27,0))-COUNTIFS($M$7:$M$456,"要調整",$G$7:$G$456,I359),""))</f>
        <v/>
      </c>
      <c r="P359" s="8">
        <f>IFERROR(MATCH(SMALL(前年度名簿!$G$2:$G$451,353),前年度名簿!$G$2:$G$451,0),"")</f>
        <v/>
      </c>
      <c r="Q359" s="8">
        <f>IF(R359="","",IFERROR(MATCH(R359,希望入力!$M$2:$M$551,0),""))</f>
        <v/>
      </c>
      <c r="R359" s="8">
        <f>IF(P359="","",INDEX(前年度名簿!$F$2:$F$451,P359))</f>
        <v/>
      </c>
      <c r="S359" s="8">
        <f>IF(P359="","",INDEX(前年度名簿!$I$2:$I$451,P359))</f>
        <v/>
      </c>
      <c r="T359" s="8">
        <f>IF(OR(P359="",計算用!$B$1=0),"",IFERROR(MATCH(S359,新年度名簿!$H$2:$H$451,0),""))</f>
        <v/>
      </c>
      <c r="U359" s="8">
        <f>IF(OR(L359="",M359="転出"),"",IFERROR(MATCH(L359,設定!$P$8:$P$27,0),""))</f>
        <v/>
      </c>
      <c r="V359" s="8">
        <f>IF(U359="","",COUNTIF($U$7:U359,U359))</f>
        <v/>
      </c>
      <c r="W359" s="8">
        <f>IF(U359="","",U359*1000+V359)</f>
        <v/>
      </c>
    </row>
    <row r="360">
      <c r="A360" s="44">
        <f>IF(P360="","",INDEX(前年度名簿!$H$2:$H$451,P360))</f>
        <v/>
      </c>
      <c r="B360" s="44">
        <f>IF(P360="","",IFERROR(INDEX(設定!$G$8:$G$31,INT(INDEX(前年度名簿!$G$2:$G$451,P360)/1000)),INDEX(前年度名簿!$A$2:$A$451,P360)&amp;INDEX(前年度名簿!$B$2:$B$451,P360)))</f>
        <v/>
      </c>
      <c r="C360" s="44">
        <f>IF(P360="","",INDEX(前年度名簿!$C$2:$C$451,P360))</f>
        <v/>
      </c>
      <c r="D360" s="3">
        <f>IF(P360="","",INDEX(前年度名簿!$D$2:$D$451,P360))</f>
        <v/>
      </c>
      <c r="E360" s="44">
        <f>IF(T360="","",INDEX(新年度名簿!$K$2:$K$451,T360))</f>
        <v/>
      </c>
      <c r="F360" s="44">
        <f>IF(T360="","",INDEX(新年度名簿!$C$2:$C$451,T360))</f>
        <v/>
      </c>
      <c r="G360" s="44">
        <f>IF(Q360="","",INDEX(希望入力!$H$2:$H$551,Q360)&amp;"")</f>
        <v/>
      </c>
      <c r="H360" s="44">
        <f>IF(Q360="","",INDEX(希望入力!$I$2:$I$551,Q360)&amp;"")</f>
        <v/>
      </c>
      <c r="I360" s="44">
        <f>IF(Q360="","",INDEX(希望入力!$J$2:$J$551,Q360)&amp;"")</f>
        <v/>
      </c>
      <c r="J360" s="44">
        <f>IF(Q360="","",IF(G360="","要調整",IFERROR(IF(IF(OR(設定!$C$14="〇",設定!$C$14="○"),COUNTIFS($A$7:$A$456,"&gt;="&amp;A360,$G$7:$G$456,G360),COUNTIF($G$7:$G$456,G360))&lt;=(INDEX(設定!$Q$8:$Q$27,MATCH(G360,設定!$P$8:$P$27,0))+N(INDEX(設定!$R$8:$R$27,MATCH(G360,設定!$P$8:$P$27,0)))),G360,"要調整"),"要調整")))</f>
        <v/>
      </c>
      <c r="K360" s="40" t="n"/>
      <c r="L360" s="52">
        <f>IF(P360="","",IF(K360&lt;&gt;"",K360,IF(OR(J360="",J360="要調整"),"",J360)))</f>
        <v/>
      </c>
      <c r="M360" s="44">
        <f>IF(P360="","",IF(AND(計算用!$B$1=1,T360=""),"転出",IF(L360&lt;&gt;"","決定",IF(Q360="","未提出","要調整"))))</f>
        <v/>
      </c>
      <c r="N360" s="44">
        <f>IF(OR(M360&lt;&gt;"要調整",H360=""),"",IFERROR((INDEX(設定!$Q$8:$Q$27,MATCH(H360,設定!$P$8:$P$27,0))+N(INDEX(設定!$R$8:$R$27,MATCH(H360,設定!$P$8:$P$27,0))))-INDEX(定員チェック!$F$7:$F$26,MATCH(H360,設定!$P$8:$P$27,0))-COUNTIFS($M$7:$M$456,"要調整",$G$7:$G$456,H360),""))</f>
        <v/>
      </c>
      <c r="O360" s="44">
        <f>IF(OR(M360&lt;&gt;"要調整",I360=""),"",IFERROR((INDEX(設定!$Q$8:$Q$27,MATCH(I360,設定!$P$8:$P$27,0))+N(INDEX(設定!$R$8:$R$27,MATCH(I360,設定!$P$8:$P$27,0))))-INDEX(定員チェック!$F$7:$F$26,MATCH(I360,設定!$P$8:$P$27,0))-COUNTIFS($M$7:$M$456,"要調整",$G$7:$G$456,I360),""))</f>
        <v/>
      </c>
      <c r="P360" s="8">
        <f>IFERROR(MATCH(SMALL(前年度名簿!$G$2:$G$451,354),前年度名簿!$G$2:$G$451,0),"")</f>
        <v/>
      </c>
      <c r="Q360" s="8">
        <f>IF(R360="","",IFERROR(MATCH(R360,希望入力!$M$2:$M$551,0),""))</f>
        <v/>
      </c>
      <c r="R360" s="8">
        <f>IF(P360="","",INDEX(前年度名簿!$F$2:$F$451,P360))</f>
        <v/>
      </c>
      <c r="S360" s="8">
        <f>IF(P360="","",INDEX(前年度名簿!$I$2:$I$451,P360))</f>
        <v/>
      </c>
      <c r="T360" s="8">
        <f>IF(OR(P360="",計算用!$B$1=0),"",IFERROR(MATCH(S360,新年度名簿!$H$2:$H$451,0),""))</f>
        <v/>
      </c>
      <c r="U360" s="8">
        <f>IF(OR(L360="",M360="転出"),"",IFERROR(MATCH(L360,設定!$P$8:$P$27,0),""))</f>
        <v/>
      </c>
      <c r="V360" s="8">
        <f>IF(U360="","",COUNTIF($U$7:U360,U360))</f>
        <v/>
      </c>
      <c r="W360" s="8">
        <f>IF(U360="","",U360*1000+V360)</f>
        <v/>
      </c>
    </row>
    <row r="361">
      <c r="A361" s="44">
        <f>IF(P361="","",INDEX(前年度名簿!$H$2:$H$451,P361))</f>
        <v/>
      </c>
      <c r="B361" s="44">
        <f>IF(P361="","",IFERROR(INDEX(設定!$G$8:$G$31,INT(INDEX(前年度名簿!$G$2:$G$451,P361)/1000)),INDEX(前年度名簿!$A$2:$A$451,P361)&amp;INDEX(前年度名簿!$B$2:$B$451,P361)))</f>
        <v/>
      </c>
      <c r="C361" s="44">
        <f>IF(P361="","",INDEX(前年度名簿!$C$2:$C$451,P361))</f>
        <v/>
      </c>
      <c r="D361" s="3">
        <f>IF(P361="","",INDEX(前年度名簿!$D$2:$D$451,P361))</f>
        <v/>
      </c>
      <c r="E361" s="44">
        <f>IF(T361="","",INDEX(新年度名簿!$K$2:$K$451,T361))</f>
        <v/>
      </c>
      <c r="F361" s="44">
        <f>IF(T361="","",INDEX(新年度名簿!$C$2:$C$451,T361))</f>
        <v/>
      </c>
      <c r="G361" s="44">
        <f>IF(Q361="","",INDEX(希望入力!$H$2:$H$551,Q361)&amp;"")</f>
        <v/>
      </c>
      <c r="H361" s="44">
        <f>IF(Q361="","",INDEX(希望入力!$I$2:$I$551,Q361)&amp;"")</f>
        <v/>
      </c>
      <c r="I361" s="44">
        <f>IF(Q361="","",INDEX(希望入力!$J$2:$J$551,Q361)&amp;"")</f>
        <v/>
      </c>
      <c r="J361" s="44">
        <f>IF(Q361="","",IF(G361="","要調整",IFERROR(IF(IF(OR(設定!$C$14="〇",設定!$C$14="○"),COUNTIFS($A$7:$A$456,"&gt;="&amp;A361,$G$7:$G$456,G361),COUNTIF($G$7:$G$456,G361))&lt;=(INDEX(設定!$Q$8:$Q$27,MATCH(G361,設定!$P$8:$P$27,0))+N(INDEX(設定!$R$8:$R$27,MATCH(G361,設定!$P$8:$P$27,0)))),G361,"要調整"),"要調整")))</f>
        <v/>
      </c>
      <c r="K361" s="40" t="n"/>
      <c r="L361" s="52">
        <f>IF(P361="","",IF(K361&lt;&gt;"",K361,IF(OR(J361="",J361="要調整"),"",J361)))</f>
        <v/>
      </c>
      <c r="M361" s="44">
        <f>IF(P361="","",IF(AND(計算用!$B$1=1,T361=""),"転出",IF(L361&lt;&gt;"","決定",IF(Q361="","未提出","要調整"))))</f>
        <v/>
      </c>
      <c r="N361" s="44">
        <f>IF(OR(M361&lt;&gt;"要調整",H361=""),"",IFERROR((INDEX(設定!$Q$8:$Q$27,MATCH(H361,設定!$P$8:$P$27,0))+N(INDEX(設定!$R$8:$R$27,MATCH(H361,設定!$P$8:$P$27,0))))-INDEX(定員チェック!$F$7:$F$26,MATCH(H361,設定!$P$8:$P$27,0))-COUNTIFS($M$7:$M$456,"要調整",$G$7:$G$456,H361),""))</f>
        <v/>
      </c>
      <c r="O361" s="44">
        <f>IF(OR(M361&lt;&gt;"要調整",I361=""),"",IFERROR((INDEX(設定!$Q$8:$Q$27,MATCH(I361,設定!$P$8:$P$27,0))+N(INDEX(設定!$R$8:$R$27,MATCH(I361,設定!$P$8:$P$27,0))))-INDEX(定員チェック!$F$7:$F$26,MATCH(I361,設定!$P$8:$P$27,0))-COUNTIFS($M$7:$M$456,"要調整",$G$7:$G$456,I361),""))</f>
        <v/>
      </c>
      <c r="P361" s="8">
        <f>IFERROR(MATCH(SMALL(前年度名簿!$G$2:$G$451,355),前年度名簿!$G$2:$G$451,0),"")</f>
        <v/>
      </c>
      <c r="Q361" s="8">
        <f>IF(R361="","",IFERROR(MATCH(R361,希望入力!$M$2:$M$551,0),""))</f>
        <v/>
      </c>
      <c r="R361" s="8">
        <f>IF(P361="","",INDEX(前年度名簿!$F$2:$F$451,P361))</f>
        <v/>
      </c>
      <c r="S361" s="8">
        <f>IF(P361="","",INDEX(前年度名簿!$I$2:$I$451,P361))</f>
        <v/>
      </c>
      <c r="T361" s="8">
        <f>IF(OR(P361="",計算用!$B$1=0),"",IFERROR(MATCH(S361,新年度名簿!$H$2:$H$451,0),""))</f>
        <v/>
      </c>
      <c r="U361" s="8">
        <f>IF(OR(L361="",M361="転出"),"",IFERROR(MATCH(L361,設定!$P$8:$P$27,0),""))</f>
        <v/>
      </c>
      <c r="V361" s="8">
        <f>IF(U361="","",COUNTIF($U$7:U361,U361))</f>
        <v/>
      </c>
      <c r="W361" s="8">
        <f>IF(U361="","",U361*1000+V361)</f>
        <v/>
      </c>
    </row>
    <row r="362">
      <c r="A362" s="44">
        <f>IF(P362="","",INDEX(前年度名簿!$H$2:$H$451,P362))</f>
        <v/>
      </c>
      <c r="B362" s="44">
        <f>IF(P362="","",IFERROR(INDEX(設定!$G$8:$G$31,INT(INDEX(前年度名簿!$G$2:$G$451,P362)/1000)),INDEX(前年度名簿!$A$2:$A$451,P362)&amp;INDEX(前年度名簿!$B$2:$B$451,P362)))</f>
        <v/>
      </c>
      <c r="C362" s="44">
        <f>IF(P362="","",INDEX(前年度名簿!$C$2:$C$451,P362))</f>
        <v/>
      </c>
      <c r="D362" s="3">
        <f>IF(P362="","",INDEX(前年度名簿!$D$2:$D$451,P362))</f>
        <v/>
      </c>
      <c r="E362" s="44">
        <f>IF(T362="","",INDEX(新年度名簿!$K$2:$K$451,T362))</f>
        <v/>
      </c>
      <c r="F362" s="44">
        <f>IF(T362="","",INDEX(新年度名簿!$C$2:$C$451,T362))</f>
        <v/>
      </c>
      <c r="G362" s="44">
        <f>IF(Q362="","",INDEX(希望入力!$H$2:$H$551,Q362)&amp;"")</f>
        <v/>
      </c>
      <c r="H362" s="44">
        <f>IF(Q362="","",INDEX(希望入力!$I$2:$I$551,Q362)&amp;"")</f>
        <v/>
      </c>
      <c r="I362" s="44">
        <f>IF(Q362="","",INDEX(希望入力!$J$2:$J$551,Q362)&amp;"")</f>
        <v/>
      </c>
      <c r="J362" s="44">
        <f>IF(Q362="","",IF(G362="","要調整",IFERROR(IF(IF(OR(設定!$C$14="〇",設定!$C$14="○"),COUNTIFS($A$7:$A$456,"&gt;="&amp;A362,$G$7:$G$456,G362),COUNTIF($G$7:$G$456,G362))&lt;=(INDEX(設定!$Q$8:$Q$27,MATCH(G362,設定!$P$8:$P$27,0))+N(INDEX(設定!$R$8:$R$27,MATCH(G362,設定!$P$8:$P$27,0)))),G362,"要調整"),"要調整")))</f>
        <v/>
      </c>
      <c r="K362" s="40" t="inlineStr">
        <is>
          <t>音楽</t>
        </is>
      </c>
      <c r="L362" s="52">
        <f>IF(P362="","",IF(K362&lt;&gt;"",K362,IF(OR(J362="",J362="要調整"),"",J362)))</f>
        <v/>
      </c>
      <c r="M362" s="44">
        <f>IF(P362="","",IF(AND(計算用!$B$1=1,T362=""),"転出",IF(L362&lt;&gt;"","決定",IF(Q362="","未提出","要調整"))))</f>
        <v/>
      </c>
      <c r="N362" s="44">
        <f>IF(OR(M362&lt;&gt;"要調整",H362=""),"",IFERROR((INDEX(設定!$Q$8:$Q$27,MATCH(H362,設定!$P$8:$P$27,0))+N(INDEX(設定!$R$8:$R$27,MATCH(H362,設定!$P$8:$P$27,0))))-INDEX(定員チェック!$F$7:$F$26,MATCH(H362,設定!$P$8:$P$27,0))-COUNTIFS($M$7:$M$456,"要調整",$G$7:$G$456,H362),""))</f>
        <v/>
      </c>
      <c r="O362" s="44">
        <f>IF(OR(M362&lt;&gt;"要調整",I362=""),"",IFERROR((INDEX(設定!$Q$8:$Q$27,MATCH(I362,設定!$P$8:$P$27,0))+N(INDEX(設定!$R$8:$R$27,MATCH(I362,設定!$P$8:$P$27,0))))-INDEX(定員チェック!$F$7:$F$26,MATCH(I362,設定!$P$8:$P$27,0))-COUNTIFS($M$7:$M$456,"要調整",$G$7:$G$456,I362),""))</f>
        <v/>
      </c>
      <c r="P362" s="8">
        <f>IFERROR(MATCH(SMALL(前年度名簿!$G$2:$G$451,356),前年度名簿!$G$2:$G$451,0),"")</f>
        <v/>
      </c>
      <c r="Q362" s="8">
        <f>IF(R362="","",IFERROR(MATCH(R362,希望入力!$M$2:$M$551,0),""))</f>
        <v/>
      </c>
      <c r="R362" s="8">
        <f>IF(P362="","",INDEX(前年度名簿!$F$2:$F$451,P362))</f>
        <v/>
      </c>
      <c r="S362" s="8">
        <f>IF(P362="","",INDEX(前年度名簿!$I$2:$I$451,P362))</f>
        <v/>
      </c>
      <c r="T362" s="8">
        <f>IF(OR(P362="",計算用!$B$1=0),"",IFERROR(MATCH(S362,新年度名簿!$H$2:$H$451,0),""))</f>
        <v/>
      </c>
      <c r="U362" s="8">
        <f>IF(OR(L362="",M362="転出"),"",IFERROR(MATCH(L362,設定!$P$8:$P$27,0),""))</f>
        <v/>
      </c>
      <c r="V362" s="8">
        <f>IF(U362="","",COUNTIF($U$7:U362,U362))</f>
        <v/>
      </c>
      <c r="W362" s="8">
        <f>IF(U362="","",U362*1000+V362)</f>
        <v/>
      </c>
    </row>
    <row r="363">
      <c r="A363" s="44">
        <f>IF(P363="","",INDEX(前年度名簿!$H$2:$H$451,P363))</f>
        <v/>
      </c>
      <c r="B363" s="44">
        <f>IF(P363="","",IFERROR(INDEX(設定!$G$8:$G$31,INT(INDEX(前年度名簿!$G$2:$G$451,P363)/1000)),INDEX(前年度名簿!$A$2:$A$451,P363)&amp;INDEX(前年度名簿!$B$2:$B$451,P363)))</f>
        <v/>
      </c>
      <c r="C363" s="44">
        <f>IF(P363="","",INDEX(前年度名簿!$C$2:$C$451,P363))</f>
        <v/>
      </c>
      <c r="D363" s="3">
        <f>IF(P363="","",INDEX(前年度名簿!$D$2:$D$451,P363))</f>
        <v/>
      </c>
      <c r="E363" s="44">
        <f>IF(T363="","",INDEX(新年度名簿!$K$2:$K$451,T363))</f>
        <v/>
      </c>
      <c r="F363" s="44">
        <f>IF(T363="","",INDEX(新年度名簿!$C$2:$C$451,T363))</f>
        <v/>
      </c>
      <c r="G363" s="44">
        <f>IF(Q363="","",INDEX(希望入力!$H$2:$H$551,Q363)&amp;"")</f>
        <v/>
      </c>
      <c r="H363" s="44">
        <f>IF(Q363="","",INDEX(希望入力!$I$2:$I$551,Q363)&amp;"")</f>
        <v/>
      </c>
      <c r="I363" s="44">
        <f>IF(Q363="","",INDEX(希望入力!$J$2:$J$551,Q363)&amp;"")</f>
        <v/>
      </c>
      <c r="J363" s="44">
        <f>IF(Q363="","",IF(G363="","要調整",IFERROR(IF(IF(OR(設定!$C$14="〇",設定!$C$14="○"),COUNTIFS($A$7:$A$456,"&gt;="&amp;A363,$G$7:$G$456,G363),COUNTIF($G$7:$G$456,G363))&lt;=(INDEX(設定!$Q$8:$Q$27,MATCH(G363,設定!$P$8:$P$27,0))+N(INDEX(設定!$R$8:$R$27,MATCH(G363,設定!$P$8:$P$27,0)))),G363,"要調整"),"要調整")))</f>
        <v/>
      </c>
      <c r="K363" s="40" t="n"/>
      <c r="L363" s="52">
        <f>IF(P363="","",IF(K363&lt;&gt;"",K363,IF(OR(J363="",J363="要調整"),"",J363)))</f>
        <v/>
      </c>
      <c r="M363" s="44">
        <f>IF(P363="","",IF(AND(計算用!$B$1=1,T363=""),"転出",IF(L363&lt;&gt;"","決定",IF(Q363="","未提出","要調整"))))</f>
        <v/>
      </c>
      <c r="N363" s="44">
        <f>IF(OR(M363&lt;&gt;"要調整",H363=""),"",IFERROR((INDEX(設定!$Q$8:$Q$27,MATCH(H363,設定!$P$8:$P$27,0))+N(INDEX(設定!$R$8:$R$27,MATCH(H363,設定!$P$8:$P$27,0))))-INDEX(定員チェック!$F$7:$F$26,MATCH(H363,設定!$P$8:$P$27,0))-COUNTIFS($M$7:$M$456,"要調整",$G$7:$G$456,H363),""))</f>
        <v/>
      </c>
      <c r="O363" s="44">
        <f>IF(OR(M363&lt;&gt;"要調整",I363=""),"",IFERROR((INDEX(設定!$Q$8:$Q$27,MATCH(I363,設定!$P$8:$P$27,0))+N(INDEX(設定!$R$8:$R$27,MATCH(I363,設定!$P$8:$P$27,0))))-INDEX(定員チェック!$F$7:$F$26,MATCH(I363,設定!$P$8:$P$27,0))-COUNTIFS($M$7:$M$456,"要調整",$G$7:$G$456,I363),""))</f>
        <v/>
      </c>
      <c r="P363" s="8">
        <f>IFERROR(MATCH(SMALL(前年度名簿!$G$2:$G$451,357),前年度名簿!$G$2:$G$451,0),"")</f>
        <v/>
      </c>
      <c r="Q363" s="8">
        <f>IF(R363="","",IFERROR(MATCH(R363,希望入力!$M$2:$M$551,0),""))</f>
        <v/>
      </c>
      <c r="R363" s="8">
        <f>IF(P363="","",INDEX(前年度名簿!$F$2:$F$451,P363))</f>
        <v/>
      </c>
      <c r="S363" s="8">
        <f>IF(P363="","",INDEX(前年度名簿!$I$2:$I$451,P363))</f>
        <v/>
      </c>
      <c r="T363" s="8">
        <f>IF(OR(P363="",計算用!$B$1=0),"",IFERROR(MATCH(S363,新年度名簿!$H$2:$H$451,0),""))</f>
        <v/>
      </c>
      <c r="U363" s="8">
        <f>IF(OR(L363="",M363="転出"),"",IFERROR(MATCH(L363,設定!$P$8:$P$27,0),""))</f>
        <v/>
      </c>
      <c r="V363" s="8">
        <f>IF(U363="","",COUNTIF($U$7:U363,U363))</f>
        <v/>
      </c>
      <c r="W363" s="8">
        <f>IF(U363="","",U363*1000+V363)</f>
        <v/>
      </c>
    </row>
    <row r="364">
      <c r="A364" s="44">
        <f>IF(P364="","",INDEX(前年度名簿!$H$2:$H$451,P364))</f>
        <v/>
      </c>
      <c r="B364" s="44">
        <f>IF(P364="","",IFERROR(INDEX(設定!$G$8:$G$31,INT(INDEX(前年度名簿!$G$2:$G$451,P364)/1000)),INDEX(前年度名簿!$A$2:$A$451,P364)&amp;INDEX(前年度名簿!$B$2:$B$451,P364)))</f>
        <v/>
      </c>
      <c r="C364" s="44">
        <f>IF(P364="","",INDEX(前年度名簿!$C$2:$C$451,P364))</f>
        <v/>
      </c>
      <c r="D364" s="3">
        <f>IF(P364="","",INDEX(前年度名簿!$D$2:$D$451,P364))</f>
        <v/>
      </c>
      <c r="E364" s="44">
        <f>IF(T364="","",INDEX(新年度名簿!$K$2:$K$451,T364))</f>
        <v/>
      </c>
      <c r="F364" s="44">
        <f>IF(T364="","",INDEX(新年度名簿!$C$2:$C$451,T364))</f>
        <v/>
      </c>
      <c r="G364" s="44">
        <f>IF(Q364="","",INDEX(希望入力!$H$2:$H$551,Q364)&amp;"")</f>
        <v/>
      </c>
      <c r="H364" s="44">
        <f>IF(Q364="","",INDEX(希望入力!$I$2:$I$551,Q364)&amp;"")</f>
        <v/>
      </c>
      <c r="I364" s="44">
        <f>IF(Q364="","",INDEX(希望入力!$J$2:$J$551,Q364)&amp;"")</f>
        <v/>
      </c>
      <c r="J364" s="44">
        <f>IF(Q364="","",IF(G364="","要調整",IFERROR(IF(IF(OR(設定!$C$14="〇",設定!$C$14="○"),COUNTIFS($A$7:$A$456,"&gt;="&amp;A364,$G$7:$G$456,G364),COUNTIF($G$7:$G$456,G364))&lt;=(INDEX(設定!$Q$8:$Q$27,MATCH(G364,設定!$P$8:$P$27,0))+N(INDEX(設定!$R$8:$R$27,MATCH(G364,設定!$P$8:$P$27,0)))),G364,"要調整"),"要調整")))</f>
        <v/>
      </c>
      <c r="K364" s="40" t="n"/>
      <c r="L364" s="52">
        <f>IF(P364="","",IF(K364&lt;&gt;"",K364,IF(OR(J364="",J364="要調整"),"",J364)))</f>
        <v/>
      </c>
      <c r="M364" s="44">
        <f>IF(P364="","",IF(AND(計算用!$B$1=1,T364=""),"転出",IF(L364&lt;&gt;"","決定",IF(Q364="","未提出","要調整"))))</f>
        <v/>
      </c>
      <c r="N364" s="44">
        <f>IF(OR(M364&lt;&gt;"要調整",H364=""),"",IFERROR((INDEX(設定!$Q$8:$Q$27,MATCH(H364,設定!$P$8:$P$27,0))+N(INDEX(設定!$R$8:$R$27,MATCH(H364,設定!$P$8:$P$27,0))))-INDEX(定員チェック!$F$7:$F$26,MATCH(H364,設定!$P$8:$P$27,0))-COUNTIFS($M$7:$M$456,"要調整",$G$7:$G$456,H364),""))</f>
        <v/>
      </c>
      <c r="O364" s="44">
        <f>IF(OR(M364&lt;&gt;"要調整",I364=""),"",IFERROR((INDEX(設定!$Q$8:$Q$27,MATCH(I364,設定!$P$8:$P$27,0))+N(INDEX(設定!$R$8:$R$27,MATCH(I364,設定!$P$8:$P$27,0))))-INDEX(定員チェック!$F$7:$F$26,MATCH(I364,設定!$P$8:$P$27,0))-COUNTIFS($M$7:$M$456,"要調整",$G$7:$G$456,I364),""))</f>
        <v/>
      </c>
      <c r="P364" s="8">
        <f>IFERROR(MATCH(SMALL(前年度名簿!$G$2:$G$451,358),前年度名簿!$G$2:$G$451,0),"")</f>
        <v/>
      </c>
      <c r="Q364" s="8">
        <f>IF(R364="","",IFERROR(MATCH(R364,希望入力!$M$2:$M$551,0),""))</f>
        <v/>
      </c>
      <c r="R364" s="8">
        <f>IF(P364="","",INDEX(前年度名簿!$F$2:$F$451,P364))</f>
        <v/>
      </c>
      <c r="S364" s="8">
        <f>IF(P364="","",INDEX(前年度名簿!$I$2:$I$451,P364))</f>
        <v/>
      </c>
      <c r="T364" s="8">
        <f>IF(OR(P364="",計算用!$B$1=0),"",IFERROR(MATCH(S364,新年度名簿!$H$2:$H$451,0),""))</f>
        <v/>
      </c>
      <c r="U364" s="8">
        <f>IF(OR(L364="",M364="転出"),"",IFERROR(MATCH(L364,設定!$P$8:$P$27,0),""))</f>
        <v/>
      </c>
      <c r="V364" s="8">
        <f>IF(U364="","",COUNTIF($U$7:U364,U364))</f>
        <v/>
      </c>
      <c r="W364" s="8">
        <f>IF(U364="","",U364*1000+V364)</f>
        <v/>
      </c>
    </row>
    <row r="365">
      <c r="A365" s="44">
        <f>IF(P365="","",INDEX(前年度名簿!$H$2:$H$451,P365))</f>
        <v/>
      </c>
      <c r="B365" s="44">
        <f>IF(P365="","",IFERROR(INDEX(設定!$G$8:$G$31,INT(INDEX(前年度名簿!$G$2:$G$451,P365)/1000)),INDEX(前年度名簿!$A$2:$A$451,P365)&amp;INDEX(前年度名簿!$B$2:$B$451,P365)))</f>
        <v/>
      </c>
      <c r="C365" s="44">
        <f>IF(P365="","",INDEX(前年度名簿!$C$2:$C$451,P365))</f>
        <v/>
      </c>
      <c r="D365" s="3">
        <f>IF(P365="","",INDEX(前年度名簿!$D$2:$D$451,P365))</f>
        <v/>
      </c>
      <c r="E365" s="44">
        <f>IF(T365="","",INDEX(新年度名簿!$K$2:$K$451,T365))</f>
        <v/>
      </c>
      <c r="F365" s="44">
        <f>IF(T365="","",INDEX(新年度名簿!$C$2:$C$451,T365))</f>
        <v/>
      </c>
      <c r="G365" s="44">
        <f>IF(Q365="","",INDEX(希望入力!$H$2:$H$551,Q365)&amp;"")</f>
        <v/>
      </c>
      <c r="H365" s="44">
        <f>IF(Q365="","",INDEX(希望入力!$I$2:$I$551,Q365)&amp;"")</f>
        <v/>
      </c>
      <c r="I365" s="44">
        <f>IF(Q365="","",INDEX(希望入力!$J$2:$J$551,Q365)&amp;"")</f>
        <v/>
      </c>
      <c r="J365" s="44">
        <f>IF(Q365="","",IF(G365="","要調整",IFERROR(IF(IF(OR(設定!$C$14="〇",設定!$C$14="○"),COUNTIFS($A$7:$A$456,"&gt;="&amp;A365,$G$7:$G$456,G365),COUNTIF($G$7:$G$456,G365))&lt;=(INDEX(設定!$Q$8:$Q$27,MATCH(G365,設定!$P$8:$P$27,0))+N(INDEX(設定!$R$8:$R$27,MATCH(G365,設定!$P$8:$P$27,0)))),G365,"要調整"),"要調整")))</f>
        <v/>
      </c>
      <c r="K365" s="40" t="n"/>
      <c r="L365" s="52">
        <f>IF(P365="","",IF(K365&lt;&gt;"",K365,IF(OR(J365="",J365="要調整"),"",J365)))</f>
        <v/>
      </c>
      <c r="M365" s="44">
        <f>IF(P365="","",IF(AND(計算用!$B$1=1,T365=""),"転出",IF(L365&lt;&gt;"","決定",IF(Q365="","未提出","要調整"))))</f>
        <v/>
      </c>
      <c r="N365" s="44">
        <f>IF(OR(M365&lt;&gt;"要調整",H365=""),"",IFERROR((INDEX(設定!$Q$8:$Q$27,MATCH(H365,設定!$P$8:$P$27,0))+N(INDEX(設定!$R$8:$R$27,MATCH(H365,設定!$P$8:$P$27,0))))-INDEX(定員チェック!$F$7:$F$26,MATCH(H365,設定!$P$8:$P$27,0))-COUNTIFS($M$7:$M$456,"要調整",$G$7:$G$456,H365),""))</f>
        <v/>
      </c>
      <c r="O365" s="44">
        <f>IF(OR(M365&lt;&gt;"要調整",I365=""),"",IFERROR((INDEX(設定!$Q$8:$Q$27,MATCH(I365,設定!$P$8:$P$27,0))+N(INDEX(設定!$R$8:$R$27,MATCH(I365,設定!$P$8:$P$27,0))))-INDEX(定員チェック!$F$7:$F$26,MATCH(I365,設定!$P$8:$P$27,0))-COUNTIFS($M$7:$M$456,"要調整",$G$7:$G$456,I365),""))</f>
        <v/>
      </c>
      <c r="P365" s="8">
        <f>IFERROR(MATCH(SMALL(前年度名簿!$G$2:$G$451,359),前年度名簿!$G$2:$G$451,0),"")</f>
        <v/>
      </c>
      <c r="Q365" s="8">
        <f>IF(R365="","",IFERROR(MATCH(R365,希望入力!$M$2:$M$551,0),""))</f>
        <v/>
      </c>
      <c r="R365" s="8">
        <f>IF(P365="","",INDEX(前年度名簿!$F$2:$F$451,P365))</f>
        <v/>
      </c>
      <c r="S365" s="8">
        <f>IF(P365="","",INDEX(前年度名簿!$I$2:$I$451,P365))</f>
        <v/>
      </c>
      <c r="T365" s="8">
        <f>IF(OR(P365="",計算用!$B$1=0),"",IFERROR(MATCH(S365,新年度名簿!$H$2:$H$451,0),""))</f>
        <v/>
      </c>
      <c r="U365" s="8">
        <f>IF(OR(L365="",M365="転出"),"",IFERROR(MATCH(L365,設定!$P$8:$P$27,0),""))</f>
        <v/>
      </c>
      <c r="V365" s="8">
        <f>IF(U365="","",COUNTIF($U$7:U365,U365))</f>
        <v/>
      </c>
      <c r="W365" s="8">
        <f>IF(U365="","",U365*1000+V365)</f>
        <v/>
      </c>
    </row>
    <row r="366">
      <c r="A366" s="44">
        <f>IF(P366="","",INDEX(前年度名簿!$H$2:$H$451,P366))</f>
        <v/>
      </c>
      <c r="B366" s="44">
        <f>IF(P366="","",IFERROR(INDEX(設定!$G$8:$G$31,INT(INDEX(前年度名簿!$G$2:$G$451,P366)/1000)),INDEX(前年度名簿!$A$2:$A$451,P366)&amp;INDEX(前年度名簿!$B$2:$B$451,P366)))</f>
        <v/>
      </c>
      <c r="C366" s="44">
        <f>IF(P366="","",INDEX(前年度名簿!$C$2:$C$451,P366))</f>
        <v/>
      </c>
      <c r="D366" s="3">
        <f>IF(P366="","",INDEX(前年度名簿!$D$2:$D$451,P366))</f>
        <v/>
      </c>
      <c r="E366" s="44">
        <f>IF(T366="","",INDEX(新年度名簿!$K$2:$K$451,T366))</f>
        <v/>
      </c>
      <c r="F366" s="44">
        <f>IF(T366="","",INDEX(新年度名簿!$C$2:$C$451,T366))</f>
        <v/>
      </c>
      <c r="G366" s="44">
        <f>IF(Q366="","",INDEX(希望入力!$H$2:$H$551,Q366)&amp;"")</f>
        <v/>
      </c>
      <c r="H366" s="44">
        <f>IF(Q366="","",INDEX(希望入力!$I$2:$I$551,Q366)&amp;"")</f>
        <v/>
      </c>
      <c r="I366" s="44">
        <f>IF(Q366="","",INDEX(希望入力!$J$2:$J$551,Q366)&amp;"")</f>
        <v/>
      </c>
      <c r="J366" s="44">
        <f>IF(Q366="","",IF(G366="","要調整",IFERROR(IF(IF(OR(設定!$C$14="〇",設定!$C$14="○"),COUNTIFS($A$7:$A$456,"&gt;="&amp;A366,$G$7:$G$456,G366),COUNTIF($G$7:$G$456,G366))&lt;=(INDEX(設定!$Q$8:$Q$27,MATCH(G366,設定!$P$8:$P$27,0))+N(INDEX(設定!$R$8:$R$27,MATCH(G366,設定!$P$8:$P$27,0)))),G366,"要調整"),"要調整")))</f>
        <v/>
      </c>
      <c r="K366" s="40" t="n"/>
      <c r="L366" s="52">
        <f>IF(P366="","",IF(K366&lt;&gt;"",K366,IF(OR(J366="",J366="要調整"),"",J366)))</f>
        <v/>
      </c>
      <c r="M366" s="44">
        <f>IF(P366="","",IF(AND(計算用!$B$1=1,T366=""),"転出",IF(L366&lt;&gt;"","決定",IF(Q366="","未提出","要調整"))))</f>
        <v/>
      </c>
      <c r="N366" s="44">
        <f>IF(OR(M366&lt;&gt;"要調整",H366=""),"",IFERROR((INDEX(設定!$Q$8:$Q$27,MATCH(H366,設定!$P$8:$P$27,0))+N(INDEX(設定!$R$8:$R$27,MATCH(H366,設定!$P$8:$P$27,0))))-INDEX(定員チェック!$F$7:$F$26,MATCH(H366,設定!$P$8:$P$27,0))-COUNTIFS($M$7:$M$456,"要調整",$G$7:$G$456,H366),""))</f>
        <v/>
      </c>
      <c r="O366" s="44">
        <f>IF(OR(M366&lt;&gt;"要調整",I366=""),"",IFERROR((INDEX(設定!$Q$8:$Q$27,MATCH(I366,設定!$P$8:$P$27,0))+N(INDEX(設定!$R$8:$R$27,MATCH(I366,設定!$P$8:$P$27,0))))-INDEX(定員チェック!$F$7:$F$26,MATCH(I366,設定!$P$8:$P$27,0))-COUNTIFS($M$7:$M$456,"要調整",$G$7:$G$456,I366),""))</f>
        <v/>
      </c>
      <c r="P366" s="8">
        <f>IFERROR(MATCH(SMALL(前年度名簿!$G$2:$G$451,360),前年度名簿!$G$2:$G$451,0),"")</f>
        <v/>
      </c>
      <c r="Q366" s="8">
        <f>IF(R366="","",IFERROR(MATCH(R366,希望入力!$M$2:$M$551,0),""))</f>
        <v/>
      </c>
      <c r="R366" s="8">
        <f>IF(P366="","",INDEX(前年度名簿!$F$2:$F$451,P366))</f>
        <v/>
      </c>
      <c r="S366" s="8">
        <f>IF(P366="","",INDEX(前年度名簿!$I$2:$I$451,P366))</f>
        <v/>
      </c>
      <c r="T366" s="8">
        <f>IF(OR(P366="",計算用!$B$1=0),"",IFERROR(MATCH(S366,新年度名簿!$H$2:$H$451,0),""))</f>
        <v/>
      </c>
      <c r="U366" s="8">
        <f>IF(OR(L366="",M366="転出"),"",IFERROR(MATCH(L366,設定!$P$8:$P$27,0),""))</f>
        <v/>
      </c>
      <c r="V366" s="8">
        <f>IF(U366="","",COUNTIF($U$7:U366,U366))</f>
        <v/>
      </c>
      <c r="W366" s="8">
        <f>IF(U366="","",U366*1000+V366)</f>
        <v/>
      </c>
    </row>
    <row r="367">
      <c r="A367" s="44">
        <f>IF(P367="","",INDEX(前年度名簿!$H$2:$H$451,P367))</f>
        <v/>
      </c>
      <c r="B367" s="44">
        <f>IF(P367="","",IFERROR(INDEX(設定!$G$8:$G$31,INT(INDEX(前年度名簿!$G$2:$G$451,P367)/1000)),INDEX(前年度名簿!$A$2:$A$451,P367)&amp;INDEX(前年度名簿!$B$2:$B$451,P367)))</f>
        <v/>
      </c>
      <c r="C367" s="44">
        <f>IF(P367="","",INDEX(前年度名簿!$C$2:$C$451,P367))</f>
        <v/>
      </c>
      <c r="D367" s="3">
        <f>IF(P367="","",INDEX(前年度名簿!$D$2:$D$451,P367))</f>
        <v/>
      </c>
      <c r="E367" s="44">
        <f>IF(T367="","",INDEX(新年度名簿!$K$2:$K$451,T367))</f>
        <v/>
      </c>
      <c r="F367" s="44">
        <f>IF(T367="","",INDEX(新年度名簿!$C$2:$C$451,T367))</f>
        <v/>
      </c>
      <c r="G367" s="44">
        <f>IF(Q367="","",INDEX(希望入力!$H$2:$H$551,Q367)&amp;"")</f>
        <v/>
      </c>
      <c r="H367" s="44">
        <f>IF(Q367="","",INDEX(希望入力!$I$2:$I$551,Q367)&amp;"")</f>
        <v/>
      </c>
      <c r="I367" s="44">
        <f>IF(Q367="","",INDEX(希望入力!$J$2:$J$551,Q367)&amp;"")</f>
        <v/>
      </c>
      <c r="J367" s="44">
        <f>IF(Q367="","",IF(G367="","要調整",IFERROR(IF(IF(OR(設定!$C$14="〇",設定!$C$14="○"),COUNTIFS($A$7:$A$456,"&gt;="&amp;A367,$G$7:$G$456,G367),COUNTIF($G$7:$G$456,G367))&lt;=(INDEX(設定!$Q$8:$Q$27,MATCH(G367,設定!$P$8:$P$27,0))+N(INDEX(設定!$R$8:$R$27,MATCH(G367,設定!$P$8:$P$27,0)))),G367,"要調整"),"要調整")))</f>
        <v/>
      </c>
      <c r="K367" s="40" t="n"/>
      <c r="L367" s="52">
        <f>IF(P367="","",IF(K367&lt;&gt;"",K367,IF(OR(J367="",J367="要調整"),"",J367)))</f>
        <v/>
      </c>
      <c r="M367" s="44">
        <f>IF(P367="","",IF(AND(計算用!$B$1=1,T367=""),"転出",IF(L367&lt;&gt;"","決定",IF(Q367="","未提出","要調整"))))</f>
        <v/>
      </c>
      <c r="N367" s="44">
        <f>IF(OR(M367&lt;&gt;"要調整",H367=""),"",IFERROR((INDEX(設定!$Q$8:$Q$27,MATCH(H367,設定!$P$8:$P$27,0))+N(INDEX(設定!$R$8:$R$27,MATCH(H367,設定!$P$8:$P$27,0))))-INDEX(定員チェック!$F$7:$F$26,MATCH(H367,設定!$P$8:$P$27,0))-COUNTIFS($M$7:$M$456,"要調整",$G$7:$G$456,H367),""))</f>
        <v/>
      </c>
      <c r="O367" s="44">
        <f>IF(OR(M367&lt;&gt;"要調整",I367=""),"",IFERROR((INDEX(設定!$Q$8:$Q$27,MATCH(I367,設定!$P$8:$P$27,0))+N(INDEX(設定!$R$8:$R$27,MATCH(I367,設定!$P$8:$P$27,0))))-INDEX(定員チェック!$F$7:$F$26,MATCH(I367,設定!$P$8:$P$27,0))-COUNTIFS($M$7:$M$456,"要調整",$G$7:$G$456,I367),""))</f>
        <v/>
      </c>
      <c r="P367" s="8">
        <f>IFERROR(MATCH(SMALL(前年度名簿!$G$2:$G$451,361),前年度名簿!$G$2:$G$451,0),"")</f>
        <v/>
      </c>
      <c r="Q367" s="8">
        <f>IF(R367="","",IFERROR(MATCH(R367,希望入力!$M$2:$M$551,0),""))</f>
        <v/>
      </c>
      <c r="R367" s="8">
        <f>IF(P367="","",INDEX(前年度名簿!$F$2:$F$451,P367))</f>
        <v/>
      </c>
      <c r="S367" s="8">
        <f>IF(P367="","",INDEX(前年度名簿!$I$2:$I$451,P367))</f>
        <v/>
      </c>
      <c r="T367" s="8">
        <f>IF(OR(P367="",計算用!$B$1=0),"",IFERROR(MATCH(S367,新年度名簿!$H$2:$H$451,0),""))</f>
        <v/>
      </c>
      <c r="U367" s="8">
        <f>IF(OR(L367="",M367="転出"),"",IFERROR(MATCH(L367,設定!$P$8:$P$27,0),""))</f>
        <v/>
      </c>
      <c r="V367" s="8">
        <f>IF(U367="","",COUNTIF($U$7:U367,U367))</f>
        <v/>
      </c>
      <c r="W367" s="8">
        <f>IF(U367="","",U367*1000+V367)</f>
        <v/>
      </c>
    </row>
    <row r="368">
      <c r="A368" s="44">
        <f>IF(P368="","",INDEX(前年度名簿!$H$2:$H$451,P368))</f>
        <v/>
      </c>
      <c r="B368" s="44">
        <f>IF(P368="","",IFERROR(INDEX(設定!$G$8:$G$31,INT(INDEX(前年度名簿!$G$2:$G$451,P368)/1000)),INDEX(前年度名簿!$A$2:$A$451,P368)&amp;INDEX(前年度名簿!$B$2:$B$451,P368)))</f>
        <v/>
      </c>
      <c r="C368" s="44">
        <f>IF(P368="","",INDEX(前年度名簿!$C$2:$C$451,P368))</f>
        <v/>
      </c>
      <c r="D368" s="3">
        <f>IF(P368="","",INDEX(前年度名簿!$D$2:$D$451,P368))</f>
        <v/>
      </c>
      <c r="E368" s="44">
        <f>IF(T368="","",INDEX(新年度名簿!$K$2:$K$451,T368))</f>
        <v/>
      </c>
      <c r="F368" s="44">
        <f>IF(T368="","",INDEX(新年度名簿!$C$2:$C$451,T368))</f>
        <v/>
      </c>
      <c r="G368" s="44">
        <f>IF(Q368="","",INDEX(希望入力!$H$2:$H$551,Q368)&amp;"")</f>
        <v/>
      </c>
      <c r="H368" s="44">
        <f>IF(Q368="","",INDEX(希望入力!$I$2:$I$551,Q368)&amp;"")</f>
        <v/>
      </c>
      <c r="I368" s="44">
        <f>IF(Q368="","",INDEX(希望入力!$J$2:$J$551,Q368)&amp;"")</f>
        <v/>
      </c>
      <c r="J368" s="44">
        <f>IF(Q368="","",IF(G368="","要調整",IFERROR(IF(IF(OR(設定!$C$14="〇",設定!$C$14="○"),COUNTIFS($A$7:$A$456,"&gt;="&amp;A368,$G$7:$G$456,G368),COUNTIF($G$7:$G$456,G368))&lt;=(INDEX(設定!$Q$8:$Q$27,MATCH(G368,設定!$P$8:$P$27,0))+N(INDEX(設定!$R$8:$R$27,MATCH(G368,設定!$P$8:$P$27,0)))),G368,"要調整"),"要調整")))</f>
        <v/>
      </c>
      <c r="K368" s="40" t="n"/>
      <c r="L368" s="52">
        <f>IF(P368="","",IF(K368&lt;&gt;"",K368,IF(OR(J368="",J368="要調整"),"",J368)))</f>
        <v/>
      </c>
      <c r="M368" s="44">
        <f>IF(P368="","",IF(AND(計算用!$B$1=1,T368=""),"転出",IF(L368&lt;&gt;"","決定",IF(Q368="","未提出","要調整"))))</f>
        <v/>
      </c>
      <c r="N368" s="44">
        <f>IF(OR(M368&lt;&gt;"要調整",H368=""),"",IFERROR((INDEX(設定!$Q$8:$Q$27,MATCH(H368,設定!$P$8:$P$27,0))+N(INDEX(設定!$R$8:$R$27,MATCH(H368,設定!$P$8:$P$27,0))))-INDEX(定員チェック!$F$7:$F$26,MATCH(H368,設定!$P$8:$P$27,0))-COUNTIFS($M$7:$M$456,"要調整",$G$7:$G$456,H368),""))</f>
        <v/>
      </c>
      <c r="O368" s="44">
        <f>IF(OR(M368&lt;&gt;"要調整",I368=""),"",IFERROR((INDEX(設定!$Q$8:$Q$27,MATCH(I368,設定!$P$8:$P$27,0))+N(INDEX(設定!$R$8:$R$27,MATCH(I368,設定!$P$8:$P$27,0))))-INDEX(定員チェック!$F$7:$F$26,MATCH(I368,設定!$P$8:$P$27,0))-COUNTIFS($M$7:$M$456,"要調整",$G$7:$G$456,I368),""))</f>
        <v/>
      </c>
      <c r="P368" s="8">
        <f>IFERROR(MATCH(SMALL(前年度名簿!$G$2:$G$451,362),前年度名簿!$G$2:$G$451,0),"")</f>
        <v/>
      </c>
      <c r="Q368" s="8">
        <f>IF(R368="","",IFERROR(MATCH(R368,希望入力!$M$2:$M$551,0),""))</f>
        <v/>
      </c>
      <c r="R368" s="8">
        <f>IF(P368="","",INDEX(前年度名簿!$F$2:$F$451,P368))</f>
        <v/>
      </c>
      <c r="S368" s="8">
        <f>IF(P368="","",INDEX(前年度名簿!$I$2:$I$451,P368))</f>
        <v/>
      </c>
      <c r="T368" s="8">
        <f>IF(OR(P368="",計算用!$B$1=0),"",IFERROR(MATCH(S368,新年度名簿!$H$2:$H$451,0),""))</f>
        <v/>
      </c>
      <c r="U368" s="8">
        <f>IF(OR(L368="",M368="転出"),"",IFERROR(MATCH(L368,設定!$P$8:$P$27,0),""))</f>
        <v/>
      </c>
      <c r="V368" s="8">
        <f>IF(U368="","",COUNTIF($U$7:U368,U368))</f>
        <v/>
      </c>
      <c r="W368" s="8">
        <f>IF(U368="","",U368*1000+V368)</f>
        <v/>
      </c>
    </row>
    <row r="369">
      <c r="A369" s="44">
        <f>IF(P369="","",INDEX(前年度名簿!$H$2:$H$451,P369))</f>
        <v/>
      </c>
      <c r="B369" s="44">
        <f>IF(P369="","",IFERROR(INDEX(設定!$G$8:$G$31,INT(INDEX(前年度名簿!$G$2:$G$451,P369)/1000)),INDEX(前年度名簿!$A$2:$A$451,P369)&amp;INDEX(前年度名簿!$B$2:$B$451,P369)))</f>
        <v/>
      </c>
      <c r="C369" s="44">
        <f>IF(P369="","",INDEX(前年度名簿!$C$2:$C$451,P369))</f>
        <v/>
      </c>
      <c r="D369" s="3">
        <f>IF(P369="","",INDEX(前年度名簿!$D$2:$D$451,P369))</f>
        <v/>
      </c>
      <c r="E369" s="44">
        <f>IF(T369="","",INDEX(新年度名簿!$K$2:$K$451,T369))</f>
        <v/>
      </c>
      <c r="F369" s="44">
        <f>IF(T369="","",INDEX(新年度名簿!$C$2:$C$451,T369))</f>
        <v/>
      </c>
      <c r="G369" s="44">
        <f>IF(Q369="","",INDEX(希望入力!$H$2:$H$551,Q369)&amp;"")</f>
        <v/>
      </c>
      <c r="H369" s="44">
        <f>IF(Q369="","",INDEX(希望入力!$I$2:$I$551,Q369)&amp;"")</f>
        <v/>
      </c>
      <c r="I369" s="44">
        <f>IF(Q369="","",INDEX(希望入力!$J$2:$J$551,Q369)&amp;"")</f>
        <v/>
      </c>
      <c r="J369" s="44">
        <f>IF(Q369="","",IF(G369="","要調整",IFERROR(IF(IF(OR(設定!$C$14="〇",設定!$C$14="○"),COUNTIFS($A$7:$A$456,"&gt;="&amp;A369,$G$7:$G$456,G369),COUNTIF($G$7:$G$456,G369))&lt;=(INDEX(設定!$Q$8:$Q$27,MATCH(G369,設定!$P$8:$P$27,0))+N(INDEX(設定!$R$8:$R$27,MATCH(G369,設定!$P$8:$P$27,0)))),G369,"要調整"),"要調整")))</f>
        <v/>
      </c>
      <c r="K369" s="40" t="n"/>
      <c r="L369" s="52">
        <f>IF(P369="","",IF(K369&lt;&gt;"",K369,IF(OR(J369="",J369="要調整"),"",J369)))</f>
        <v/>
      </c>
      <c r="M369" s="44">
        <f>IF(P369="","",IF(AND(計算用!$B$1=1,T369=""),"転出",IF(L369&lt;&gt;"","決定",IF(Q369="","未提出","要調整"))))</f>
        <v/>
      </c>
      <c r="N369" s="44">
        <f>IF(OR(M369&lt;&gt;"要調整",H369=""),"",IFERROR((INDEX(設定!$Q$8:$Q$27,MATCH(H369,設定!$P$8:$P$27,0))+N(INDEX(設定!$R$8:$R$27,MATCH(H369,設定!$P$8:$P$27,0))))-INDEX(定員チェック!$F$7:$F$26,MATCH(H369,設定!$P$8:$P$27,0))-COUNTIFS($M$7:$M$456,"要調整",$G$7:$G$456,H369),""))</f>
        <v/>
      </c>
      <c r="O369" s="44">
        <f>IF(OR(M369&lt;&gt;"要調整",I369=""),"",IFERROR((INDEX(設定!$Q$8:$Q$27,MATCH(I369,設定!$P$8:$P$27,0))+N(INDEX(設定!$R$8:$R$27,MATCH(I369,設定!$P$8:$P$27,0))))-INDEX(定員チェック!$F$7:$F$26,MATCH(I369,設定!$P$8:$P$27,0))-COUNTIFS($M$7:$M$456,"要調整",$G$7:$G$456,I369),""))</f>
        <v/>
      </c>
      <c r="P369" s="8">
        <f>IFERROR(MATCH(SMALL(前年度名簿!$G$2:$G$451,363),前年度名簿!$G$2:$G$451,0),"")</f>
        <v/>
      </c>
      <c r="Q369" s="8">
        <f>IF(R369="","",IFERROR(MATCH(R369,希望入力!$M$2:$M$551,0),""))</f>
        <v/>
      </c>
      <c r="R369" s="8">
        <f>IF(P369="","",INDEX(前年度名簿!$F$2:$F$451,P369))</f>
        <v/>
      </c>
      <c r="S369" s="8">
        <f>IF(P369="","",INDEX(前年度名簿!$I$2:$I$451,P369))</f>
        <v/>
      </c>
      <c r="T369" s="8">
        <f>IF(OR(P369="",計算用!$B$1=0),"",IFERROR(MATCH(S369,新年度名簿!$H$2:$H$451,0),""))</f>
        <v/>
      </c>
      <c r="U369" s="8">
        <f>IF(OR(L369="",M369="転出"),"",IFERROR(MATCH(L369,設定!$P$8:$P$27,0),""))</f>
        <v/>
      </c>
      <c r="V369" s="8">
        <f>IF(U369="","",COUNTIF($U$7:U369,U369))</f>
        <v/>
      </c>
      <c r="W369" s="8">
        <f>IF(U369="","",U369*1000+V369)</f>
        <v/>
      </c>
    </row>
    <row r="370">
      <c r="A370" s="44">
        <f>IF(P370="","",INDEX(前年度名簿!$H$2:$H$451,P370))</f>
        <v/>
      </c>
      <c r="B370" s="44">
        <f>IF(P370="","",IFERROR(INDEX(設定!$G$8:$G$31,INT(INDEX(前年度名簿!$G$2:$G$451,P370)/1000)),INDEX(前年度名簿!$A$2:$A$451,P370)&amp;INDEX(前年度名簿!$B$2:$B$451,P370)))</f>
        <v/>
      </c>
      <c r="C370" s="44">
        <f>IF(P370="","",INDEX(前年度名簿!$C$2:$C$451,P370))</f>
        <v/>
      </c>
      <c r="D370" s="3">
        <f>IF(P370="","",INDEX(前年度名簿!$D$2:$D$451,P370))</f>
        <v/>
      </c>
      <c r="E370" s="44">
        <f>IF(T370="","",INDEX(新年度名簿!$K$2:$K$451,T370))</f>
        <v/>
      </c>
      <c r="F370" s="44">
        <f>IF(T370="","",INDEX(新年度名簿!$C$2:$C$451,T370))</f>
        <v/>
      </c>
      <c r="G370" s="44">
        <f>IF(Q370="","",INDEX(希望入力!$H$2:$H$551,Q370)&amp;"")</f>
        <v/>
      </c>
      <c r="H370" s="44">
        <f>IF(Q370="","",INDEX(希望入力!$I$2:$I$551,Q370)&amp;"")</f>
        <v/>
      </c>
      <c r="I370" s="44">
        <f>IF(Q370="","",INDEX(希望入力!$J$2:$J$551,Q370)&amp;"")</f>
        <v/>
      </c>
      <c r="J370" s="44">
        <f>IF(Q370="","",IF(G370="","要調整",IFERROR(IF(IF(OR(設定!$C$14="〇",設定!$C$14="○"),COUNTIFS($A$7:$A$456,"&gt;="&amp;A370,$G$7:$G$456,G370),COUNTIF($G$7:$G$456,G370))&lt;=(INDEX(設定!$Q$8:$Q$27,MATCH(G370,設定!$P$8:$P$27,0))+N(INDEX(設定!$R$8:$R$27,MATCH(G370,設定!$P$8:$P$27,0)))),G370,"要調整"),"要調整")))</f>
        <v/>
      </c>
      <c r="K370" s="40" t="n"/>
      <c r="L370" s="52">
        <f>IF(P370="","",IF(K370&lt;&gt;"",K370,IF(OR(J370="",J370="要調整"),"",J370)))</f>
        <v/>
      </c>
      <c r="M370" s="44">
        <f>IF(P370="","",IF(AND(計算用!$B$1=1,T370=""),"転出",IF(L370&lt;&gt;"","決定",IF(Q370="","未提出","要調整"))))</f>
        <v/>
      </c>
      <c r="N370" s="44">
        <f>IF(OR(M370&lt;&gt;"要調整",H370=""),"",IFERROR((INDEX(設定!$Q$8:$Q$27,MATCH(H370,設定!$P$8:$P$27,0))+N(INDEX(設定!$R$8:$R$27,MATCH(H370,設定!$P$8:$P$27,0))))-INDEX(定員チェック!$F$7:$F$26,MATCH(H370,設定!$P$8:$P$27,0))-COUNTIFS($M$7:$M$456,"要調整",$G$7:$G$456,H370),""))</f>
        <v/>
      </c>
      <c r="O370" s="44">
        <f>IF(OR(M370&lt;&gt;"要調整",I370=""),"",IFERROR((INDEX(設定!$Q$8:$Q$27,MATCH(I370,設定!$P$8:$P$27,0))+N(INDEX(設定!$R$8:$R$27,MATCH(I370,設定!$P$8:$P$27,0))))-INDEX(定員チェック!$F$7:$F$26,MATCH(I370,設定!$P$8:$P$27,0))-COUNTIFS($M$7:$M$456,"要調整",$G$7:$G$456,I370),""))</f>
        <v/>
      </c>
      <c r="P370" s="8">
        <f>IFERROR(MATCH(SMALL(前年度名簿!$G$2:$G$451,364),前年度名簿!$G$2:$G$451,0),"")</f>
        <v/>
      </c>
      <c r="Q370" s="8">
        <f>IF(R370="","",IFERROR(MATCH(R370,希望入力!$M$2:$M$551,0),""))</f>
        <v/>
      </c>
      <c r="R370" s="8">
        <f>IF(P370="","",INDEX(前年度名簿!$F$2:$F$451,P370))</f>
        <v/>
      </c>
      <c r="S370" s="8">
        <f>IF(P370="","",INDEX(前年度名簿!$I$2:$I$451,P370))</f>
        <v/>
      </c>
      <c r="T370" s="8">
        <f>IF(OR(P370="",計算用!$B$1=0),"",IFERROR(MATCH(S370,新年度名簿!$H$2:$H$451,0),""))</f>
        <v/>
      </c>
      <c r="U370" s="8">
        <f>IF(OR(L370="",M370="転出"),"",IFERROR(MATCH(L370,設定!$P$8:$P$27,0),""))</f>
        <v/>
      </c>
      <c r="V370" s="8">
        <f>IF(U370="","",COUNTIF($U$7:U370,U370))</f>
        <v/>
      </c>
      <c r="W370" s="8">
        <f>IF(U370="","",U370*1000+V370)</f>
        <v/>
      </c>
    </row>
    <row r="371">
      <c r="A371" s="44">
        <f>IF(P371="","",INDEX(前年度名簿!$H$2:$H$451,P371))</f>
        <v/>
      </c>
      <c r="B371" s="44">
        <f>IF(P371="","",IFERROR(INDEX(設定!$G$8:$G$31,INT(INDEX(前年度名簿!$G$2:$G$451,P371)/1000)),INDEX(前年度名簿!$A$2:$A$451,P371)&amp;INDEX(前年度名簿!$B$2:$B$451,P371)))</f>
        <v/>
      </c>
      <c r="C371" s="44">
        <f>IF(P371="","",INDEX(前年度名簿!$C$2:$C$451,P371))</f>
        <v/>
      </c>
      <c r="D371" s="3">
        <f>IF(P371="","",INDEX(前年度名簿!$D$2:$D$451,P371))</f>
        <v/>
      </c>
      <c r="E371" s="44">
        <f>IF(T371="","",INDEX(新年度名簿!$K$2:$K$451,T371))</f>
        <v/>
      </c>
      <c r="F371" s="44">
        <f>IF(T371="","",INDEX(新年度名簿!$C$2:$C$451,T371))</f>
        <v/>
      </c>
      <c r="G371" s="44">
        <f>IF(Q371="","",INDEX(希望入力!$H$2:$H$551,Q371)&amp;"")</f>
        <v/>
      </c>
      <c r="H371" s="44">
        <f>IF(Q371="","",INDEX(希望入力!$I$2:$I$551,Q371)&amp;"")</f>
        <v/>
      </c>
      <c r="I371" s="44">
        <f>IF(Q371="","",INDEX(希望入力!$J$2:$J$551,Q371)&amp;"")</f>
        <v/>
      </c>
      <c r="J371" s="44">
        <f>IF(Q371="","",IF(G371="","要調整",IFERROR(IF(IF(OR(設定!$C$14="〇",設定!$C$14="○"),COUNTIFS($A$7:$A$456,"&gt;="&amp;A371,$G$7:$G$456,G371),COUNTIF($G$7:$G$456,G371))&lt;=(INDEX(設定!$Q$8:$Q$27,MATCH(G371,設定!$P$8:$P$27,0))+N(INDEX(設定!$R$8:$R$27,MATCH(G371,設定!$P$8:$P$27,0)))),G371,"要調整"),"要調整")))</f>
        <v/>
      </c>
      <c r="K371" s="40" t="n"/>
      <c r="L371" s="52">
        <f>IF(P371="","",IF(K371&lt;&gt;"",K371,IF(OR(J371="",J371="要調整"),"",J371)))</f>
        <v/>
      </c>
      <c r="M371" s="44">
        <f>IF(P371="","",IF(AND(計算用!$B$1=1,T371=""),"転出",IF(L371&lt;&gt;"","決定",IF(Q371="","未提出","要調整"))))</f>
        <v/>
      </c>
      <c r="N371" s="44">
        <f>IF(OR(M371&lt;&gt;"要調整",H371=""),"",IFERROR((INDEX(設定!$Q$8:$Q$27,MATCH(H371,設定!$P$8:$P$27,0))+N(INDEX(設定!$R$8:$R$27,MATCH(H371,設定!$P$8:$P$27,0))))-INDEX(定員チェック!$F$7:$F$26,MATCH(H371,設定!$P$8:$P$27,0))-COUNTIFS($M$7:$M$456,"要調整",$G$7:$G$456,H371),""))</f>
        <v/>
      </c>
      <c r="O371" s="44">
        <f>IF(OR(M371&lt;&gt;"要調整",I371=""),"",IFERROR((INDEX(設定!$Q$8:$Q$27,MATCH(I371,設定!$P$8:$P$27,0))+N(INDEX(設定!$R$8:$R$27,MATCH(I371,設定!$P$8:$P$27,0))))-INDEX(定員チェック!$F$7:$F$26,MATCH(I371,設定!$P$8:$P$27,0))-COUNTIFS($M$7:$M$456,"要調整",$G$7:$G$456,I371),""))</f>
        <v/>
      </c>
      <c r="P371" s="8">
        <f>IFERROR(MATCH(SMALL(前年度名簿!$G$2:$G$451,365),前年度名簿!$G$2:$G$451,0),"")</f>
        <v/>
      </c>
      <c r="Q371" s="8">
        <f>IF(R371="","",IFERROR(MATCH(R371,希望入力!$M$2:$M$551,0),""))</f>
        <v/>
      </c>
      <c r="R371" s="8">
        <f>IF(P371="","",INDEX(前年度名簿!$F$2:$F$451,P371))</f>
        <v/>
      </c>
      <c r="S371" s="8">
        <f>IF(P371="","",INDEX(前年度名簿!$I$2:$I$451,P371))</f>
        <v/>
      </c>
      <c r="T371" s="8">
        <f>IF(OR(P371="",計算用!$B$1=0),"",IFERROR(MATCH(S371,新年度名簿!$H$2:$H$451,0),""))</f>
        <v/>
      </c>
      <c r="U371" s="8">
        <f>IF(OR(L371="",M371="転出"),"",IFERROR(MATCH(L371,設定!$P$8:$P$27,0),""))</f>
        <v/>
      </c>
      <c r="V371" s="8">
        <f>IF(U371="","",COUNTIF($U$7:U371,U371))</f>
        <v/>
      </c>
      <c r="W371" s="8">
        <f>IF(U371="","",U371*1000+V371)</f>
        <v/>
      </c>
    </row>
    <row r="372">
      <c r="A372" s="44">
        <f>IF(P372="","",INDEX(前年度名簿!$H$2:$H$451,P372))</f>
        <v/>
      </c>
      <c r="B372" s="44">
        <f>IF(P372="","",IFERROR(INDEX(設定!$G$8:$G$31,INT(INDEX(前年度名簿!$G$2:$G$451,P372)/1000)),INDEX(前年度名簿!$A$2:$A$451,P372)&amp;INDEX(前年度名簿!$B$2:$B$451,P372)))</f>
        <v/>
      </c>
      <c r="C372" s="44">
        <f>IF(P372="","",INDEX(前年度名簿!$C$2:$C$451,P372))</f>
        <v/>
      </c>
      <c r="D372" s="3">
        <f>IF(P372="","",INDEX(前年度名簿!$D$2:$D$451,P372))</f>
        <v/>
      </c>
      <c r="E372" s="44">
        <f>IF(T372="","",INDEX(新年度名簿!$K$2:$K$451,T372))</f>
        <v/>
      </c>
      <c r="F372" s="44">
        <f>IF(T372="","",INDEX(新年度名簿!$C$2:$C$451,T372))</f>
        <v/>
      </c>
      <c r="G372" s="44">
        <f>IF(Q372="","",INDEX(希望入力!$H$2:$H$551,Q372)&amp;"")</f>
        <v/>
      </c>
      <c r="H372" s="44">
        <f>IF(Q372="","",INDEX(希望入力!$I$2:$I$551,Q372)&amp;"")</f>
        <v/>
      </c>
      <c r="I372" s="44">
        <f>IF(Q372="","",INDEX(希望入力!$J$2:$J$551,Q372)&amp;"")</f>
        <v/>
      </c>
      <c r="J372" s="44">
        <f>IF(Q372="","",IF(G372="","要調整",IFERROR(IF(IF(OR(設定!$C$14="〇",設定!$C$14="○"),COUNTIFS($A$7:$A$456,"&gt;="&amp;A372,$G$7:$G$456,G372),COUNTIF($G$7:$G$456,G372))&lt;=(INDEX(設定!$Q$8:$Q$27,MATCH(G372,設定!$P$8:$P$27,0))+N(INDEX(設定!$R$8:$R$27,MATCH(G372,設定!$P$8:$P$27,0)))),G372,"要調整"),"要調整")))</f>
        <v/>
      </c>
      <c r="K372" s="40" t="n"/>
      <c r="L372" s="52">
        <f>IF(P372="","",IF(K372&lt;&gt;"",K372,IF(OR(J372="",J372="要調整"),"",J372)))</f>
        <v/>
      </c>
      <c r="M372" s="44">
        <f>IF(P372="","",IF(AND(計算用!$B$1=1,T372=""),"転出",IF(L372&lt;&gt;"","決定",IF(Q372="","未提出","要調整"))))</f>
        <v/>
      </c>
      <c r="N372" s="44">
        <f>IF(OR(M372&lt;&gt;"要調整",H372=""),"",IFERROR((INDEX(設定!$Q$8:$Q$27,MATCH(H372,設定!$P$8:$P$27,0))+N(INDEX(設定!$R$8:$R$27,MATCH(H372,設定!$P$8:$P$27,0))))-INDEX(定員チェック!$F$7:$F$26,MATCH(H372,設定!$P$8:$P$27,0))-COUNTIFS($M$7:$M$456,"要調整",$G$7:$G$456,H372),""))</f>
        <v/>
      </c>
      <c r="O372" s="44">
        <f>IF(OR(M372&lt;&gt;"要調整",I372=""),"",IFERROR((INDEX(設定!$Q$8:$Q$27,MATCH(I372,設定!$P$8:$P$27,0))+N(INDEX(設定!$R$8:$R$27,MATCH(I372,設定!$P$8:$P$27,0))))-INDEX(定員チェック!$F$7:$F$26,MATCH(I372,設定!$P$8:$P$27,0))-COUNTIFS($M$7:$M$456,"要調整",$G$7:$G$456,I372),""))</f>
        <v/>
      </c>
      <c r="P372" s="8">
        <f>IFERROR(MATCH(SMALL(前年度名簿!$G$2:$G$451,366),前年度名簿!$G$2:$G$451,0),"")</f>
        <v/>
      </c>
      <c r="Q372" s="8">
        <f>IF(R372="","",IFERROR(MATCH(R372,希望入力!$M$2:$M$551,0),""))</f>
        <v/>
      </c>
      <c r="R372" s="8">
        <f>IF(P372="","",INDEX(前年度名簿!$F$2:$F$451,P372))</f>
        <v/>
      </c>
      <c r="S372" s="8">
        <f>IF(P372="","",INDEX(前年度名簿!$I$2:$I$451,P372))</f>
        <v/>
      </c>
      <c r="T372" s="8">
        <f>IF(OR(P372="",計算用!$B$1=0),"",IFERROR(MATCH(S372,新年度名簿!$H$2:$H$451,0),""))</f>
        <v/>
      </c>
      <c r="U372" s="8">
        <f>IF(OR(L372="",M372="転出"),"",IFERROR(MATCH(L372,設定!$P$8:$P$27,0),""))</f>
        <v/>
      </c>
      <c r="V372" s="8">
        <f>IF(U372="","",COUNTIF($U$7:U372,U372))</f>
        <v/>
      </c>
      <c r="W372" s="8">
        <f>IF(U372="","",U372*1000+V372)</f>
        <v/>
      </c>
    </row>
    <row r="373">
      <c r="A373" s="44">
        <f>IF(P373="","",INDEX(前年度名簿!$H$2:$H$451,P373))</f>
        <v/>
      </c>
      <c r="B373" s="44">
        <f>IF(P373="","",IFERROR(INDEX(設定!$G$8:$G$31,INT(INDEX(前年度名簿!$G$2:$G$451,P373)/1000)),INDEX(前年度名簿!$A$2:$A$451,P373)&amp;INDEX(前年度名簿!$B$2:$B$451,P373)))</f>
        <v/>
      </c>
      <c r="C373" s="44">
        <f>IF(P373="","",INDEX(前年度名簿!$C$2:$C$451,P373))</f>
        <v/>
      </c>
      <c r="D373" s="3">
        <f>IF(P373="","",INDEX(前年度名簿!$D$2:$D$451,P373))</f>
        <v/>
      </c>
      <c r="E373" s="44">
        <f>IF(T373="","",INDEX(新年度名簿!$K$2:$K$451,T373))</f>
        <v/>
      </c>
      <c r="F373" s="44">
        <f>IF(T373="","",INDEX(新年度名簿!$C$2:$C$451,T373))</f>
        <v/>
      </c>
      <c r="G373" s="44">
        <f>IF(Q373="","",INDEX(希望入力!$H$2:$H$551,Q373)&amp;"")</f>
        <v/>
      </c>
      <c r="H373" s="44">
        <f>IF(Q373="","",INDEX(希望入力!$I$2:$I$551,Q373)&amp;"")</f>
        <v/>
      </c>
      <c r="I373" s="44">
        <f>IF(Q373="","",INDEX(希望入力!$J$2:$J$551,Q373)&amp;"")</f>
        <v/>
      </c>
      <c r="J373" s="44">
        <f>IF(Q373="","",IF(G373="","要調整",IFERROR(IF(IF(OR(設定!$C$14="〇",設定!$C$14="○"),COUNTIFS($A$7:$A$456,"&gt;="&amp;A373,$G$7:$G$456,G373),COUNTIF($G$7:$G$456,G373))&lt;=(INDEX(設定!$Q$8:$Q$27,MATCH(G373,設定!$P$8:$P$27,0))+N(INDEX(設定!$R$8:$R$27,MATCH(G373,設定!$P$8:$P$27,0)))),G373,"要調整"),"要調整")))</f>
        <v/>
      </c>
      <c r="K373" s="40" t="n"/>
      <c r="L373" s="52">
        <f>IF(P373="","",IF(K373&lt;&gt;"",K373,IF(OR(J373="",J373="要調整"),"",J373)))</f>
        <v/>
      </c>
      <c r="M373" s="44">
        <f>IF(P373="","",IF(AND(計算用!$B$1=1,T373=""),"転出",IF(L373&lt;&gt;"","決定",IF(Q373="","未提出","要調整"))))</f>
        <v/>
      </c>
      <c r="N373" s="44">
        <f>IF(OR(M373&lt;&gt;"要調整",H373=""),"",IFERROR((INDEX(設定!$Q$8:$Q$27,MATCH(H373,設定!$P$8:$P$27,0))+N(INDEX(設定!$R$8:$R$27,MATCH(H373,設定!$P$8:$P$27,0))))-INDEX(定員チェック!$F$7:$F$26,MATCH(H373,設定!$P$8:$P$27,0))-COUNTIFS($M$7:$M$456,"要調整",$G$7:$G$456,H373),""))</f>
        <v/>
      </c>
      <c r="O373" s="44">
        <f>IF(OR(M373&lt;&gt;"要調整",I373=""),"",IFERROR((INDEX(設定!$Q$8:$Q$27,MATCH(I373,設定!$P$8:$P$27,0))+N(INDEX(設定!$R$8:$R$27,MATCH(I373,設定!$P$8:$P$27,0))))-INDEX(定員チェック!$F$7:$F$26,MATCH(I373,設定!$P$8:$P$27,0))-COUNTIFS($M$7:$M$456,"要調整",$G$7:$G$456,I373),""))</f>
        <v/>
      </c>
      <c r="P373" s="8">
        <f>IFERROR(MATCH(SMALL(前年度名簿!$G$2:$G$451,367),前年度名簿!$G$2:$G$451,0),"")</f>
        <v/>
      </c>
      <c r="Q373" s="8">
        <f>IF(R373="","",IFERROR(MATCH(R373,希望入力!$M$2:$M$551,0),""))</f>
        <v/>
      </c>
      <c r="R373" s="8">
        <f>IF(P373="","",INDEX(前年度名簿!$F$2:$F$451,P373))</f>
        <v/>
      </c>
      <c r="S373" s="8">
        <f>IF(P373="","",INDEX(前年度名簿!$I$2:$I$451,P373))</f>
        <v/>
      </c>
      <c r="T373" s="8">
        <f>IF(OR(P373="",計算用!$B$1=0),"",IFERROR(MATCH(S373,新年度名簿!$H$2:$H$451,0),""))</f>
        <v/>
      </c>
      <c r="U373" s="8">
        <f>IF(OR(L373="",M373="転出"),"",IFERROR(MATCH(L373,設定!$P$8:$P$27,0),""))</f>
        <v/>
      </c>
      <c r="V373" s="8">
        <f>IF(U373="","",COUNTIF($U$7:U373,U373))</f>
        <v/>
      </c>
      <c r="W373" s="8">
        <f>IF(U373="","",U373*1000+V373)</f>
        <v/>
      </c>
    </row>
    <row r="374">
      <c r="A374" s="44">
        <f>IF(P374="","",INDEX(前年度名簿!$H$2:$H$451,P374))</f>
        <v/>
      </c>
      <c r="B374" s="44">
        <f>IF(P374="","",IFERROR(INDEX(設定!$G$8:$G$31,INT(INDEX(前年度名簿!$G$2:$G$451,P374)/1000)),INDEX(前年度名簿!$A$2:$A$451,P374)&amp;INDEX(前年度名簿!$B$2:$B$451,P374)))</f>
        <v/>
      </c>
      <c r="C374" s="44">
        <f>IF(P374="","",INDEX(前年度名簿!$C$2:$C$451,P374))</f>
        <v/>
      </c>
      <c r="D374" s="3">
        <f>IF(P374="","",INDEX(前年度名簿!$D$2:$D$451,P374))</f>
        <v/>
      </c>
      <c r="E374" s="44">
        <f>IF(T374="","",INDEX(新年度名簿!$K$2:$K$451,T374))</f>
        <v/>
      </c>
      <c r="F374" s="44">
        <f>IF(T374="","",INDEX(新年度名簿!$C$2:$C$451,T374))</f>
        <v/>
      </c>
      <c r="G374" s="44">
        <f>IF(Q374="","",INDEX(希望入力!$H$2:$H$551,Q374)&amp;"")</f>
        <v/>
      </c>
      <c r="H374" s="44">
        <f>IF(Q374="","",INDEX(希望入力!$I$2:$I$551,Q374)&amp;"")</f>
        <v/>
      </c>
      <c r="I374" s="44">
        <f>IF(Q374="","",INDEX(希望入力!$J$2:$J$551,Q374)&amp;"")</f>
        <v/>
      </c>
      <c r="J374" s="44">
        <f>IF(Q374="","",IF(G374="","要調整",IFERROR(IF(IF(OR(設定!$C$14="〇",設定!$C$14="○"),COUNTIFS($A$7:$A$456,"&gt;="&amp;A374,$G$7:$G$456,G374),COUNTIF($G$7:$G$456,G374))&lt;=(INDEX(設定!$Q$8:$Q$27,MATCH(G374,設定!$P$8:$P$27,0))+N(INDEX(設定!$R$8:$R$27,MATCH(G374,設定!$P$8:$P$27,0)))),G374,"要調整"),"要調整")))</f>
        <v/>
      </c>
      <c r="K374" s="40" t="n"/>
      <c r="L374" s="52">
        <f>IF(P374="","",IF(K374&lt;&gt;"",K374,IF(OR(J374="",J374="要調整"),"",J374)))</f>
        <v/>
      </c>
      <c r="M374" s="44">
        <f>IF(P374="","",IF(AND(計算用!$B$1=1,T374=""),"転出",IF(L374&lt;&gt;"","決定",IF(Q374="","未提出","要調整"))))</f>
        <v/>
      </c>
      <c r="N374" s="44">
        <f>IF(OR(M374&lt;&gt;"要調整",H374=""),"",IFERROR((INDEX(設定!$Q$8:$Q$27,MATCH(H374,設定!$P$8:$P$27,0))+N(INDEX(設定!$R$8:$R$27,MATCH(H374,設定!$P$8:$P$27,0))))-INDEX(定員チェック!$F$7:$F$26,MATCH(H374,設定!$P$8:$P$27,0))-COUNTIFS($M$7:$M$456,"要調整",$G$7:$G$456,H374),""))</f>
        <v/>
      </c>
      <c r="O374" s="44">
        <f>IF(OR(M374&lt;&gt;"要調整",I374=""),"",IFERROR((INDEX(設定!$Q$8:$Q$27,MATCH(I374,設定!$P$8:$P$27,0))+N(INDEX(設定!$R$8:$R$27,MATCH(I374,設定!$P$8:$P$27,0))))-INDEX(定員チェック!$F$7:$F$26,MATCH(I374,設定!$P$8:$P$27,0))-COUNTIFS($M$7:$M$456,"要調整",$G$7:$G$456,I374),""))</f>
        <v/>
      </c>
      <c r="P374" s="8">
        <f>IFERROR(MATCH(SMALL(前年度名簿!$G$2:$G$451,368),前年度名簿!$G$2:$G$451,0),"")</f>
        <v/>
      </c>
      <c r="Q374" s="8">
        <f>IF(R374="","",IFERROR(MATCH(R374,希望入力!$M$2:$M$551,0),""))</f>
        <v/>
      </c>
      <c r="R374" s="8">
        <f>IF(P374="","",INDEX(前年度名簿!$F$2:$F$451,P374))</f>
        <v/>
      </c>
      <c r="S374" s="8">
        <f>IF(P374="","",INDEX(前年度名簿!$I$2:$I$451,P374))</f>
        <v/>
      </c>
      <c r="T374" s="8">
        <f>IF(OR(P374="",計算用!$B$1=0),"",IFERROR(MATCH(S374,新年度名簿!$H$2:$H$451,0),""))</f>
        <v/>
      </c>
      <c r="U374" s="8">
        <f>IF(OR(L374="",M374="転出"),"",IFERROR(MATCH(L374,設定!$P$8:$P$27,0),""))</f>
        <v/>
      </c>
      <c r="V374" s="8">
        <f>IF(U374="","",COUNTIF($U$7:U374,U374))</f>
        <v/>
      </c>
      <c r="W374" s="8">
        <f>IF(U374="","",U374*1000+V374)</f>
        <v/>
      </c>
    </row>
    <row r="375">
      <c r="A375" s="44">
        <f>IF(P375="","",INDEX(前年度名簿!$H$2:$H$451,P375))</f>
        <v/>
      </c>
      <c r="B375" s="44">
        <f>IF(P375="","",IFERROR(INDEX(設定!$G$8:$G$31,INT(INDEX(前年度名簿!$G$2:$G$451,P375)/1000)),INDEX(前年度名簿!$A$2:$A$451,P375)&amp;INDEX(前年度名簿!$B$2:$B$451,P375)))</f>
        <v/>
      </c>
      <c r="C375" s="44">
        <f>IF(P375="","",INDEX(前年度名簿!$C$2:$C$451,P375))</f>
        <v/>
      </c>
      <c r="D375" s="3">
        <f>IF(P375="","",INDEX(前年度名簿!$D$2:$D$451,P375))</f>
        <v/>
      </c>
      <c r="E375" s="44">
        <f>IF(T375="","",INDEX(新年度名簿!$K$2:$K$451,T375))</f>
        <v/>
      </c>
      <c r="F375" s="44">
        <f>IF(T375="","",INDEX(新年度名簿!$C$2:$C$451,T375))</f>
        <v/>
      </c>
      <c r="G375" s="44">
        <f>IF(Q375="","",INDEX(希望入力!$H$2:$H$551,Q375)&amp;"")</f>
        <v/>
      </c>
      <c r="H375" s="44">
        <f>IF(Q375="","",INDEX(希望入力!$I$2:$I$551,Q375)&amp;"")</f>
        <v/>
      </c>
      <c r="I375" s="44">
        <f>IF(Q375="","",INDEX(希望入力!$J$2:$J$551,Q375)&amp;"")</f>
        <v/>
      </c>
      <c r="J375" s="44">
        <f>IF(Q375="","",IF(G375="","要調整",IFERROR(IF(IF(OR(設定!$C$14="〇",設定!$C$14="○"),COUNTIFS($A$7:$A$456,"&gt;="&amp;A375,$G$7:$G$456,G375),COUNTIF($G$7:$G$456,G375))&lt;=(INDEX(設定!$Q$8:$Q$27,MATCH(G375,設定!$P$8:$P$27,0))+N(INDEX(設定!$R$8:$R$27,MATCH(G375,設定!$P$8:$P$27,0)))),G375,"要調整"),"要調整")))</f>
        <v/>
      </c>
      <c r="K375" s="40" t="n"/>
      <c r="L375" s="52">
        <f>IF(P375="","",IF(K375&lt;&gt;"",K375,IF(OR(J375="",J375="要調整"),"",J375)))</f>
        <v/>
      </c>
      <c r="M375" s="44">
        <f>IF(P375="","",IF(AND(計算用!$B$1=1,T375=""),"転出",IF(L375&lt;&gt;"","決定",IF(Q375="","未提出","要調整"))))</f>
        <v/>
      </c>
      <c r="N375" s="44">
        <f>IF(OR(M375&lt;&gt;"要調整",H375=""),"",IFERROR((INDEX(設定!$Q$8:$Q$27,MATCH(H375,設定!$P$8:$P$27,0))+N(INDEX(設定!$R$8:$R$27,MATCH(H375,設定!$P$8:$P$27,0))))-INDEX(定員チェック!$F$7:$F$26,MATCH(H375,設定!$P$8:$P$27,0))-COUNTIFS($M$7:$M$456,"要調整",$G$7:$G$456,H375),""))</f>
        <v/>
      </c>
      <c r="O375" s="44">
        <f>IF(OR(M375&lt;&gt;"要調整",I375=""),"",IFERROR((INDEX(設定!$Q$8:$Q$27,MATCH(I375,設定!$P$8:$P$27,0))+N(INDEX(設定!$R$8:$R$27,MATCH(I375,設定!$P$8:$P$27,0))))-INDEX(定員チェック!$F$7:$F$26,MATCH(I375,設定!$P$8:$P$27,0))-COUNTIFS($M$7:$M$456,"要調整",$G$7:$G$456,I375),""))</f>
        <v/>
      </c>
      <c r="P375" s="8">
        <f>IFERROR(MATCH(SMALL(前年度名簿!$G$2:$G$451,369),前年度名簿!$G$2:$G$451,0),"")</f>
        <v/>
      </c>
      <c r="Q375" s="8">
        <f>IF(R375="","",IFERROR(MATCH(R375,希望入力!$M$2:$M$551,0),""))</f>
        <v/>
      </c>
      <c r="R375" s="8">
        <f>IF(P375="","",INDEX(前年度名簿!$F$2:$F$451,P375))</f>
        <v/>
      </c>
      <c r="S375" s="8">
        <f>IF(P375="","",INDEX(前年度名簿!$I$2:$I$451,P375))</f>
        <v/>
      </c>
      <c r="T375" s="8">
        <f>IF(OR(P375="",計算用!$B$1=0),"",IFERROR(MATCH(S375,新年度名簿!$H$2:$H$451,0),""))</f>
        <v/>
      </c>
      <c r="U375" s="8">
        <f>IF(OR(L375="",M375="転出"),"",IFERROR(MATCH(L375,設定!$P$8:$P$27,0),""))</f>
        <v/>
      </c>
      <c r="V375" s="8">
        <f>IF(U375="","",COUNTIF($U$7:U375,U375))</f>
        <v/>
      </c>
      <c r="W375" s="8">
        <f>IF(U375="","",U375*1000+V375)</f>
        <v/>
      </c>
    </row>
    <row r="376">
      <c r="A376" s="44">
        <f>IF(P376="","",INDEX(前年度名簿!$H$2:$H$451,P376))</f>
        <v/>
      </c>
      <c r="B376" s="44">
        <f>IF(P376="","",IFERROR(INDEX(設定!$G$8:$G$31,INT(INDEX(前年度名簿!$G$2:$G$451,P376)/1000)),INDEX(前年度名簿!$A$2:$A$451,P376)&amp;INDEX(前年度名簿!$B$2:$B$451,P376)))</f>
        <v/>
      </c>
      <c r="C376" s="44">
        <f>IF(P376="","",INDEX(前年度名簿!$C$2:$C$451,P376))</f>
        <v/>
      </c>
      <c r="D376" s="3">
        <f>IF(P376="","",INDEX(前年度名簿!$D$2:$D$451,P376))</f>
        <v/>
      </c>
      <c r="E376" s="44">
        <f>IF(T376="","",INDEX(新年度名簿!$K$2:$K$451,T376))</f>
        <v/>
      </c>
      <c r="F376" s="44">
        <f>IF(T376="","",INDEX(新年度名簿!$C$2:$C$451,T376))</f>
        <v/>
      </c>
      <c r="G376" s="44">
        <f>IF(Q376="","",INDEX(希望入力!$H$2:$H$551,Q376)&amp;"")</f>
        <v/>
      </c>
      <c r="H376" s="44">
        <f>IF(Q376="","",INDEX(希望入力!$I$2:$I$551,Q376)&amp;"")</f>
        <v/>
      </c>
      <c r="I376" s="44">
        <f>IF(Q376="","",INDEX(希望入力!$J$2:$J$551,Q376)&amp;"")</f>
        <v/>
      </c>
      <c r="J376" s="44">
        <f>IF(Q376="","",IF(G376="","要調整",IFERROR(IF(IF(OR(設定!$C$14="〇",設定!$C$14="○"),COUNTIFS($A$7:$A$456,"&gt;="&amp;A376,$G$7:$G$456,G376),COUNTIF($G$7:$G$456,G376))&lt;=(INDEX(設定!$Q$8:$Q$27,MATCH(G376,設定!$P$8:$P$27,0))+N(INDEX(設定!$R$8:$R$27,MATCH(G376,設定!$P$8:$P$27,0)))),G376,"要調整"),"要調整")))</f>
        <v/>
      </c>
      <c r="K376" s="40" t="n"/>
      <c r="L376" s="52">
        <f>IF(P376="","",IF(K376&lt;&gt;"",K376,IF(OR(J376="",J376="要調整"),"",J376)))</f>
        <v/>
      </c>
      <c r="M376" s="44">
        <f>IF(P376="","",IF(AND(計算用!$B$1=1,T376=""),"転出",IF(L376&lt;&gt;"","決定",IF(Q376="","未提出","要調整"))))</f>
        <v/>
      </c>
      <c r="N376" s="44">
        <f>IF(OR(M376&lt;&gt;"要調整",H376=""),"",IFERROR((INDEX(設定!$Q$8:$Q$27,MATCH(H376,設定!$P$8:$P$27,0))+N(INDEX(設定!$R$8:$R$27,MATCH(H376,設定!$P$8:$P$27,0))))-INDEX(定員チェック!$F$7:$F$26,MATCH(H376,設定!$P$8:$P$27,0))-COUNTIFS($M$7:$M$456,"要調整",$G$7:$G$456,H376),""))</f>
        <v/>
      </c>
      <c r="O376" s="44">
        <f>IF(OR(M376&lt;&gt;"要調整",I376=""),"",IFERROR((INDEX(設定!$Q$8:$Q$27,MATCH(I376,設定!$P$8:$P$27,0))+N(INDEX(設定!$R$8:$R$27,MATCH(I376,設定!$P$8:$P$27,0))))-INDEX(定員チェック!$F$7:$F$26,MATCH(I376,設定!$P$8:$P$27,0))-COUNTIFS($M$7:$M$456,"要調整",$G$7:$G$456,I376),""))</f>
        <v/>
      </c>
      <c r="P376" s="8">
        <f>IFERROR(MATCH(SMALL(前年度名簿!$G$2:$G$451,370),前年度名簿!$G$2:$G$451,0),"")</f>
        <v/>
      </c>
      <c r="Q376" s="8">
        <f>IF(R376="","",IFERROR(MATCH(R376,希望入力!$M$2:$M$551,0),""))</f>
        <v/>
      </c>
      <c r="R376" s="8">
        <f>IF(P376="","",INDEX(前年度名簿!$F$2:$F$451,P376))</f>
        <v/>
      </c>
      <c r="S376" s="8">
        <f>IF(P376="","",INDEX(前年度名簿!$I$2:$I$451,P376))</f>
        <v/>
      </c>
      <c r="T376" s="8">
        <f>IF(OR(P376="",計算用!$B$1=0),"",IFERROR(MATCH(S376,新年度名簿!$H$2:$H$451,0),""))</f>
        <v/>
      </c>
      <c r="U376" s="8">
        <f>IF(OR(L376="",M376="転出"),"",IFERROR(MATCH(L376,設定!$P$8:$P$27,0),""))</f>
        <v/>
      </c>
      <c r="V376" s="8">
        <f>IF(U376="","",COUNTIF($U$7:U376,U376))</f>
        <v/>
      </c>
      <c r="W376" s="8">
        <f>IF(U376="","",U376*1000+V376)</f>
        <v/>
      </c>
    </row>
    <row r="377">
      <c r="A377" s="44">
        <f>IF(P377="","",INDEX(前年度名簿!$H$2:$H$451,P377))</f>
        <v/>
      </c>
      <c r="B377" s="44">
        <f>IF(P377="","",IFERROR(INDEX(設定!$G$8:$G$31,INT(INDEX(前年度名簿!$G$2:$G$451,P377)/1000)),INDEX(前年度名簿!$A$2:$A$451,P377)&amp;INDEX(前年度名簿!$B$2:$B$451,P377)))</f>
        <v/>
      </c>
      <c r="C377" s="44">
        <f>IF(P377="","",INDEX(前年度名簿!$C$2:$C$451,P377))</f>
        <v/>
      </c>
      <c r="D377" s="3">
        <f>IF(P377="","",INDEX(前年度名簿!$D$2:$D$451,P377))</f>
        <v/>
      </c>
      <c r="E377" s="44">
        <f>IF(T377="","",INDEX(新年度名簿!$K$2:$K$451,T377))</f>
        <v/>
      </c>
      <c r="F377" s="44">
        <f>IF(T377="","",INDEX(新年度名簿!$C$2:$C$451,T377))</f>
        <v/>
      </c>
      <c r="G377" s="44">
        <f>IF(Q377="","",INDEX(希望入力!$H$2:$H$551,Q377)&amp;"")</f>
        <v/>
      </c>
      <c r="H377" s="44">
        <f>IF(Q377="","",INDEX(希望入力!$I$2:$I$551,Q377)&amp;"")</f>
        <v/>
      </c>
      <c r="I377" s="44">
        <f>IF(Q377="","",INDEX(希望入力!$J$2:$J$551,Q377)&amp;"")</f>
        <v/>
      </c>
      <c r="J377" s="44">
        <f>IF(Q377="","",IF(G377="","要調整",IFERROR(IF(IF(OR(設定!$C$14="〇",設定!$C$14="○"),COUNTIFS($A$7:$A$456,"&gt;="&amp;A377,$G$7:$G$456,G377),COUNTIF($G$7:$G$456,G377))&lt;=(INDEX(設定!$Q$8:$Q$27,MATCH(G377,設定!$P$8:$P$27,0))+N(INDEX(設定!$R$8:$R$27,MATCH(G377,設定!$P$8:$P$27,0)))),G377,"要調整"),"要調整")))</f>
        <v/>
      </c>
      <c r="K377" s="40" t="n"/>
      <c r="L377" s="52">
        <f>IF(P377="","",IF(K377&lt;&gt;"",K377,IF(OR(J377="",J377="要調整"),"",J377)))</f>
        <v/>
      </c>
      <c r="M377" s="44">
        <f>IF(P377="","",IF(AND(計算用!$B$1=1,T377=""),"転出",IF(L377&lt;&gt;"","決定",IF(Q377="","未提出","要調整"))))</f>
        <v/>
      </c>
      <c r="N377" s="44">
        <f>IF(OR(M377&lt;&gt;"要調整",H377=""),"",IFERROR((INDEX(設定!$Q$8:$Q$27,MATCH(H377,設定!$P$8:$P$27,0))+N(INDEX(設定!$R$8:$R$27,MATCH(H377,設定!$P$8:$P$27,0))))-INDEX(定員チェック!$F$7:$F$26,MATCH(H377,設定!$P$8:$P$27,0))-COUNTIFS($M$7:$M$456,"要調整",$G$7:$G$456,H377),""))</f>
        <v/>
      </c>
      <c r="O377" s="44">
        <f>IF(OR(M377&lt;&gt;"要調整",I377=""),"",IFERROR((INDEX(設定!$Q$8:$Q$27,MATCH(I377,設定!$P$8:$P$27,0))+N(INDEX(設定!$R$8:$R$27,MATCH(I377,設定!$P$8:$P$27,0))))-INDEX(定員チェック!$F$7:$F$26,MATCH(I377,設定!$P$8:$P$27,0))-COUNTIFS($M$7:$M$456,"要調整",$G$7:$G$456,I377),""))</f>
        <v/>
      </c>
      <c r="P377" s="8">
        <f>IFERROR(MATCH(SMALL(前年度名簿!$G$2:$G$451,371),前年度名簿!$G$2:$G$451,0),"")</f>
        <v/>
      </c>
      <c r="Q377" s="8">
        <f>IF(R377="","",IFERROR(MATCH(R377,希望入力!$M$2:$M$551,0),""))</f>
        <v/>
      </c>
      <c r="R377" s="8">
        <f>IF(P377="","",INDEX(前年度名簿!$F$2:$F$451,P377))</f>
        <v/>
      </c>
      <c r="S377" s="8">
        <f>IF(P377="","",INDEX(前年度名簿!$I$2:$I$451,P377))</f>
        <v/>
      </c>
      <c r="T377" s="8">
        <f>IF(OR(P377="",計算用!$B$1=0),"",IFERROR(MATCH(S377,新年度名簿!$H$2:$H$451,0),""))</f>
        <v/>
      </c>
      <c r="U377" s="8">
        <f>IF(OR(L377="",M377="転出"),"",IFERROR(MATCH(L377,設定!$P$8:$P$27,0),""))</f>
        <v/>
      </c>
      <c r="V377" s="8">
        <f>IF(U377="","",COUNTIF($U$7:U377,U377))</f>
        <v/>
      </c>
      <c r="W377" s="8">
        <f>IF(U377="","",U377*1000+V377)</f>
        <v/>
      </c>
    </row>
    <row r="378">
      <c r="A378" s="44">
        <f>IF(P378="","",INDEX(前年度名簿!$H$2:$H$451,P378))</f>
        <v/>
      </c>
      <c r="B378" s="44">
        <f>IF(P378="","",IFERROR(INDEX(設定!$G$8:$G$31,INT(INDEX(前年度名簿!$G$2:$G$451,P378)/1000)),INDEX(前年度名簿!$A$2:$A$451,P378)&amp;INDEX(前年度名簿!$B$2:$B$451,P378)))</f>
        <v/>
      </c>
      <c r="C378" s="44">
        <f>IF(P378="","",INDEX(前年度名簿!$C$2:$C$451,P378))</f>
        <v/>
      </c>
      <c r="D378" s="3">
        <f>IF(P378="","",INDEX(前年度名簿!$D$2:$D$451,P378))</f>
        <v/>
      </c>
      <c r="E378" s="44">
        <f>IF(T378="","",INDEX(新年度名簿!$K$2:$K$451,T378))</f>
        <v/>
      </c>
      <c r="F378" s="44">
        <f>IF(T378="","",INDEX(新年度名簿!$C$2:$C$451,T378))</f>
        <v/>
      </c>
      <c r="G378" s="44">
        <f>IF(Q378="","",INDEX(希望入力!$H$2:$H$551,Q378)&amp;"")</f>
        <v/>
      </c>
      <c r="H378" s="44">
        <f>IF(Q378="","",INDEX(希望入力!$I$2:$I$551,Q378)&amp;"")</f>
        <v/>
      </c>
      <c r="I378" s="44">
        <f>IF(Q378="","",INDEX(希望入力!$J$2:$J$551,Q378)&amp;"")</f>
        <v/>
      </c>
      <c r="J378" s="44">
        <f>IF(Q378="","",IF(G378="","要調整",IFERROR(IF(IF(OR(設定!$C$14="〇",設定!$C$14="○"),COUNTIFS($A$7:$A$456,"&gt;="&amp;A378,$G$7:$G$456,G378),COUNTIF($G$7:$G$456,G378))&lt;=(INDEX(設定!$Q$8:$Q$27,MATCH(G378,設定!$P$8:$P$27,0))+N(INDEX(設定!$R$8:$R$27,MATCH(G378,設定!$P$8:$P$27,0)))),G378,"要調整"),"要調整")))</f>
        <v/>
      </c>
      <c r="K378" s="40" t="n"/>
      <c r="L378" s="52">
        <f>IF(P378="","",IF(K378&lt;&gt;"",K378,IF(OR(J378="",J378="要調整"),"",J378)))</f>
        <v/>
      </c>
      <c r="M378" s="44">
        <f>IF(P378="","",IF(AND(計算用!$B$1=1,T378=""),"転出",IF(L378&lt;&gt;"","決定",IF(Q378="","未提出","要調整"))))</f>
        <v/>
      </c>
      <c r="N378" s="44">
        <f>IF(OR(M378&lt;&gt;"要調整",H378=""),"",IFERROR((INDEX(設定!$Q$8:$Q$27,MATCH(H378,設定!$P$8:$P$27,0))+N(INDEX(設定!$R$8:$R$27,MATCH(H378,設定!$P$8:$P$27,0))))-INDEX(定員チェック!$F$7:$F$26,MATCH(H378,設定!$P$8:$P$27,0))-COUNTIFS($M$7:$M$456,"要調整",$G$7:$G$456,H378),""))</f>
        <v/>
      </c>
      <c r="O378" s="44">
        <f>IF(OR(M378&lt;&gt;"要調整",I378=""),"",IFERROR((INDEX(設定!$Q$8:$Q$27,MATCH(I378,設定!$P$8:$P$27,0))+N(INDEX(設定!$R$8:$R$27,MATCH(I378,設定!$P$8:$P$27,0))))-INDEX(定員チェック!$F$7:$F$26,MATCH(I378,設定!$P$8:$P$27,0))-COUNTIFS($M$7:$M$456,"要調整",$G$7:$G$456,I378),""))</f>
        <v/>
      </c>
      <c r="P378" s="8">
        <f>IFERROR(MATCH(SMALL(前年度名簿!$G$2:$G$451,372),前年度名簿!$G$2:$G$451,0),"")</f>
        <v/>
      </c>
      <c r="Q378" s="8">
        <f>IF(R378="","",IFERROR(MATCH(R378,希望入力!$M$2:$M$551,0),""))</f>
        <v/>
      </c>
      <c r="R378" s="8">
        <f>IF(P378="","",INDEX(前年度名簿!$F$2:$F$451,P378))</f>
        <v/>
      </c>
      <c r="S378" s="8">
        <f>IF(P378="","",INDEX(前年度名簿!$I$2:$I$451,P378))</f>
        <v/>
      </c>
      <c r="T378" s="8">
        <f>IF(OR(P378="",計算用!$B$1=0),"",IFERROR(MATCH(S378,新年度名簿!$H$2:$H$451,0),""))</f>
        <v/>
      </c>
      <c r="U378" s="8">
        <f>IF(OR(L378="",M378="転出"),"",IFERROR(MATCH(L378,設定!$P$8:$P$27,0),""))</f>
        <v/>
      </c>
      <c r="V378" s="8">
        <f>IF(U378="","",COUNTIF($U$7:U378,U378))</f>
        <v/>
      </c>
      <c r="W378" s="8">
        <f>IF(U378="","",U378*1000+V378)</f>
        <v/>
      </c>
    </row>
    <row r="379">
      <c r="A379" s="44">
        <f>IF(P379="","",INDEX(前年度名簿!$H$2:$H$451,P379))</f>
        <v/>
      </c>
      <c r="B379" s="44">
        <f>IF(P379="","",IFERROR(INDEX(設定!$G$8:$G$31,INT(INDEX(前年度名簿!$G$2:$G$451,P379)/1000)),INDEX(前年度名簿!$A$2:$A$451,P379)&amp;INDEX(前年度名簿!$B$2:$B$451,P379)))</f>
        <v/>
      </c>
      <c r="C379" s="44">
        <f>IF(P379="","",INDEX(前年度名簿!$C$2:$C$451,P379))</f>
        <v/>
      </c>
      <c r="D379" s="3">
        <f>IF(P379="","",INDEX(前年度名簿!$D$2:$D$451,P379))</f>
        <v/>
      </c>
      <c r="E379" s="44">
        <f>IF(T379="","",INDEX(新年度名簿!$K$2:$K$451,T379))</f>
        <v/>
      </c>
      <c r="F379" s="44">
        <f>IF(T379="","",INDEX(新年度名簿!$C$2:$C$451,T379))</f>
        <v/>
      </c>
      <c r="G379" s="44">
        <f>IF(Q379="","",INDEX(希望入力!$H$2:$H$551,Q379)&amp;"")</f>
        <v/>
      </c>
      <c r="H379" s="44">
        <f>IF(Q379="","",INDEX(希望入力!$I$2:$I$551,Q379)&amp;"")</f>
        <v/>
      </c>
      <c r="I379" s="44">
        <f>IF(Q379="","",INDEX(希望入力!$J$2:$J$551,Q379)&amp;"")</f>
        <v/>
      </c>
      <c r="J379" s="44">
        <f>IF(Q379="","",IF(G379="","要調整",IFERROR(IF(IF(OR(設定!$C$14="〇",設定!$C$14="○"),COUNTIFS($A$7:$A$456,"&gt;="&amp;A379,$G$7:$G$456,G379),COUNTIF($G$7:$G$456,G379))&lt;=(INDEX(設定!$Q$8:$Q$27,MATCH(G379,設定!$P$8:$P$27,0))+N(INDEX(設定!$R$8:$R$27,MATCH(G379,設定!$P$8:$P$27,0)))),G379,"要調整"),"要調整")))</f>
        <v/>
      </c>
      <c r="K379" s="40" t="n"/>
      <c r="L379" s="52">
        <f>IF(P379="","",IF(K379&lt;&gt;"",K379,IF(OR(J379="",J379="要調整"),"",J379)))</f>
        <v/>
      </c>
      <c r="M379" s="44">
        <f>IF(P379="","",IF(AND(計算用!$B$1=1,T379=""),"転出",IF(L379&lt;&gt;"","決定",IF(Q379="","未提出","要調整"))))</f>
        <v/>
      </c>
      <c r="N379" s="44">
        <f>IF(OR(M379&lt;&gt;"要調整",H379=""),"",IFERROR((INDEX(設定!$Q$8:$Q$27,MATCH(H379,設定!$P$8:$P$27,0))+N(INDEX(設定!$R$8:$R$27,MATCH(H379,設定!$P$8:$P$27,0))))-INDEX(定員チェック!$F$7:$F$26,MATCH(H379,設定!$P$8:$P$27,0))-COUNTIFS($M$7:$M$456,"要調整",$G$7:$G$456,H379),""))</f>
        <v/>
      </c>
      <c r="O379" s="44">
        <f>IF(OR(M379&lt;&gt;"要調整",I379=""),"",IFERROR((INDEX(設定!$Q$8:$Q$27,MATCH(I379,設定!$P$8:$P$27,0))+N(INDEX(設定!$R$8:$R$27,MATCH(I379,設定!$P$8:$P$27,0))))-INDEX(定員チェック!$F$7:$F$26,MATCH(I379,設定!$P$8:$P$27,0))-COUNTIFS($M$7:$M$456,"要調整",$G$7:$G$456,I379),""))</f>
        <v/>
      </c>
      <c r="P379" s="8">
        <f>IFERROR(MATCH(SMALL(前年度名簿!$G$2:$G$451,373),前年度名簿!$G$2:$G$451,0),"")</f>
        <v/>
      </c>
      <c r="Q379" s="8">
        <f>IF(R379="","",IFERROR(MATCH(R379,希望入力!$M$2:$M$551,0),""))</f>
        <v/>
      </c>
      <c r="R379" s="8">
        <f>IF(P379="","",INDEX(前年度名簿!$F$2:$F$451,P379))</f>
        <v/>
      </c>
      <c r="S379" s="8">
        <f>IF(P379="","",INDEX(前年度名簿!$I$2:$I$451,P379))</f>
        <v/>
      </c>
      <c r="T379" s="8">
        <f>IF(OR(P379="",計算用!$B$1=0),"",IFERROR(MATCH(S379,新年度名簿!$H$2:$H$451,0),""))</f>
        <v/>
      </c>
      <c r="U379" s="8">
        <f>IF(OR(L379="",M379="転出"),"",IFERROR(MATCH(L379,設定!$P$8:$P$27,0),""))</f>
        <v/>
      </c>
      <c r="V379" s="8">
        <f>IF(U379="","",COUNTIF($U$7:U379,U379))</f>
        <v/>
      </c>
      <c r="W379" s="8">
        <f>IF(U379="","",U379*1000+V379)</f>
        <v/>
      </c>
    </row>
    <row r="380">
      <c r="A380" s="44">
        <f>IF(P380="","",INDEX(前年度名簿!$H$2:$H$451,P380))</f>
        <v/>
      </c>
      <c r="B380" s="44">
        <f>IF(P380="","",IFERROR(INDEX(設定!$G$8:$G$31,INT(INDEX(前年度名簿!$G$2:$G$451,P380)/1000)),INDEX(前年度名簿!$A$2:$A$451,P380)&amp;INDEX(前年度名簿!$B$2:$B$451,P380)))</f>
        <v/>
      </c>
      <c r="C380" s="44">
        <f>IF(P380="","",INDEX(前年度名簿!$C$2:$C$451,P380))</f>
        <v/>
      </c>
      <c r="D380" s="3">
        <f>IF(P380="","",INDEX(前年度名簿!$D$2:$D$451,P380))</f>
        <v/>
      </c>
      <c r="E380" s="44">
        <f>IF(T380="","",INDEX(新年度名簿!$K$2:$K$451,T380))</f>
        <v/>
      </c>
      <c r="F380" s="44">
        <f>IF(T380="","",INDEX(新年度名簿!$C$2:$C$451,T380))</f>
        <v/>
      </c>
      <c r="G380" s="44">
        <f>IF(Q380="","",INDEX(希望入力!$H$2:$H$551,Q380)&amp;"")</f>
        <v/>
      </c>
      <c r="H380" s="44">
        <f>IF(Q380="","",INDEX(希望入力!$I$2:$I$551,Q380)&amp;"")</f>
        <v/>
      </c>
      <c r="I380" s="44">
        <f>IF(Q380="","",INDEX(希望入力!$J$2:$J$551,Q380)&amp;"")</f>
        <v/>
      </c>
      <c r="J380" s="44">
        <f>IF(Q380="","",IF(G380="","要調整",IFERROR(IF(IF(OR(設定!$C$14="〇",設定!$C$14="○"),COUNTIFS($A$7:$A$456,"&gt;="&amp;A380,$G$7:$G$456,G380),COUNTIF($G$7:$G$456,G380))&lt;=(INDEX(設定!$Q$8:$Q$27,MATCH(G380,設定!$P$8:$P$27,0))+N(INDEX(設定!$R$8:$R$27,MATCH(G380,設定!$P$8:$P$27,0)))),G380,"要調整"),"要調整")))</f>
        <v/>
      </c>
      <c r="K380" s="40" t="n"/>
      <c r="L380" s="52">
        <f>IF(P380="","",IF(K380&lt;&gt;"",K380,IF(OR(J380="",J380="要調整"),"",J380)))</f>
        <v/>
      </c>
      <c r="M380" s="44">
        <f>IF(P380="","",IF(AND(計算用!$B$1=1,T380=""),"転出",IF(L380&lt;&gt;"","決定",IF(Q380="","未提出","要調整"))))</f>
        <v/>
      </c>
      <c r="N380" s="44">
        <f>IF(OR(M380&lt;&gt;"要調整",H380=""),"",IFERROR((INDEX(設定!$Q$8:$Q$27,MATCH(H380,設定!$P$8:$P$27,0))+N(INDEX(設定!$R$8:$R$27,MATCH(H380,設定!$P$8:$P$27,0))))-INDEX(定員チェック!$F$7:$F$26,MATCH(H380,設定!$P$8:$P$27,0))-COUNTIFS($M$7:$M$456,"要調整",$G$7:$G$456,H380),""))</f>
        <v/>
      </c>
      <c r="O380" s="44">
        <f>IF(OR(M380&lt;&gt;"要調整",I380=""),"",IFERROR((INDEX(設定!$Q$8:$Q$27,MATCH(I380,設定!$P$8:$P$27,0))+N(INDEX(設定!$R$8:$R$27,MATCH(I380,設定!$P$8:$P$27,0))))-INDEX(定員チェック!$F$7:$F$26,MATCH(I380,設定!$P$8:$P$27,0))-COUNTIFS($M$7:$M$456,"要調整",$G$7:$G$456,I380),""))</f>
        <v/>
      </c>
      <c r="P380" s="8">
        <f>IFERROR(MATCH(SMALL(前年度名簿!$G$2:$G$451,374),前年度名簿!$G$2:$G$451,0),"")</f>
        <v/>
      </c>
      <c r="Q380" s="8">
        <f>IF(R380="","",IFERROR(MATCH(R380,希望入力!$M$2:$M$551,0),""))</f>
        <v/>
      </c>
      <c r="R380" s="8">
        <f>IF(P380="","",INDEX(前年度名簿!$F$2:$F$451,P380))</f>
        <v/>
      </c>
      <c r="S380" s="8">
        <f>IF(P380="","",INDEX(前年度名簿!$I$2:$I$451,P380))</f>
        <v/>
      </c>
      <c r="T380" s="8">
        <f>IF(OR(P380="",計算用!$B$1=0),"",IFERROR(MATCH(S380,新年度名簿!$H$2:$H$451,0),""))</f>
        <v/>
      </c>
      <c r="U380" s="8">
        <f>IF(OR(L380="",M380="転出"),"",IFERROR(MATCH(L380,設定!$P$8:$P$27,0),""))</f>
        <v/>
      </c>
      <c r="V380" s="8">
        <f>IF(U380="","",COUNTIF($U$7:U380,U380))</f>
        <v/>
      </c>
      <c r="W380" s="8">
        <f>IF(U380="","",U380*1000+V380)</f>
        <v/>
      </c>
    </row>
    <row r="381">
      <c r="A381" s="44">
        <f>IF(P381="","",INDEX(前年度名簿!$H$2:$H$451,P381))</f>
        <v/>
      </c>
      <c r="B381" s="44">
        <f>IF(P381="","",IFERROR(INDEX(設定!$G$8:$G$31,INT(INDEX(前年度名簿!$G$2:$G$451,P381)/1000)),INDEX(前年度名簿!$A$2:$A$451,P381)&amp;INDEX(前年度名簿!$B$2:$B$451,P381)))</f>
        <v/>
      </c>
      <c r="C381" s="44">
        <f>IF(P381="","",INDEX(前年度名簿!$C$2:$C$451,P381))</f>
        <v/>
      </c>
      <c r="D381" s="3">
        <f>IF(P381="","",INDEX(前年度名簿!$D$2:$D$451,P381))</f>
        <v/>
      </c>
      <c r="E381" s="44">
        <f>IF(T381="","",INDEX(新年度名簿!$K$2:$K$451,T381))</f>
        <v/>
      </c>
      <c r="F381" s="44">
        <f>IF(T381="","",INDEX(新年度名簿!$C$2:$C$451,T381))</f>
        <v/>
      </c>
      <c r="G381" s="44">
        <f>IF(Q381="","",INDEX(希望入力!$H$2:$H$551,Q381)&amp;"")</f>
        <v/>
      </c>
      <c r="H381" s="44">
        <f>IF(Q381="","",INDEX(希望入力!$I$2:$I$551,Q381)&amp;"")</f>
        <v/>
      </c>
      <c r="I381" s="44">
        <f>IF(Q381="","",INDEX(希望入力!$J$2:$J$551,Q381)&amp;"")</f>
        <v/>
      </c>
      <c r="J381" s="44">
        <f>IF(Q381="","",IF(G381="","要調整",IFERROR(IF(IF(OR(設定!$C$14="〇",設定!$C$14="○"),COUNTIFS($A$7:$A$456,"&gt;="&amp;A381,$G$7:$G$456,G381),COUNTIF($G$7:$G$456,G381))&lt;=(INDEX(設定!$Q$8:$Q$27,MATCH(G381,設定!$P$8:$P$27,0))+N(INDEX(設定!$R$8:$R$27,MATCH(G381,設定!$P$8:$P$27,0)))),G381,"要調整"),"要調整")))</f>
        <v/>
      </c>
      <c r="K381" s="40" t="n"/>
      <c r="L381" s="52">
        <f>IF(P381="","",IF(K381&lt;&gt;"",K381,IF(OR(J381="",J381="要調整"),"",J381)))</f>
        <v/>
      </c>
      <c r="M381" s="44">
        <f>IF(P381="","",IF(AND(計算用!$B$1=1,T381=""),"転出",IF(L381&lt;&gt;"","決定",IF(Q381="","未提出","要調整"))))</f>
        <v/>
      </c>
      <c r="N381" s="44">
        <f>IF(OR(M381&lt;&gt;"要調整",H381=""),"",IFERROR((INDEX(設定!$Q$8:$Q$27,MATCH(H381,設定!$P$8:$P$27,0))+N(INDEX(設定!$R$8:$R$27,MATCH(H381,設定!$P$8:$P$27,0))))-INDEX(定員チェック!$F$7:$F$26,MATCH(H381,設定!$P$8:$P$27,0))-COUNTIFS($M$7:$M$456,"要調整",$G$7:$G$456,H381),""))</f>
        <v/>
      </c>
      <c r="O381" s="44">
        <f>IF(OR(M381&lt;&gt;"要調整",I381=""),"",IFERROR((INDEX(設定!$Q$8:$Q$27,MATCH(I381,設定!$P$8:$P$27,0))+N(INDEX(設定!$R$8:$R$27,MATCH(I381,設定!$P$8:$P$27,0))))-INDEX(定員チェック!$F$7:$F$26,MATCH(I381,設定!$P$8:$P$27,0))-COUNTIFS($M$7:$M$456,"要調整",$G$7:$G$456,I381),""))</f>
        <v/>
      </c>
      <c r="P381" s="8">
        <f>IFERROR(MATCH(SMALL(前年度名簿!$G$2:$G$451,375),前年度名簿!$G$2:$G$451,0),"")</f>
        <v/>
      </c>
      <c r="Q381" s="8">
        <f>IF(R381="","",IFERROR(MATCH(R381,希望入力!$M$2:$M$551,0),""))</f>
        <v/>
      </c>
      <c r="R381" s="8">
        <f>IF(P381="","",INDEX(前年度名簿!$F$2:$F$451,P381))</f>
        <v/>
      </c>
      <c r="S381" s="8">
        <f>IF(P381="","",INDEX(前年度名簿!$I$2:$I$451,P381))</f>
        <v/>
      </c>
      <c r="T381" s="8">
        <f>IF(OR(P381="",計算用!$B$1=0),"",IFERROR(MATCH(S381,新年度名簿!$H$2:$H$451,0),""))</f>
        <v/>
      </c>
      <c r="U381" s="8">
        <f>IF(OR(L381="",M381="転出"),"",IFERROR(MATCH(L381,設定!$P$8:$P$27,0),""))</f>
        <v/>
      </c>
      <c r="V381" s="8">
        <f>IF(U381="","",COUNTIF($U$7:U381,U381))</f>
        <v/>
      </c>
      <c r="W381" s="8">
        <f>IF(U381="","",U381*1000+V381)</f>
        <v/>
      </c>
    </row>
    <row r="382">
      <c r="A382" s="44">
        <f>IF(P382="","",INDEX(前年度名簿!$H$2:$H$451,P382))</f>
        <v/>
      </c>
      <c r="B382" s="44">
        <f>IF(P382="","",IFERROR(INDEX(設定!$G$8:$G$31,INT(INDEX(前年度名簿!$G$2:$G$451,P382)/1000)),INDEX(前年度名簿!$A$2:$A$451,P382)&amp;INDEX(前年度名簿!$B$2:$B$451,P382)))</f>
        <v/>
      </c>
      <c r="C382" s="44">
        <f>IF(P382="","",INDEX(前年度名簿!$C$2:$C$451,P382))</f>
        <v/>
      </c>
      <c r="D382" s="3">
        <f>IF(P382="","",INDEX(前年度名簿!$D$2:$D$451,P382))</f>
        <v/>
      </c>
      <c r="E382" s="44">
        <f>IF(T382="","",INDEX(新年度名簿!$K$2:$K$451,T382))</f>
        <v/>
      </c>
      <c r="F382" s="44">
        <f>IF(T382="","",INDEX(新年度名簿!$C$2:$C$451,T382))</f>
        <v/>
      </c>
      <c r="G382" s="44">
        <f>IF(Q382="","",INDEX(希望入力!$H$2:$H$551,Q382)&amp;"")</f>
        <v/>
      </c>
      <c r="H382" s="44">
        <f>IF(Q382="","",INDEX(希望入力!$I$2:$I$551,Q382)&amp;"")</f>
        <v/>
      </c>
      <c r="I382" s="44">
        <f>IF(Q382="","",INDEX(希望入力!$J$2:$J$551,Q382)&amp;"")</f>
        <v/>
      </c>
      <c r="J382" s="44">
        <f>IF(Q382="","",IF(G382="","要調整",IFERROR(IF(IF(OR(設定!$C$14="〇",設定!$C$14="○"),COUNTIFS($A$7:$A$456,"&gt;="&amp;A382,$G$7:$G$456,G382),COUNTIF($G$7:$G$456,G382))&lt;=(INDEX(設定!$Q$8:$Q$27,MATCH(G382,設定!$P$8:$P$27,0))+N(INDEX(設定!$R$8:$R$27,MATCH(G382,設定!$P$8:$P$27,0)))),G382,"要調整"),"要調整")))</f>
        <v/>
      </c>
      <c r="K382" s="40" t="n"/>
      <c r="L382" s="52">
        <f>IF(P382="","",IF(K382&lt;&gt;"",K382,IF(OR(J382="",J382="要調整"),"",J382)))</f>
        <v/>
      </c>
      <c r="M382" s="44">
        <f>IF(P382="","",IF(AND(計算用!$B$1=1,T382=""),"転出",IF(L382&lt;&gt;"","決定",IF(Q382="","未提出","要調整"))))</f>
        <v/>
      </c>
      <c r="N382" s="44">
        <f>IF(OR(M382&lt;&gt;"要調整",H382=""),"",IFERROR((INDEX(設定!$Q$8:$Q$27,MATCH(H382,設定!$P$8:$P$27,0))+N(INDEX(設定!$R$8:$R$27,MATCH(H382,設定!$P$8:$P$27,0))))-INDEX(定員チェック!$F$7:$F$26,MATCH(H382,設定!$P$8:$P$27,0))-COUNTIFS($M$7:$M$456,"要調整",$G$7:$G$456,H382),""))</f>
        <v/>
      </c>
      <c r="O382" s="44">
        <f>IF(OR(M382&lt;&gt;"要調整",I382=""),"",IFERROR((INDEX(設定!$Q$8:$Q$27,MATCH(I382,設定!$P$8:$P$27,0))+N(INDEX(設定!$R$8:$R$27,MATCH(I382,設定!$P$8:$P$27,0))))-INDEX(定員チェック!$F$7:$F$26,MATCH(I382,設定!$P$8:$P$27,0))-COUNTIFS($M$7:$M$456,"要調整",$G$7:$G$456,I382),""))</f>
        <v/>
      </c>
      <c r="P382" s="8">
        <f>IFERROR(MATCH(SMALL(前年度名簿!$G$2:$G$451,376),前年度名簿!$G$2:$G$451,0),"")</f>
        <v/>
      </c>
      <c r="Q382" s="8">
        <f>IF(R382="","",IFERROR(MATCH(R382,希望入力!$M$2:$M$551,0),""))</f>
        <v/>
      </c>
      <c r="R382" s="8">
        <f>IF(P382="","",INDEX(前年度名簿!$F$2:$F$451,P382))</f>
        <v/>
      </c>
      <c r="S382" s="8">
        <f>IF(P382="","",INDEX(前年度名簿!$I$2:$I$451,P382))</f>
        <v/>
      </c>
      <c r="T382" s="8">
        <f>IF(OR(P382="",計算用!$B$1=0),"",IFERROR(MATCH(S382,新年度名簿!$H$2:$H$451,0),""))</f>
        <v/>
      </c>
      <c r="U382" s="8">
        <f>IF(OR(L382="",M382="転出"),"",IFERROR(MATCH(L382,設定!$P$8:$P$27,0),""))</f>
        <v/>
      </c>
      <c r="V382" s="8">
        <f>IF(U382="","",COUNTIF($U$7:U382,U382))</f>
        <v/>
      </c>
      <c r="W382" s="8">
        <f>IF(U382="","",U382*1000+V382)</f>
        <v/>
      </c>
    </row>
    <row r="383">
      <c r="A383" s="44">
        <f>IF(P383="","",INDEX(前年度名簿!$H$2:$H$451,P383))</f>
        <v/>
      </c>
      <c r="B383" s="44">
        <f>IF(P383="","",IFERROR(INDEX(設定!$G$8:$G$31,INT(INDEX(前年度名簿!$G$2:$G$451,P383)/1000)),INDEX(前年度名簿!$A$2:$A$451,P383)&amp;INDEX(前年度名簿!$B$2:$B$451,P383)))</f>
        <v/>
      </c>
      <c r="C383" s="44">
        <f>IF(P383="","",INDEX(前年度名簿!$C$2:$C$451,P383))</f>
        <v/>
      </c>
      <c r="D383" s="3">
        <f>IF(P383="","",INDEX(前年度名簿!$D$2:$D$451,P383))</f>
        <v/>
      </c>
      <c r="E383" s="44">
        <f>IF(T383="","",INDEX(新年度名簿!$K$2:$K$451,T383))</f>
        <v/>
      </c>
      <c r="F383" s="44">
        <f>IF(T383="","",INDEX(新年度名簿!$C$2:$C$451,T383))</f>
        <v/>
      </c>
      <c r="G383" s="44">
        <f>IF(Q383="","",INDEX(希望入力!$H$2:$H$551,Q383)&amp;"")</f>
        <v/>
      </c>
      <c r="H383" s="44">
        <f>IF(Q383="","",INDEX(希望入力!$I$2:$I$551,Q383)&amp;"")</f>
        <v/>
      </c>
      <c r="I383" s="44">
        <f>IF(Q383="","",INDEX(希望入力!$J$2:$J$551,Q383)&amp;"")</f>
        <v/>
      </c>
      <c r="J383" s="44">
        <f>IF(Q383="","",IF(G383="","要調整",IFERROR(IF(IF(OR(設定!$C$14="〇",設定!$C$14="○"),COUNTIFS($A$7:$A$456,"&gt;="&amp;A383,$G$7:$G$456,G383),COUNTIF($G$7:$G$456,G383))&lt;=(INDEX(設定!$Q$8:$Q$27,MATCH(G383,設定!$P$8:$P$27,0))+N(INDEX(設定!$R$8:$R$27,MATCH(G383,設定!$P$8:$P$27,0)))),G383,"要調整"),"要調整")))</f>
        <v/>
      </c>
      <c r="K383" s="40" t="n"/>
      <c r="L383" s="52">
        <f>IF(P383="","",IF(K383&lt;&gt;"",K383,IF(OR(J383="",J383="要調整"),"",J383)))</f>
        <v/>
      </c>
      <c r="M383" s="44">
        <f>IF(P383="","",IF(AND(計算用!$B$1=1,T383=""),"転出",IF(L383&lt;&gt;"","決定",IF(Q383="","未提出","要調整"))))</f>
        <v/>
      </c>
      <c r="N383" s="44">
        <f>IF(OR(M383&lt;&gt;"要調整",H383=""),"",IFERROR((INDEX(設定!$Q$8:$Q$27,MATCH(H383,設定!$P$8:$P$27,0))+N(INDEX(設定!$R$8:$R$27,MATCH(H383,設定!$P$8:$P$27,0))))-INDEX(定員チェック!$F$7:$F$26,MATCH(H383,設定!$P$8:$P$27,0))-COUNTIFS($M$7:$M$456,"要調整",$G$7:$G$456,H383),""))</f>
        <v/>
      </c>
      <c r="O383" s="44">
        <f>IF(OR(M383&lt;&gt;"要調整",I383=""),"",IFERROR((INDEX(設定!$Q$8:$Q$27,MATCH(I383,設定!$P$8:$P$27,0))+N(INDEX(設定!$R$8:$R$27,MATCH(I383,設定!$P$8:$P$27,0))))-INDEX(定員チェック!$F$7:$F$26,MATCH(I383,設定!$P$8:$P$27,0))-COUNTIFS($M$7:$M$456,"要調整",$G$7:$G$456,I383),""))</f>
        <v/>
      </c>
      <c r="P383" s="8">
        <f>IFERROR(MATCH(SMALL(前年度名簿!$G$2:$G$451,377),前年度名簿!$G$2:$G$451,0),"")</f>
        <v/>
      </c>
      <c r="Q383" s="8">
        <f>IF(R383="","",IFERROR(MATCH(R383,希望入力!$M$2:$M$551,0),""))</f>
        <v/>
      </c>
      <c r="R383" s="8">
        <f>IF(P383="","",INDEX(前年度名簿!$F$2:$F$451,P383))</f>
        <v/>
      </c>
      <c r="S383" s="8">
        <f>IF(P383="","",INDEX(前年度名簿!$I$2:$I$451,P383))</f>
        <v/>
      </c>
      <c r="T383" s="8">
        <f>IF(OR(P383="",計算用!$B$1=0),"",IFERROR(MATCH(S383,新年度名簿!$H$2:$H$451,0),""))</f>
        <v/>
      </c>
      <c r="U383" s="8">
        <f>IF(OR(L383="",M383="転出"),"",IFERROR(MATCH(L383,設定!$P$8:$P$27,0),""))</f>
        <v/>
      </c>
      <c r="V383" s="8">
        <f>IF(U383="","",COUNTIF($U$7:U383,U383))</f>
        <v/>
      </c>
      <c r="W383" s="8">
        <f>IF(U383="","",U383*1000+V383)</f>
        <v/>
      </c>
    </row>
    <row r="384">
      <c r="A384" s="44">
        <f>IF(P384="","",INDEX(前年度名簿!$H$2:$H$451,P384))</f>
        <v/>
      </c>
      <c r="B384" s="44">
        <f>IF(P384="","",IFERROR(INDEX(設定!$G$8:$G$31,INT(INDEX(前年度名簿!$G$2:$G$451,P384)/1000)),INDEX(前年度名簿!$A$2:$A$451,P384)&amp;INDEX(前年度名簿!$B$2:$B$451,P384)))</f>
        <v/>
      </c>
      <c r="C384" s="44">
        <f>IF(P384="","",INDEX(前年度名簿!$C$2:$C$451,P384))</f>
        <v/>
      </c>
      <c r="D384" s="3">
        <f>IF(P384="","",INDEX(前年度名簿!$D$2:$D$451,P384))</f>
        <v/>
      </c>
      <c r="E384" s="44">
        <f>IF(T384="","",INDEX(新年度名簿!$K$2:$K$451,T384))</f>
        <v/>
      </c>
      <c r="F384" s="44">
        <f>IF(T384="","",INDEX(新年度名簿!$C$2:$C$451,T384))</f>
        <v/>
      </c>
      <c r="G384" s="44">
        <f>IF(Q384="","",INDEX(希望入力!$H$2:$H$551,Q384)&amp;"")</f>
        <v/>
      </c>
      <c r="H384" s="44">
        <f>IF(Q384="","",INDEX(希望入力!$I$2:$I$551,Q384)&amp;"")</f>
        <v/>
      </c>
      <c r="I384" s="44">
        <f>IF(Q384="","",INDEX(希望入力!$J$2:$J$551,Q384)&amp;"")</f>
        <v/>
      </c>
      <c r="J384" s="44">
        <f>IF(Q384="","",IF(G384="","要調整",IFERROR(IF(IF(OR(設定!$C$14="〇",設定!$C$14="○"),COUNTIFS($A$7:$A$456,"&gt;="&amp;A384,$G$7:$G$456,G384),COUNTIF($G$7:$G$456,G384))&lt;=(INDEX(設定!$Q$8:$Q$27,MATCH(G384,設定!$P$8:$P$27,0))+N(INDEX(設定!$R$8:$R$27,MATCH(G384,設定!$P$8:$P$27,0)))),G384,"要調整"),"要調整")))</f>
        <v/>
      </c>
      <c r="K384" s="40" t="n"/>
      <c r="L384" s="52">
        <f>IF(P384="","",IF(K384&lt;&gt;"",K384,IF(OR(J384="",J384="要調整"),"",J384)))</f>
        <v/>
      </c>
      <c r="M384" s="44">
        <f>IF(P384="","",IF(AND(計算用!$B$1=1,T384=""),"転出",IF(L384&lt;&gt;"","決定",IF(Q384="","未提出","要調整"))))</f>
        <v/>
      </c>
      <c r="N384" s="44">
        <f>IF(OR(M384&lt;&gt;"要調整",H384=""),"",IFERROR((INDEX(設定!$Q$8:$Q$27,MATCH(H384,設定!$P$8:$P$27,0))+N(INDEX(設定!$R$8:$R$27,MATCH(H384,設定!$P$8:$P$27,0))))-INDEX(定員チェック!$F$7:$F$26,MATCH(H384,設定!$P$8:$P$27,0))-COUNTIFS($M$7:$M$456,"要調整",$G$7:$G$456,H384),""))</f>
        <v/>
      </c>
      <c r="O384" s="44">
        <f>IF(OR(M384&lt;&gt;"要調整",I384=""),"",IFERROR((INDEX(設定!$Q$8:$Q$27,MATCH(I384,設定!$P$8:$P$27,0))+N(INDEX(設定!$R$8:$R$27,MATCH(I384,設定!$P$8:$P$27,0))))-INDEX(定員チェック!$F$7:$F$26,MATCH(I384,設定!$P$8:$P$27,0))-COUNTIFS($M$7:$M$456,"要調整",$G$7:$G$456,I384),""))</f>
        <v/>
      </c>
      <c r="P384" s="8">
        <f>IFERROR(MATCH(SMALL(前年度名簿!$G$2:$G$451,378),前年度名簿!$G$2:$G$451,0),"")</f>
        <v/>
      </c>
      <c r="Q384" s="8">
        <f>IF(R384="","",IFERROR(MATCH(R384,希望入力!$M$2:$M$551,0),""))</f>
        <v/>
      </c>
      <c r="R384" s="8">
        <f>IF(P384="","",INDEX(前年度名簿!$F$2:$F$451,P384))</f>
        <v/>
      </c>
      <c r="S384" s="8">
        <f>IF(P384="","",INDEX(前年度名簿!$I$2:$I$451,P384))</f>
        <v/>
      </c>
      <c r="T384" s="8">
        <f>IF(OR(P384="",計算用!$B$1=0),"",IFERROR(MATCH(S384,新年度名簿!$H$2:$H$451,0),""))</f>
        <v/>
      </c>
      <c r="U384" s="8">
        <f>IF(OR(L384="",M384="転出"),"",IFERROR(MATCH(L384,設定!$P$8:$P$27,0),""))</f>
        <v/>
      </c>
      <c r="V384" s="8">
        <f>IF(U384="","",COUNTIF($U$7:U384,U384))</f>
        <v/>
      </c>
      <c r="W384" s="8">
        <f>IF(U384="","",U384*1000+V384)</f>
        <v/>
      </c>
    </row>
    <row r="385">
      <c r="A385" s="44">
        <f>IF(P385="","",INDEX(前年度名簿!$H$2:$H$451,P385))</f>
        <v/>
      </c>
      <c r="B385" s="44">
        <f>IF(P385="","",IFERROR(INDEX(設定!$G$8:$G$31,INT(INDEX(前年度名簿!$G$2:$G$451,P385)/1000)),INDEX(前年度名簿!$A$2:$A$451,P385)&amp;INDEX(前年度名簿!$B$2:$B$451,P385)))</f>
        <v/>
      </c>
      <c r="C385" s="44">
        <f>IF(P385="","",INDEX(前年度名簿!$C$2:$C$451,P385))</f>
        <v/>
      </c>
      <c r="D385" s="3">
        <f>IF(P385="","",INDEX(前年度名簿!$D$2:$D$451,P385))</f>
        <v/>
      </c>
      <c r="E385" s="44">
        <f>IF(T385="","",INDEX(新年度名簿!$K$2:$K$451,T385))</f>
        <v/>
      </c>
      <c r="F385" s="44">
        <f>IF(T385="","",INDEX(新年度名簿!$C$2:$C$451,T385))</f>
        <v/>
      </c>
      <c r="G385" s="44">
        <f>IF(Q385="","",INDEX(希望入力!$H$2:$H$551,Q385)&amp;"")</f>
        <v/>
      </c>
      <c r="H385" s="44">
        <f>IF(Q385="","",INDEX(希望入力!$I$2:$I$551,Q385)&amp;"")</f>
        <v/>
      </c>
      <c r="I385" s="44">
        <f>IF(Q385="","",INDEX(希望入力!$J$2:$J$551,Q385)&amp;"")</f>
        <v/>
      </c>
      <c r="J385" s="44">
        <f>IF(Q385="","",IF(G385="","要調整",IFERROR(IF(IF(OR(設定!$C$14="〇",設定!$C$14="○"),COUNTIFS($A$7:$A$456,"&gt;="&amp;A385,$G$7:$G$456,G385),COUNTIF($G$7:$G$456,G385))&lt;=(INDEX(設定!$Q$8:$Q$27,MATCH(G385,設定!$P$8:$P$27,0))+N(INDEX(設定!$R$8:$R$27,MATCH(G385,設定!$P$8:$P$27,0)))),G385,"要調整"),"要調整")))</f>
        <v/>
      </c>
      <c r="K385" s="40" t="n"/>
      <c r="L385" s="52">
        <f>IF(P385="","",IF(K385&lt;&gt;"",K385,IF(OR(J385="",J385="要調整"),"",J385)))</f>
        <v/>
      </c>
      <c r="M385" s="44">
        <f>IF(P385="","",IF(AND(計算用!$B$1=1,T385=""),"転出",IF(L385&lt;&gt;"","決定",IF(Q385="","未提出","要調整"))))</f>
        <v/>
      </c>
      <c r="N385" s="44">
        <f>IF(OR(M385&lt;&gt;"要調整",H385=""),"",IFERROR((INDEX(設定!$Q$8:$Q$27,MATCH(H385,設定!$P$8:$P$27,0))+N(INDEX(設定!$R$8:$R$27,MATCH(H385,設定!$P$8:$P$27,0))))-INDEX(定員チェック!$F$7:$F$26,MATCH(H385,設定!$P$8:$P$27,0))-COUNTIFS($M$7:$M$456,"要調整",$G$7:$G$456,H385),""))</f>
        <v/>
      </c>
      <c r="O385" s="44">
        <f>IF(OR(M385&lt;&gt;"要調整",I385=""),"",IFERROR((INDEX(設定!$Q$8:$Q$27,MATCH(I385,設定!$P$8:$P$27,0))+N(INDEX(設定!$R$8:$R$27,MATCH(I385,設定!$P$8:$P$27,0))))-INDEX(定員チェック!$F$7:$F$26,MATCH(I385,設定!$P$8:$P$27,0))-COUNTIFS($M$7:$M$456,"要調整",$G$7:$G$456,I385),""))</f>
        <v/>
      </c>
      <c r="P385" s="8">
        <f>IFERROR(MATCH(SMALL(前年度名簿!$G$2:$G$451,379),前年度名簿!$G$2:$G$451,0),"")</f>
        <v/>
      </c>
      <c r="Q385" s="8">
        <f>IF(R385="","",IFERROR(MATCH(R385,希望入力!$M$2:$M$551,0),""))</f>
        <v/>
      </c>
      <c r="R385" s="8">
        <f>IF(P385="","",INDEX(前年度名簿!$F$2:$F$451,P385))</f>
        <v/>
      </c>
      <c r="S385" s="8">
        <f>IF(P385="","",INDEX(前年度名簿!$I$2:$I$451,P385))</f>
        <v/>
      </c>
      <c r="T385" s="8">
        <f>IF(OR(P385="",計算用!$B$1=0),"",IFERROR(MATCH(S385,新年度名簿!$H$2:$H$451,0),""))</f>
        <v/>
      </c>
      <c r="U385" s="8">
        <f>IF(OR(L385="",M385="転出"),"",IFERROR(MATCH(L385,設定!$P$8:$P$27,0),""))</f>
        <v/>
      </c>
      <c r="V385" s="8">
        <f>IF(U385="","",COUNTIF($U$7:U385,U385))</f>
        <v/>
      </c>
      <c r="W385" s="8">
        <f>IF(U385="","",U385*1000+V385)</f>
        <v/>
      </c>
    </row>
    <row r="386">
      <c r="A386" s="44">
        <f>IF(P386="","",INDEX(前年度名簿!$H$2:$H$451,P386))</f>
        <v/>
      </c>
      <c r="B386" s="44">
        <f>IF(P386="","",IFERROR(INDEX(設定!$G$8:$G$31,INT(INDEX(前年度名簿!$G$2:$G$451,P386)/1000)),INDEX(前年度名簿!$A$2:$A$451,P386)&amp;INDEX(前年度名簿!$B$2:$B$451,P386)))</f>
        <v/>
      </c>
      <c r="C386" s="44">
        <f>IF(P386="","",INDEX(前年度名簿!$C$2:$C$451,P386))</f>
        <v/>
      </c>
      <c r="D386" s="3">
        <f>IF(P386="","",INDEX(前年度名簿!$D$2:$D$451,P386))</f>
        <v/>
      </c>
      <c r="E386" s="44">
        <f>IF(T386="","",INDEX(新年度名簿!$K$2:$K$451,T386))</f>
        <v/>
      </c>
      <c r="F386" s="44">
        <f>IF(T386="","",INDEX(新年度名簿!$C$2:$C$451,T386))</f>
        <v/>
      </c>
      <c r="G386" s="44">
        <f>IF(Q386="","",INDEX(希望入力!$H$2:$H$551,Q386)&amp;"")</f>
        <v/>
      </c>
      <c r="H386" s="44">
        <f>IF(Q386="","",INDEX(希望入力!$I$2:$I$551,Q386)&amp;"")</f>
        <v/>
      </c>
      <c r="I386" s="44">
        <f>IF(Q386="","",INDEX(希望入力!$J$2:$J$551,Q386)&amp;"")</f>
        <v/>
      </c>
      <c r="J386" s="44">
        <f>IF(Q386="","",IF(G386="","要調整",IFERROR(IF(IF(OR(設定!$C$14="〇",設定!$C$14="○"),COUNTIFS($A$7:$A$456,"&gt;="&amp;A386,$G$7:$G$456,G386),COUNTIF($G$7:$G$456,G386))&lt;=(INDEX(設定!$Q$8:$Q$27,MATCH(G386,設定!$P$8:$P$27,0))+N(INDEX(設定!$R$8:$R$27,MATCH(G386,設定!$P$8:$P$27,0)))),G386,"要調整"),"要調整")))</f>
        <v/>
      </c>
      <c r="K386" s="40" t="n"/>
      <c r="L386" s="52">
        <f>IF(P386="","",IF(K386&lt;&gt;"",K386,IF(OR(J386="",J386="要調整"),"",J386)))</f>
        <v/>
      </c>
      <c r="M386" s="44">
        <f>IF(P386="","",IF(AND(計算用!$B$1=1,T386=""),"転出",IF(L386&lt;&gt;"","決定",IF(Q386="","未提出","要調整"))))</f>
        <v/>
      </c>
      <c r="N386" s="44">
        <f>IF(OR(M386&lt;&gt;"要調整",H386=""),"",IFERROR((INDEX(設定!$Q$8:$Q$27,MATCH(H386,設定!$P$8:$P$27,0))+N(INDEX(設定!$R$8:$R$27,MATCH(H386,設定!$P$8:$P$27,0))))-INDEX(定員チェック!$F$7:$F$26,MATCH(H386,設定!$P$8:$P$27,0))-COUNTIFS($M$7:$M$456,"要調整",$G$7:$G$456,H386),""))</f>
        <v/>
      </c>
      <c r="O386" s="44">
        <f>IF(OR(M386&lt;&gt;"要調整",I386=""),"",IFERROR((INDEX(設定!$Q$8:$Q$27,MATCH(I386,設定!$P$8:$P$27,0))+N(INDEX(設定!$R$8:$R$27,MATCH(I386,設定!$P$8:$P$27,0))))-INDEX(定員チェック!$F$7:$F$26,MATCH(I386,設定!$P$8:$P$27,0))-COUNTIFS($M$7:$M$456,"要調整",$G$7:$G$456,I386),""))</f>
        <v/>
      </c>
      <c r="P386" s="8">
        <f>IFERROR(MATCH(SMALL(前年度名簿!$G$2:$G$451,380),前年度名簿!$G$2:$G$451,0),"")</f>
        <v/>
      </c>
      <c r="Q386" s="8">
        <f>IF(R386="","",IFERROR(MATCH(R386,希望入力!$M$2:$M$551,0),""))</f>
        <v/>
      </c>
      <c r="R386" s="8">
        <f>IF(P386="","",INDEX(前年度名簿!$F$2:$F$451,P386))</f>
        <v/>
      </c>
      <c r="S386" s="8">
        <f>IF(P386="","",INDEX(前年度名簿!$I$2:$I$451,P386))</f>
        <v/>
      </c>
      <c r="T386" s="8">
        <f>IF(OR(P386="",計算用!$B$1=0),"",IFERROR(MATCH(S386,新年度名簿!$H$2:$H$451,0),""))</f>
        <v/>
      </c>
      <c r="U386" s="8">
        <f>IF(OR(L386="",M386="転出"),"",IFERROR(MATCH(L386,設定!$P$8:$P$27,0),""))</f>
        <v/>
      </c>
      <c r="V386" s="8">
        <f>IF(U386="","",COUNTIF($U$7:U386,U386))</f>
        <v/>
      </c>
      <c r="W386" s="8">
        <f>IF(U386="","",U386*1000+V386)</f>
        <v/>
      </c>
    </row>
    <row r="387">
      <c r="A387" s="44">
        <f>IF(P387="","",INDEX(前年度名簿!$H$2:$H$451,P387))</f>
        <v/>
      </c>
      <c r="B387" s="44">
        <f>IF(P387="","",IFERROR(INDEX(設定!$G$8:$G$31,INT(INDEX(前年度名簿!$G$2:$G$451,P387)/1000)),INDEX(前年度名簿!$A$2:$A$451,P387)&amp;INDEX(前年度名簿!$B$2:$B$451,P387)))</f>
        <v/>
      </c>
      <c r="C387" s="44">
        <f>IF(P387="","",INDEX(前年度名簿!$C$2:$C$451,P387))</f>
        <v/>
      </c>
      <c r="D387" s="3">
        <f>IF(P387="","",INDEX(前年度名簿!$D$2:$D$451,P387))</f>
        <v/>
      </c>
      <c r="E387" s="44">
        <f>IF(T387="","",INDEX(新年度名簿!$K$2:$K$451,T387))</f>
        <v/>
      </c>
      <c r="F387" s="44">
        <f>IF(T387="","",INDEX(新年度名簿!$C$2:$C$451,T387))</f>
        <v/>
      </c>
      <c r="G387" s="44">
        <f>IF(Q387="","",INDEX(希望入力!$H$2:$H$551,Q387)&amp;"")</f>
        <v/>
      </c>
      <c r="H387" s="44">
        <f>IF(Q387="","",INDEX(希望入力!$I$2:$I$551,Q387)&amp;"")</f>
        <v/>
      </c>
      <c r="I387" s="44">
        <f>IF(Q387="","",INDEX(希望入力!$J$2:$J$551,Q387)&amp;"")</f>
        <v/>
      </c>
      <c r="J387" s="44">
        <f>IF(Q387="","",IF(G387="","要調整",IFERROR(IF(IF(OR(設定!$C$14="〇",設定!$C$14="○"),COUNTIFS($A$7:$A$456,"&gt;="&amp;A387,$G$7:$G$456,G387),COUNTIF($G$7:$G$456,G387))&lt;=(INDEX(設定!$Q$8:$Q$27,MATCH(G387,設定!$P$8:$P$27,0))+N(INDEX(設定!$R$8:$R$27,MATCH(G387,設定!$P$8:$P$27,0)))),G387,"要調整"),"要調整")))</f>
        <v/>
      </c>
      <c r="K387" s="40" t="n"/>
      <c r="L387" s="52">
        <f>IF(P387="","",IF(K387&lt;&gt;"",K387,IF(OR(J387="",J387="要調整"),"",J387)))</f>
        <v/>
      </c>
      <c r="M387" s="44">
        <f>IF(P387="","",IF(AND(計算用!$B$1=1,T387=""),"転出",IF(L387&lt;&gt;"","決定",IF(Q387="","未提出","要調整"))))</f>
        <v/>
      </c>
      <c r="N387" s="44">
        <f>IF(OR(M387&lt;&gt;"要調整",H387=""),"",IFERROR((INDEX(設定!$Q$8:$Q$27,MATCH(H387,設定!$P$8:$P$27,0))+N(INDEX(設定!$R$8:$R$27,MATCH(H387,設定!$P$8:$P$27,0))))-INDEX(定員チェック!$F$7:$F$26,MATCH(H387,設定!$P$8:$P$27,0))-COUNTIFS($M$7:$M$456,"要調整",$G$7:$G$456,H387),""))</f>
        <v/>
      </c>
      <c r="O387" s="44">
        <f>IF(OR(M387&lt;&gt;"要調整",I387=""),"",IFERROR((INDEX(設定!$Q$8:$Q$27,MATCH(I387,設定!$P$8:$P$27,0))+N(INDEX(設定!$R$8:$R$27,MATCH(I387,設定!$P$8:$P$27,0))))-INDEX(定員チェック!$F$7:$F$26,MATCH(I387,設定!$P$8:$P$27,0))-COUNTIFS($M$7:$M$456,"要調整",$G$7:$G$456,I387),""))</f>
        <v/>
      </c>
      <c r="P387" s="8">
        <f>IFERROR(MATCH(SMALL(前年度名簿!$G$2:$G$451,381),前年度名簿!$G$2:$G$451,0),"")</f>
        <v/>
      </c>
      <c r="Q387" s="8">
        <f>IF(R387="","",IFERROR(MATCH(R387,希望入力!$M$2:$M$551,0),""))</f>
        <v/>
      </c>
      <c r="R387" s="8">
        <f>IF(P387="","",INDEX(前年度名簿!$F$2:$F$451,P387))</f>
        <v/>
      </c>
      <c r="S387" s="8">
        <f>IF(P387="","",INDEX(前年度名簿!$I$2:$I$451,P387))</f>
        <v/>
      </c>
      <c r="T387" s="8">
        <f>IF(OR(P387="",計算用!$B$1=0),"",IFERROR(MATCH(S387,新年度名簿!$H$2:$H$451,0),""))</f>
        <v/>
      </c>
      <c r="U387" s="8">
        <f>IF(OR(L387="",M387="転出"),"",IFERROR(MATCH(L387,設定!$P$8:$P$27,0),""))</f>
        <v/>
      </c>
      <c r="V387" s="8">
        <f>IF(U387="","",COUNTIF($U$7:U387,U387))</f>
        <v/>
      </c>
      <c r="W387" s="8">
        <f>IF(U387="","",U387*1000+V387)</f>
        <v/>
      </c>
    </row>
    <row r="388">
      <c r="A388" s="44">
        <f>IF(P388="","",INDEX(前年度名簿!$H$2:$H$451,P388))</f>
        <v/>
      </c>
      <c r="B388" s="44">
        <f>IF(P388="","",IFERROR(INDEX(設定!$G$8:$G$31,INT(INDEX(前年度名簿!$G$2:$G$451,P388)/1000)),INDEX(前年度名簿!$A$2:$A$451,P388)&amp;INDEX(前年度名簿!$B$2:$B$451,P388)))</f>
        <v/>
      </c>
      <c r="C388" s="44">
        <f>IF(P388="","",INDEX(前年度名簿!$C$2:$C$451,P388))</f>
        <v/>
      </c>
      <c r="D388" s="3">
        <f>IF(P388="","",INDEX(前年度名簿!$D$2:$D$451,P388))</f>
        <v/>
      </c>
      <c r="E388" s="44">
        <f>IF(T388="","",INDEX(新年度名簿!$K$2:$K$451,T388))</f>
        <v/>
      </c>
      <c r="F388" s="44">
        <f>IF(T388="","",INDEX(新年度名簿!$C$2:$C$451,T388))</f>
        <v/>
      </c>
      <c r="G388" s="44">
        <f>IF(Q388="","",INDEX(希望入力!$H$2:$H$551,Q388)&amp;"")</f>
        <v/>
      </c>
      <c r="H388" s="44">
        <f>IF(Q388="","",INDEX(希望入力!$I$2:$I$551,Q388)&amp;"")</f>
        <v/>
      </c>
      <c r="I388" s="44">
        <f>IF(Q388="","",INDEX(希望入力!$J$2:$J$551,Q388)&amp;"")</f>
        <v/>
      </c>
      <c r="J388" s="44">
        <f>IF(Q388="","",IF(G388="","要調整",IFERROR(IF(IF(OR(設定!$C$14="〇",設定!$C$14="○"),COUNTIFS($A$7:$A$456,"&gt;="&amp;A388,$G$7:$G$456,G388),COUNTIF($G$7:$G$456,G388))&lt;=(INDEX(設定!$Q$8:$Q$27,MATCH(G388,設定!$P$8:$P$27,0))+N(INDEX(設定!$R$8:$R$27,MATCH(G388,設定!$P$8:$P$27,0)))),G388,"要調整"),"要調整")))</f>
        <v/>
      </c>
      <c r="K388" s="40" t="n"/>
      <c r="L388" s="52">
        <f>IF(P388="","",IF(K388&lt;&gt;"",K388,IF(OR(J388="",J388="要調整"),"",J388)))</f>
        <v/>
      </c>
      <c r="M388" s="44">
        <f>IF(P388="","",IF(AND(計算用!$B$1=1,T388=""),"転出",IF(L388&lt;&gt;"","決定",IF(Q388="","未提出","要調整"))))</f>
        <v/>
      </c>
      <c r="N388" s="44">
        <f>IF(OR(M388&lt;&gt;"要調整",H388=""),"",IFERROR((INDEX(設定!$Q$8:$Q$27,MATCH(H388,設定!$P$8:$P$27,0))+N(INDEX(設定!$R$8:$R$27,MATCH(H388,設定!$P$8:$P$27,0))))-INDEX(定員チェック!$F$7:$F$26,MATCH(H388,設定!$P$8:$P$27,0))-COUNTIFS($M$7:$M$456,"要調整",$G$7:$G$456,H388),""))</f>
        <v/>
      </c>
      <c r="O388" s="44">
        <f>IF(OR(M388&lt;&gt;"要調整",I388=""),"",IFERROR((INDEX(設定!$Q$8:$Q$27,MATCH(I388,設定!$P$8:$P$27,0))+N(INDEX(設定!$R$8:$R$27,MATCH(I388,設定!$P$8:$P$27,0))))-INDEX(定員チェック!$F$7:$F$26,MATCH(I388,設定!$P$8:$P$27,0))-COUNTIFS($M$7:$M$456,"要調整",$G$7:$G$456,I388),""))</f>
        <v/>
      </c>
      <c r="P388" s="8">
        <f>IFERROR(MATCH(SMALL(前年度名簿!$G$2:$G$451,382),前年度名簿!$G$2:$G$451,0),"")</f>
        <v/>
      </c>
      <c r="Q388" s="8">
        <f>IF(R388="","",IFERROR(MATCH(R388,希望入力!$M$2:$M$551,0),""))</f>
        <v/>
      </c>
      <c r="R388" s="8">
        <f>IF(P388="","",INDEX(前年度名簿!$F$2:$F$451,P388))</f>
        <v/>
      </c>
      <c r="S388" s="8">
        <f>IF(P388="","",INDEX(前年度名簿!$I$2:$I$451,P388))</f>
        <v/>
      </c>
      <c r="T388" s="8">
        <f>IF(OR(P388="",計算用!$B$1=0),"",IFERROR(MATCH(S388,新年度名簿!$H$2:$H$451,0),""))</f>
        <v/>
      </c>
      <c r="U388" s="8">
        <f>IF(OR(L388="",M388="転出"),"",IFERROR(MATCH(L388,設定!$P$8:$P$27,0),""))</f>
        <v/>
      </c>
      <c r="V388" s="8">
        <f>IF(U388="","",COUNTIF($U$7:U388,U388))</f>
        <v/>
      </c>
      <c r="W388" s="8">
        <f>IF(U388="","",U388*1000+V388)</f>
        <v/>
      </c>
    </row>
    <row r="389">
      <c r="A389" s="44">
        <f>IF(P389="","",INDEX(前年度名簿!$H$2:$H$451,P389))</f>
        <v/>
      </c>
      <c r="B389" s="44">
        <f>IF(P389="","",IFERROR(INDEX(設定!$G$8:$G$31,INT(INDEX(前年度名簿!$G$2:$G$451,P389)/1000)),INDEX(前年度名簿!$A$2:$A$451,P389)&amp;INDEX(前年度名簿!$B$2:$B$451,P389)))</f>
        <v/>
      </c>
      <c r="C389" s="44">
        <f>IF(P389="","",INDEX(前年度名簿!$C$2:$C$451,P389))</f>
        <v/>
      </c>
      <c r="D389" s="3">
        <f>IF(P389="","",INDEX(前年度名簿!$D$2:$D$451,P389))</f>
        <v/>
      </c>
      <c r="E389" s="44">
        <f>IF(T389="","",INDEX(新年度名簿!$K$2:$K$451,T389))</f>
        <v/>
      </c>
      <c r="F389" s="44">
        <f>IF(T389="","",INDEX(新年度名簿!$C$2:$C$451,T389))</f>
        <v/>
      </c>
      <c r="G389" s="44">
        <f>IF(Q389="","",INDEX(希望入力!$H$2:$H$551,Q389)&amp;"")</f>
        <v/>
      </c>
      <c r="H389" s="44">
        <f>IF(Q389="","",INDEX(希望入力!$I$2:$I$551,Q389)&amp;"")</f>
        <v/>
      </c>
      <c r="I389" s="44">
        <f>IF(Q389="","",INDEX(希望入力!$J$2:$J$551,Q389)&amp;"")</f>
        <v/>
      </c>
      <c r="J389" s="44">
        <f>IF(Q389="","",IF(G389="","要調整",IFERROR(IF(IF(OR(設定!$C$14="〇",設定!$C$14="○"),COUNTIFS($A$7:$A$456,"&gt;="&amp;A389,$G$7:$G$456,G389),COUNTIF($G$7:$G$456,G389))&lt;=(INDEX(設定!$Q$8:$Q$27,MATCH(G389,設定!$P$8:$P$27,0))+N(INDEX(設定!$R$8:$R$27,MATCH(G389,設定!$P$8:$P$27,0)))),G389,"要調整"),"要調整")))</f>
        <v/>
      </c>
      <c r="K389" s="40" t="n"/>
      <c r="L389" s="52">
        <f>IF(P389="","",IF(K389&lt;&gt;"",K389,IF(OR(J389="",J389="要調整"),"",J389)))</f>
        <v/>
      </c>
      <c r="M389" s="44">
        <f>IF(P389="","",IF(AND(計算用!$B$1=1,T389=""),"転出",IF(L389&lt;&gt;"","決定",IF(Q389="","未提出","要調整"))))</f>
        <v/>
      </c>
      <c r="N389" s="44">
        <f>IF(OR(M389&lt;&gt;"要調整",H389=""),"",IFERROR((INDEX(設定!$Q$8:$Q$27,MATCH(H389,設定!$P$8:$P$27,0))+N(INDEX(設定!$R$8:$R$27,MATCH(H389,設定!$P$8:$P$27,0))))-INDEX(定員チェック!$F$7:$F$26,MATCH(H389,設定!$P$8:$P$27,0))-COUNTIFS($M$7:$M$456,"要調整",$G$7:$G$456,H389),""))</f>
        <v/>
      </c>
      <c r="O389" s="44">
        <f>IF(OR(M389&lt;&gt;"要調整",I389=""),"",IFERROR((INDEX(設定!$Q$8:$Q$27,MATCH(I389,設定!$P$8:$P$27,0))+N(INDEX(設定!$R$8:$R$27,MATCH(I389,設定!$P$8:$P$27,0))))-INDEX(定員チェック!$F$7:$F$26,MATCH(I389,設定!$P$8:$P$27,0))-COUNTIFS($M$7:$M$456,"要調整",$G$7:$G$456,I389),""))</f>
        <v/>
      </c>
      <c r="P389" s="8">
        <f>IFERROR(MATCH(SMALL(前年度名簿!$G$2:$G$451,383),前年度名簿!$G$2:$G$451,0),"")</f>
        <v/>
      </c>
      <c r="Q389" s="8">
        <f>IF(R389="","",IFERROR(MATCH(R389,希望入力!$M$2:$M$551,0),""))</f>
        <v/>
      </c>
      <c r="R389" s="8">
        <f>IF(P389="","",INDEX(前年度名簿!$F$2:$F$451,P389))</f>
        <v/>
      </c>
      <c r="S389" s="8">
        <f>IF(P389="","",INDEX(前年度名簿!$I$2:$I$451,P389))</f>
        <v/>
      </c>
      <c r="T389" s="8">
        <f>IF(OR(P389="",計算用!$B$1=0),"",IFERROR(MATCH(S389,新年度名簿!$H$2:$H$451,0),""))</f>
        <v/>
      </c>
      <c r="U389" s="8">
        <f>IF(OR(L389="",M389="転出"),"",IFERROR(MATCH(L389,設定!$P$8:$P$27,0),""))</f>
        <v/>
      </c>
      <c r="V389" s="8">
        <f>IF(U389="","",COUNTIF($U$7:U389,U389))</f>
        <v/>
      </c>
      <c r="W389" s="8">
        <f>IF(U389="","",U389*1000+V389)</f>
        <v/>
      </c>
    </row>
    <row r="390">
      <c r="A390" s="44">
        <f>IF(P390="","",INDEX(前年度名簿!$H$2:$H$451,P390))</f>
        <v/>
      </c>
      <c r="B390" s="44">
        <f>IF(P390="","",IFERROR(INDEX(設定!$G$8:$G$31,INT(INDEX(前年度名簿!$G$2:$G$451,P390)/1000)),INDEX(前年度名簿!$A$2:$A$451,P390)&amp;INDEX(前年度名簿!$B$2:$B$451,P390)))</f>
        <v/>
      </c>
      <c r="C390" s="44">
        <f>IF(P390="","",INDEX(前年度名簿!$C$2:$C$451,P390))</f>
        <v/>
      </c>
      <c r="D390" s="3">
        <f>IF(P390="","",INDEX(前年度名簿!$D$2:$D$451,P390))</f>
        <v/>
      </c>
      <c r="E390" s="44">
        <f>IF(T390="","",INDEX(新年度名簿!$K$2:$K$451,T390))</f>
        <v/>
      </c>
      <c r="F390" s="44">
        <f>IF(T390="","",INDEX(新年度名簿!$C$2:$C$451,T390))</f>
        <v/>
      </c>
      <c r="G390" s="44">
        <f>IF(Q390="","",INDEX(希望入力!$H$2:$H$551,Q390)&amp;"")</f>
        <v/>
      </c>
      <c r="H390" s="44">
        <f>IF(Q390="","",INDEX(希望入力!$I$2:$I$551,Q390)&amp;"")</f>
        <v/>
      </c>
      <c r="I390" s="44">
        <f>IF(Q390="","",INDEX(希望入力!$J$2:$J$551,Q390)&amp;"")</f>
        <v/>
      </c>
      <c r="J390" s="44">
        <f>IF(Q390="","",IF(G390="","要調整",IFERROR(IF(IF(OR(設定!$C$14="〇",設定!$C$14="○"),COUNTIFS($A$7:$A$456,"&gt;="&amp;A390,$G$7:$G$456,G390),COUNTIF($G$7:$G$456,G390))&lt;=(INDEX(設定!$Q$8:$Q$27,MATCH(G390,設定!$P$8:$P$27,0))+N(INDEX(設定!$R$8:$R$27,MATCH(G390,設定!$P$8:$P$27,0)))),G390,"要調整"),"要調整")))</f>
        <v/>
      </c>
      <c r="K390" s="40" t="n"/>
      <c r="L390" s="52">
        <f>IF(P390="","",IF(K390&lt;&gt;"",K390,IF(OR(J390="",J390="要調整"),"",J390)))</f>
        <v/>
      </c>
      <c r="M390" s="44">
        <f>IF(P390="","",IF(AND(計算用!$B$1=1,T390=""),"転出",IF(L390&lt;&gt;"","決定",IF(Q390="","未提出","要調整"))))</f>
        <v/>
      </c>
      <c r="N390" s="44">
        <f>IF(OR(M390&lt;&gt;"要調整",H390=""),"",IFERROR((INDEX(設定!$Q$8:$Q$27,MATCH(H390,設定!$P$8:$P$27,0))+N(INDEX(設定!$R$8:$R$27,MATCH(H390,設定!$P$8:$P$27,0))))-INDEX(定員チェック!$F$7:$F$26,MATCH(H390,設定!$P$8:$P$27,0))-COUNTIFS($M$7:$M$456,"要調整",$G$7:$G$456,H390),""))</f>
        <v/>
      </c>
      <c r="O390" s="44">
        <f>IF(OR(M390&lt;&gt;"要調整",I390=""),"",IFERROR((INDEX(設定!$Q$8:$Q$27,MATCH(I390,設定!$P$8:$P$27,0))+N(INDEX(設定!$R$8:$R$27,MATCH(I390,設定!$P$8:$P$27,0))))-INDEX(定員チェック!$F$7:$F$26,MATCH(I390,設定!$P$8:$P$27,0))-COUNTIFS($M$7:$M$456,"要調整",$G$7:$G$456,I390),""))</f>
        <v/>
      </c>
      <c r="P390" s="8">
        <f>IFERROR(MATCH(SMALL(前年度名簿!$G$2:$G$451,384),前年度名簿!$G$2:$G$451,0),"")</f>
        <v/>
      </c>
      <c r="Q390" s="8">
        <f>IF(R390="","",IFERROR(MATCH(R390,希望入力!$M$2:$M$551,0),""))</f>
        <v/>
      </c>
      <c r="R390" s="8">
        <f>IF(P390="","",INDEX(前年度名簿!$F$2:$F$451,P390))</f>
        <v/>
      </c>
      <c r="S390" s="8">
        <f>IF(P390="","",INDEX(前年度名簿!$I$2:$I$451,P390))</f>
        <v/>
      </c>
      <c r="T390" s="8">
        <f>IF(OR(P390="",計算用!$B$1=0),"",IFERROR(MATCH(S390,新年度名簿!$H$2:$H$451,0),""))</f>
        <v/>
      </c>
      <c r="U390" s="8">
        <f>IF(OR(L390="",M390="転出"),"",IFERROR(MATCH(L390,設定!$P$8:$P$27,0),""))</f>
        <v/>
      </c>
      <c r="V390" s="8">
        <f>IF(U390="","",COUNTIF($U$7:U390,U390))</f>
        <v/>
      </c>
      <c r="W390" s="8">
        <f>IF(U390="","",U390*1000+V390)</f>
        <v/>
      </c>
    </row>
    <row r="391">
      <c r="A391" s="44">
        <f>IF(P391="","",INDEX(前年度名簿!$H$2:$H$451,P391))</f>
        <v/>
      </c>
      <c r="B391" s="44">
        <f>IF(P391="","",IFERROR(INDEX(設定!$G$8:$G$31,INT(INDEX(前年度名簿!$G$2:$G$451,P391)/1000)),INDEX(前年度名簿!$A$2:$A$451,P391)&amp;INDEX(前年度名簿!$B$2:$B$451,P391)))</f>
        <v/>
      </c>
      <c r="C391" s="44">
        <f>IF(P391="","",INDEX(前年度名簿!$C$2:$C$451,P391))</f>
        <v/>
      </c>
      <c r="D391" s="3">
        <f>IF(P391="","",INDEX(前年度名簿!$D$2:$D$451,P391))</f>
        <v/>
      </c>
      <c r="E391" s="44">
        <f>IF(T391="","",INDEX(新年度名簿!$K$2:$K$451,T391))</f>
        <v/>
      </c>
      <c r="F391" s="44">
        <f>IF(T391="","",INDEX(新年度名簿!$C$2:$C$451,T391))</f>
        <v/>
      </c>
      <c r="G391" s="44">
        <f>IF(Q391="","",INDEX(希望入力!$H$2:$H$551,Q391)&amp;"")</f>
        <v/>
      </c>
      <c r="H391" s="44">
        <f>IF(Q391="","",INDEX(希望入力!$I$2:$I$551,Q391)&amp;"")</f>
        <v/>
      </c>
      <c r="I391" s="44">
        <f>IF(Q391="","",INDEX(希望入力!$J$2:$J$551,Q391)&amp;"")</f>
        <v/>
      </c>
      <c r="J391" s="44">
        <f>IF(Q391="","",IF(G391="","要調整",IFERROR(IF(IF(OR(設定!$C$14="〇",設定!$C$14="○"),COUNTIFS($A$7:$A$456,"&gt;="&amp;A391,$G$7:$G$456,G391),COUNTIF($G$7:$G$456,G391))&lt;=(INDEX(設定!$Q$8:$Q$27,MATCH(G391,設定!$P$8:$P$27,0))+N(INDEX(設定!$R$8:$R$27,MATCH(G391,設定!$P$8:$P$27,0)))),G391,"要調整"),"要調整")))</f>
        <v/>
      </c>
      <c r="K391" s="40" t="n"/>
      <c r="L391" s="52">
        <f>IF(P391="","",IF(K391&lt;&gt;"",K391,IF(OR(J391="",J391="要調整"),"",J391)))</f>
        <v/>
      </c>
      <c r="M391" s="44">
        <f>IF(P391="","",IF(AND(計算用!$B$1=1,T391=""),"転出",IF(L391&lt;&gt;"","決定",IF(Q391="","未提出","要調整"))))</f>
        <v/>
      </c>
      <c r="N391" s="44">
        <f>IF(OR(M391&lt;&gt;"要調整",H391=""),"",IFERROR((INDEX(設定!$Q$8:$Q$27,MATCH(H391,設定!$P$8:$P$27,0))+N(INDEX(設定!$R$8:$R$27,MATCH(H391,設定!$P$8:$P$27,0))))-INDEX(定員チェック!$F$7:$F$26,MATCH(H391,設定!$P$8:$P$27,0))-COUNTIFS($M$7:$M$456,"要調整",$G$7:$G$456,H391),""))</f>
        <v/>
      </c>
      <c r="O391" s="44">
        <f>IF(OR(M391&lt;&gt;"要調整",I391=""),"",IFERROR((INDEX(設定!$Q$8:$Q$27,MATCH(I391,設定!$P$8:$P$27,0))+N(INDEX(設定!$R$8:$R$27,MATCH(I391,設定!$P$8:$P$27,0))))-INDEX(定員チェック!$F$7:$F$26,MATCH(I391,設定!$P$8:$P$27,0))-COUNTIFS($M$7:$M$456,"要調整",$G$7:$G$456,I391),""))</f>
        <v/>
      </c>
      <c r="P391" s="8">
        <f>IFERROR(MATCH(SMALL(前年度名簿!$G$2:$G$451,385),前年度名簿!$G$2:$G$451,0),"")</f>
        <v/>
      </c>
      <c r="Q391" s="8">
        <f>IF(R391="","",IFERROR(MATCH(R391,希望入力!$M$2:$M$551,0),""))</f>
        <v/>
      </c>
      <c r="R391" s="8">
        <f>IF(P391="","",INDEX(前年度名簿!$F$2:$F$451,P391))</f>
        <v/>
      </c>
      <c r="S391" s="8">
        <f>IF(P391="","",INDEX(前年度名簿!$I$2:$I$451,P391))</f>
        <v/>
      </c>
      <c r="T391" s="8">
        <f>IF(OR(P391="",計算用!$B$1=0),"",IFERROR(MATCH(S391,新年度名簿!$H$2:$H$451,0),""))</f>
        <v/>
      </c>
      <c r="U391" s="8">
        <f>IF(OR(L391="",M391="転出"),"",IFERROR(MATCH(L391,設定!$P$8:$P$27,0),""))</f>
        <v/>
      </c>
      <c r="V391" s="8">
        <f>IF(U391="","",COUNTIF($U$7:U391,U391))</f>
        <v/>
      </c>
      <c r="W391" s="8">
        <f>IF(U391="","",U391*1000+V391)</f>
        <v/>
      </c>
    </row>
    <row r="392">
      <c r="A392" s="44">
        <f>IF(P392="","",INDEX(前年度名簿!$H$2:$H$451,P392))</f>
        <v/>
      </c>
      <c r="B392" s="44">
        <f>IF(P392="","",IFERROR(INDEX(設定!$G$8:$G$31,INT(INDEX(前年度名簿!$G$2:$G$451,P392)/1000)),INDEX(前年度名簿!$A$2:$A$451,P392)&amp;INDEX(前年度名簿!$B$2:$B$451,P392)))</f>
        <v/>
      </c>
      <c r="C392" s="44">
        <f>IF(P392="","",INDEX(前年度名簿!$C$2:$C$451,P392))</f>
        <v/>
      </c>
      <c r="D392" s="3">
        <f>IF(P392="","",INDEX(前年度名簿!$D$2:$D$451,P392))</f>
        <v/>
      </c>
      <c r="E392" s="44">
        <f>IF(T392="","",INDEX(新年度名簿!$K$2:$K$451,T392))</f>
        <v/>
      </c>
      <c r="F392" s="44">
        <f>IF(T392="","",INDEX(新年度名簿!$C$2:$C$451,T392))</f>
        <v/>
      </c>
      <c r="G392" s="44">
        <f>IF(Q392="","",INDEX(希望入力!$H$2:$H$551,Q392)&amp;"")</f>
        <v/>
      </c>
      <c r="H392" s="44">
        <f>IF(Q392="","",INDEX(希望入力!$I$2:$I$551,Q392)&amp;"")</f>
        <v/>
      </c>
      <c r="I392" s="44">
        <f>IF(Q392="","",INDEX(希望入力!$J$2:$J$551,Q392)&amp;"")</f>
        <v/>
      </c>
      <c r="J392" s="44">
        <f>IF(Q392="","",IF(G392="","要調整",IFERROR(IF(IF(OR(設定!$C$14="〇",設定!$C$14="○"),COUNTIFS($A$7:$A$456,"&gt;="&amp;A392,$G$7:$G$456,G392),COUNTIF($G$7:$G$456,G392))&lt;=(INDEX(設定!$Q$8:$Q$27,MATCH(G392,設定!$P$8:$P$27,0))+N(INDEX(設定!$R$8:$R$27,MATCH(G392,設定!$P$8:$P$27,0)))),G392,"要調整"),"要調整")))</f>
        <v/>
      </c>
      <c r="K392" s="40" t="n"/>
      <c r="L392" s="52">
        <f>IF(P392="","",IF(K392&lt;&gt;"",K392,IF(OR(J392="",J392="要調整"),"",J392)))</f>
        <v/>
      </c>
      <c r="M392" s="44">
        <f>IF(P392="","",IF(AND(計算用!$B$1=1,T392=""),"転出",IF(L392&lt;&gt;"","決定",IF(Q392="","未提出","要調整"))))</f>
        <v/>
      </c>
      <c r="N392" s="44">
        <f>IF(OR(M392&lt;&gt;"要調整",H392=""),"",IFERROR((INDEX(設定!$Q$8:$Q$27,MATCH(H392,設定!$P$8:$P$27,0))+N(INDEX(設定!$R$8:$R$27,MATCH(H392,設定!$P$8:$P$27,0))))-INDEX(定員チェック!$F$7:$F$26,MATCH(H392,設定!$P$8:$P$27,0))-COUNTIFS($M$7:$M$456,"要調整",$G$7:$G$456,H392),""))</f>
        <v/>
      </c>
      <c r="O392" s="44">
        <f>IF(OR(M392&lt;&gt;"要調整",I392=""),"",IFERROR((INDEX(設定!$Q$8:$Q$27,MATCH(I392,設定!$P$8:$P$27,0))+N(INDEX(設定!$R$8:$R$27,MATCH(I392,設定!$P$8:$P$27,0))))-INDEX(定員チェック!$F$7:$F$26,MATCH(I392,設定!$P$8:$P$27,0))-COUNTIFS($M$7:$M$456,"要調整",$G$7:$G$456,I392),""))</f>
        <v/>
      </c>
      <c r="P392" s="8">
        <f>IFERROR(MATCH(SMALL(前年度名簿!$G$2:$G$451,386),前年度名簿!$G$2:$G$451,0),"")</f>
        <v/>
      </c>
      <c r="Q392" s="8">
        <f>IF(R392="","",IFERROR(MATCH(R392,希望入力!$M$2:$M$551,0),""))</f>
        <v/>
      </c>
      <c r="R392" s="8">
        <f>IF(P392="","",INDEX(前年度名簿!$F$2:$F$451,P392))</f>
        <v/>
      </c>
      <c r="S392" s="8">
        <f>IF(P392="","",INDEX(前年度名簿!$I$2:$I$451,P392))</f>
        <v/>
      </c>
      <c r="T392" s="8">
        <f>IF(OR(P392="",計算用!$B$1=0),"",IFERROR(MATCH(S392,新年度名簿!$H$2:$H$451,0),""))</f>
        <v/>
      </c>
      <c r="U392" s="8">
        <f>IF(OR(L392="",M392="転出"),"",IFERROR(MATCH(L392,設定!$P$8:$P$27,0),""))</f>
        <v/>
      </c>
      <c r="V392" s="8">
        <f>IF(U392="","",COUNTIF($U$7:U392,U392))</f>
        <v/>
      </c>
      <c r="W392" s="8">
        <f>IF(U392="","",U392*1000+V392)</f>
        <v/>
      </c>
    </row>
    <row r="393">
      <c r="A393" s="44">
        <f>IF(P393="","",INDEX(前年度名簿!$H$2:$H$451,P393))</f>
        <v/>
      </c>
      <c r="B393" s="44">
        <f>IF(P393="","",IFERROR(INDEX(設定!$G$8:$G$31,INT(INDEX(前年度名簿!$G$2:$G$451,P393)/1000)),INDEX(前年度名簿!$A$2:$A$451,P393)&amp;INDEX(前年度名簿!$B$2:$B$451,P393)))</f>
        <v/>
      </c>
      <c r="C393" s="44">
        <f>IF(P393="","",INDEX(前年度名簿!$C$2:$C$451,P393))</f>
        <v/>
      </c>
      <c r="D393" s="3">
        <f>IF(P393="","",INDEX(前年度名簿!$D$2:$D$451,P393))</f>
        <v/>
      </c>
      <c r="E393" s="44">
        <f>IF(T393="","",INDEX(新年度名簿!$K$2:$K$451,T393))</f>
        <v/>
      </c>
      <c r="F393" s="44">
        <f>IF(T393="","",INDEX(新年度名簿!$C$2:$C$451,T393))</f>
        <v/>
      </c>
      <c r="G393" s="44">
        <f>IF(Q393="","",INDEX(希望入力!$H$2:$H$551,Q393)&amp;"")</f>
        <v/>
      </c>
      <c r="H393" s="44">
        <f>IF(Q393="","",INDEX(希望入力!$I$2:$I$551,Q393)&amp;"")</f>
        <v/>
      </c>
      <c r="I393" s="44">
        <f>IF(Q393="","",INDEX(希望入力!$J$2:$J$551,Q393)&amp;"")</f>
        <v/>
      </c>
      <c r="J393" s="44">
        <f>IF(Q393="","",IF(G393="","要調整",IFERROR(IF(IF(OR(設定!$C$14="〇",設定!$C$14="○"),COUNTIFS($A$7:$A$456,"&gt;="&amp;A393,$G$7:$G$456,G393),COUNTIF($G$7:$G$456,G393))&lt;=(INDEX(設定!$Q$8:$Q$27,MATCH(G393,設定!$P$8:$P$27,0))+N(INDEX(設定!$R$8:$R$27,MATCH(G393,設定!$P$8:$P$27,0)))),G393,"要調整"),"要調整")))</f>
        <v/>
      </c>
      <c r="K393" s="40" t="n"/>
      <c r="L393" s="52">
        <f>IF(P393="","",IF(K393&lt;&gt;"",K393,IF(OR(J393="",J393="要調整"),"",J393)))</f>
        <v/>
      </c>
      <c r="M393" s="44">
        <f>IF(P393="","",IF(AND(計算用!$B$1=1,T393=""),"転出",IF(L393&lt;&gt;"","決定",IF(Q393="","未提出","要調整"))))</f>
        <v/>
      </c>
      <c r="N393" s="44">
        <f>IF(OR(M393&lt;&gt;"要調整",H393=""),"",IFERROR((INDEX(設定!$Q$8:$Q$27,MATCH(H393,設定!$P$8:$P$27,0))+N(INDEX(設定!$R$8:$R$27,MATCH(H393,設定!$P$8:$P$27,0))))-INDEX(定員チェック!$F$7:$F$26,MATCH(H393,設定!$P$8:$P$27,0))-COUNTIFS($M$7:$M$456,"要調整",$G$7:$G$456,H393),""))</f>
        <v/>
      </c>
      <c r="O393" s="44">
        <f>IF(OR(M393&lt;&gt;"要調整",I393=""),"",IFERROR((INDEX(設定!$Q$8:$Q$27,MATCH(I393,設定!$P$8:$P$27,0))+N(INDEX(設定!$R$8:$R$27,MATCH(I393,設定!$P$8:$P$27,0))))-INDEX(定員チェック!$F$7:$F$26,MATCH(I393,設定!$P$8:$P$27,0))-COUNTIFS($M$7:$M$456,"要調整",$G$7:$G$456,I393),""))</f>
        <v/>
      </c>
      <c r="P393" s="8">
        <f>IFERROR(MATCH(SMALL(前年度名簿!$G$2:$G$451,387),前年度名簿!$G$2:$G$451,0),"")</f>
        <v/>
      </c>
      <c r="Q393" s="8">
        <f>IF(R393="","",IFERROR(MATCH(R393,希望入力!$M$2:$M$551,0),""))</f>
        <v/>
      </c>
      <c r="R393" s="8">
        <f>IF(P393="","",INDEX(前年度名簿!$F$2:$F$451,P393))</f>
        <v/>
      </c>
      <c r="S393" s="8">
        <f>IF(P393="","",INDEX(前年度名簿!$I$2:$I$451,P393))</f>
        <v/>
      </c>
      <c r="T393" s="8">
        <f>IF(OR(P393="",計算用!$B$1=0),"",IFERROR(MATCH(S393,新年度名簿!$H$2:$H$451,0),""))</f>
        <v/>
      </c>
      <c r="U393" s="8">
        <f>IF(OR(L393="",M393="転出"),"",IFERROR(MATCH(L393,設定!$P$8:$P$27,0),""))</f>
        <v/>
      </c>
      <c r="V393" s="8">
        <f>IF(U393="","",COUNTIF($U$7:U393,U393))</f>
        <v/>
      </c>
      <c r="W393" s="8">
        <f>IF(U393="","",U393*1000+V393)</f>
        <v/>
      </c>
    </row>
    <row r="394">
      <c r="A394" s="44">
        <f>IF(P394="","",INDEX(前年度名簿!$H$2:$H$451,P394))</f>
        <v/>
      </c>
      <c r="B394" s="44">
        <f>IF(P394="","",IFERROR(INDEX(設定!$G$8:$G$31,INT(INDEX(前年度名簿!$G$2:$G$451,P394)/1000)),INDEX(前年度名簿!$A$2:$A$451,P394)&amp;INDEX(前年度名簿!$B$2:$B$451,P394)))</f>
        <v/>
      </c>
      <c r="C394" s="44">
        <f>IF(P394="","",INDEX(前年度名簿!$C$2:$C$451,P394))</f>
        <v/>
      </c>
      <c r="D394" s="3">
        <f>IF(P394="","",INDEX(前年度名簿!$D$2:$D$451,P394))</f>
        <v/>
      </c>
      <c r="E394" s="44">
        <f>IF(T394="","",INDEX(新年度名簿!$K$2:$K$451,T394))</f>
        <v/>
      </c>
      <c r="F394" s="44">
        <f>IF(T394="","",INDEX(新年度名簿!$C$2:$C$451,T394))</f>
        <v/>
      </c>
      <c r="G394" s="44">
        <f>IF(Q394="","",INDEX(希望入力!$H$2:$H$551,Q394)&amp;"")</f>
        <v/>
      </c>
      <c r="H394" s="44">
        <f>IF(Q394="","",INDEX(希望入力!$I$2:$I$551,Q394)&amp;"")</f>
        <v/>
      </c>
      <c r="I394" s="44">
        <f>IF(Q394="","",INDEX(希望入力!$J$2:$J$551,Q394)&amp;"")</f>
        <v/>
      </c>
      <c r="J394" s="44">
        <f>IF(Q394="","",IF(G394="","要調整",IFERROR(IF(IF(OR(設定!$C$14="〇",設定!$C$14="○"),COUNTIFS($A$7:$A$456,"&gt;="&amp;A394,$G$7:$G$456,G394),COUNTIF($G$7:$G$456,G394))&lt;=(INDEX(設定!$Q$8:$Q$27,MATCH(G394,設定!$P$8:$P$27,0))+N(INDEX(設定!$R$8:$R$27,MATCH(G394,設定!$P$8:$P$27,0)))),G394,"要調整"),"要調整")))</f>
        <v/>
      </c>
      <c r="K394" s="40" t="n"/>
      <c r="L394" s="52">
        <f>IF(P394="","",IF(K394&lt;&gt;"",K394,IF(OR(J394="",J394="要調整"),"",J394)))</f>
        <v/>
      </c>
      <c r="M394" s="44">
        <f>IF(P394="","",IF(AND(計算用!$B$1=1,T394=""),"転出",IF(L394&lt;&gt;"","決定",IF(Q394="","未提出","要調整"))))</f>
        <v/>
      </c>
      <c r="N394" s="44">
        <f>IF(OR(M394&lt;&gt;"要調整",H394=""),"",IFERROR((INDEX(設定!$Q$8:$Q$27,MATCH(H394,設定!$P$8:$P$27,0))+N(INDEX(設定!$R$8:$R$27,MATCH(H394,設定!$P$8:$P$27,0))))-INDEX(定員チェック!$F$7:$F$26,MATCH(H394,設定!$P$8:$P$27,0))-COUNTIFS($M$7:$M$456,"要調整",$G$7:$G$456,H394),""))</f>
        <v/>
      </c>
      <c r="O394" s="44">
        <f>IF(OR(M394&lt;&gt;"要調整",I394=""),"",IFERROR((INDEX(設定!$Q$8:$Q$27,MATCH(I394,設定!$P$8:$P$27,0))+N(INDEX(設定!$R$8:$R$27,MATCH(I394,設定!$P$8:$P$27,0))))-INDEX(定員チェック!$F$7:$F$26,MATCH(I394,設定!$P$8:$P$27,0))-COUNTIFS($M$7:$M$456,"要調整",$G$7:$G$456,I394),""))</f>
        <v/>
      </c>
      <c r="P394" s="8">
        <f>IFERROR(MATCH(SMALL(前年度名簿!$G$2:$G$451,388),前年度名簿!$G$2:$G$451,0),"")</f>
        <v/>
      </c>
      <c r="Q394" s="8">
        <f>IF(R394="","",IFERROR(MATCH(R394,希望入力!$M$2:$M$551,0),""))</f>
        <v/>
      </c>
      <c r="R394" s="8">
        <f>IF(P394="","",INDEX(前年度名簿!$F$2:$F$451,P394))</f>
        <v/>
      </c>
      <c r="S394" s="8">
        <f>IF(P394="","",INDEX(前年度名簿!$I$2:$I$451,P394))</f>
        <v/>
      </c>
      <c r="T394" s="8">
        <f>IF(OR(P394="",計算用!$B$1=0),"",IFERROR(MATCH(S394,新年度名簿!$H$2:$H$451,0),""))</f>
        <v/>
      </c>
      <c r="U394" s="8">
        <f>IF(OR(L394="",M394="転出"),"",IFERROR(MATCH(L394,設定!$P$8:$P$27,0),""))</f>
        <v/>
      </c>
      <c r="V394" s="8">
        <f>IF(U394="","",COUNTIF($U$7:U394,U394))</f>
        <v/>
      </c>
      <c r="W394" s="8">
        <f>IF(U394="","",U394*1000+V394)</f>
        <v/>
      </c>
    </row>
    <row r="395">
      <c r="A395" s="44">
        <f>IF(P395="","",INDEX(前年度名簿!$H$2:$H$451,P395))</f>
        <v/>
      </c>
      <c r="B395" s="44">
        <f>IF(P395="","",IFERROR(INDEX(設定!$G$8:$G$31,INT(INDEX(前年度名簿!$G$2:$G$451,P395)/1000)),INDEX(前年度名簿!$A$2:$A$451,P395)&amp;INDEX(前年度名簿!$B$2:$B$451,P395)))</f>
        <v/>
      </c>
      <c r="C395" s="44">
        <f>IF(P395="","",INDEX(前年度名簿!$C$2:$C$451,P395))</f>
        <v/>
      </c>
      <c r="D395" s="3">
        <f>IF(P395="","",INDEX(前年度名簿!$D$2:$D$451,P395))</f>
        <v/>
      </c>
      <c r="E395" s="44">
        <f>IF(T395="","",INDEX(新年度名簿!$K$2:$K$451,T395))</f>
        <v/>
      </c>
      <c r="F395" s="44">
        <f>IF(T395="","",INDEX(新年度名簿!$C$2:$C$451,T395))</f>
        <v/>
      </c>
      <c r="G395" s="44">
        <f>IF(Q395="","",INDEX(希望入力!$H$2:$H$551,Q395)&amp;"")</f>
        <v/>
      </c>
      <c r="H395" s="44">
        <f>IF(Q395="","",INDEX(希望入力!$I$2:$I$551,Q395)&amp;"")</f>
        <v/>
      </c>
      <c r="I395" s="44">
        <f>IF(Q395="","",INDEX(希望入力!$J$2:$J$551,Q395)&amp;"")</f>
        <v/>
      </c>
      <c r="J395" s="44">
        <f>IF(Q395="","",IF(G395="","要調整",IFERROR(IF(IF(OR(設定!$C$14="〇",設定!$C$14="○"),COUNTIFS($A$7:$A$456,"&gt;="&amp;A395,$G$7:$G$456,G395),COUNTIF($G$7:$G$456,G395))&lt;=(INDEX(設定!$Q$8:$Q$27,MATCH(G395,設定!$P$8:$P$27,0))+N(INDEX(設定!$R$8:$R$27,MATCH(G395,設定!$P$8:$P$27,0)))),G395,"要調整"),"要調整")))</f>
        <v/>
      </c>
      <c r="K395" s="40" t="n"/>
      <c r="L395" s="52">
        <f>IF(P395="","",IF(K395&lt;&gt;"",K395,IF(OR(J395="",J395="要調整"),"",J395)))</f>
        <v/>
      </c>
      <c r="M395" s="44">
        <f>IF(P395="","",IF(AND(計算用!$B$1=1,T395=""),"転出",IF(L395&lt;&gt;"","決定",IF(Q395="","未提出","要調整"))))</f>
        <v/>
      </c>
      <c r="N395" s="44">
        <f>IF(OR(M395&lt;&gt;"要調整",H395=""),"",IFERROR((INDEX(設定!$Q$8:$Q$27,MATCH(H395,設定!$P$8:$P$27,0))+N(INDEX(設定!$R$8:$R$27,MATCH(H395,設定!$P$8:$P$27,0))))-INDEX(定員チェック!$F$7:$F$26,MATCH(H395,設定!$P$8:$P$27,0))-COUNTIFS($M$7:$M$456,"要調整",$G$7:$G$456,H395),""))</f>
        <v/>
      </c>
      <c r="O395" s="44">
        <f>IF(OR(M395&lt;&gt;"要調整",I395=""),"",IFERROR((INDEX(設定!$Q$8:$Q$27,MATCH(I395,設定!$P$8:$P$27,0))+N(INDEX(設定!$R$8:$R$27,MATCH(I395,設定!$P$8:$P$27,0))))-INDEX(定員チェック!$F$7:$F$26,MATCH(I395,設定!$P$8:$P$27,0))-COUNTIFS($M$7:$M$456,"要調整",$G$7:$G$456,I395),""))</f>
        <v/>
      </c>
      <c r="P395" s="8">
        <f>IFERROR(MATCH(SMALL(前年度名簿!$G$2:$G$451,389),前年度名簿!$G$2:$G$451,0),"")</f>
        <v/>
      </c>
      <c r="Q395" s="8">
        <f>IF(R395="","",IFERROR(MATCH(R395,希望入力!$M$2:$M$551,0),""))</f>
        <v/>
      </c>
      <c r="R395" s="8">
        <f>IF(P395="","",INDEX(前年度名簿!$F$2:$F$451,P395))</f>
        <v/>
      </c>
      <c r="S395" s="8">
        <f>IF(P395="","",INDEX(前年度名簿!$I$2:$I$451,P395))</f>
        <v/>
      </c>
      <c r="T395" s="8">
        <f>IF(OR(P395="",計算用!$B$1=0),"",IFERROR(MATCH(S395,新年度名簿!$H$2:$H$451,0),""))</f>
        <v/>
      </c>
      <c r="U395" s="8">
        <f>IF(OR(L395="",M395="転出"),"",IFERROR(MATCH(L395,設定!$P$8:$P$27,0),""))</f>
        <v/>
      </c>
      <c r="V395" s="8">
        <f>IF(U395="","",COUNTIF($U$7:U395,U395))</f>
        <v/>
      </c>
      <c r="W395" s="8">
        <f>IF(U395="","",U395*1000+V395)</f>
        <v/>
      </c>
    </row>
    <row r="396">
      <c r="A396" s="44">
        <f>IF(P396="","",INDEX(前年度名簿!$H$2:$H$451,P396))</f>
        <v/>
      </c>
      <c r="B396" s="44">
        <f>IF(P396="","",IFERROR(INDEX(設定!$G$8:$G$31,INT(INDEX(前年度名簿!$G$2:$G$451,P396)/1000)),INDEX(前年度名簿!$A$2:$A$451,P396)&amp;INDEX(前年度名簿!$B$2:$B$451,P396)))</f>
        <v/>
      </c>
      <c r="C396" s="44">
        <f>IF(P396="","",INDEX(前年度名簿!$C$2:$C$451,P396))</f>
        <v/>
      </c>
      <c r="D396" s="3">
        <f>IF(P396="","",INDEX(前年度名簿!$D$2:$D$451,P396))</f>
        <v/>
      </c>
      <c r="E396" s="44">
        <f>IF(T396="","",INDEX(新年度名簿!$K$2:$K$451,T396))</f>
        <v/>
      </c>
      <c r="F396" s="44">
        <f>IF(T396="","",INDEX(新年度名簿!$C$2:$C$451,T396))</f>
        <v/>
      </c>
      <c r="G396" s="44">
        <f>IF(Q396="","",INDEX(希望入力!$H$2:$H$551,Q396)&amp;"")</f>
        <v/>
      </c>
      <c r="H396" s="44">
        <f>IF(Q396="","",INDEX(希望入力!$I$2:$I$551,Q396)&amp;"")</f>
        <v/>
      </c>
      <c r="I396" s="44">
        <f>IF(Q396="","",INDEX(希望入力!$J$2:$J$551,Q396)&amp;"")</f>
        <v/>
      </c>
      <c r="J396" s="44">
        <f>IF(Q396="","",IF(G396="","要調整",IFERROR(IF(IF(OR(設定!$C$14="〇",設定!$C$14="○"),COUNTIFS($A$7:$A$456,"&gt;="&amp;A396,$G$7:$G$456,G396),COUNTIF($G$7:$G$456,G396))&lt;=(INDEX(設定!$Q$8:$Q$27,MATCH(G396,設定!$P$8:$P$27,0))+N(INDEX(設定!$R$8:$R$27,MATCH(G396,設定!$P$8:$P$27,0)))),G396,"要調整"),"要調整")))</f>
        <v/>
      </c>
      <c r="K396" s="40" t="n"/>
      <c r="L396" s="52">
        <f>IF(P396="","",IF(K396&lt;&gt;"",K396,IF(OR(J396="",J396="要調整"),"",J396)))</f>
        <v/>
      </c>
      <c r="M396" s="44">
        <f>IF(P396="","",IF(AND(計算用!$B$1=1,T396=""),"転出",IF(L396&lt;&gt;"","決定",IF(Q396="","未提出","要調整"))))</f>
        <v/>
      </c>
      <c r="N396" s="44">
        <f>IF(OR(M396&lt;&gt;"要調整",H396=""),"",IFERROR((INDEX(設定!$Q$8:$Q$27,MATCH(H396,設定!$P$8:$P$27,0))+N(INDEX(設定!$R$8:$R$27,MATCH(H396,設定!$P$8:$P$27,0))))-INDEX(定員チェック!$F$7:$F$26,MATCH(H396,設定!$P$8:$P$27,0))-COUNTIFS($M$7:$M$456,"要調整",$G$7:$G$456,H396),""))</f>
        <v/>
      </c>
      <c r="O396" s="44">
        <f>IF(OR(M396&lt;&gt;"要調整",I396=""),"",IFERROR((INDEX(設定!$Q$8:$Q$27,MATCH(I396,設定!$P$8:$P$27,0))+N(INDEX(設定!$R$8:$R$27,MATCH(I396,設定!$P$8:$P$27,0))))-INDEX(定員チェック!$F$7:$F$26,MATCH(I396,設定!$P$8:$P$27,0))-COUNTIFS($M$7:$M$456,"要調整",$G$7:$G$456,I396),""))</f>
        <v/>
      </c>
      <c r="P396" s="8">
        <f>IFERROR(MATCH(SMALL(前年度名簿!$G$2:$G$451,390),前年度名簿!$G$2:$G$451,0),"")</f>
        <v/>
      </c>
      <c r="Q396" s="8">
        <f>IF(R396="","",IFERROR(MATCH(R396,希望入力!$M$2:$M$551,0),""))</f>
        <v/>
      </c>
      <c r="R396" s="8">
        <f>IF(P396="","",INDEX(前年度名簿!$F$2:$F$451,P396))</f>
        <v/>
      </c>
      <c r="S396" s="8">
        <f>IF(P396="","",INDEX(前年度名簿!$I$2:$I$451,P396))</f>
        <v/>
      </c>
      <c r="T396" s="8">
        <f>IF(OR(P396="",計算用!$B$1=0),"",IFERROR(MATCH(S396,新年度名簿!$H$2:$H$451,0),""))</f>
        <v/>
      </c>
      <c r="U396" s="8">
        <f>IF(OR(L396="",M396="転出"),"",IFERROR(MATCH(L396,設定!$P$8:$P$27,0),""))</f>
        <v/>
      </c>
      <c r="V396" s="8">
        <f>IF(U396="","",COUNTIF($U$7:U396,U396))</f>
        <v/>
      </c>
      <c r="W396" s="8">
        <f>IF(U396="","",U396*1000+V396)</f>
        <v/>
      </c>
    </row>
    <row r="397">
      <c r="A397" s="44">
        <f>IF(P397="","",INDEX(前年度名簿!$H$2:$H$451,P397))</f>
        <v/>
      </c>
      <c r="B397" s="44">
        <f>IF(P397="","",IFERROR(INDEX(設定!$G$8:$G$31,INT(INDEX(前年度名簿!$G$2:$G$451,P397)/1000)),INDEX(前年度名簿!$A$2:$A$451,P397)&amp;INDEX(前年度名簿!$B$2:$B$451,P397)))</f>
        <v/>
      </c>
      <c r="C397" s="44">
        <f>IF(P397="","",INDEX(前年度名簿!$C$2:$C$451,P397))</f>
        <v/>
      </c>
      <c r="D397" s="3">
        <f>IF(P397="","",INDEX(前年度名簿!$D$2:$D$451,P397))</f>
        <v/>
      </c>
      <c r="E397" s="44">
        <f>IF(T397="","",INDEX(新年度名簿!$K$2:$K$451,T397))</f>
        <v/>
      </c>
      <c r="F397" s="44">
        <f>IF(T397="","",INDEX(新年度名簿!$C$2:$C$451,T397))</f>
        <v/>
      </c>
      <c r="G397" s="44">
        <f>IF(Q397="","",INDEX(希望入力!$H$2:$H$551,Q397)&amp;"")</f>
        <v/>
      </c>
      <c r="H397" s="44">
        <f>IF(Q397="","",INDEX(希望入力!$I$2:$I$551,Q397)&amp;"")</f>
        <v/>
      </c>
      <c r="I397" s="44">
        <f>IF(Q397="","",INDEX(希望入力!$J$2:$J$551,Q397)&amp;"")</f>
        <v/>
      </c>
      <c r="J397" s="44">
        <f>IF(Q397="","",IF(G397="","要調整",IFERROR(IF(IF(OR(設定!$C$14="〇",設定!$C$14="○"),COUNTIFS($A$7:$A$456,"&gt;="&amp;A397,$G$7:$G$456,G397),COUNTIF($G$7:$G$456,G397))&lt;=(INDEX(設定!$Q$8:$Q$27,MATCH(G397,設定!$P$8:$P$27,0))+N(INDEX(設定!$R$8:$R$27,MATCH(G397,設定!$P$8:$P$27,0)))),G397,"要調整"),"要調整")))</f>
        <v/>
      </c>
      <c r="K397" s="40" t="n"/>
      <c r="L397" s="52">
        <f>IF(P397="","",IF(K397&lt;&gt;"",K397,IF(OR(J397="",J397="要調整"),"",J397)))</f>
        <v/>
      </c>
      <c r="M397" s="44">
        <f>IF(P397="","",IF(AND(計算用!$B$1=1,T397=""),"転出",IF(L397&lt;&gt;"","決定",IF(Q397="","未提出","要調整"))))</f>
        <v/>
      </c>
      <c r="N397" s="44">
        <f>IF(OR(M397&lt;&gt;"要調整",H397=""),"",IFERROR((INDEX(設定!$Q$8:$Q$27,MATCH(H397,設定!$P$8:$P$27,0))+N(INDEX(設定!$R$8:$R$27,MATCH(H397,設定!$P$8:$P$27,0))))-INDEX(定員チェック!$F$7:$F$26,MATCH(H397,設定!$P$8:$P$27,0))-COUNTIFS($M$7:$M$456,"要調整",$G$7:$G$456,H397),""))</f>
        <v/>
      </c>
      <c r="O397" s="44">
        <f>IF(OR(M397&lt;&gt;"要調整",I397=""),"",IFERROR((INDEX(設定!$Q$8:$Q$27,MATCH(I397,設定!$P$8:$P$27,0))+N(INDEX(設定!$R$8:$R$27,MATCH(I397,設定!$P$8:$P$27,0))))-INDEX(定員チェック!$F$7:$F$26,MATCH(I397,設定!$P$8:$P$27,0))-COUNTIFS($M$7:$M$456,"要調整",$G$7:$G$456,I397),""))</f>
        <v/>
      </c>
      <c r="P397" s="8">
        <f>IFERROR(MATCH(SMALL(前年度名簿!$G$2:$G$451,391),前年度名簿!$G$2:$G$451,0),"")</f>
        <v/>
      </c>
      <c r="Q397" s="8">
        <f>IF(R397="","",IFERROR(MATCH(R397,希望入力!$M$2:$M$551,0),""))</f>
        <v/>
      </c>
      <c r="R397" s="8">
        <f>IF(P397="","",INDEX(前年度名簿!$F$2:$F$451,P397))</f>
        <v/>
      </c>
      <c r="S397" s="8">
        <f>IF(P397="","",INDEX(前年度名簿!$I$2:$I$451,P397))</f>
        <v/>
      </c>
      <c r="T397" s="8">
        <f>IF(OR(P397="",計算用!$B$1=0),"",IFERROR(MATCH(S397,新年度名簿!$H$2:$H$451,0),""))</f>
        <v/>
      </c>
      <c r="U397" s="8">
        <f>IF(OR(L397="",M397="転出"),"",IFERROR(MATCH(L397,設定!$P$8:$P$27,0),""))</f>
        <v/>
      </c>
      <c r="V397" s="8">
        <f>IF(U397="","",COUNTIF($U$7:U397,U397))</f>
        <v/>
      </c>
      <c r="W397" s="8">
        <f>IF(U397="","",U397*1000+V397)</f>
        <v/>
      </c>
    </row>
    <row r="398">
      <c r="A398" s="44">
        <f>IF(P398="","",INDEX(前年度名簿!$H$2:$H$451,P398))</f>
        <v/>
      </c>
      <c r="B398" s="44">
        <f>IF(P398="","",IFERROR(INDEX(設定!$G$8:$G$31,INT(INDEX(前年度名簿!$G$2:$G$451,P398)/1000)),INDEX(前年度名簿!$A$2:$A$451,P398)&amp;INDEX(前年度名簿!$B$2:$B$451,P398)))</f>
        <v/>
      </c>
      <c r="C398" s="44">
        <f>IF(P398="","",INDEX(前年度名簿!$C$2:$C$451,P398))</f>
        <v/>
      </c>
      <c r="D398" s="3">
        <f>IF(P398="","",INDEX(前年度名簿!$D$2:$D$451,P398))</f>
        <v/>
      </c>
      <c r="E398" s="44">
        <f>IF(T398="","",INDEX(新年度名簿!$K$2:$K$451,T398))</f>
        <v/>
      </c>
      <c r="F398" s="44">
        <f>IF(T398="","",INDEX(新年度名簿!$C$2:$C$451,T398))</f>
        <v/>
      </c>
      <c r="G398" s="44">
        <f>IF(Q398="","",INDEX(希望入力!$H$2:$H$551,Q398)&amp;"")</f>
        <v/>
      </c>
      <c r="H398" s="44">
        <f>IF(Q398="","",INDEX(希望入力!$I$2:$I$551,Q398)&amp;"")</f>
        <v/>
      </c>
      <c r="I398" s="44">
        <f>IF(Q398="","",INDEX(希望入力!$J$2:$J$551,Q398)&amp;"")</f>
        <v/>
      </c>
      <c r="J398" s="44">
        <f>IF(Q398="","",IF(G398="","要調整",IFERROR(IF(IF(OR(設定!$C$14="〇",設定!$C$14="○"),COUNTIFS($A$7:$A$456,"&gt;="&amp;A398,$G$7:$G$456,G398),COUNTIF($G$7:$G$456,G398))&lt;=(INDEX(設定!$Q$8:$Q$27,MATCH(G398,設定!$P$8:$P$27,0))+N(INDEX(設定!$R$8:$R$27,MATCH(G398,設定!$P$8:$P$27,0)))),G398,"要調整"),"要調整")))</f>
        <v/>
      </c>
      <c r="K398" s="40" t="n"/>
      <c r="L398" s="52">
        <f>IF(P398="","",IF(K398&lt;&gt;"",K398,IF(OR(J398="",J398="要調整"),"",J398)))</f>
        <v/>
      </c>
      <c r="M398" s="44">
        <f>IF(P398="","",IF(AND(計算用!$B$1=1,T398=""),"転出",IF(L398&lt;&gt;"","決定",IF(Q398="","未提出","要調整"))))</f>
        <v/>
      </c>
      <c r="N398" s="44">
        <f>IF(OR(M398&lt;&gt;"要調整",H398=""),"",IFERROR((INDEX(設定!$Q$8:$Q$27,MATCH(H398,設定!$P$8:$P$27,0))+N(INDEX(設定!$R$8:$R$27,MATCH(H398,設定!$P$8:$P$27,0))))-INDEX(定員チェック!$F$7:$F$26,MATCH(H398,設定!$P$8:$P$27,0))-COUNTIFS($M$7:$M$456,"要調整",$G$7:$G$456,H398),""))</f>
        <v/>
      </c>
      <c r="O398" s="44">
        <f>IF(OR(M398&lt;&gt;"要調整",I398=""),"",IFERROR((INDEX(設定!$Q$8:$Q$27,MATCH(I398,設定!$P$8:$P$27,0))+N(INDEX(設定!$R$8:$R$27,MATCH(I398,設定!$P$8:$P$27,0))))-INDEX(定員チェック!$F$7:$F$26,MATCH(I398,設定!$P$8:$P$27,0))-COUNTIFS($M$7:$M$456,"要調整",$G$7:$G$456,I398),""))</f>
        <v/>
      </c>
      <c r="P398" s="8">
        <f>IFERROR(MATCH(SMALL(前年度名簿!$G$2:$G$451,392),前年度名簿!$G$2:$G$451,0),"")</f>
        <v/>
      </c>
      <c r="Q398" s="8">
        <f>IF(R398="","",IFERROR(MATCH(R398,希望入力!$M$2:$M$551,0),""))</f>
        <v/>
      </c>
      <c r="R398" s="8">
        <f>IF(P398="","",INDEX(前年度名簿!$F$2:$F$451,P398))</f>
        <v/>
      </c>
      <c r="S398" s="8">
        <f>IF(P398="","",INDEX(前年度名簿!$I$2:$I$451,P398))</f>
        <v/>
      </c>
      <c r="T398" s="8">
        <f>IF(OR(P398="",計算用!$B$1=0),"",IFERROR(MATCH(S398,新年度名簿!$H$2:$H$451,0),""))</f>
        <v/>
      </c>
      <c r="U398" s="8">
        <f>IF(OR(L398="",M398="転出"),"",IFERROR(MATCH(L398,設定!$P$8:$P$27,0),""))</f>
        <v/>
      </c>
      <c r="V398" s="8">
        <f>IF(U398="","",COUNTIF($U$7:U398,U398))</f>
        <v/>
      </c>
      <c r="W398" s="8">
        <f>IF(U398="","",U398*1000+V398)</f>
        <v/>
      </c>
    </row>
    <row r="399">
      <c r="A399" s="44">
        <f>IF(P399="","",INDEX(前年度名簿!$H$2:$H$451,P399))</f>
        <v/>
      </c>
      <c r="B399" s="44">
        <f>IF(P399="","",IFERROR(INDEX(設定!$G$8:$G$31,INT(INDEX(前年度名簿!$G$2:$G$451,P399)/1000)),INDEX(前年度名簿!$A$2:$A$451,P399)&amp;INDEX(前年度名簿!$B$2:$B$451,P399)))</f>
        <v/>
      </c>
      <c r="C399" s="44">
        <f>IF(P399="","",INDEX(前年度名簿!$C$2:$C$451,P399))</f>
        <v/>
      </c>
      <c r="D399" s="3">
        <f>IF(P399="","",INDEX(前年度名簿!$D$2:$D$451,P399))</f>
        <v/>
      </c>
      <c r="E399" s="44">
        <f>IF(T399="","",INDEX(新年度名簿!$K$2:$K$451,T399))</f>
        <v/>
      </c>
      <c r="F399" s="44">
        <f>IF(T399="","",INDEX(新年度名簿!$C$2:$C$451,T399))</f>
        <v/>
      </c>
      <c r="G399" s="44">
        <f>IF(Q399="","",INDEX(希望入力!$H$2:$H$551,Q399)&amp;"")</f>
        <v/>
      </c>
      <c r="H399" s="44">
        <f>IF(Q399="","",INDEX(希望入力!$I$2:$I$551,Q399)&amp;"")</f>
        <v/>
      </c>
      <c r="I399" s="44">
        <f>IF(Q399="","",INDEX(希望入力!$J$2:$J$551,Q399)&amp;"")</f>
        <v/>
      </c>
      <c r="J399" s="44">
        <f>IF(Q399="","",IF(G399="","要調整",IFERROR(IF(IF(OR(設定!$C$14="〇",設定!$C$14="○"),COUNTIFS($A$7:$A$456,"&gt;="&amp;A399,$G$7:$G$456,G399),COUNTIF($G$7:$G$456,G399))&lt;=(INDEX(設定!$Q$8:$Q$27,MATCH(G399,設定!$P$8:$P$27,0))+N(INDEX(設定!$R$8:$R$27,MATCH(G399,設定!$P$8:$P$27,0)))),G399,"要調整"),"要調整")))</f>
        <v/>
      </c>
      <c r="K399" s="40" t="n"/>
      <c r="L399" s="52">
        <f>IF(P399="","",IF(K399&lt;&gt;"",K399,IF(OR(J399="",J399="要調整"),"",J399)))</f>
        <v/>
      </c>
      <c r="M399" s="44">
        <f>IF(P399="","",IF(AND(計算用!$B$1=1,T399=""),"転出",IF(L399&lt;&gt;"","決定",IF(Q399="","未提出","要調整"))))</f>
        <v/>
      </c>
      <c r="N399" s="44">
        <f>IF(OR(M399&lt;&gt;"要調整",H399=""),"",IFERROR((INDEX(設定!$Q$8:$Q$27,MATCH(H399,設定!$P$8:$P$27,0))+N(INDEX(設定!$R$8:$R$27,MATCH(H399,設定!$P$8:$P$27,0))))-INDEX(定員チェック!$F$7:$F$26,MATCH(H399,設定!$P$8:$P$27,0))-COUNTIFS($M$7:$M$456,"要調整",$G$7:$G$456,H399),""))</f>
        <v/>
      </c>
      <c r="O399" s="44">
        <f>IF(OR(M399&lt;&gt;"要調整",I399=""),"",IFERROR((INDEX(設定!$Q$8:$Q$27,MATCH(I399,設定!$P$8:$P$27,0))+N(INDEX(設定!$R$8:$R$27,MATCH(I399,設定!$P$8:$P$27,0))))-INDEX(定員チェック!$F$7:$F$26,MATCH(I399,設定!$P$8:$P$27,0))-COUNTIFS($M$7:$M$456,"要調整",$G$7:$G$456,I399),""))</f>
        <v/>
      </c>
      <c r="P399" s="8">
        <f>IFERROR(MATCH(SMALL(前年度名簿!$G$2:$G$451,393),前年度名簿!$G$2:$G$451,0),"")</f>
        <v/>
      </c>
      <c r="Q399" s="8">
        <f>IF(R399="","",IFERROR(MATCH(R399,希望入力!$M$2:$M$551,0),""))</f>
        <v/>
      </c>
      <c r="R399" s="8">
        <f>IF(P399="","",INDEX(前年度名簿!$F$2:$F$451,P399))</f>
        <v/>
      </c>
      <c r="S399" s="8">
        <f>IF(P399="","",INDEX(前年度名簿!$I$2:$I$451,P399))</f>
        <v/>
      </c>
      <c r="T399" s="8">
        <f>IF(OR(P399="",計算用!$B$1=0),"",IFERROR(MATCH(S399,新年度名簿!$H$2:$H$451,0),""))</f>
        <v/>
      </c>
      <c r="U399" s="8">
        <f>IF(OR(L399="",M399="転出"),"",IFERROR(MATCH(L399,設定!$P$8:$P$27,0),""))</f>
        <v/>
      </c>
      <c r="V399" s="8">
        <f>IF(U399="","",COUNTIF($U$7:U399,U399))</f>
        <v/>
      </c>
      <c r="W399" s="8">
        <f>IF(U399="","",U399*1000+V399)</f>
        <v/>
      </c>
    </row>
    <row r="400">
      <c r="A400" s="44">
        <f>IF(P400="","",INDEX(前年度名簿!$H$2:$H$451,P400))</f>
        <v/>
      </c>
      <c r="B400" s="44">
        <f>IF(P400="","",IFERROR(INDEX(設定!$G$8:$G$31,INT(INDEX(前年度名簿!$G$2:$G$451,P400)/1000)),INDEX(前年度名簿!$A$2:$A$451,P400)&amp;INDEX(前年度名簿!$B$2:$B$451,P400)))</f>
        <v/>
      </c>
      <c r="C400" s="44">
        <f>IF(P400="","",INDEX(前年度名簿!$C$2:$C$451,P400))</f>
        <v/>
      </c>
      <c r="D400" s="3">
        <f>IF(P400="","",INDEX(前年度名簿!$D$2:$D$451,P400))</f>
        <v/>
      </c>
      <c r="E400" s="44">
        <f>IF(T400="","",INDEX(新年度名簿!$K$2:$K$451,T400))</f>
        <v/>
      </c>
      <c r="F400" s="44">
        <f>IF(T400="","",INDEX(新年度名簿!$C$2:$C$451,T400))</f>
        <v/>
      </c>
      <c r="G400" s="44">
        <f>IF(Q400="","",INDEX(希望入力!$H$2:$H$551,Q400)&amp;"")</f>
        <v/>
      </c>
      <c r="H400" s="44">
        <f>IF(Q400="","",INDEX(希望入力!$I$2:$I$551,Q400)&amp;"")</f>
        <v/>
      </c>
      <c r="I400" s="44">
        <f>IF(Q400="","",INDEX(希望入力!$J$2:$J$551,Q400)&amp;"")</f>
        <v/>
      </c>
      <c r="J400" s="44">
        <f>IF(Q400="","",IF(G400="","要調整",IFERROR(IF(IF(OR(設定!$C$14="〇",設定!$C$14="○"),COUNTIFS($A$7:$A$456,"&gt;="&amp;A400,$G$7:$G$456,G400),COUNTIF($G$7:$G$456,G400))&lt;=(INDEX(設定!$Q$8:$Q$27,MATCH(G400,設定!$P$8:$P$27,0))+N(INDEX(設定!$R$8:$R$27,MATCH(G400,設定!$P$8:$P$27,0)))),G400,"要調整"),"要調整")))</f>
        <v/>
      </c>
      <c r="K400" s="40" t="n"/>
      <c r="L400" s="52">
        <f>IF(P400="","",IF(K400&lt;&gt;"",K400,IF(OR(J400="",J400="要調整"),"",J400)))</f>
        <v/>
      </c>
      <c r="M400" s="44">
        <f>IF(P400="","",IF(AND(計算用!$B$1=1,T400=""),"転出",IF(L400&lt;&gt;"","決定",IF(Q400="","未提出","要調整"))))</f>
        <v/>
      </c>
      <c r="N400" s="44">
        <f>IF(OR(M400&lt;&gt;"要調整",H400=""),"",IFERROR((INDEX(設定!$Q$8:$Q$27,MATCH(H400,設定!$P$8:$P$27,0))+N(INDEX(設定!$R$8:$R$27,MATCH(H400,設定!$P$8:$P$27,0))))-INDEX(定員チェック!$F$7:$F$26,MATCH(H400,設定!$P$8:$P$27,0))-COUNTIFS($M$7:$M$456,"要調整",$G$7:$G$456,H400),""))</f>
        <v/>
      </c>
      <c r="O400" s="44">
        <f>IF(OR(M400&lt;&gt;"要調整",I400=""),"",IFERROR((INDEX(設定!$Q$8:$Q$27,MATCH(I400,設定!$P$8:$P$27,0))+N(INDEX(設定!$R$8:$R$27,MATCH(I400,設定!$P$8:$P$27,0))))-INDEX(定員チェック!$F$7:$F$26,MATCH(I400,設定!$P$8:$P$27,0))-COUNTIFS($M$7:$M$456,"要調整",$G$7:$G$456,I400),""))</f>
        <v/>
      </c>
      <c r="P400" s="8">
        <f>IFERROR(MATCH(SMALL(前年度名簿!$G$2:$G$451,394),前年度名簿!$G$2:$G$451,0),"")</f>
        <v/>
      </c>
      <c r="Q400" s="8">
        <f>IF(R400="","",IFERROR(MATCH(R400,希望入力!$M$2:$M$551,0),""))</f>
        <v/>
      </c>
      <c r="R400" s="8">
        <f>IF(P400="","",INDEX(前年度名簿!$F$2:$F$451,P400))</f>
        <v/>
      </c>
      <c r="S400" s="8">
        <f>IF(P400="","",INDEX(前年度名簿!$I$2:$I$451,P400))</f>
        <v/>
      </c>
      <c r="T400" s="8">
        <f>IF(OR(P400="",計算用!$B$1=0),"",IFERROR(MATCH(S400,新年度名簿!$H$2:$H$451,0),""))</f>
        <v/>
      </c>
      <c r="U400" s="8">
        <f>IF(OR(L400="",M400="転出"),"",IFERROR(MATCH(L400,設定!$P$8:$P$27,0),""))</f>
        <v/>
      </c>
      <c r="V400" s="8">
        <f>IF(U400="","",COUNTIF($U$7:U400,U400))</f>
        <v/>
      </c>
      <c r="W400" s="8">
        <f>IF(U400="","",U400*1000+V400)</f>
        <v/>
      </c>
    </row>
    <row r="401">
      <c r="A401" s="44">
        <f>IF(P401="","",INDEX(前年度名簿!$H$2:$H$451,P401))</f>
        <v/>
      </c>
      <c r="B401" s="44">
        <f>IF(P401="","",IFERROR(INDEX(設定!$G$8:$G$31,INT(INDEX(前年度名簿!$G$2:$G$451,P401)/1000)),INDEX(前年度名簿!$A$2:$A$451,P401)&amp;INDEX(前年度名簿!$B$2:$B$451,P401)))</f>
        <v/>
      </c>
      <c r="C401" s="44">
        <f>IF(P401="","",INDEX(前年度名簿!$C$2:$C$451,P401))</f>
        <v/>
      </c>
      <c r="D401" s="3">
        <f>IF(P401="","",INDEX(前年度名簿!$D$2:$D$451,P401))</f>
        <v/>
      </c>
      <c r="E401" s="44">
        <f>IF(T401="","",INDEX(新年度名簿!$K$2:$K$451,T401))</f>
        <v/>
      </c>
      <c r="F401" s="44">
        <f>IF(T401="","",INDEX(新年度名簿!$C$2:$C$451,T401))</f>
        <v/>
      </c>
      <c r="G401" s="44">
        <f>IF(Q401="","",INDEX(希望入力!$H$2:$H$551,Q401)&amp;"")</f>
        <v/>
      </c>
      <c r="H401" s="44">
        <f>IF(Q401="","",INDEX(希望入力!$I$2:$I$551,Q401)&amp;"")</f>
        <v/>
      </c>
      <c r="I401" s="44">
        <f>IF(Q401="","",INDEX(希望入力!$J$2:$J$551,Q401)&amp;"")</f>
        <v/>
      </c>
      <c r="J401" s="44">
        <f>IF(Q401="","",IF(G401="","要調整",IFERROR(IF(IF(OR(設定!$C$14="〇",設定!$C$14="○"),COUNTIFS($A$7:$A$456,"&gt;="&amp;A401,$G$7:$G$456,G401),COUNTIF($G$7:$G$456,G401))&lt;=(INDEX(設定!$Q$8:$Q$27,MATCH(G401,設定!$P$8:$P$27,0))+N(INDEX(設定!$R$8:$R$27,MATCH(G401,設定!$P$8:$P$27,0)))),G401,"要調整"),"要調整")))</f>
        <v/>
      </c>
      <c r="K401" s="40" t="n"/>
      <c r="L401" s="52">
        <f>IF(P401="","",IF(K401&lt;&gt;"",K401,IF(OR(J401="",J401="要調整"),"",J401)))</f>
        <v/>
      </c>
      <c r="M401" s="44">
        <f>IF(P401="","",IF(AND(計算用!$B$1=1,T401=""),"転出",IF(L401&lt;&gt;"","決定",IF(Q401="","未提出","要調整"))))</f>
        <v/>
      </c>
      <c r="N401" s="44">
        <f>IF(OR(M401&lt;&gt;"要調整",H401=""),"",IFERROR((INDEX(設定!$Q$8:$Q$27,MATCH(H401,設定!$P$8:$P$27,0))+N(INDEX(設定!$R$8:$R$27,MATCH(H401,設定!$P$8:$P$27,0))))-INDEX(定員チェック!$F$7:$F$26,MATCH(H401,設定!$P$8:$P$27,0))-COUNTIFS($M$7:$M$456,"要調整",$G$7:$G$456,H401),""))</f>
        <v/>
      </c>
      <c r="O401" s="44">
        <f>IF(OR(M401&lt;&gt;"要調整",I401=""),"",IFERROR((INDEX(設定!$Q$8:$Q$27,MATCH(I401,設定!$P$8:$P$27,0))+N(INDEX(設定!$R$8:$R$27,MATCH(I401,設定!$P$8:$P$27,0))))-INDEX(定員チェック!$F$7:$F$26,MATCH(I401,設定!$P$8:$P$27,0))-COUNTIFS($M$7:$M$456,"要調整",$G$7:$G$456,I401),""))</f>
        <v/>
      </c>
      <c r="P401" s="8">
        <f>IFERROR(MATCH(SMALL(前年度名簿!$G$2:$G$451,395),前年度名簿!$G$2:$G$451,0),"")</f>
        <v/>
      </c>
      <c r="Q401" s="8">
        <f>IF(R401="","",IFERROR(MATCH(R401,希望入力!$M$2:$M$551,0),""))</f>
        <v/>
      </c>
      <c r="R401" s="8">
        <f>IF(P401="","",INDEX(前年度名簿!$F$2:$F$451,P401))</f>
        <v/>
      </c>
      <c r="S401" s="8">
        <f>IF(P401="","",INDEX(前年度名簿!$I$2:$I$451,P401))</f>
        <v/>
      </c>
      <c r="T401" s="8">
        <f>IF(OR(P401="",計算用!$B$1=0),"",IFERROR(MATCH(S401,新年度名簿!$H$2:$H$451,0),""))</f>
        <v/>
      </c>
      <c r="U401" s="8">
        <f>IF(OR(L401="",M401="転出"),"",IFERROR(MATCH(L401,設定!$P$8:$P$27,0),""))</f>
        <v/>
      </c>
      <c r="V401" s="8">
        <f>IF(U401="","",COUNTIF($U$7:U401,U401))</f>
        <v/>
      </c>
      <c r="W401" s="8">
        <f>IF(U401="","",U401*1000+V401)</f>
        <v/>
      </c>
    </row>
    <row r="402">
      <c r="A402" s="44">
        <f>IF(P402="","",INDEX(前年度名簿!$H$2:$H$451,P402))</f>
        <v/>
      </c>
      <c r="B402" s="44">
        <f>IF(P402="","",IFERROR(INDEX(設定!$G$8:$G$31,INT(INDEX(前年度名簿!$G$2:$G$451,P402)/1000)),INDEX(前年度名簿!$A$2:$A$451,P402)&amp;INDEX(前年度名簿!$B$2:$B$451,P402)))</f>
        <v/>
      </c>
      <c r="C402" s="44">
        <f>IF(P402="","",INDEX(前年度名簿!$C$2:$C$451,P402))</f>
        <v/>
      </c>
      <c r="D402" s="3">
        <f>IF(P402="","",INDEX(前年度名簿!$D$2:$D$451,P402))</f>
        <v/>
      </c>
      <c r="E402" s="44">
        <f>IF(T402="","",INDEX(新年度名簿!$K$2:$K$451,T402))</f>
        <v/>
      </c>
      <c r="F402" s="44">
        <f>IF(T402="","",INDEX(新年度名簿!$C$2:$C$451,T402))</f>
        <v/>
      </c>
      <c r="G402" s="44">
        <f>IF(Q402="","",INDEX(希望入力!$H$2:$H$551,Q402)&amp;"")</f>
        <v/>
      </c>
      <c r="H402" s="44">
        <f>IF(Q402="","",INDEX(希望入力!$I$2:$I$551,Q402)&amp;"")</f>
        <v/>
      </c>
      <c r="I402" s="44">
        <f>IF(Q402="","",INDEX(希望入力!$J$2:$J$551,Q402)&amp;"")</f>
        <v/>
      </c>
      <c r="J402" s="44">
        <f>IF(Q402="","",IF(G402="","要調整",IFERROR(IF(IF(OR(設定!$C$14="〇",設定!$C$14="○"),COUNTIFS($A$7:$A$456,"&gt;="&amp;A402,$G$7:$G$456,G402),COUNTIF($G$7:$G$456,G402))&lt;=(INDEX(設定!$Q$8:$Q$27,MATCH(G402,設定!$P$8:$P$27,0))+N(INDEX(設定!$R$8:$R$27,MATCH(G402,設定!$P$8:$P$27,0)))),G402,"要調整"),"要調整")))</f>
        <v/>
      </c>
      <c r="K402" s="40" t="n"/>
      <c r="L402" s="52">
        <f>IF(P402="","",IF(K402&lt;&gt;"",K402,IF(OR(J402="",J402="要調整"),"",J402)))</f>
        <v/>
      </c>
      <c r="M402" s="44">
        <f>IF(P402="","",IF(AND(計算用!$B$1=1,T402=""),"転出",IF(L402&lt;&gt;"","決定",IF(Q402="","未提出","要調整"))))</f>
        <v/>
      </c>
      <c r="N402" s="44">
        <f>IF(OR(M402&lt;&gt;"要調整",H402=""),"",IFERROR((INDEX(設定!$Q$8:$Q$27,MATCH(H402,設定!$P$8:$P$27,0))+N(INDEX(設定!$R$8:$R$27,MATCH(H402,設定!$P$8:$P$27,0))))-INDEX(定員チェック!$F$7:$F$26,MATCH(H402,設定!$P$8:$P$27,0))-COUNTIFS($M$7:$M$456,"要調整",$G$7:$G$456,H402),""))</f>
        <v/>
      </c>
      <c r="O402" s="44">
        <f>IF(OR(M402&lt;&gt;"要調整",I402=""),"",IFERROR((INDEX(設定!$Q$8:$Q$27,MATCH(I402,設定!$P$8:$P$27,0))+N(INDEX(設定!$R$8:$R$27,MATCH(I402,設定!$P$8:$P$27,0))))-INDEX(定員チェック!$F$7:$F$26,MATCH(I402,設定!$P$8:$P$27,0))-COUNTIFS($M$7:$M$456,"要調整",$G$7:$G$456,I402),""))</f>
        <v/>
      </c>
      <c r="P402" s="8">
        <f>IFERROR(MATCH(SMALL(前年度名簿!$G$2:$G$451,396),前年度名簿!$G$2:$G$451,0),"")</f>
        <v/>
      </c>
      <c r="Q402" s="8">
        <f>IF(R402="","",IFERROR(MATCH(R402,希望入力!$M$2:$M$551,0),""))</f>
        <v/>
      </c>
      <c r="R402" s="8">
        <f>IF(P402="","",INDEX(前年度名簿!$F$2:$F$451,P402))</f>
        <v/>
      </c>
      <c r="S402" s="8">
        <f>IF(P402="","",INDEX(前年度名簿!$I$2:$I$451,P402))</f>
        <v/>
      </c>
      <c r="T402" s="8">
        <f>IF(OR(P402="",計算用!$B$1=0),"",IFERROR(MATCH(S402,新年度名簿!$H$2:$H$451,0),""))</f>
        <v/>
      </c>
      <c r="U402" s="8">
        <f>IF(OR(L402="",M402="転出"),"",IFERROR(MATCH(L402,設定!$P$8:$P$27,0),""))</f>
        <v/>
      </c>
      <c r="V402" s="8">
        <f>IF(U402="","",COUNTIF($U$7:U402,U402))</f>
        <v/>
      </c>
      <c r="W402" s="8">
        <f>IF(U402="","",U402*1000+V402)</f>
        <v/>
      </c>
    </row>
    <row r="403">
      <c r="A403" s="44">
        <f>IF(P403="","",INDEX(前年度名簿!$H$2:$H$451,P403))</f>
        <v/>
      </c>
      <c r="B403" s="44">
        <f>IF(P403="","",IFERROR(INDEX(設定!$G$8:$G$31,INT(INDEX(前年度名簿!$G$2:$G$451,P403)/1000)),INDEX(前年度名簿!$A$2:$A$451,P403)&amp;INDEX(前年度名簿!$B$2:$B$451,P403)))</f>
        <v/>
      </c>
      <c r="C403" s="44">
        <f>IF(P403="","",INDEX(前年度名簿!$C$2:$C$451,P403))</f>
        <v/>
      </c>
      <c r="D403" s="3">
        <f>IF(P403="","",INDEX(前年度名簿!$D$2:$D$451,P403))</f>
        <v/>
      </c>
      <c r="E403" s="44">
        <f>IF(T403="","",INDEX(新年度名簿!$K$2:$K$451,T403))</f>
        <v/>
      </c>
      <c r="F403" s="44">
        <f>IF(T403="","",INDEX(新年度名簿!$C$2:$C$451,T403))</f>
        <v/>
      </c>
      <c r="G403" s="44">
        <f>IF(Q403="","",INDEX(希望入力!$H$2:$H$551,Q403)&amp;"")</f>
        <v/>
      </c>
      <c r="H403" s="44">
        <f>IF(Q403="","",INDEX(希望入力!$I$2:$I$551,Q403)&amp;"")</f>
        <v/>
      </c>
      <c r="I403" s="44">
        <f>IF(Q403="","",INDEX(希望入力!$J$2:$J$551,Q403)&amp;"")</f>
        <v/>
      </c>
      <c r="J403" s="44">
        <f>IF(Q403="","",IF(G403="","要調整",IFERROR(IF(IF(OR(設定!$C$14="〇",設定!$C$14="○"),COUNTIFS($A$7:$A$456,"&gt;="&amp;A403,$G$7:$G$456,G403),COUNTIF($G$7:$G$456,G403))&lt;=(INDEX(設定!$Q$8:$Q$27,MATCH(G403,設定!$P$8:$P$27,0))+N(INDEX(設定!$R$8:$R$27,MATCH(G403,設定!$P$8:$P$27,0)))),G403,"要調整"),"要調整")))</f>
        <v/>
      </c>
      <c r="K403" s="40" t="n"/>
      <c r="L403" s="52">
        <f>IF(P403="","",IF(K403&lt;&gt;"",K403,IF(OR(J403="",J403="要調整"),"",J403)))</f>
        <v/>
      </c>
      <c r="M403" s="44">
        <f>IF(P403="","",IF(AND(計算用!$B$1=1,T403=""),"転出",IF(L403&lt;&gt;"","決定",IF(Q403="","未提出","要調整"))))</f>
        <v/>
      </c>
      <c r="N403" s="44">
        <f>IF(OR(M403&lt;&gt;"要調整",H403=""),"",IFERROR((INDEX(設定!$Q$8:$Q$27,MATCH(H403,設定!$P$8:$P$27,0))+N(INDEX(設定!$R$8:$R$27,MATCH(H403,設定!$P$8:$P$27,0))))-INDEX(定員チェック!$F$7:$F$26,MATCH(H403,設定!$P$8:$P$27,0))-COUNTIFS($M$7:$M$456,"要調整",$G$7:$G$456,H403),""))</f>
        <v/>
      </c>
      <c r="O403" s="44">
        <f>IF(OR(M403&lt;&gt;"要調整",I403=""),"",IFERROR((INDEX(設定!$Q$8:$Q$27,MATCH(I403,設定!$P$8:$P$27,0))+N(INDEX(設定!$R$8:$R$27,MATCH(I403,設定!$P$8:$P$27,0))))-INDEX(定員チェック!$F$7:$F$26,MATCH(I403,設定!$P$8:$P$27,0))-COUNTIFS($M$7:$M$456,"要調整",$G$7:$G$456,I403),""))</f>
        <v/>
      </c>
      <c r="P403" s="8">
        <f>IFERROR(MATCH(SMALL(前年度名簿!$G$2:$G$451,397),前年度名簿!$G$2:$G$451,0),"")</f>
        <v/>
      </c>
      <c r="Q403" s="8">
        <f>IF(R403="","",IFERROR(MATCH(R403,希望入力!$M$2:$M$551,0),""))</f>
        <v/>
      </c>
      <c r="R403" s="8">
        <f>IF(P403="","",INDEX(前年度名簿!$F$2:$F$451,P403))</f>
        <v/>
      </c>
      <c r="S403" s="8">
        <f>IF(P403="","",INDEX(前年度名簿!$I$2:$I$451,P403))</f>
        <v/>
      </c>
      <c r="T403" s="8">
        <f>IF(OR(P403="",計算用!$B$1=0),"",IFERROR(MATCH(S403,新年度名簿!$H$2:$H$451,0),""))</f>
        <v/>
      </c>
      <c r="U403" s="8">
        <f>IF(OR(L403="",M403="転出"),"",IFERROR(MATCH(L403,設定!$P$8:$P$27,0),""))</f>
        <v/>
      </c>
      <c r="V403" s="8">
        <f>IF(U403="","",COUNTIF($U$7:U403,U403))</f>
        <v/>
      </c>
      <c r="W403" s="8">
        <f>IF(U403="","",U403*1000+V403)</f>
        <v/>
      </c>
    </row>
    <row r="404">
      <c r="A404" s="44">
        <f>IF(P404="","",INDEX(前年度名簿!$H$2:$H$451,P404))</f>
        <v/>
      </c>
      <c r="B404" s="44">
        <f>IF(P404="","",IFERROR(INDEX(設定!$G$8:$G$31,INT(INDEX(前年度名簿!$G$2:$G$451,P404)/1000)),INDEX(前年度名簿!$A$2:$A$451,P404)&amp;INDEX(前年度名簿!$B$2:$B$451,P404)))</f>
        <v/>
      </c>
      <c r="C404" s="44">
        <f>IF(P404="","",INDEX(前年度名簿!$C$2:$C$451,P404))</f>
        <v/>
      </c>
      <c r="D404" s="3">
        <f>IF(P404="","",INDEX(前年度名簿!$D$2:$D$451,P404))</f>
        <v/>
      </c>
      <c r="E404" s="44">
        <f>IF(T404="","",INDEX(新年度名簿!$K$2:$K$451,T404))</f>
        <v/>
      </c>
      <c r="F404" s="44">
        <f>IF(T404="","",INDEX(新年度名簿!$C$2:$C$451,T404))</f>
        <v/>
      </c>
      <c r="G404" s="44">
        <f>IF(Q404="","",INDEX(希望入力!$H$2:$H$551,Q404)&amp;"")</f>
        <v/>
      </c>
      <c r="H404" s="44">
        <f>IF(Q404="","",INDEX(希望入力!$I$2:$I$551,Q404)&amp;"")</f>
        <v/>
      </c>
      <c r="I404" s="44">
        <f>IF(Q404="","",INDEX(希望入力!$J$2:$J$551,Q404)&amp;"")</f>
        <v/>
      </c>
      <c r="J404" s="44">
        <f>IF(Q404="","",IF(G404="","要調整",IFERROR(IF(IF(OR(設定!$C$14="〇",設定!$C$14="○"),COUNTIFS($A$7:$A$456,"&gt;="&amp;A404,$G$7:$G$456,G404),COUNTIF($G$7:$G$456,G404))&lt;=(INDEX(設定!$Q$8:$Q$27,MATCH(G404,設定!$P$8:$P$27,0))+N(INDEX(設定!$R$8:$R$27,MATCH(G404,設定!$P$8:$P$27,0)))),G404,"要調整"),"要調整")))</f>
        <v/>
      </c>
      <c r="K404" s="40" t="n"/>
      <c r="L404" s="52">
        <f>IF(P404="","",IF(K404&lt;&gt;"",K404,IF(OR(J404="",J404="要調整"),"",J404)))</f>
        <v/>
      </c>
      <c r="M404" s="44">
        <f>IF(P404="","",IF(AND(計算用!$B$1=1,T404=""),"転出",IF(L404&lt;&gt;"","決定",IF(Q404="","未提出","要調整"))))</f>
        <v/>
      </c>
      <c r="N404" s="44">
        <f>IF(OR(M404&lt;&gt;"要調整",H404=""),"",IFERROR((INDEX(設定!$Q$8:$Q$27,MATCH(H404,設定!$P$8:$P$27,0))+N(INDEX(設定!$R$8:$R$27,MATCH(H404,設定!$P$8:$P$27,0))))-INDEX(定員チェック!$F$7:$F$26,MATCH(H404,設定!$P$8:$P$27,0))-COUNTIFS($M$7:$M$456,"要調整",$G$7:$G$456,H404),""))</f>
        <v/>
      </c>
      <c r="O404" s="44">
        <f>IF(OR(M404&lt;&gt;"要調整",I404=""),"",IFERROR((INDEX(設定!$Q$8:$Q$27,MATCH(I404,設定!$P$8:$P$27,0))+N(INDEX(設定!$R$8:$R$27,MATCH(I404,設定!$P$8:$P$27,0))))-INDEX(定員チェック!$F$7:$F$26,MATCH(I404,設定!$P$8:$P$27,0))-COUNTIFS($M$7:$M$456,"要調整",$G$7:$G$456,I404),""))</f>
        <v/>
      </c>
      <c r="P404" s="8">
        <f>IFERROR(MATCH(SMALL(前年度名簿!$G$2:$G$451,398),前年度名簿!$G$2:$G$451,0),"")</f>
        <v/>
      </c>
      <c r="Q404" s="8">
        <f>IF(R404="","",IFERROR(MATCH(R404,希望入力!$M$2:$M$551,0),""))</f>
        <v/>
      </c>
      <c r="R404" s="8">
        <f>IF(P404="","",INDEX(前年度名簿!$F$2:$F$451,P404))</f>
        <v/>
      </c>
      <c r="S404" s="8">
        <f>IF(P404="","",INDEX(前年度名簿!$I$2:$I$451,P404))</f>
        <v/>
      </c>
      <c r="T404" s="8">
        <f>IF(OR(P404="",計算用!$B$1=0),"",IFERROR(MATCH(S404,新年度名簿!$H$2:$H$451,0),""))</f>
        <v/>
      </c>
      <c r="U404" s="8">
        <f>IF(OR(L404="",M404="転出"),"",IFERROR(MATCH(L404,設定!$P$8:$P$27,0),""))</f>
        <v/>
      </c>
      <c r="V404" s="8">
        <f>IF(U404="","",COUNTIF($U$7:U404,U404))</f>
        <v/>
      </c>
      <c r="W404" s="8">
        <f>IF(U404="","",U404*1000+V404)</f>
        <v/>
      </c>
    </row>
    <row r="405">
      <c r="A405" s="44">
        <f>IF(P405="","",INDEX(前年度名簿!$H$2:$H$451,P405))</f>
        <v/>
      </c>
      <c r="B405" s="44">
        <f>IF(P405="","",IFERROR(INDEX(設定!$G$8:$G$31,INT(INDEX(前年度名簿!$G$2:$G$451,P405)/1000)),INDEX(前年度名簿!$A$2:$A$451,P405)&amp;INDEX(前年度名簿!$B$2:$B$451,P405)))</f>
        <v/>
      </c>
      <c r="C405" s="44">
        <f>IF(P405="","",INDEX(前年度名簿!$C$2:$C$451,P405))</f>
        <v/>
      </c>
      <c r="D405" s="3">
        <f>IF(P405="","",INDEX(前年度名簿!$D$2:$D$451,P405))</f>
        <v/>
      </c>
      <c r="E405" s="44">
        <f>IF(T405="","",INDEX(新年度名簿!$K$2:$K$451,T405))</f>
        <v/>
      </c>
      <c r="F405" s="44">
        <f>IF(T405="","",INDEX(新年度名簿!$C$2:$C$451,T405))</f>
        <v/>
      </c>
      <c r="G405" s="44">
        <f>IF(Q405="","",INDEX(希望入力!$H$2:$H$551,Q405)&amp;"")</f>
        <v/>
      </c>
      <c r="H405" s="44">
        <f>IF(Q405="","",INDEX(希望入力!$I$2:$I$551,Q405)&amp;"")</f>
        <v/>
      </c>
      <c r="I405" s="44">
        <f>IF(Q405="","",INDEX(希望入力!$J$2:$J$551,Q405)&amp;"")</f>
        <v/>
      </c>
      <c r="J405" s="44">
        <f>IF(Q405="","",IF(G405="","要調整",IFERROR(IF(IF(OR(設定!$C$14="〇",設定!$C$14="○"),COUNTIFS($A$7:$A$456,"&gt;="&amp;A405,$G$7:$G$456,G405),COUNTIF($G$7:$G$456,G405))&lt;=(INDEX(設定!$Q$8:$Q$27,MATCH(G405,設定!$P$8:$P$27,0))+N(INDEX(設定!$R$8:$R$27,MATCH(G405,設定!$P$8:$P$27,0)))),G405,"要調整"),"要調整")))</f>
        <v/>
      </c>
      <c r="K405" s="40" t="n"/>
      <c r="L405" s="52">
        <f>IF(P405="","",IF(K405&lt;&gt;"",K405,IF(OR(J405="",J405="要調整"),"",J405)))</f>
        <v/>
      </c>
      <c r="M405" s="44">
        <f>IF(P405="","",IF(AND(計算用!$B$1=1,T405=""),"転出",IF(L405&lt;&gt;"","決定",IF(Q405="","未提出","要調整"))))</f>
        <v/>
      </c>
      <c r="N405" s="44">
        <f>IF(OR(M405&lt;&gt;"要調整",H405=""),"",IFERROR((INDEX(設定!$Q$8:$Q$27,MATCH(H405,設定!$P$8:$P$27,0))+N(INDEX(設定!$R$8:$R$27,MATCH(H405,設定!$P$8:$P$27,0))))-INDEX(定員チェック!$F$7:$F$26,MATCH(H405,設定!$P$8:$P$27,0))-COUNTIFS($M$7:$M$456,"要調整",$G$7:$G$456,H405),""))</f>
        <v/>
      </c>
      <c r="O405" s="44">
        <f>IF(OR(M405&lt;&gt;"要調整",I405=""),"",IFERROR((INDEX(設定!$Q$8:$Q$27,MATCH(I405,設定!$P$8:$P$27,0))+N(INDEX(設定!$R$8:$R$27,MATCH(I405,設定!$P$8:$P$27,0))))-INDEX(定員チェック!$F$7:$F$26,MATCH(I405,設定!$P$8:$P$27,0))-COUNTIFS($M$7:$M$456,"要調整",$G$7:$G$456,I405),""))</f>
        <v/>
      </c>
      <c r="P405" s="8">
        <f>IFERROR(MATCH(SMALL(前年度名簿!$G$2:$G$451,399),前年度名簿!$G$2:$G$451,0),"")</f>
        <v/>
      </c>
      <c r="Q405" s="8">
        <f>IF(R405="","",IFERROR(MATCH(R405,希望入力!$M$2:$M$551,0),""))</f>
        <v/>
      </c>
      <c r="R405" s="8">
        <f>IF(P405="","",INDEX(前年度名簿!$F$2:$F$451,P405))</f>
        <v/>
      </c>
      <c r="S405" s="8">
        <f>IF(P405="","",INDEX(前年度名簿!$I$2:$I$451,P405))</f>
        <v/>
      </c>
      <c r="T405" s="8">
        <f>IF(OR(P405="",計算用!$B$1=0),"",IFERROR(MATCH(S405,新年度名簿!$H$2:$H$451,0),""))</f>
        <v/>
      </c>
      <c r="U405" s="8">
        <f>IF(OR(L405="",M405="転出"),"",IFERROR(MATCH(L405,設定!$P$8:$P$27,0),""))</f>
        <v/>
      </c>
      <c r="V405" s="8">
        <f>IF(U405="","",COUNTIF($U$7:U405,U405))</f>
        <v/>
      </c>
      <c r="W405" s="8">
        <f>IF(U405="","",U405*1000+V405)</f>
        <v/>
      </c>
    </row>
    <row r="406">
      <c r="A406" s="44">
        <f>IF(P406="","",INDEX(前年度名簿!$H$2:$H$451,P406))</f>
        <v/>
      </c>
      <c r="B406" s="44">
        <f>IF(P406="","",IFERROR(INDEX(設定!$G$8:$G$31,INT(INDEX(前年度名簿!$G$2:$G$451,P406)/1000)),INDEX(前年度名簿!$A$2:$A$451,P406)&amp;INDEX(前年度名簿!$B$2:$B$451,P406)))</f>
        <v/>
      </c>
      <c r="C406" s="44">
        <f>IF(P406="","",INDEX(前年度名簿!$C$2:$C$451,P406))</f>
        <v/>
      </c>
      <c r="D406" s="3">
        <f>IF(P406="","",INDEX(前年度名簿!$D$2:$D$451,P406))</f>
        <v/>
      </c>
      <c r="E406" s="44">
        <f>IF(T406="","",INDEX(新年度名簿!$K$2:$K$451,T406))</f>
        <v/>
      </c>
      <c r="F406" s="44">
        <f>IF(T406="","",INDEX(新年度名簿!$C$2:$C$451,T406))</f>
        <v/>
      </c>
      <c r="G406" s="44">
        <f>IF(Q406="","",INDEX(希望入力!$H$2:$H$551,Q406)&amp;"")</f>
        <v/>
      </c>
      <c r="H406" s="44">
        <f>IF(Q406="","",INDEX(希望入力!$I$2:$I$551,Q406)&amp;"")</f>
        <v/>
      </c>
      <c r="I406" s="44">
        <f>IF(Q406="","",INDEX(希望入力!$J$2:$J$551,Q406)&amp;"")</f>
        <v/>
      </c>
      <c r="J406" s="44">
        <f>IF(Q406="","",IF(G406="","要調整",IFERROR(IF(IF(OR(設定!$C$14="〇",設定!$C$14="○"),COUNTIFS($A$7:$A$456,"&gt;="&amp;A406,$G$7:$G$456,G406),COUNTIF($G$7:$G$456,G406))&lt;=(INDEX(設定!$Q$8:$Q$27,MATCH(G406,設定!$P$8:$P$27,0))+N(INDEX(設定!$R$8:$R$27,MATCH(G406,設定!$P$8:$P$27,0)))),G406,"要調整"),"要調整")))</f>
        <v/>
      </c>
      <c r="K406" s="40" t="n"/>
      <c r="L406" s="52">
        <f>IF(P406="","",IF(K406&lt;&gt;"",K406,IF(OR(J406="",J406="要調整"),"",J406)))</f>
        <v/>
      </c>
      <c r="M406" s="44">
        <f>IF(P406="","",IF(AND(計算用!$B$1=1,T406=""),"転出",IF(L406&lt;&gt;"","決定",IF(Q406="","未提出","要調整"))))</f>
        <v/>
      </c>
      <c r="N406" s="44">
        <f>IF(OR(M406&lt;&gt;"要調整",H406=""),"",IFERROR((INDEX(設定!$Q$8:$Q$27,MATCH(H406,設定!$P$8:$P$27,0))+N(INDEX(設定!$R$8:$R$27,MATCH(H406,設定!$P$8:$P$27,0))))-INDEX(定員チェック!$F$7:$F$26,MATCH(H406,設定!$P$8:$P$27,0))-COUNTIFS($M$7:$M$456,"要調整",$G$7:$G$456,H406),""))</f>
        <v/>
      </c>
      <c r="O406" s="44">
        <f>IF(OR(M406&lt;&gt;"要調整",I406=""),"",IFERROR((INDEX(設定!$Q$8:$Q$27,MATCH(I406,設定!$P$8:$P$27,0))+N(INDEX(設定!$R$8:$R$27,MATCH(I406,設定!$P$8:$P$27,0))))-INDEX(定員チェック!$F$7:$F$26,MATCH(I406,設定!$P$8:$P$27,0))-COUNTIFS($M$7:$M$456,"要調整",$G$7:$G$456,I406),""))</f>
        <v/>
      </c>
      <c r="P406" s="8">
        <f>IFERROR(MATCH(SMALL(前年度名簿!$G$2:$G$451,400),前年度名簿!$G$2:$G$451,0),"")</f>
        <v/>
      </c>
      <c r="Q406" s="8">
        <f>IF(R406="","",IFERROR(MATCH(R406,希望入力!$M$2:$M$551,0),""))</f>
        <v/>
      </c>
      <c r="R406" s="8">
        <f>IF(P406="","",INDEX(前年度名簿!$F$2:$F$451,P406))</f>
        <v/>
      </c>
      <c r="S406" s="8">
        <f>IF(P406="","",INDEX(前年度名簿!$I$2:$I$451,P406))</f>
        <v/>
      </c>
      <c r="T406" s="8">
        <f>IF(OR(P406="",計算用!$B$1=0),"",IFERROR(MATCH(S406,新年度名簿!$H$2:$H$451,0),""))</f>
        <v/>
      </c>
      <c r="U406" s="8">
        <f>IF(OR(L406="",M406="転出"),"",IFERROR(MATCH(L406,設定!$P$8:$P$27,0),""))</f>
        <v/>
      </c>
      <c r="V406" s="8">
        <f>IF(U406="","",COUNTIF($U$7:U406,U406))</f>
        <v/>
      </c>
      <c r="W406" s="8">
        <f>IF(U406="","",U406*1000+V406)</f>
        <v/>
      </c>
    </row>
    <row r="407">
      <c r="A407" s="44">
        <f>IF(P407="","",INDEX(前年度名簿!$H$2:$H$451,P407))</f>
        <v/>
      </c>
      <c r="B407" s="44">
        <f>IF(P407="","",IFERROR(INDEX(設定!$G$8:$G$31,INT(INDEX(前年度名簿!$G$2:$G$451,P407)/1000)),INDEX(前年度名簿!$A$2:$A$451,P407)&amp;INDEX(前年度名簿!$B$2:$B$451,P407)))</f>
        <v/>
      </c>
      <c r="C407" s="44">
        <f>IF(P407="","",INDEX(前年度名簿!$C$2:$C$451,P407))</f>
        <v/>
      </c>
      <c r="D407" s="3">
        <f>IF(P407="","",INDEX(前年度名簿!$D$2:$D$451,P407))</f>
        <v/>
      </c>
      <c r="E407" s="44">
        <f>IF(T407="","",INDEX(新年度名簿!$K$2:$K$451,T407))</f>
        <v/>
      </c>
      <c r="F407" s="44">
        <f>IF(T407="","",INDEX(新年度名簿!$C$2:$C$451,T407))</f>
        <v/>
      </c>
      <c r="G407" s="44">
        <f>IF(Q407="","",INDEX(希望入力!$H$2:$H$551,Q407)&amp;"")</f>
        <v/>
      </c>
      <c r="H407" s="44">
        <f>IF(Q407="","",INDEX(希望入力!$I$2:$I$551,Q407)&amp;"")</f>
        <v/>
      </c>
      <c r="I407" s="44">
        <f>IF(Q407="","",INDEX(希望入力!$J$2:$J$551,Q407)&amp;"")</f>
        <v/>
      </c>
      <c r="J407" s="44">
        <f>IF(Q407="","",IF(G407="","要調整",IFERROR(IF(IF(OR(設定!$C$14="〇",設定!$C$14="○"),COUNTIFS($A$7:$A$456,"&gt;="&amp;A407,$G$7:$G$456,G407),COUNTIF($G$7:$G$456,G407))&lt;=(INDEX(設定!$Q$8:$Q$27,MATCH(G407,設定!$P$8:$P$27,0))+N(INDEX(設定!$R$8:$R$27,MATCH(G407,設定!$P$8:$P$27,0)))),G407,"要調整"),"要調整")))</f>
        <v/>
      </c>
      <c r="K407" s="40" t="n"/>
      <c r="L407" s="52">
        <f>IF(P407="","",IF(K407&lt;&gt;"",K407,IF(OR(J407="",J407="要調整"),"",J407)))</f>
        <v/>
      </c>
      <c r="M407" s="44">
        <f>IF(P407="","",IF(AND(計算用!$B$1=1,T407=""),"転出",IF(L407&lt;&gt;"","決定",IF(Q407="","未提出","要調整"))))</f>
        <v/>
      </c>
      <c r="N407" s="44">
        <f>IF(OR(M407&lt;&gt;"要調整",H407=""),"",IFERROR((INDEX(設定!$Q$8:$Q$27,MATCH(H407,設定!$P$8:$P$27,0))+N(INDEX(設定!$R$8:$R$27,MATCH(H407,設定!$P$8:$P$27,0))))-INDEX(定員チェック!$F$7:$F$26,MATCH(H407,設定!$P$8:$P$27,0))-COUNTIFS($M$7:$M$456,"要調整",$G$7:$G$456,H407),""))</f>
        <v/>
      </c>
      <c r="O407" s="44">
        <f>IF(OR(M407&lt;&gt;"要調整",I407=""),"",IFERROR((INDEX(設定!$Q$8:$Q$27,MATCH(I407,設定!$P$8:$P$27,0))+N(INDEX(設定!$R$8:$R$27,MATCH(I407,設定!$P$8:$P$27,0))))-INDEX(定員チェック!$F$7:$F$26,MATCH(I407,設定!$P$8:$P$27,0))-COUNTIFS($M$7:$M$456,"要調整",$G$7:$G$456,I407),""))</f>
        <v/>
      </c>
      <c r="P407" s="8">
        <f>IFERROR(MATCH(SMALL(前年度名簿!$G$2:$G$451,401),前年度名簿!$G$2:$G$451,0),"")</f>
        <v/>
      </c>
      <c r="Q407" s="8">
        <f>IF(R407="","",IFERROR(MATCH(R407,希望入力!$M$2:$M$551,0),""))</f>
        <v/>
      </c>
      <c r="R407" s="8">
        <f>IF(P407="","",INDEX(前年度名簿!$F$2:$F$451,P407))</f>
        <v/>
      </c>
      <c r="S407" s="8">
        <f>IF(P407="","",INDEX(前年度名簿!$I$2:$I$451,P407))</f>
        <v/>
      </c>
      <c r="T407" s="8">
        <f>IF(OR(P407="",計算用!$B$1=0),"",IFERROR(MATCH(S407,新年度名簿!$H$2:$H$451,0),""))</f>
        <v/>
      </c>
      <c r="U407" s="8">
        <f>IF(OR(L407="",M407="転出"),"",IFERROR(MATCH(L407,設定!$P$8:$P$27,0),""))</f>
        <v/>
      </c>
      <c r="V407" s="8">
        <f>IF(U407="","",COUNTIF($U$7:U407,U407))</f>
        <v/>
      </c>
      <c r="W407" s="8">
        <f>IF(U407="","",U407*1000+V407)</f>
        <v/>
      </c>
    </row>
    <row r="408">
      <c r="A408" s="44">
        <f>IF(P408="","",INDEX(前年度名簿!$H$2:$H$451,P408))</f>
        <v/>
      </c>
      <c r="B408" s="44">
        <f>IF(P408="","",IFERROR(INDEX(設定!$G$8:$G$31,INT(INDEX(前年度名簿!$G$2:$G$451,P408)/1000)),INDEX(前年度名簿!$A$2:$A$451,P408)&amp;INDEX(前年度名簿!$B$2:$B$451,P408)))</f>
        <v/>
      </c>
      <c r="C408" s="44">
        <f>IF(P408="","",INDEX(前年度名簿!$C$2:$C$451,P408))</f>
        <v/>
      </c>
      <c r="D408" s="3">
        <f>IF(P408="","",INDEX(前年度名簿!$D$2:$D$451,P408))</f>
        <v/>
      </c>
      <c r="E408" s="44">
        <f>IF(T408="","",INDEX(新年度名簿!$K$2:$K$451,T408))</f>
        <v/>
      </c>
      <c r="F408" s="44">
        <f>IF(T408="","",INDEX(新年度名簿!$C$2:$C$451,T408))</f>
        <v/>
      </c>
      <c r="G408" s="44">
        <f>IF(Q408="","",INDEX(希望入力!$H$2:$H$551,Q408)&amp;"")</f>
        <v/>
      </c>
      <c r="H408" s="44">
        <f>IF(Q408="","",INDEX(希望入力!$I$2:$I$551,Q408)&amp;"")</f>
        <v/>
      </c>
      <c r="I408" s="44">
        <f>IF(Q408="","",INDEX(希望入力!$J$2:$J$551,Q408)&amp;"")</f>
        <v/>
      </c>
      <c r="J408" s="44">
        <f>IF(Q408="","",IF(G408="","要調整",IFERROR(IF(IF(OR(設定!$C$14="〇",設定!$C$14="○"),COUNTIFS($A$7:$A$456,"&gt;="&amp;A408,$G$7:$G$456,G408),COUNTIF($G$7:$G$456,G408))&lt;=(INDEX(設定!$Q$8:$Q$27,MATCH(G408,設定!$P$8:$P$27,0))+N(INDEX(設定!$R$8:$R$27,MATCH(G408,設定!$P$8:$P$27,0)))),G408,"要調整"),"要調整")))</f>
        <v/>
      </c>
      <c r="K408" s="40" t="n"/>
      <c r="L408" s="52">
        <f>IF(P408="","",IF(K408&lt;&gt;"",K408,IF(OR(J408="",J408="要調整"),"",J408)))</f>
        <v/>
      </c>
      <c r="M408" s="44">
        <f>IF(P408="","",IF(AND(計算用!$B$1=1,T408=""),"転出",IF(L408&lt;&gt;"","決定",IF(Q408="","未提出","要調整"))))</f>
        <v/>
      </c>
      <c r="N408" s="44">
        <f>IF(OR(M408&lt;&gt;"要調整",H408=""),"",IFERROR((INDEX(設定!$Q$8:$Q$27,MATCH(H408,設定!$P$8:$P$27,0))+N(INDEX(設定!$R$8:$R$27,MATCH(H408,設定!$P$8:$P$27,0))))-INDEX(定員チェック!$F$7:$F$26,MATCH(H408,設定!$P$8:$P$27,0))-COUNTIFS($M$7:$M$456,"要調整",$G$7:$G$456,H408),""))</f>
        <v/>
      </c>
      <c r="O408" s="44">
        <f>IF(OR(M408&lt;&gt;"要調整",I408=""),"",IFERROR((INDEX(設定!$Q$8:$Q$27,MATCH(I408,設定!$P$8:$P$27,0))+N(INDEX(設定!$R$8:$R$27,MATCH(I408,設定!$P$8:$P$27,0))))-INDEX(定員チェック!$F$7:$F$26,MATCH(I408,設定!$P$8:$P$27,0))-COUNTIFS($M$7:$M$456,"要調整",$G$7:$G$456,I408),""))</f>
        <v/>
      </c>
      <c r="P408" s="8">
        <f>IFERROR(MATCH(SMALL(前年度名簿!$G$2:$G$451,402),前年度名簿!$G$2:$G$451,0),"")</f>
        <v/>
      </c>
      <c r="Q408" s="8">
        <f>IF(R408="","",IFERROR(MATCH(R408,希望入力!$M$2:$M$551,0),""))</f>
        <v/>
      </c>
      <c r="R408" s="8">
        <f>IF(P408="","",INDEX(前年度名簿!$F$2:$F$451,P408))</f>
        <v/>
      </c>
      <c r="S408" s="8">
        <f>IF(P408="","",INDEX(前年度名簿!$I$2:$I$451,P408))</f>
        <v/>
      </c>
      <c r="T408" s="8">
        <f>IF(OR(P408="",計算用!$B$1=0),"",IFERROR(MATCH(S408,新年度名簿!$H$2:$H$451,0),""))</f>
        <v/>
      </c>
      <c r="U408" s="8">
        <f>IF(OR(L408="",M408="転出"),"",IFERROR(MATCH(L408,設定!$P$8:$P$27,0),""))</f>
        <v/>
      </c>
      <c r="V408" s="8">
        <f>IF(U408="","",COUNTIF($U$7:U408,U408))</f>
        <v/>
      </c>
      <c r="W408" s="8">
        <f>IF(U408="","",U408*1000+V408)</f>
        <v/>
      </c>
    </row>
    <row r="409">
      <c r="A409" s="44">
        <f>IF(P409="","",INDEX(前年度名簿!$H$2:$H$451,P409))</f>
        <v/>
      </c>
      <c r="B409" s="44">
        <f>IF(P409="","",IFERROR(INDEX(設定!$G$8:$G$31,INT(INDEX(前年度名簿!$G$2:$G$451,P409)/1000)),INDEX(前年度名簿!$A$2:$A$451,P409)&amp;INDEX(前年度名簿!$B$2:$B$451,P409)))</f>
        <v/>
      </c>
      <c r="C409" s="44">
        <f>IF(P409="","",INDEX(前年度名簿!$C$2:$C$451,P409))</f>
        <v/>
      </c>
      <c r="D409" s="3">
        <f>IF(P409="","",INDEX(前年度名簿!$D$2:$D$451,P409))</f>
        <v/>
      </c>
      <c r="E409" s="44">
        <f>IF(T409="","",INDEX(新年度名簿!$K$2:$K$451,T409))</f>
        <v/>
      </c>
      <c r="F409" s="44">
        <f>IF(T409="","",INDEX(新年度名簿!$C$2:$C$451,T409))</f>
        <v/>
      </c>
      <c r="G409" s="44">
        <f>IF(Q409="","",INDEX(希望入力!$H$2:$H$551,Q409)&amp;"")</f>
        <v/>
      </c>
      <c r="H409" s="44">
        <f>IF(Q409="","",INDEX(希望入力!$I$2:$I$551,Q409)&amp;"")</f>
        <v/>
      </c>
      <c r="I409" s="44">
        <f>IF(Q409="","",INDEX(希望入力!$J$2:$J$551,Q409)&amp;"")</f>
        <v/>
      </c>
      <c r="J409" s="44">
        <f>IF(Q409="","",IF(G409="","要調整",IFERROR(IF(IF(OR(設定!$C$14="〇",設定!$C$14="○"),COUNTIFS($A$7:$A$456,"&gt;="&amp;A409,$G$7:$G$456,G409),COUNTIF($G$7:$G$456,G409))&lt;=(INDEX(設定!$Q$8:$Q$27,MATCH(G409,設定!$P$8:$P$27,0))+N(INDEX(設定!$R$8:$R$27,MATCH(G409,設定!$P$8:$P$27,0)))),G409,"要調整"),"要調整")))</f>
        <v/>
      </c>
      <c r="K409" s="40" t="n"/>
      <c r="L409" s="52">
        <f>IF(P409="","",IF(K409&lt;&gt;"",K409,IF(OR(J409="",J409="要調整"),"",J409)))</f>
        <v/>
      </c>
      <c r="M409" s="44">
        <f>IF(P409="","",IF(AND(計算用!$B$1=1,T409=""),"転出",IF(L409&lt;&gt;"","決定",IF(Q409="","未提出","要調整"))))</f>
        <v/>
      </c>
      <c r="N409" s="44">
        <f>IF(OR(M409&lt;&gt;"要調整",H409=""),"",IFERROR((INDEX(設定!$Q$8:$Q$27,MATCH(H409,設定!$P$8:$P$27,0))+N(INDEX(設定!$R$8:$R$27,MATCH(H409,設定!$P$8:$P$27,0))))-INDEX(定員チェック!$F$7:$F$26,MATCH(H409,設定!$P$8:$P$27,0))-COUNTIFS($M$7:$M$456,"要調整",$G$7:$G$456,H409),""))</f>
        <v/>
      </c>
      <c r="O409" s="44">
        <f>IF(OR(M409&lt;&gt;"要調整",I409=""),"",IFERROR((INDEX(設定!$Q$8:$Q$27,MATCH(I409,設定!$P$8:$P$27,0))+N(INDEX(設定!$R$8:$R$27,MATCH(I409,設定!$P$8:$P$27,0))))-INDEX(定員チェック!$F$7:$F$26,MATCH(I409,設定!$P$8:$P$27,0))-COUNTIFS($M$7:$M$456,"要調整",$G$7:$G$456,I409),""))</f>
        <v/>
      </c>
      <c r="P409" s="8">
        <f>IFERROR(MATCH(SMALL(前年度名簿!$G$2:$G$451,403),前年度名簿!$G$2:$G$451,0),"")</f>
        <v/>
      </c>
      <c r="Q409" s="8">
        <f>IF(R409="","",IFERROR(MATCH(R409,希望入力!$M$2:$M$551,0),""))</f>
        <v/>
      </c>
      <c r="R409" s="8">
        <f>IF(P409="","",INDEX(前年度名簿!$F$2:$F$451,P409))</f>
        <v/>
      </c>
      <c r="S409" s="8">
        <f>IF(P409="","",INDEX(前年度名簿!$I$2:$I$451,P409))</f>
        <v/>
      </c>
      <c r="T409" s="8">
        <f>IF(OR(P409="",計算用!$B$1=0),"",IFERROR(MATCH(S409,新年度名簿!$H$2:$H$451,0),""))</f>
        <v/>
      </c>
      <c r="U409" s="8">
        <f>IF(OR(L409="",M409="転出"),"",IFERROR(MATCH(L409,設定!$P$8:$P$27,0),""))</f>
        <v/>
      </c>
      <c r="V409" s="8">
        <f>IF(U409="","",COUNTIF($U$7:U409,U409))</f>
        <v/>
      </c>
      <c r="W409" s="8">
        <f>IF(U409="","",U409*1000+V409)</f>
        <v/>
      </c>
    </row>
    <row r="410">
      <c r="A410" s="44">
        <f>IF(P410="","",INDEX(前年度名簿!$H$2:$H$451,P410))</f>
        <v/>
      </c>
      <c r="B410" s="44">
        <f>IF(P410="","",IFERROR(INDEX(設定!$G$8:$G$31,INT(INDEX(前年度名簿!$G$2:$G$451,P410)/1000)),INDEX(前年度名簿!$A$2:$A$451,P410)&amp;INDEX(前年度名簿!$B$2:$B$451,P410)))</f>
        <v/>
      </c>
      <c r="C410" s="44">
        <f>IF(P410="","",INDEX(前年度名簿!$C$2:$C$451,P410))</f>
        <v/>
      </c>
      <c r="D410" s="3">
        <f>IF(P410="","",INDEX(前年度名簿!$D$2:$D$451,P410))</f>
        <v/>
      </c>
      <c r="E410" s="44">
        <f>IF(T410="","",INDEX(新年度名簿!$K$2:$K$451,T410))</f>
        <v/>
      </c>
      <c r="F410" s="44">
        <f>IF(T410="","",INDEX(新年度名簿!$C$2:$C$451,T410))</f>
        <v/>
      </c>
      <c r="G410" s="44">
        <f>IF(Q410="","",INDEX(希望入力!$H$2:$H$551,Q410)&amp;"")</f>
        <v/>
      </c>
      <c r="H410" s="44">
        <f>IF(Q410="","",INDEX(希望入力!$I$2:$I$551,Q410)&amp;"")</f>
        <v/>
      </c>
      <c r="I410" s="44">
        <f>IF(Q410="","",INDEX(希望入力!$J$2:$J$551,Q410)&amp;"")</f>
        <v/>
      </c>
      <c r="J410" s="44">
        <f>IF(Q410="","",IF(G410="","要調整",IFERROR(IF(IF(OR(設定!$C$14="〇",設定!$C$14="○"),COUNTIFS($A$7:$A$456,"&gt;="&amp;A410,$G$7:$G$456,G410),COUNTIF($G$7:$G$456,G410))&lt;=(INDEX(設定!$Q$8:$Q$27,MATCH(G410,設定!$P$8:$P$27,0))+N(INDEX(設定!$R$8:$R$27,MATCH(G410,設定!$P$8:$P$27,0)))),G410,"要調整"),"要調整")))</f>
        <v/>
      </c>
      <c r="K410" s="40" t="n"/>
      <c r="L410" s="52">
        <f>IF(P410="","",IF(K410&lt;&gt;"",K410,IF(OR(J410="",J410="要調整"),"",J410)))</f>
        <v/>
      </c>
      <c r="M410" s="44">
        <f>IF(P410="","",IF(AND(計算用!$B$1=1,T410=""),"転出",IF(L410&lt;&gt;"","決定",IF(Q410="","未提出","要調整"))))</f>
        <v/>
      </c>
      <c r="N410" s="44">
        <f>IF(OR(M410&lt;&gt;"要調整",H410=""),"",IFERROR((INDEX(設定!$Q$8:$Q$27,MATCH(H410,設定!$P$8:$P$27,0))+N(INDEX(設定!$R$8:$R$27,MATCH(H410,設定!$P$8:$P$27,0))))-INDEX(定員チェック!$F$7:$F$26,MATCH(H410,設定!$P$8:$P$27,0))-COUNTIFS($M$7:$M$456,"要調整",$G$7:$G$456,H410),""))</f>
        <v/>
      </c>
      <c r="O410" s="44">
        <f>IF(OR(M410&lt;&gt;"要調整",I410=""),"",IFERROR((INDEX(設定!$Q$8:$Q$27,MATCH(I410,設定!$P$8:$P$27,0))+N(INDEX(設定!$R$8:$R$27,MATCH(I410,設定!$P$8:$P$27,0))))-INDEX(定員チェック!$F$7:$F$26,MATCH(I410,設定!$P$8:$P$27,0))-COUNTIFS($M$7:$M$456,"要調整",$G$7:$G$456,I410),""))</f>
        <v/>
      </c>
      <c r="P410" s="8">
        <f>IFERROR(MATCH(SMALL(前年度名簿!$G$2:$G$451,404),前年度名簿!$G$2:$G$451,0),"")</f>
        <v/>
      </c>
      <c r="Q410" s="8">
        <f>IF(R410="","",IFERROR(MATCH(R410,希望入力!$M$2:$M$551,0),""))</f>
        <v/>
      </c>
      <c r="R410" s="8">
        <f>IF(P410="","",INDEX(前年度名簿!$F$2:$F$451,P410))</f>
        <v/>
      </c>
      <c r="S410" s="8">
        <f>IF(P410="","",INDEX(前年度名簿!$I$2:$I$451,P410))</f>
        <v/>
      </c>
      <c r="T410" s="8">
        <f>IF(OR(P410="",計算用!$B$1=0),"",IFERROR(MATCH(S410,新年度名簿!$H$2:$H$451,0),""))</f>
        <v/>
      </c>
      <c r="U410" s="8">
        <f>IF(OR(L410="",M410="転出"),"",IFERROR(MATCH(L410,設定!$P$8:$P$27,0),""))</f>
        <v/>
      </c>
      <c r="V410" s="8">
        <f>IF(U410="","",COUNTIF($U$7:U410,U410))</f>
        <v/>
      </c>
      <c r="W410" s="8">
        <f>IF(U410="","",U410*1000+V410)</f>
        <v/>
      </c>
    </row>
    <row r="411">
      <c r="A411" s="44">
        <f>IF(P411="","",INDEX(前年度名簿!$H$2:$H$451,P411))</f>
        <v/>
      </c>
      <c r="B411" s="44">
        <f>IF(P411="","",IFERROR(INDEX(設定!$G$8:$G$31,INT(INDEX(前年度名簿!$G$2:$G$451,P411)/1000)),INDEX(前年度名簿!$A$2:$A$451,P411)&amp;INDEX(前年度名簿!$B$2:$B$451,P411)))</f>
        <v/>
      </c>
      <c r="C411" s="44">
        <f>IF(P411="","",INDEX(前年度名簿!$C$2:$C$451,P411))</f>
        <v/>
      </c>
      <c r="D411" s="3">
        <f>IF(P411="","",INDEX(前年度名簿!$D$2:$D$451,P411))</f>
        <v/>
      </c>
      <c r="E411" s="44">
        <f>IF(T411="","",INDEX(新年度名簿!$K$2:$K$451,T411))</f>
        <v/>
      </c>
      <c r="F411" s="44">
        <f>IF(T411="","",INDEX(新年度名簿!$C$2:$C$451,T411))</f>
        <v/>
      </c>
      <c r="G411" s="44">
        <f>IF(Q411="","",INDEX(希望入力!$H$2:$H$551,Q411)&amp;"")</f>
        <v/>
      </c>
      <c r="H411" s="44">
        <f>IF(Q411="","",INDEX(希望入力!$I$2:$I$551,Q411)&amp;"")</f>
        <v/>
      </c>
      <c r="I411" s="44">
        <f>IF(Q411="","",INDEX(希望入力!$J$2:$J$551,Q411)&amp;"")</f>
        <v/>
      </c>
      <c r="J411" s="44">
        <f>IF(Q411="","",IF(G411="","要調整",IFERROR(IF(IF(OR(設定!$C$14="〇",設定!$C$14="○"),COUNTIFS($A$7:$A$456,"&gt;="&amp;A411,$G$7:$G$456,G411),COUNTIF($G$7:$G$456,G411))&lt;=(INDEX(設定!$Q$8:$Q$27,MATCH(G411,設定!$P$8:$P$27,0))+N(INDEX(設定!$R$8:$R$27,MATCH(G411,設定!$P$8:$P$27,0)))),G411,"要調整"),"要調整")))</f>
        <v/>
      </c>
      <c r="K411" s="40" t="n"/>
      <c r="L411" s="52">
        <f>IF(P411="","",IF(K411&lt;&gt;"",K411,IF(OR(J411="",J411="要調整"),"",J411)))</f>
        <v/>
      </c>
      <c r="M411" s="44">
        <f>IF(P411="","",IF(AND(計算用!$B$1=1,T411=""),"転出",IF(L411&lt;&gt;"","決定",IF(Q411="","未提出","要調整"))))</f>
        <v/>
      </c>
      <c r="N411" s="44">
        <f>IF(OR(M411&lt;&gt;"要調整",H411=""),"",IFERROR((INDEX(設定!$Q$8:$Q$27,MATCH(H411,設定!$P$8:$P$27,0))+N(INDEX(設定!$R$8:$R$27,MATCH(H411,設定!$P$8:$P$27,0))))-INDEX(定員チェック!$F$7:$F$26,MATCH(H411,設定!$P$8:$P$27,0))-COUNTIFS($M$7:$M$456,"要調整",$G$7:$G$456,H411),""))</f>
        <v/>
      </c>
      <c r="O411" s="44">
        <f>IF(OR(M411&lt;&gt;"要調整",I411=""),"",IFERROR((INDEX(設定!$Q$8:$Q$27,MATCH(I411,設定!$P$8:$P$27,0))+N(INDEX(設定!$R$8:$R$27,MATCH(I411,設定!$P$8:$P$27,0))))-INDEX(定員チェック!$F$7:$F$26,MATCH(I411,設定!$P$8:$P$27,0))-COUNTIFS($M$7:$M$456,"要調整",$G$7:$G$456,I411),""))</f>
        <v/>
      </c>
      <c r="P411" s="8">
        <f>IFERROR(MATCH(SMALL(前年度名簿!$G$2:$G$451,405),前年度名簿!$G$2:$G$451,0),"")</f>
        <v/>
      </c>
      <c r="Q411" s="8">
        <f>IF(R411="","",IFERROR(MATCH(R411,希望入力!$M$2:$M$551,0),""))</f>
        <v/>
      </c>
      <c r="R411" s="8">
        <f>IF(P411="","",INDEX(前年度名簿!$F$2:$F$451,P411))</f>
        <v/>
      </c>
      <c r="S411" s="8">
        <f>IF(P411="","",INDEX(前年度名簿!$I$2:$I$451,P411))</f>
        <v/>
      </c>
      <c r="T411" s="8">
        <f>IF(OR(P411="",計算用!$B$1=0),"",IFERROR(MATCH(S411,新年度名簿!$H$2:$H$451,0),""))</f>
        <v/>
      </c>
      <c r="U411" s="8">
        <f>IF(OR(L411="",M411="転出"),"",IFERROR(MATCH(L411,設定!$P$8:$P$27,0),""))</f>
        <v/>
      </c>
      <c r="V411" s="8">
        <f>IF(U411="","",COUNTIF($U$7:U411,U411))</f>
        <v/>
      </c>
      <c r="W411" s="8">
        <f>IF(U411="","",U411*1000+V411)</f>
        <v/>
      </c>
    </row>
    <row r="412">
      <c r="A412" s="44">
        <f>IF(P412="","",INDEX(前年度名簿!$H$2:$H$451,P412))</f>
        <v/>
      </c>
      <c r="B412" s="44">
        <f>IF(P412="","",IFERROR(INDEX(設定!$G$8:$G$31,INT(INDEX(前年度名簿!$G$2:$G$451,P412)/1000)),INDEX(前年度名簿!$A$2:$A$451,P412)&amp;INDEX(前年度名簿!$B$2:$B$451,P412)))</f>
        <v/>
      </c>
      <c r="C412" s="44">
        <f>IF(P412="","",INDEX(前年度名簿!$C$2:$C$451,P412))</f>
        <v/>
      </c>
      <c r="D412" s="3">
        <f>IF(P412="","",INDEX(前年度名簿!$D$2:$D$451,P412))</f>
        <v/>
      </c>
      <c r="E412" s="44">
        <f>IF(T412="","",INDEX(新年度名簿!$K$2:$K$451,T412))</f>
        <v/>
      </c>
      <c r="F412" s="44">
        <f>IF(T412="","",INDEX(新年度名簿!$C$2:$C$451,T412))</f>
        <v/>
      </c>
      <c r="G412" s="44">
        <f>IF(Q412="","",INDEX(希望入力!$H$2:$H$551,Q412)&amp;"")</f>
        <v/>
      </c>
      <c r="H412" s="44">
        <f>IF(Q412="","",INDEX(希望入力!$I$2:$I$551,Q412)&amp;"")</f>
        <v/>
      </c>
      <c r="I412" s="44">
        <f>IF(Q412="","",INDEX(希望入力!$J$2:$J$551,Q412)&amp;"")</f>
        <v/>
      </c>
      <c r="J412" s="44">
        <f>IF(Q412="","",IF(G412="","要調整",IFERROR(IF(IF(OR(設定!$C$14="〇",設定!$C$14="○"),COUNTIFS($A$7:$A$456,"&gt;="&amp;A412,$G$7:$G$456,G412),COUNTIF($G$7:$G$456,G412))&lt;=(INDEX(設定!$Q$8:$Q$27,MATCH(G412,設定!$P$8:$P$27,0))+N(INDEX(設定!$R$8:$R$27,MATCH(G412,設定!$P$8:$P$27,0)))),G412,"要調整"),"要調整")))</f>
        <v/>
      </c>
      <c r="K412" s="40" t="n"/>
      <c r="L412" s="52">
        <f>IF(P412="","",IF(K412&lt;&gt;"",K412,IF(OR(J412="",J412="要調整"),"",J412)))</f>
        <v/>
      </c>
      <c r="M412" s="44">
        <f>IF(P412="","",IF(AND(計算用!$B$1=1,T412=""),"転出",IF(L412&lt;&gt;"","決定",IF(Q412="","未提出","要調整"))))</f>
        <v/>
      </c>
      <c r="N412" s="44">
        <f>IF(OR(M412&lt;&gt;"要調整",H412=""),"",IFERROR((INDEX(設定!$Q$8:$Q$27,MATCH(H412,設定!$P$8:$P$27,0))+N(INDEX(設定!$R$8:$R$27,MATCH(H412,設定!$P$8:$P$27,0))))-INDEX(定員チェック!$F$7:$F$26,MATCH(H412,設定!$P$8:$P$27,0))-COUNTIFS($M$7:$M$456,"要調整",$G$7:$G$456,H412),""))</f>
        <v/>
      </c>
      <c r="O412" s="44">
        <f>IF(OR(M412&lt;&gt;"要調整",I412=""),"",IFERROR((INDEX(設定!$Q$8:$Q$27,MATCH(I412,設定!$P$8:$P$27,0))+N(INDEX(設定!$R$8:$R$27,MATCH(I412,設定!$P$8:$P$27,0))))-INDEX(定員チェック!$F$7:$F$26,MATCH(I412,設定!$P$8:$P$27,0))-COUNTIFS($M$7:$M$456,"要調整",$G$7:$G$456,I412),""))</f>
        <v/>
      </c>
      <c r="P412" s="8">
        <f>IFERROR(MATCH(SMALL(前年度名簿!$G$2:$G$451,406),前年度名簿!$G$2:$G$451,0),"")</f>
        <v/>
      </c>
      <c r="Q412" s="8">
        <f>IF(R412="","",IFERROR(MATCH(R412,希望入力!$M$2:$M$551,0),""))</f>
        <v/>
      </c>
      <c r="R412" s="8">
        <f>IF(P412="","",INDEX(前年度名簿!$F$2:$F$451,P412))</f>
        <v/>
      </c>
      <c r="S412" s="8">
        <f>IF(P412="","",INDEX(前年度名簿!$I$2:$I$451,P412))</f>
        <v/>
      </c>
      <c r="T412" s="8">
        <f>IF(OR(P412="",計算用!$B$1=0),"",IFERROR(MATCH(S412,新年度名簿!$H$2:$H$451,0),""))</f>
        <v/>
      </c>
      <c r="U412" s="8">
        <f>IF(OR(L412="",M412="転出"),"",IFERROR(MATCH(L412,設定!$P$8:$P$27,0),""))</f>
        <v/>
      </c>
      <c r="V412" s="8">
        <f>IF(U412="","",COUNTIF($U$7:U412,U412))</f>
        <v/>
      </c>
      <c r="W412" s="8">
        <f>IF(U412="","",U412*1000+V412)</f>
        <v/>
      </c>
    </row>
    <row r="413">
      <c r="A413" s="44">
        <f>IF(P413="","",INDEX(前年度名簿!$H$2:$H$451,P413))</f>
        <v/>
      </c>
      <c r="B413" s="44">
        <f>IF(P413="","",IFERROR(INDEX(設定!$G$8:$G$31,INT(INDEX(前年度名簿!$G$2:$G$451,P413)/1000)),INDEX(前年度名簿!$A$2:$A$451,P413)&amp;INDEX(前年度名簿!$B$2:$B$451,P413)))</f>
        <v/>
      </c>
      <c r="C413" s="44">
        <f>IF(P413="","",INDEX(前年度名簿!$C$2:$C$451,P413))</f>
        <v/>
      </c>
      <c r="D413" s="3">
        <f>IF(P413="","",INDEX(前年度名簿!$D$2:$D$451,P413))</f>
        <v/>
      </c>
      <c r="E413" s="44">
        <f>IF(T413="","",INDEX(新年度名簿!$K$2:$K$451,T413))</f>
        <v/>
      </c>
      <c r="F413" s="44">
        <f>IF(T413="","",INDEX(新年度名簿!$C$2:$C$451,T413))</f>
        <v/>
      </c>
      <c r="G413" s="44">
        <f>IF(Q413="","",INDEX(希望入力!$H$2:$H$551,Q413)&amp;"")</f>
        <v/>
      </c>
      <c r="H413" s="44">
        <f>IF(Q413="","",INDEX(希望入力!$I$2:$I$551,Q413)&amp;"")</f>
        <v/>
      </c>
      <c r="I413" s="44">
        <f>IF(Q413="","",INDEX(希望入力!$J$2:$J$551,Q413)&amp;"")</f>
        <v/>
      </c>
      <c r="J413" s="44">
        <f>IF(Q413="","",IF(G413="","要調整",IFERROR(IF(IF(OR(設定!$C$14="〇",設定!$C$14="○"),COUNTIFS($A$7:$A$456,"&gt;="&amp;A413,$G$7:$G$456,G413),COUNTIF($G$7:$G$456,G413))&lt;=(INDEX(設定!$Q$8:$Q$27,MATCH(G413,設定!$P$8:$P$27,0))+N(INDEX(設定!$R$8:$R$27,MATCH(G413,設定!$P$8:$P$27,0)))),G413,"要調整"),"要調整")))</f>
        <v/>
      </c>
      <c r="K413" s="40" t="n"/>
      <c r="L413" s="52">
        <f>IF(P413="","",IF(K413&lt;&gt;"",K413,IF(OR(J413="",J413="要調整"),"",J413)))</f>
        <v/>
      </c>
      <c r="M413" s="44">
        <f>IF(P413="","",IF(AND(計算用!$B$1=1,T413=""),"転出",IF(L413&lt;&gt;"","決定",IF(Q413="","未提出","要調整"))))</f>
        <v/>
      </c>
      <c r="N413" s="44">
        <f>IF(OR(M413&lt;&gt;"要調整",H413=""),"",IFERROR((INDEX(設定!$Q$8:$Q$27,MATCH(H413,設定!$P$8:$P$27,0))+N(INDEX(設定!$R$8:$R$27,MATCH(H413,設定!$P$8:$P$27,0))))-INDEX(定員チェック!$F$7:$F$26,MATCH(H413,設定!$P$8:$P$27,0))-COUNTIFS($M$7:$M$456,"要調整",$G$7:$G$456,H413),""))</f>
        <v/>
      </c>
      <c r="O413" s="44">
        <f>IF(OR(M413&lt;&gt;"要調整",I413=""),"",IFERROR((INDEX(設定!$Q$8:$Q$27,MATCH(I413,設定!$P$8:$P$27,0))+N(INDEX(設定!$R$8:$R$27,MATCH(I413,設定!$P$8:$P$27,0))))-INDEX(定員チェック!$F$7:$F$26,MATCH(I413,設定!$P$8:$P$27,0))-COUNTIFS($M$7:$M$456,"要調整",$G$7:$G$456,I413),""))</f>
        <v/>
      </c>
      <c r="P413" s="8">
        <f>IFERROR(MATCH(SMALL(前年度名簿!$G$2:$G$451,407),前年度名簿!$G$2:$G$451,0),"")</f>
        <v/>
      </c>
      <c r="Q413" s="8">
        <f>IF(R413="","",IFERROR(MATCH(R413,希望入力!$M$2:$M$551,0),""))</f>
        <v/>
      </c>
      <c r="R413" s="8">
        <f>IF(P413="","",INDEX(前年度名簿!$F$2:$F$451,P413))</f>
        <v/>
      </c>
      <c r="S413" s="8">
        <f>IF(P413="","",INDEX(前年度名簿!$I$2:$I$451,P413))</f>
        <v/>
      </c>
      <c r="T413" s="8">
        <f>IF(OR(P413="",計算用!$B$1=0),"",IFERROR(MATCH(S413,新年度名簿!$H$2:$H$451,0),""))</f>
        <v/>
      </c>
      <c r="U413" s="8">
        <f>IF(OR(L413="",M413="転出"),"",IFERROR(MATCH(L413,設定!$P$8:$P$27,0),""))</f>
        <v/>
      </c>
      <c r="V413" s="8">
        <f>IF(U413="","",COUNTIF($U$7:U413,U413))</f>
        <v/>
      </c>
      <c r="W413" s="8">
        <f>IF(U413="","",U413*1000+V413)</f>
        <v/>
      </c>
    </row>
    <row r="414">
      <c r="A414" s="44">
        <f>IF(P414="","",INDEX(前年度名簿!$H$2:$H$451,P414))</f>
        <v/>
      </c>
      <c r="B414" s="44">
        <f>IF(P414="","",IFERROR(INDEX(設定!$G$8:$G$31,INT(INDEX(前年度名簿!$G$2:$G$451,P414)/1000)),INDEX(前年度名簿!$A$2:$A$451,P414)&amp;INDEX(前年度名簿!$B$2:$B$451,P414)))</f>
        <v/>
      </c>
      <c r="C414" s="44">
        <f>IF(P414="","",INDEX(前年度名簿!$C$2:$C$451,P414))</f>
        <v/>
      </c>
      <c r="D414" s="3">
        <f>IF(P414="","",INDEX(前年度名簿!$D$2:$D$451,P414))</f>
        <v/>
      </c>
      <c r="E414" s="44">
        <f>IF(T414="","",INDEX(新年度名簿!$K$2:$K$451,T414))</f>
        <v/>
      </c>
      <c r="F414" s="44">
        <f>IF(T414="","",INDEX(新年度名簿!$C$2:$C$451,T414))</f>
        <v/>
      </c>
      <c r="G414" s="44">
        <f>IF(Q414="","",INDEX(希望入力!$H$2:$H$551,Q414)&amp;"")</f>
        <v/>
      </c>
      <c r="H414" s="44">
        <f>IF(Q414="","",INDEX(希望入力!$I$2:$I$551,Q414)&amp;"")</f>
        <v/>
      </c>
      <c r="I414" s="44">
        <f>IF(Q414="","",INDEX(希望入力!$J$2:$J$551,Q414)&amp;"")</f>
        <v/>
      </c>
      <c r="J414" s="44">
        <f>IF(Q414="","",IF(G414="","要調整",IFERROR(IF(IF(OR(設定!$C$14="〇",設定!$C$14="○"),COUNTIFS($A$7:$A$456,"&gt;="&amp;A414,$G$7:$G$456,G414),COUNTIF($G$7:$G$456,G414))&lt;=(INDEX(設定!$Q$8:$Q$27,MATCH(G414,設定!$P$8:$P$27,0))+N(INDEX(設定!$R$8:$R$27,MATCH(G414,設定!$P$8:$P$27,0)))),G414,"要調整"),"要調整")))</f>
        <v/>
      </c>
      <c r="K414" s="40" t="n"/>
      <c r="L414" s="52">
        <f>IF(P414="","",IF(K414&lt;&gt;"",K414,IF(OR(J414="",J414="要調整"),"",J414)))</f>
        <v/>
      </c>
      <c r="M414" s="44">
        <f>IF(P414="","",IF(AND(計算用!$B$1=1,T414=""),"転出",IF(L414&lt;&gt;"","決定",IF(Q414="","未提出","要調整"))))</f>
        <v/>
      </c>
      <c r="N414" s="44">
        <f>IF(OR(M414&lt;&gt;"要調整",H414=""),"",IFERROR((INDEX(設定!$Q$8:$Q$27,MATCH(H414,設定!$P$8:$P$27,0))+N(INDEX(設定!$R$8:$R$27,MATCH(H414,設定!$P$8:$P$27,0))))-INDEX(定員チェック!$F$7:$F$26,MATCH(H414,設定!$P$8:$P$27,0))-COUNTIFS($M$7:$M$456,"要調整",$G$7:$G$456,H414),""))</f>
        <v/>
      </c>
      <c r="O414" s="44">
        <f>IF(OR(M414&lt;&gt;"要調整",I414=""),"",IFERROR((INDEX(設定!$Q$8:$Q$27,MATCH(I414,設定!$P$8:$P$27,0))+N(INDEX(設定!$R$8:$R$27,MATCH(I414,設定!$P$8:$P$27,0))))-INDEX(定員チェック!$F$7:$F$26,MATCH(I414,設定!$P$8:$P$27,0))-COUNTIFS($M$7:$M$456,"要調整",$G$7:$G$456,I414),""))</f>
        <v/>
      </c>
      <c r="P414" s="8">
        <f>IFERROR(MATCH(SMALL(前年度名簿!$G$2:$G$451,408),前年度名簿!$G$2:$G$451,0),"")</f>
        <v/>
      </c>
      <c r="Q414" s="8">
        <f>IF(R414="","",IFERROR(MATCH(R414,希望入力!$M$2:$M$551,0),""))</f>
        <v/>
      </c>
      <c r="R414" s="8">
        <f>IF(P414="","",INDEX(前年度名簿!$F$2:$F$451,P414))</f>
        <v/>
      </c>
      <c r="S414" s="8">
        <f>IF(P414="","",INDEX(前年度名簿!$I$2:$I$451,P414))</f>
        <v/>
      </c>
      <c r="T414" s="8">
        <f>IF(OR(P414="",計算用!$B$1=0),"",IFERROR(MATCH(S414,新年度名簿!$H$2:$H$451,0),""))</f>
        <v/>
      </c>
      <c r="U414" s="8">
        <f>IF(OR(L414="",M414="転出"),"",IFERROR(MATCH(L414,設定!$P$8:$P$27,0),""))</f>
        <v/>
      </c>
      <c r="V414" s="8">
        <f>IF(U414="","",COUNTIF($U$7:U414,U414))</f>
        <v/>
      </c>
      <c r="W414" s="8">
        <f>IF(U414="","",U414*1000+V414)</f>
        <v/>
      </c>
    </row>
    <row r="415">
      <c r="A415" s="44">
        <f>IF(P415="","",INDEX(前年度名簿!$H$2:$H$451,P415))</f>
        <v/>
      </c>
      <c r="B415" s="44">
        <f>IF(P415="","",IFERROR(INDEX(設定!$G$8:$G$31,INT(INDEX(前年度名簿!$G$2:$G$451,P415)/1000)),INDEX(前年度名簿!$A$2:$A$451,P415)&amp;INDEX(前年度名簿!$B$2:$B$451,P415)))</f>
        <v/>
      </c>
      <c r="C415" s="44">
        <f>IF(P415="","",INDEX(前年度名簿!$C$2:$C$451,P415))</f>
        <v/>
      </c>
      <c r="D415" s="3">
        <f>IF(P415="","",INDEX(前年度名簿!$D$2:$D$451,P415))</f>
        <v/>
      </c>
      <c r="E415" s="44">
        <f>IF(T415="","",INDEX(新年度名簿!$K$2:$K$451,T415))</f>
        <v/>
      </c>
      <c r="F415" s="44">
        <f>IF(T415="","",INDEX(新年度名簿!$C$2:$C$451,T415))</f>
        <v/>
      </c>
      <c r="G415" s="44">
        <f>IF(Q415="","",INDEX(希望入力!$H$2:$H$551,Q415)&amp;"")</f>
        <v/>
      </c>
      <c r="H415" s="44">
        <f>IF(Q415="","",INDEX(希望入力!$I$2:$I$551,Q415)&amp;"")</f>
        <v/>
      </c>
      <c r="I415" s="44">
        <f>IF(Q415="","",INDEX(希望入力!$J$2:$J$551,Q415)&amp;"")</f>
        <v/>
      </c>
      <c r="J415" s="44">
        <f>IF(Q415="","",IF(G415="","要調整",IFERROR(IF(IF(OR(設定!$C$14="〇",設定!$C$14="○"),COUNTIFS($A$7:$A$456,"&gt;="&amp;A415,$G$7:$G$456,G415),COUNTIF($G$7:$G$456,G415))&lt;=(INDEX(設定!$Q$8:$Q$27,MATCH(G415,設定!$P$8:$P$27,0))+N(INDEX(設定!$R$8:$R$27,MATCH(G415,設定!$P$8:$P$27,0)))),G415,"要調整"),"要調整")))</f>
        <v/>
      </c>
      <c r="K415" s="40" t="n"/>
      <c r="L415" s="52">
        <f>IF(P415="","",IF(K415&lt;&gt;"",K415,IF(OR(J415="",J415="要調整"),"",J415)))</f>
        <v/>
      </c>
      <c r="M415" s="44">
        <f>IF(P415="","",IF(AND(計算用!$B$1=1,T415=""),"転出",IF(L415&lt;&gt;"","決定",IF(Q415="","未提出","要調整"))))</f>
        <v/>
      </c>
      <c r="N415" s="44">
        <f>IF(OR(M415&lt;&gt;"要調整",H415=""),"",IFERROR((INDEX(設定!$Q$8:$Q$27,MATCH(H415,設定!$P$8:$P$27,0))+N(INDEX(設定!$R$8:$R$27,MATCH(H415,設定!$P$8:$P$27,0))))-INDEX(定員チェック!$F$7:$F$26,MATCH(H415,設定!$P$8:$P$27,0))-COUNTIFS($M$7:$M$456,"要調整",$G$7:$G$456,H415),""))</f>
        <v/>
      </c>
      <c r="O415" s="44">
        <f>IF(OR(M415&lt;&gt;"要調整",I415=""),"",IFERROR((INDEX(設定!$Q$8:$Q$27,MATCH(I415,設定!$P$8:$P$27,0))+N(INDEX(設定!$R$8:$R$27,MATCH(I415,設定!$P$8:$P$27,0))))-INDEX(定員チェック!$F$7:$F$26,MATCH(I415,設定!$P$8:$P$27,0))-COUNTIFS($M$7:$M$456,"要調整",$G$7:$G$456,I415),""))</f>
        <v/>
      </c>
      <c r="P415" s="8">
        <f>IFERROR(MATCH(SMALL(前年度名簿!$G$2:$G$451,409),前年度名簿!$G$2:$G$451,0),"")</f>
        <v/>
      </c>
      <c r="Q415" s="8">
        <f>IF(R415="","",IFERROR(MATCH(R415,希望入力!$M$2:$M$551,0),""))</f>
        <v/>
      </c>
      <c r="R415" s="8">
        <f>IF(P415="","",INDEX(前年度名簿!$F$2:$F$451,P415))</f>
        <v/>
      </c>
      <c r="S415" s="8">
        <f>IF(P415="","",INDEX(前年度名簿!$I$2:$I$451,P415))</f>
        <v/>
      </c>
      <c r="T415" s="8">
        <f>IF(OR(P415="",計算用!$B$1=0),"",IFERROR(MATCH(S415,新年度名簿!$H$2:$H$451,0),""))</f>
        <v/>
      </c>
      <c r="U415" s="8">
        <f>IF(OR(L415="",M415="転出"),"",IFERROR(MATCH(L415,設定!$P$8:$P$27,0),""))</f>
        <v/>
      </c>
      <c r="V415" s="8">
        <f>IF(U415="","",COUNTIF($U$7:U415,U415))</f>
        <v/>
      </c>
      <c r="W415" s="8">
        <f>IF(U415="","",U415*1000+V415)</f>
        <v/>
      </c>
    </row>
    <row r="416">
      <c r="A416" s="44">
        <f>IF(P416="","",INDEX(前年度名簿!$H$2:$H$451,P416))</f>
        <v/>
      </c>
      <c r="B416" s="44">
        <f>IF(P416="","",IFERROR(INDEX(設定!$G$8:$G$31,INT(INDEX(前年度名簿!$G$2:$G$451,P416)/1000)),INDEX(前年度名簿!$A$2:$A$451,P416)&amp;INDEX(前年度名簿!$B$2:$B$451,P416)))</f>
        <v/>
      </c>
      <c r="C416" s="44">
        <f>IF(P416="","",INDEX(前年度名簿!$C$2:$C$451,P416))</f>
        <v/>
      </c>
      <c r="D416" s="3">
        <f>IF(P416="","",INDEX(前年度名簿!$D$2:$D$451,P416))</f>
        <v/>
      </c>
      <c r="E416" s="44">
        <f>IF(T416="","",INDEX(新年度名簿!$K$2:$K$451,T416))</f>
        <v/>
      </c>
      <c r="F416" s="44">
        <f>IF(T416="","",INDEX(新年度名簿!$C$2:$C$451,T416))</f>
        <v/>
      </c>
      <c r="G416" s="44">
        <f>IF(Q416="","",INDEX(希望入力!$H$2:$H$551,Q416)&amp;"")</f>
        <v/>
      </c>
      <c r="H416" s="44">
        <f>IF(Q416="","",INDEX(希望入力!$I$2:$I$551,Q416)&amp;"")</f>
        <v/>
      </c>
      <c r="I416" s="44">
        <f>IF(Q416="","",INDEX(希望入力!$J$2:$J$551,Q416)&amp;"")</f>
        <v/>
      </c>
      <c r="J416" s="44">
        <f>IF(Q416="","",IF(G416="","要調整",IFERROR(IF(IF(OR(設定!$C$14="〇",設定!$C$14="○"),COUNTIFS($A$7:$A$456,"&gt;="&amp;A416,$G$7:$G$456,G416),COUNTIF($G$7:$G$456,G416))&lt;=(INDEX(設定!$Q$8:$Q$27,MATCH(G416,設定!$P$8:$P$27,0))+N(INDEX(設定!$R$8:$R$27,MATCH(G416,設定!$P$8:$P$27,0)))),G416,"要調整"),"要調整")))</f>
        <v/>
      </c>
      <c r="K416" s="40" t="n"/>
      <c r="L416" s="52">
        <f>IF(P416="","",IF(K416&lt;&gt;"",K416,IF(OR(J416="",J416="要調整"),"",J416)))</f>
        <v/>
      </c>
      <c r="M416" s="44">
        <f>IF(P416="","",IF(AND(計算用!$B$1=1,T416=""),"転出",IF(L416&lt;&gt;"","決定",IF(Q416="","未提出","要調整"))))</f>
        <v/>
      </c>
      <c r="N416" s="44">
        <f>IF(OR(M416&lt;&gt;"要調整",H416=""),"",IFERROR((INDEX(設定!$Q$8:$Q$27,MATCH(H416,設定!$P$8:$P$27,0))+N(INDEX(設定!$R$8:$R$27,MATCH(H416,設定!$P$8:$P$27,0))))-INDEX(定員チェック!$F$7:$F$26,MATCH(H416,設定!$P$8:$P$27,0))-COUNTIFS($M$7:$M$456,"要調整",$G$7:$G$456,H416),""))</f>
        <v/>
      </c>
      <c r="O416" s="44">
        <f>IF(OR(M416&lt;&gt;"要調整",I416=""),"",IFERROR((INDEX(設定!$Q$8:$Q$27,MATCH(I416,設定!$P$8:$P$27,0))+N(INDEX(設定!$R$8:$R$27,MATCH(I416,設定!$P$8:$P$27,0))))-INDEX(定員チェック!$F$7:$F$26,MATCH(I416,設定!$P$8:$P$27,0))-COUNTIFS($M$7:$M$456,"要調整",$G$7:$G$456,I416),""))</f>
        <v/>
      </c>
      <c r="P416" s="8">
        <f>IFERROR(MATCH(SMALL(前年度名簿!$G$2:$G$451,410),前年度名簿!$G$2:$G$451,0),"")</f>
        <v/>
      </c>
      <c r="Q416" s="8">
        <f>IF(R416="","",IFERROR(MATCH(R416,希望入力!$M$2:$M$551,0),""))</f>
        <v/>
      </c>
      <c r="R416" s="8">
        <f>IF(P416="","",INDEX(前年度名簿!$F$2:$F$451,P416))</f>
        <v/>
      </c>
      <c r="S416" s="8">
        <f>IF(P416="","",INDEX(前年度名簿!$I$2:$I$451,P416))</f>
        <v/>
      </c>
      <c r="T416" s="8">
        <f>IF(OR(P416="",計算用!$B$1=0),"",IFERROR(MATCH(S416,新年度名簿!$H$2:$H$451,0),""))</f>
        <v/>
      </c>
      <c r="U416" s="8">
        <f>IF(OR(L416="",M416="転出"),"",IFERROR(MATCH(L416,設定!$P$8:$P$27,0),""))</f>
        <v/>
      </c>
      <c r="V416" s="8">
        <f>IF(U416="","",COUNTIF($U$7:U416,U416))</f>
        <v/>
      </c>
      <c r="W416" s="8">
        <f>IF(U416="","",U416*1000+V416)</f>
        <v/>
      </c>
    </row>
    <row r="417">
      <c r="A417" s="44">
        <f>IF(P417="","",INDEX(前年度名簿!$H$2:$H$451,P417))</f>
        <v/>
      </c>
      <c r="B417" s="44">
        <f>IF(P417="","",IFERROR(INDEX(設定!$G$8:$G$31,INT(INDEX(前年度名簿!$G$2:$G$451,P417)/1000)),INDEX(前年度名簿!$A$2:$A$451,P417)&amp;INDEX(前年度名簿!$B$2:$B$451,P417)))</f>
        <v/>
      </c>
      <c r="C417" s="44">
        <f>IF(P417="","",INDEX(前年度名簿!$C$2:$C$451,P417))</f>
        <v/>
      </c>
      <c r="D417" s="3">
        <f>IF(P417="","",INDEX(前年度名簿!$D$2:$D$451,P417))</f>
        <v/>
      </c>
      <c r="E417" s="44">
        <f>IF(T417="","",INDEX(新年度名簿!$K$2:$K$451,T417))</f>
        <v/>
      </c>
      <c r="F417" s="44">
        <f>IF(T417="","",INDEX(新年度名簿!$C$2:$C$451,T417))</f>
        <v/>
      </c>
      <c r="G417" s="44">
        <f>IF(Q417="","",INDEX(希望入力!$H$2:$H$551,Q417)&amp;"")</f>
        <v/>
      </c>
      <c r="H417" s="44">
        <f>IF(Q417="","",INDEX(希望入力!$I$2:$I$551,Q417)&amp;"")</f>
        <v/>
      </c>
      <c r="I417" s="44">
        <f>IF(Q417="","",INDEX(希望入力!$J$2:$J$551,Q417)&amp;"")</f>
        <v/>
      </c>
      <c r="J417" s="44">
        <f>IF(Q417="","",IF(G417="","要調整",IFERROR(IF(IF(OR(設定!$C$14="〇",設定!$C$14="○"),COUNTIFS($A$7:$A$456,"&gt;="&amp;A417,$G$7:$G$456,G417),COUNTIF($G$7:$G$456,G417))&lt;=(INDEX(設定!$Q$8:$Q$27,MATCH(G417,設定!$P$8:$P$27,0))+N(INDEX(設定!$R$8:$R$27,MATCH(G417,設定!$P$8:$P$27,0)))),G417,"要調整"),"要調整")))</f>
        <v/>
      </c>
      <c r="K417" s="40" t="n"/>
      <c r="L417" s="52">
        <f>IF(P417="","",IF(K417&lt;&gt;"",K417,IF(OR(J417="",J417="要調整"),"",J417)))</f>
        <v/>
      </c>
      <c r="M417" s="44">
        <f>IF(P417="","",IF(AND(計算用!$B$1=1,T417=""),"転出",IF(L417&lt;&gt;"","決定",IF(Q417="","未提出","要調整"))))</f>
        <v/>
      </c>
      <c r="N417" s="44">
        <f>IF(OR(M417&lt;&gt;"要調整",H417=""),"",IFERROR((INDEX(設定!$Q$8:$Q$27,MATCH(H417,設定!$P$8:$P$27,0))+N(INDEX(設定!$R$8:$R$27,MATCH(H417,設定!$P$8:$P$27,0))))-INDEX(定員チェック!$F$7:$F$26,MATCH(H417,設定!$P$8:$P$27,0))-COUNTIFS($M$7:$M$456,"要調整",$G$7:$G$456,H417),""))</f>
        <v/>
      </c>
      <c r="O417" s="44">
        <f>IF(OR(M417&lt;&gt;"要調整",I417=""),"",IFERROR((INDEX(設定!$Q$8:$Q$27,MATCH(I417,設定!$P$8:$P$27,0))+N(INDEX(設定!$R$8:$R$27,MATCH(I417,設定!$P$8:$P$27,0))))-INDEX(定員チェック!$F$7:$F$26,MATCH(I417,設定!$P$8:$P$27,0))-COUNTIFS($M$7:$M$456,"要調整",$G$7:$G$456,I417),""))</f>
        <v/>
      </c>
      <c r="P417" s="8">
        <f>IFERROR(MATCH(SMALL(前年度名簿!$G$2:$G$451,411),前年度名簿!$G$2:$G$451,0),"")</f>
        <v/>
      </c>
      <c r="Q417" s="8">
        <f>IF(R417="","",IFERROR(MATCH(R417,希望入力!$M$2:$M$551,0),""))</f>
        <v/>
      </c>
      <c r="R417" s="8">
        <f>IF(P417="","",INDEX(前年度名簿!$F$2:$F$451,P417))</f>
        <v/>
      </c>
      <c r="S417" s="8">
        <f>IF(P417="","",INDEX(前年度名簿!$I$2:$I$451,P417))</f>
        <v/>
      </c>
      <c r="T417" s="8">
        <f>IF(OR(P417="",計算用!$B$1=0),"",IFERROR(MATCH(S417,新年度名簿!$H$2:$H$451,0),""))</f>
        <v/>
      </c>
      <c r="U417" s="8">
        <f>IF(OR(L417="",M417="転出"),"",IFERROR(MATCH(L417,設定!$P$8:$P$27,0),""))</f>
        <v/>
      </c>
      <c r="V417" s="8">
        <f>IF(U417="","",COUNTIF($U$7:U417,U417))</f>
        <v/>
      </c>
      <c r="W417" s="8">
        <f>IF(U417="","",U417*1000+V417)</f>
        <v/>
      </c>
    </row>
    <row r="418">
      <c r="A418" s="44">
        <f>IF(P418="","",INDEX(前年度名簿!$H$2:$H$451,P418))</f>
        <v/>
      </c>
      <c r="B418" s="44">
        <f>IF(P418="","",IFERROR(INDEX(設定!$G$8:$G$31,INT(INDEX(前年度名簿!$G$2:$G$451,P418)/1000)),INDEX(前年度名簿!$A$2:$A$451,P418)&amp;INDEX(前年度名簿!$B$2:$B$451,P418)))</f>
        <v/>
      </c>
      <c r="C418" s="44">
        <f>IF(P418="","",INDEX(前年度名簿!$C$2:$C$451,P418))</f>
        <v/>
      </c>
      <c r="D418" s="3">
        <f>IF(P418="","",INDEX(前年度名簿!$D$2:$D$451,P418))</f>
        <v/>
      </c>
      <c r="E418" s="44">
        <f>IF(T418="","",INDEX(新年度名簿!$K$2:$K$451,T418))</f>
        <v/>
      </c>
      <c r="F418" s="44">
        <f>IF(T418="","",INDEX(新年度名簿!$C$2:$C$451,T418))</f>
        <v/>
      </c>
      <c r="G418" s="44">
        <f>IF(Q418="","",INDEX(希望入力!$H$2:$H$551,Q418)&amp;"")</f>
        <v/>
      </c>
      <c r="H418" s="44">
        <f>IF(Q418="","",INDEX(希望入力!$I$2:$I$551,Q418)&amp;"")</f>
        <v/>
      </c>
      <c r="I418" s="44">
        <f>IF(Q418="","",INDEX(希望入力!$J$2:$J$551,Q418)&amp;"")</f>
        <v/>
      </c>
      <c r="J418" s="44">
        <f>IF(Q418="","",IF(G418="","要調整",IFERROR(IF(IF(OR(設定!$C$14="〇",設定!$C$14="○"),COUNTIFS($A$7:$A$456,"&gt;="&amp;A418,$G$7:$G$456,G418),COUNTIF($G$7:$G$456,G418))&lt;=(INDEX(設定!$Q$8:$Q$27,MATCH(G418,設定!$P$8:$P$27,0))+N(INDEX(設定!$R$8:$R$27,MATCH(G418,設定!$P$8:$P$27,0)))),G418,"要調整"),"要調整")))</f>
        <v/>
      </c>
      <c r="K418" s="40" t="n"/>
      <c r="L418" s="52">
        <f>IF(P418="","",IF(K418&lt;&gt;"",K418,IF(OR(J418="",J418="要調整"),"",J418)))</f>
        <v/>
      </c>
      <c r="M418" s="44">
        <f>IF(P418="","",IF(AND(計算用!$B$1=1,T418=""),"転出",IF(L418&lt;&gt;"","決定",IF(Q418="","未提出","要調整"))))</f>
        <v/>
      </c>
      <c r="N418" s="44">
        <f>IF(OR(M418&lt;&gt;"要調整",H418=""),"",IFERROR((INDEX(設定!$Q$8:$Q$27,MATCH(H418,設定!$P$8:$P$27,0))+N(INDEX(設定!$R$8:$R$27,MATCH(H418,設定!$P$8:$P$27,0))))-INDEX(定員チェック!$F$7:$F$26,MATCH(H418,設定!$P$8:$P$27,0))-COUNTIFS($M$7:$M$456,"要調整",$G$7:$G$456,H418),""))</f>
        <v/>
      </c>
      <c r="O418" s="44">
        <f>IF(OR(M418&lt;&gt;"要調整",I418=""),"",IFERROR((INDEX(設定!$Q$8:$Q$27,MATCH(I418,設定!$P$8:$P$27,0))+N(INDEX(設定!$R$8:$R$27,MATCH(I418,設定!$P$8:$P$27,0))))-INDEX(定員チェック!$F$7:$F$26,MATCH(I418,設定!$P$8:$P$27,0))-COUNTIFS($M$7:$M$456,"要調整",$G$7:$G$456,I418),""))</f>
        <v/>
      </c>
      <c r="P418" s="8">
        <f>IFERROR(MATCH(SMALL(前年度名簿!$G$2:$G$451,412),前年度名簿!$G$2:$G$451,0),"")</f>
        <v/>
      </c>
      <c r="Q418" s="8">
        <f>IF(R418="","",IFERROR(MATCH(R418,希望入力!$M$2:$M$551,0),""))</f>
        <v/>
      </c>
      <c r="R418" s="8">
        <f>IF(P418="","",INDEX(前年度名簿!$F$2:$F$451,P418))</f>
        <v/>
      </c>
      <c r="S418" s="8">
        <f>IF(P418="","",INDEX(前年度名簿!$I$2:$I$451,P418))</f>
        <v/>
      </c>
      <c r="T418" s="8">
        <f>IF(OR(P418="",計算用!$B$1=0),"",IFERROR(MATCH(S418,新年度名簿!$H$2:$H$451,0),""))</f>
        <v/>
      </c>
      <c r="U418" s="8">
        <f>IF(OR(L418="",M418="転出"),"",IFERROR(MATCH(L418,設定!$P$8:$P$27,0),""))</f>
        <v/>
      </c>
      <c r="V418" s="8">
        <f>IF(U418="","",COUNTIF($U$7:U418,U418))</f>
        <v/>
      </c>
      <c r="W418" s="8">
        <f>IF(U418="","",U418*1000+V418)</f>
        <v/>
      </c>
    </row>
    <row r="419">
      <c r="A419" s="44">
        <f>IF(P419="","",INDEX(前年度名簿!$H$2:$H$451,P419))</f>
        <v/>
      </c>
      <c r="B419" s="44">
        <f>IF(P419="","",IFERROR(INDEX(設定!$G$8:$G$31,INT(INDEX(前年度名簿!$G$2:$G$451,P419)/1000)),INDEX(前年度名簿!$A$2:$A$451,P419)&amp;INDEX(前年度名簿!$B$2:$B$451,P419)))</f>
        <v/>
      </c>
      <c r="C419" s="44">
        <f>IF(P419="","",INDEX(前年度名簿!$C$2:$C$451,P419))</f>
        <v/>
      </c>
      <c r="D419" s="3">
        <f>IF(P419="","",INDEX(前年度名簿!$D$2:$D$451,P419))</f>
        <v/>
      </c>
      <c r="E419" s="44">
        <f>IF(T419="","",INDEX(新年度名簿!$K$2:$K$451,T419))</f>
        <v/>
      </c>
      <c r="F419" s="44">
        <f>IF(T419="","",INDEX(新年度名簿!$C$2:$C$451,T419))</f>
        <v/>
      </c>
      <c r="G419" s="44">
        <f>IF(Q419="","",INDEX(希望入力!$H$2:$H$551,Q419)&amp;"")</f>
        <v/>
      </c>
      <c r="H419" s="44">
        <f>IF(Q419="","",INDEX(希望入力!$I$2:$I$551,Q419)&amp;"")</f>
        <v/>
      </c>
      <c r="I419" s="44">
        <f>IF(Q419="","",INDEX(希望入力!$J$2:$J$551,Q419)&amp;"")</f>
        <v/>
      </c>
      <c r="J419" s="44">
        <f>IF(Q419="","",IF(G419="","要調整",IFERROR(IF(IF(OR(設定!$C$14="〇",設定!$C$14="○"),COUNTIFS($A$7:$A$456,"&gt;="&amp;A419,$G$7:$G$456,G419),COUNTIF($G$7:$G$456,G419))&lt;=(INDEX(設定!$Q$8:$Q$27,MATCH(G419,設定!$P$8:$P$27,0))+N(INDEX(設定!$R$8:$R$27,MATCH(G419,設定!$P$8:$P$27,0)))),G419,"要調整"),"要調整")))</f>
        <v/>
      </c>
      <c r="K419" s="40" t="n"/>
      <c r="L419" s="52">
        <f>IF(P419="","",IF(K419&lt;&gt;"",K419,IF(OR(J419="",J419="要調整"),"",J419)))</f>
        <v/>
      </c>
      <c r="M419" s="44">
        <f>IF(P419="","",IF(AND(計算用!$B$1=1,T419=""),"転出",IF(L419&lt;&gt;"","決定",IF(Q419="","未提出","要調整"))))</f>
        <v/>
      </c>
      <c r="N419" s="44">
        <f>IF(OR(M419&lt;&gt;"要調整",H419=""),"",IFERROR((INDEX(設定!$Q$8:$Q$27,MATCH(H419,設定!$P$8:$P$27,0))+N(INDEX(設定!$R$8:$R$27,MATCH(H419,設定!$P$8:$P$27,0))))-INDEX(定員チェック!$F$7:$F$26,MATCH(H419,設定!$P$8:$P$27,0))-COUNTIFS($M$7:$M$456,"要調整",$G$7:$G$456,H419),""))</f>
        <v/>
      </c>
      <c r="O419" s="44">
        <f>IF(OR(M419&lt;&gt;"要調整",I419=""),"",IFERROR((INDEX(設定!$Q$8:$Q$27,MATCH(I419,設定!$P$8:$P$27,0))+N(INDEX(設定!$R$8:$R$27,MATCH(I419,設定!$P$8:$P$27,0))))-INDEX(定員チェック!$F$7:$F$26,MATCH(I419,設定!$P$8:$P$27,0))-COUNTIFS($M$7:$M$456,"要調整",$G$7:$G$456,I419),""))</f>
        <v/>
      </c>
      <c r="P419" s="8">
        <f>IFERROR(MATCH(SMALL(前年度名簿!$G$2:$G$451,413),前年度名簿!$G$2:$G$451,0),"")</f>
        <v/>
      </c>
      <c r="Q419" s="8">
        <f>IF(R419="","",IFERROR(MATCH(R419,希望入力!$M$2:$M$551,0),""))</f>
        <v/>
      </c>
      <c r="R419" s="8">
        <f>IF(P419="","",INDEX(前年度名簿!$F$2:$F$451,P419))</f>
        <v/>
      </c>
      <c r="S419" s="8">
        <f>IF(P419="","",INDEX(前年度名簿!$I$2:$I$451,P419))</f>
        <v/>
      </c>
      <c r="T419" s="8">
        <f>IF(OR(P419="",計算用!$B$1=0),"",IFERROR(MATCH(S419,新年度名簿!$H$2:$H$451,0),""))</f>
        <v/>
      </c>
      <c r="U419" s="8">
        <f>IF(OR(L419="",M419="転出"),"",IFERROR(MATCH(L419,設定!$P$8:$P$27,0),""))</f>
        <v/>
      </c>
      <c r="V419" s="8">
        <f>IF(U419="","",COUNTIF($U$7:U419,U419))</f>
        <v/>
      </c>
      <c r="W419" s="8">
        <f>IF(U419="","",U419*1000+V419)</f>
        <v/>
      </c>
    </row>
    <row r="420">
      <c r="A420" s="44">
        <f>IF(P420="","",INDEX(前年度名簿!$H$2:$H$451,P420))</f>
        <v/>
      </c>
      <c r="B420" s="44">
        <f>IF(P420="","",IFERROR(INDEX(設定!$G$8:$G$31,INT(INDEX(前年度名簿!$G$2:$G$451,P420)/1000)),INDEX(前年度名簿!$A$2:$A$451,P420)&amp;INDEX(前年度名簿!$B$2:$B$451,P420)))</f>
        <v/>
      </c>
      <c r="C420" s="44">
        <f>IF(P420="","",INDEX(前年度名簿!$C$2:$C$451,P420))</f>
        <v/>
      </c>
      <c r="D420" s="3">
        <f>IF(P420="","",INDEX(前年度名簿!$D$2:$D$451,P420))</f>
        <v/>
      </c>
      <c r="E420" s="44">
        <f>IF(T420="","",INDEX(新年度名簿!$K$2:$K$451,T420))</f>
        <v/>
      </c>
      <c r="F420" s="44">
        <f>IF(T420="","",INDEX(新年度名簿!$C$2:$C$451,T420))</f>
        <v/>
      </c>
      <c r="G420" s="44">
        <f>IF(Q420="","",INDEX(希望入力!$H$2:$H$551,Q420)&amp;"")</f>
        <v/>
      </c>
      <c r="H420" s="44">
        <f>IF(Q420="","",INDEX(希望入力!$I$2:$I$551,Q420)&amp;"")</f>
        <v/>
      </c>
      <c r="I420" s="44">
        <f>IF(Q420="","",INDEX(希望入力!$J$2:$J$551,Q420)&amp;"")</f>
        <v/>
      </c>
      <c r="J420" s="44">
        <f>IF(Q420="","",IF(G420="","要調整",IFERROR(IF(IF(OR(設定!$C$14="〇",設定!$C$14="○"),COUNTIFS($A$7:$A$456,"&gt;="&amp;A420,$G$7:$G$456,G420),COUNTIF($G$7:$G$456,G420))&lt;=(INDEX(設定!$Q$8:$Q$27,MATCH(G420,設定!$P$8:$P$27,0))+N(INDEX(設定!$R$8:$R$27,MATCH(G420,設定!$P$8:$P$27,0)))),G420,"要調整"),"要調整")))</f>
        <v/>
      </c>
      <c r="K420" s="40" t="n"/>
      <c r="L420" s="52">
        <f>IF(P420="","",IF(K420&lt;&gt;"",K420,IF(OR(J420="",J420="要調整"),"",J420)))</f>
        <v/>
      </c>
      <c r="M420" s="44">
        <f>IF(P420="","",IF(AND(計算用!$B$1=1,T420=""),"転出",IF(L420&lt;&gt;"","決定",IF(Q420="","未提出","要調整"))))</f>
        <v/>
      </c>
      <c r="N420" s="44">
        <f>IF(OR(M420&lt;&gt;"要調整",H420=""),"",IFERROR((INDEX(設定!$Q$8:$Q$27,MATCH(H420,設定!$P$8:$P$27,0))+N(INDEX(設定!$R$8:$R$27,MATCH(H420,設定!$P$8:$P$27,0))))-INDEX(定員チェック!$F$7:$F$26,MATCH(H420,設定!$P$8:$P$27,0))-COUNTIFS($M$7:$M$456,"要調整",$G$7:$G$456,H420),""))</f>
        <v/>
      </c>
      <c r="O420" s="44">
        <f>IF(OR(M420&lt;&gt;"要調整",I420=""),"",IFERROR((INDEX(設定!$Q$8:$Q$27,MATCH(I420,設定!$P$8:$P$27,0))+N(INDEX(設定!$R$8:$R$27,MATCH(I420,設定!$P$8:$P$27,0))))-INDEX(定員チェック!$F$7:$F$26,MATCH(I420,設定!$P$8:$P$27,0))-COUNTIFS($M$7:$M$456,"要調整",$G$7:$G$456,I420),""))</f>
        <v/>
      </c>
      <c r="P420" s="8">
        <f>IFERROR(MATCH(SMALL(前年度名簿!$G$2:$G$451,414),前年度名簿!$G$2:$G$451,0),"")</f>
        <v/>
      </c>
      <c r="Q420" s="8">
        <f>IF(R420="","",IFERROR(MATCH(R420,希望入力!$M$2:$M$551,0),""))</f>
        <v/>
      </c>
      <c r="R420" s="8">
        <f>IF(P420="","",INDEX(前年度名簿!$F$2:$F$451,P420))</f>
        <v/>
      </c>
      <c r="S420" s="8">
        <f>IF(P420="","",INDEX(前年度名簿!$I$2:$I$451,P420))</f>
        <v/>
      </c>
      <c r="T420" s="8">
        <f>IF(OR(P420="",計算用!$B$1=0),"",IFERROR(MATCH(S420,新年度名簿!$H$2:$H$451,0),""))</f>
        <v/>
      </c>
      <c r="U420" s="8">
        <f>IF(OR(L420="",M420="転出"),"",IFERROR(MATCH(L420,設定!$P$8:$P$27,0),""))</f>
        <v/>
      </c>
      <c r="V420" s="8">
        <f>IF(U420="","",COUNTIF($U$7:U420,U420))</f>
        <v/>
      </c>
      <c r="W420" s="8">
        <f>IF(U420="","",U420*1000+V420)</f>
        <v/>
      </c>
    </row>
    <row r="421">
      <c r="A421" s="44">
        <f>IF(P421="","",INDEX(前年度名簿!$H$2:$H$451,P421))</f>
        <v/>
      </c>
      <c r="B421" s="44">
        <f>IF(P421="","",IFERROR(INDEX(設定!$G$8:$G$31,INT(INDEX(前年度名簿!$G$2:$G$451,P421)/1000)),INDEX(前年度名簿!$A$2:$A$451,P421)&amp;INDEX(前年度名簿!$B$2:$B$451,P421)))</f>
        <v/>
      </c>
      <c r="C421" s="44">
        <f>IF(P421="","",INDEX(前年度名簿!$C$2:$C$451,P421))</f>
        <v/>
      </c>
      <c r="D421" s="3">
        <f>IF(P421="","",INDEX(前年度名簿!$D$2:$D$451,P421))</f>
        <v/>
      </c>
      <c r="E421" s="44">
        <f>IF(T421="","",INDEX(新年度名簿!$K$2:$K$451,T421))</f>
        <v/>
      </c>
      <c r="F421" s="44">
        <f>IF(T421="","",INDEX(新年度名簿!$C$2:$C$451,T421))</f>
        <v/>
      </c>
      <c r="G421" s="44">
        <f>IF(Q421="","",INDEX(希望入力!$H$2:$H$551,Q421)&amp;"")</f>
        <v/>
      </c>
      <c r="H421" s="44">
        <f>IF(Q421="","",INDEX(希望入力!$I$2:$I$551,Q421)&amp;"")</f>
        <v/>
      </c>
      <c r="I421" s="44">
        <f>IF(Q421="","",INDEX(希望入力!$J$2:$J$551,Q421)&amp;"")</f>
        <v/>
      </c>
      <c r="J421" s="44">
        <f>IF(Q421="","",IF(G421="","要調整",IFERROR(IF(IF(OR(設定!$C$14="〇",設定!$C$14="○"),COUNTIFS($A$7:$A$456,"&gt;="&amp;A421,$G$7:$G$456,G421),COUNTIF($G$7:$G$456,G421))&lt;=(INDEX(設定!$Q$8:$Q$27,MATCH(G421,設定!$P$8:$P$27,0))+N(INDEX(設定!$R$8:$R$27,MATCH(G421,設定!$P$8:$P$27,0)))),G421,"要調整"),"要調整")))</f>
        <v/>
      </c>
      <c r="K421" s="40" t="n"/>
      <c r="L421" s="52">
        <f>IF(P421="","",IF(K421&lt;&gt;"",K421,IF(OR(J421="",J421="要調整"),"",J421)))</f>
        <v/>
      </c>
      <c r="M421" s="44">
        <f>IF(P421="","",IF(AND(計算用!$B$1=1,T421=""),"転出",IF(L421&lt;&gt;"","決定",IF(Q421="","未提出","要調整"))))</f>
        <v/>
      </c>
      <c r="N421" s="44">
        <f>IF(OR(M421&lt;&gt;"要調整",H421=""),"",IFERROR((INDEX(設定!$Q$8:$Q$27,MATCH(H421,設定!$P$8:$P$27,0))+N(INDEX(設定!$R$8:$R$27,MATCH(H421,設定!$P$8:$P$27,0))))-INDEX(定員チェック!$F$7:$F$26,MATCH(H421,設定!$P$8:$P$27,0))-COUNTIFS($M$7:$M$456,"要調整",$G$7:$G$456,H421),""))</f>
        <v/>
      </c>
      <c r="O421" s="44">
        <f>IF(OR(M421&lt;&gt;"要調整",I421=""),"",IFERROR((INDEX(設定!$Q$8:$Q$27,MATCH(I421,設定!$P$8:$P$27,0))+N(INDEX(設定!$R$8:$R$27,MATCH(I421,設定!$P$8:$P$27,0))))-INDEX(定員チェック!$F$7:$F$26,MATCH(I421,設定!$P$8:$P$27,0))-COUNTIFS($M$7:$M$456,"要調整",$G$7:$G$456,I421),""))</f>
        <v/>
      </c>
      <c r="P421" s="8">
        <f>IFERROR(MATCH(SMALL(前年度名簿!$G$2:$G$451,415),前年度名簿!$G$2:$G$451,0),"")</f>
        <v/>
      </c>
      <c r="Q421" s="8">
        <f>IF(R421="","",IFERROR(MATCH(R421,希望入力!$M$2:$M$551,0),""))</f>
        <v/>
      </c>
      <c r="R421" s="8">
        <f>IF(P421="","",INDEX(前年度名簿!$F$2:$F$451,P421))</f>
        <v/>
      </c>
      <c r="S421" s="8">
        <f>IF(P421="","",INDEX(前年度名簿!$I$2:$I$451,P421))</f>
        <v/>
      </c>
      <c r="T421" s="8">
        <f>IF(OR(P421="",計算用!$B$1=0),"",IFERROR(MATCH(S421,新年度名簿!$H$2:$H$451,0),""))</f>
        <v/>
      </c>
      <c r="U421" s="8">
        <f>IF(OR(L421="",M421="転出"),"",IFERROR(MATCH(L421,設定!$P$8:$P$27,0),""))</f>
        <v/>
      </c>
      <c r="V421" s="8">
        <f>IF(U421="","",COUNTIF($U$7:U421,U421))</f>
        <v/>
      </c>
      <c r="W421" s="8">
        <f>IF(U421="","",U421*1000+V421)</f>
        <v/>
      </c>
    </row>
    <row r="422">
      <c r="A422" s="44">
        <f>IF(P422="","",INDEX(前年度名簿!$H$2:$H$451,P422))</f>
        <v/>
      </c>
      <c r="B422" s="44">
        <f>IF(P422="","",IFERROR(INDEX(設定!$G$8:$G$31,INT(INDEX(前年度名簿!$G$2:$G$451,P422)/1000)),INDEX(前年度名簿!$A$2:$A$451,P422)&amp;INDEX(前年度名簿!$B$2:$B$451,P422)))</f>
        <v/>
      </c>
      <c r="C422" s="44">
        <f>IF(P422="","",INDEX(前年度名簿!$C$2:$C$451,P422))</f>
        <v/>
      </c>
      <c r="D422" s="3">
        <f>IF(P422="","",INDEX(前年度名簿!$D$2:$D$451,P422))</f>
        <v/>
      </c>
      <c r="E422" s="44">
        <f>IF(T422="","",INDEX(新年度名簿!$K$2:$K$451,T422))</f>
        <v/>
      </c>
      <c r="F422" s="44">
        <f>IF(T422="","",INDEX(新年度名簿!$C$2:$C$451,T422))</f>
        <v/>
      </c>
      <c r="G422" s="44">
        <f>IF(Q422="","",INDEX(希望入力!$H$2:$H$551,Q422)&amp;"")</f>
        <v/>
      </c>
      <c r="H422" s="44">
        <f>IF(Q422="","",INDEX(希望入力!$I$2:$I$551,Q422)&amp;"")</f>
        <v/>
      </c>
      <c r="I422" s="44">
        <f>IF(Q422="","",INDEX(希望入力!$J$2:$J$551,Q422)&amp;"")</f>
        <v/>
      </c>
      <c r="J422" s="44">
        <f>IF(Q422="","",IF(G422="","要調整",IFERROR(IF(IF(OR(設定!$C$14="〇",設定!$C$14="○"),COUNTIFS($A$7:$A$456,"&gt;="&amp;A422,$G$7:$G$456,G422),COUNTIF($G$7:$G$456,G422))&lt;=(INDEX(設定!$Q$8:$Q$27,MATCH(G422,設定!$P$8:$P$27,0))+N(INDEX(設定!$R$8:$R$27,MATCH(G422,設定!$P$8:$P$27,0)))),G422,"要調整"),"要調整")))</f>
        <v/>
      </c>
      <c r="K422" s="40" t="n"/>
      <c r="L422" s="52">
        <f>IF(P422="","",IF(K422&lt;&gt;"",K422,IF(OR(J422="",J422="要調整"),"",J422)))</f>
        <v/>
      </c>
      <c r="M422" s="44">
        <f>IF(P422="","",IF(AND(計算用!$B$1=1,T422=""),"転出",IF(L422&lt;&gt;"","決定",IF(Q422="","未提出","要調整"))))</f>
        <v/>
      </c>
      <c r="N422" s="44">
        <f>IF(OR(M422&lt;&gt;"要調整",H422=""),"",IFERROR((INDEX(設定!$Q$8:$Q$27,MATCH(H422,設定!$P$8:$P$27,0))+N(INDEX(設定!$R$8:$R$27,MATCH(H422,設定!$P$8:$P$27,0))))-INDEX(定員チェック!$F$7:$F$26,MATCH(H422,設定!$P$8:$P$27,0))-COUNTIFS($M$7:$M$456,"要調整",$G$7:$G$456,H422),""))</f>
        <v/>
      </c>
      <c r="O422" s="44">
        <f>IF(OR(M422&lt;&gt;"要調整",I422=""),"",IFERROR((INDEX(設定!$Q$8:$Q$27,MATCH(I422,設定!$P$8:$P$27,0))+N(INDEX(設定!$R$8:$R$27,MATCH(I422,設定!$P$8:$P$27,0))))-INDEX(定員チェック!$F$7:$F$26,MATCH(I422,設定!$P$8:$P$27,0))-COUNTIFS($M$7:$M$456,"要調整",$G$7:$G$456,I422),""))</f>
        <v/>
      </c>
      <c r="P422" s="8">
        <f>IFERROR(MATCH(SMALL(前年度名簿!$G$2:$G$451,416),前年度名簿!$G$2:$G$451,0),"")</f>
        <v/>
      </c>
      <c r="Q422" s="8">
        <f>IF(R422="","",IFERROR(MATCH(R422,希望入力!$M$2:$M$551,0),""))</f>
        <v/>
      </c>
      <c r="R422" s="8">
        <f>IF(P422="","",INDEX(前年度名簿!$F$2:$F$451,P422))</f>
        <v/>
      </c>
      <c r="S422" s="8">
        <f>IF(P422="","",INDEX(前年度名簿!$I$2:$I$451,P422))</f>
        <v/>
      </c>
      <c r="T422" s="8">
        <f>IF(OR(P422="",計算用!$B$1=0),"",IFERROR(MATCH(S422,新年度名簿!$H$2:$H$451,0),""))</f>
        <v/>
      </c>
      <c r="U422" s="8">
        <f>IF(OR(L422="",M422="転出"),"",IFERROR(MATCH(L422,設定!$P$8:$P$27,0),""))</f>
        <v/>
      </c>
      <c r="V422" s="8">
        <f>IF(U422="","",COUNTIF($U$7:U422,U422))</f>
        <v/>
      </c>
      <c r="W422" s="8">
        <f>IF(U422="","",U422*1000+V422)</f>
        <v/>
      </c>
    </row>
    <row r="423">
      <c r="A423" s="44">
        <f>IF(P423="","",INDEX(前年度名簿!$H$2:$H$451,P423))</f>
        <v/>
      </c>
      <c r="B423" s="44">
        <f>IF(P423="","",IFERROR(INDEX(設定!$G$8:$G$31,INT(INDEX(前年度名簿!$G$2:$G$451,P423)/1000)),INDEX(前年度名簿!$A$2:$A$451,P423)&amp;INDEX(前年度名簿!$B$2:$B$451,P423)))</f>
        <v/>
      </c>
      <c r="C423" s="44">
        <f>IF(P423="","",INDEX(前年度名簿!$C$2:$C$451,P423))</f>
        <v/>
      </c>
      <c r="D423" s="3">
        <f>IF(P423="","",INDEX(前年度名簿!$D$2:$D$451,P423))</f>
        <v/>
      </c>
      <c r="E423" s="44">
        <f>IF(T423="","",INDEX(新年度名簿!$K$2:$K$451,T423))</f>
        <v/>
      </c>
      <c r="F423" s="44">
        <f>IF(T423="","",INDEX(新年度名簿!$C$2:$C$451,T423))</f>
        <v/>
      </c>
      <c r="G423" s="44">
        <f>IF(Q423="","",INDEX(希望入力!$H$2:$H$551,Q423)&amp;"")</f>
        <v/>
      </c>
      <c r="H423" s="44">
        <f>IF(Q423="","",INDEX(希望入力!$I$2:$I$551,Q423)&amp;"")</f>
        <v/>
      </c>
      <c r="I423" s="44">
        <f>IF(Q423="","",INDEX(希望入力!$J$2:$J$551,Q423)&amp;"")</f>
        <v/>
      </c>
      <c r="J423" s="44">
        <f>IF(Q423="","",IF(G423="","要調整",IFERROR(IF(IF(OR(設定!$C$14="〇",設定!$C$14="○"),COUNTIFS($A$7:$A$456,"&gt;="&amp;A423,$G$7:$G$456,G423),COUNTIF($G$7:$G$456,G423))&lt;=(INDEX(設定!$Q$8:$Q$27,MATCH(G423,設定!$P$8:$P$27,0))+N(INDEX(設定!$R$8:$R$27,MATCH(G423,設定!$P$8:$P$27,0)))),G423,"要調整"),"要調整")))</f>
        <v/>
      </c>
      <c r="K423" s="40" t="n"/>
      <c r="L423" s="52">
        <f>IF(P423="","",IF(K423&lt;&gt;"",K423,IF(OR(J423="",J423="要調整"),"",J423)))</f>
        <v/>
      </c>
      <c r="M423" s="44">
        <f>IF(P423="","",IF(AND(計算用!$B$1=1,T423=""),"転出",IF(L423&lt;&gt;"","決定",IF(Q423="","未提出","要調整"))))</f>
        <v/>
      </c>
      <c r="N423" s="44">
        <f>IF(OR(M423&lt;&gt;"要調整",H423=""),"",IFERROR((INDEX(設定!$Q$8:$Q$27,MATCH(H423,設定!$P$8:$P$27,0))+N(INDEX(設定!$R$8:$R$27,MATCH(H423,設定!$P$8:$P$27,0))))-INDEX(定員チェック!$F$7:$F$26,MATCH(H423,設定!$P$8:$P$27,0))-COUNTIFS($M$7:$M$456,"要調整",$G$7:$G$456,H423),""))</f>
        <v/>
      </c>
      <c r="O423" s="44">
        <f>IF(OR(M423&lt;&gt;"要調整",I423=""),"",IFERROR((INDEX(設定!$Q$8:$Q$27,MATCH(I423,設定!$P$8:$P$27,0))+N(INDEX(設定!$R$8:$R$27,MATCH(I423,設定!$P$8:$P$27,0))))-INDEX(定員チェック!$F$7:$F$26,MATCH(I423,設定!$P$8:$P$27,0))-COUNTIFS($M$7:$M$456,"要調整",$G$7:$G$456,I423),""))</f>
        <v/>
      </c>
      <c r="P423" s="8">
        <f>IFERROR(MATCH(SMALL(前年度名簿!$G$2:$G$451,417),前年度名簿!$G$2:$G$451,0),"")</f>
        <v/>
      </c>
      <c r="Q423" s="8">
        <f>IF(R423="","",IFERROR(MATCH(R423,希望入力!$M$2:$M$551,0),""))</f>
        <v/>
      </c>
      <c r="R423" s="8">
        <f>IF(P423="","",INDEX(前年度名簿!$F$2:$F$451,P423))</f>
        <v/>
      </c>
      <c r="S423" s="8">
        <f>IF(P423="","",INDEX(前年度名簿!$I$2:$I$451,P423))</f>
        <v/>
      </c>
      <c r="T423" s="8">
        <f>IF(OR(P423="",計算用!$B$1=0),"",IFERROR(MATCH(S423,新年度名簿!$H$2:$H$451,0),""))</f>
        <v/>
      </c>
      <c r="U423" s="8">
        <f>IF(OR(L423="",M423="転出"),"",IFERROR(MATCH(L423,設定!$P$8:$P$27,0),""))</f>
        <v/>
      </c>
      <c r="V423" s="8">
        <f>IF(U423="","",COUNTIF($U$7:U423,U423))</f>
        <v/>
      </c>
      <c r="W423" s="8">
        <f>IF(U423="","",U423*1000+V423)</f>
        <v/>
      </c>
    </row>
    <row r="424">
      <c r="A424" s="44">
        <f>IF(P424="","",INDEX(前年度名簿!$H$2:$H$451,P424))</f>
        <v/>
      </c>
      <c r="B424" s="44">
        <f>IF(P424="","",IFERROR(INDEX(設定!$G$8:$G$31,INT(INDEX(前年度名簿!$G$2:$G$451,P424)/1000)),INDEX(前年度名簿!$A$2:$A$451,P424)&amp;INDEX(前年度名簿!$B$2:$B$451,P424)))</f>
        <v/>
      </c>
      <c r="C424" s="44">
        <f>IF(P424="","",INDEX(前年度名簿!$C$2:$C$451,P424))</f>
        <v/>
      </c>
      <c r="D424" s="3">
        <f>IF(P424="","",INDEX(前年度名簿!$D$2:$D$451,P424))</f>
        <v/>
      </c>
      <c r="E424" s="44">
        <f>IF(T424="","",INDEX(新年度名簿!$K$2:$K$451,T424))</f>
        <v/>
      </c>
      <c r="F424" s="44">
        <f>IF(T424="","",INDEX(新年度名簿!$C$2:$C$451,T424))</f>
        <v/>
      </c>
      <c r="G424" s="44">
        <f>IF(Q424="","",INDEX(希望入力!$H$2:$H$551,Q424)&amp;"")</f>
        <v/>
      </c>
      <c r="H424" s="44">
        <f>IF(Q424="","",INDEX(希望入力!$I$2:$I$551,Q424)&amp;"")</f>
        <v/>
      </c>
      <c r="I424" s="44">
        <f>IF(Q424="","",INDEX(希望入力!$J$2:$J$551,Q424)&amp;"")</f>
        <v/>
      </c>
      <c r="J424" s="44">
        <f>IF(Q424="","",IF(G424="","要調整",IFERROR(IF(IF(OR(設定!$C$14="〇",設定!$C$14="○"),COUNTIFS($A$7:$A$456,"&gt;="&amp;A424,$G$7:$G$456,G424),COUNTIF($G$7:$G$456,G424))&lt;=(INDEX(設定!$Q$8:$Q$27,MATCH(G424,設定!$P$8:$P$27,0))+N(INDEX(設定!$R$8:$R$27,MATCH(G424,設定!$P$8:$P$27,0)))),G424,"要調整"),"要調整")))</f>
        <v/>
      </c>
      <c r="K424" s="40" t="n"/>
      <c r="L424" s="52">
        <f>IF(P424="","",IF(K424&lt;&gt;"",K424,IF(OR(J424="",J424="要調整"),"",J424)))</f>
        <v/>
      </c>
      <c r="M424" s="44">
        <f>IF(P424="","",IF(AND(計算用!$B$1=1,T424=""),"転出",IF(L424&lt;&gt;"","決定",IF(Q424="","未提出","要調整"))))</f>
        <v/>
      </c>
      <c r="N424" s="44">
        <f>IF(OR(M424&lt;&gt;"要調整",H424=""),"",IFERROR((INDEX(設定!$Q$8:$Q$27,MATCH(H424,設定!$P$8:$P$27,0))+N(INDEX(設定!$R$8:$R$27,MATCH(H424,設定!$P$8:$P$27,0))))-INDEX(定員チェック!$F$7:$F$26,MATCH(H424,設定!$P$8:$P$27,0))-COUNTIFS($M$7:$M$456,"要調整",$G$7:$G$456,H424),""))</f>
        <v/>
      </c>
      <c r="O424" s="44">
        <f>IF(OR(M424&lt;&gt;"要調整",I424=""),"",IFERROR((INDEX(設定!$Q$8:$Q$27,MATCH(I424,設定!$P$8:$P$27,0))+N(INDEX(設定!$R$8:$R$27,MATCH(I424,設定!$P$8:$P$27,0))))-INDEX(定員チェック!$F$7:$F$26,MATCH(I424,設定!$P$8:$P$27,0))-COUNTIFS($M$7:$M$456,"要調整",$G$7:$G$456,I424),""))</f>
        <v/>
      </c>
      <c r="P424" s="8">
        <f>IFERROR(MATCH(SMALL(前年度名簿!$G$2:$G$451,418),前年度名簿!$G$2:$G$451,0),"")</f>
        <v/>
      </c>
      <c r="Q424" s="8">
        <f>IF(R424="","",IFERROR(MATCH(R424,希望入力!$M$2:$M$551,0),""))</f>
        <v/>
      </c>
      <c r="R424" s="8">
        <f>IF(P424="","",INDEX(前年度名簿!$F$2:$F$451,P424))</f>
        <v/>
      </c>
      <c r="S424" s="8">
        <f>IF(P424="","",INDEX(前年度名簿!$I$2:$I$451,P424))</f>
        <v/>
      </c>
      <c r="T424" s="8">
        <f>IF(OR(P424="",計算用!$B$1=0),"",IFERROR(MATCH(S424,新年度名簿!$H$2:$H$451,0),""))</f>
        <v/>
      </c>
      <c r="U424" s="8">
        <f>IF(OR(L424="",M424="転出"),"",IFERROR(MATCH(L424,設定!$P$8:$P$27,0),""))</f>
        <v/>
      </c>
      <c r="V424" s="8">
        <f>IF(U424="","",COUNTIF($U$7:U424,U424))</f>
        <v/>
      </c>
      <c r="W424" s="8">
        <f>IF(U424="","",U424*1000+V424)</f>
        <v/>
      </c>
    </row>
    <row r="425">
      <c r="A425" s="44">
        <f>IF(P425="","",INDEX(前年度名簿!$H$2:$H$451,P425))</f>
        <v/>
      </c>
      <c r="B425" s="44">
        <f>IF(P425="","",IFERROR(INDEX(設定!$G$8:$G$31,INT(INDEX(前年度名簿!$G$2:$G$451,P425)/1000)),INDEX(前年度名簿!$A$2:$A$451,P425)&amp;INDEX(前年度名簿!$B$2:$B$451,P425)))</f>
        <v/>
      </c>
      <c r="C425" s="44">
        <f>IF(P425="","",INDEX(前年度名簿!$C$2:$C$451,P425))</f>
        <v/>
      </c>
      <c r="D425" s="3">
        <f>IF(P425="","",INDEX(前年度名簿!$D$2:$D$451,P425))</f>
        <v/>
      </c>
      <c r="E425" s="44">
        <f>IF(T425="","",INDEX(新年度名簿!$K$2:$K$451,T425))</f>
        <v/>
      </c>
      <c r="F425" s="44">
        <f>IF(T425="","",INDEX(新年度名簿!$C$2:$C$451,T425))</f>
        <v/>
      </c>
      <c r="G425" s="44">
        <f>IF(Q425="","",INDEX(希望入力!$H$2:$H$551,Q425)&amp;"")</f>
        <v/>
      </c>
      <c r="H425" s="44">
        <f>IF(Q425="","",INDEX(希望入力!$I$2:$I$551,Q425)&amp;"")</f>
        <v/>
      </c>
      <c r="I425" s="44">
        <f>IF(Q425="","",INDEX(希望入力!$J$2:$J$551,Q425)&amp;"")</f>
        <v/>
      </c>
      <c r="J425" s="44">
        <f>IF(Q425="","",IF(G425="","要調整",IFERROR(IF(IF(OR(設定!$C$14="〇",設定!$C$14="○"),COUNTIFS($A$7:$A$456,"&gt;="&amp;A425,$G$7:$G$456,G425),COUNTIF($G$7:$G$456,G425))&lt;=(INDEX(設定!$Q$8:$Q$27,MATCH(G425,設定!$P$8:$P$27,0))+N(INDEX(設定!$R$8:$R$27,MATCH(G425,設定!$P$8:$P$27,0)))),G425,"要調整"),"要調整")))</f>
        <v/>
      </c>
      <c r="K425" s="40" t="n"/>
      <c r="L425" s="52">
        <f>IF(P425="","",IF(K425&lt;&gt;"",K425,IF(OR(J425="",J425="要調整"),"",J425)))</f>
        <v/>
      </c>
      <c r="M425" s="44">
        <f>IF(P425="","",IF(AND(計算用!$B$1=1,T425=""),"転出",IF(L425&lt;&gt;"","決定",IF(Q425="","未提出","要調整"))))</f>
        <v/>
      </c>
      <c r="N425" s="44">
        <f>IF(OR(M425&lt;&gt;"要調整",H425=""),"",IFERROR((INDEX(設定!$Q$8:$Q$27,MATCH(H425,設定!$P$8:$P$27,0))+N(INDEX(設定!$R$8:$R$27,MATCH(H425,設定!$P$8:$P$27,0))))-INDEX(定員チェック!$F$7:$F$26,MATCH(H425,設定!$P$8:$P$27,0))-COUNTIFS($M$7:$M$456,"要調整",$G$7:$G$456,H425),""))</f>
        <v/>
      </c>
      <c r="O425" s="44">
        <f>IF(OR(M425&lt;&gt;"要調整",I425=""),"",IFERROR((INDEX(設定!$Q$8:$Q$27,MATCH(I425,設定!$P$8:$P$27,0))+N(INDEX(設定!$R$8:$R$27,MATCH(I425,設定!$P$8:$P$27,0))))-INDEX(定員チェック!$F$7:$F$26,MATCH(I425,設定!$P$8:$P$27,0))-COUNTIFS($M$7:$M$456,"要調整",$G$7:$G$456,I425),""))</f>
        <v/>
      </c>
      <c r="P425" s="8">
        <f>IFERROR(MATCH(SMALL(前年度名簿!$G$2:$G$451,419),前年度名簿!$G$2:$G$451,0),"")</f>
        <v/>
      </c>
      <c r="Q425" s="8">
        <f>IF(R425="","",IFERROR(MATCH(R425,希望入力!$M$2:$M$551,0),""))</f>
        <v/>
      </c>
      <c r="R425" s="8">
        <f>IF(P425="","",INDEX(前年度名簿!$F$2:$F$451,P425))</f>
        <v/>
      </c>
      <c r="S425" s="8">
        <f>IF(P425="","",INDEX(前年度名簿!$I$2:$I$451,P425))</f>
        <v/>
      </c>
      <c r="T425" s="8">
        <f>IF(OR(P425="",計算用!$B$1=0),"",IFERROR(MATCH(S425,新年度名簿!$H$2:$H$451,0),""))</f>
        <v/>
      </c>
      <c r="U425" s="8">
        <f>IF(OR(L425="",M425="転出"),"",IFERROR(MATCH(L425,設定!$P$8:$P$27,0),""))</f>
        <v/>
      </c>
      <c r="V425" s="8">
        <f>IF(U425="","",COUNTIF($U$7:U425,U425))</f>
        <v/>
      </c>
      <c r="W425" s="8">
        <f>IF(U425="","",U425*1000+V425)</f>
        <v/>
      </c>
    </row>
    <row r="426">
      <c r="A426" s="44">
        <f>IF(P426="","",INDEX(前年度名簿!$H$2:$H$451,P426))</f>
        <v/>
      </c>
      <c r="B426" s="44">
        <f>IF(P426="","",IFERROR(INDEX(設定!$G$8:$G$31,INT(INDEX(前年度名簿!$G$2:$G$451,P426)/1000)),INDEX(前年度名簿!$A$2:$A$451,P426)&amp;INDEX(前年度名簿!$B$2:$B$451,P426)))</f>
        <v/>
      </c>
      <c r="C426" s="44">
        <f>IF(P426="","",INDEX(前年度名簿!$C$2:$C$451,P426))</f>
        <v/>
      </c>
      <c r="D426" s="3">
        <f>IF(P426="","",INDEX(前年度名簿!$D$2:$D$451,P426))</f>
        <v/>
      </c>
      <c r="E426" s="44">
        <f>IF(T426="","",INDEX(新年度名簿!$K$2:$K$451,T426))</f>
        <v/>
      </c>
      <c r="F426" s="44">
        <f>IF(T426="","",INDEX(新年度名簿!$C$2:$C$451,T426))</f>
        <v/>
      </c>
      <c r="G426" s="44">
        <f>IF(Q426="","",INDEX(希望入力!$H$2:$H$551,Q426)&amp;"")</f>
        <v/>
      </c>
      <c r="H426" s="44">
        <f>IF(Q426="","",INDEX(希望入力!$I$2:$I$551,Q426)&amp;"")</f>
        <v/>
      </c>
      <c r="I426" s="44">
        <f>IF(Q426="","",INDEX(希望入力!$J$2:$J$551,Q426)&amp;"")</f>
        <v/>
      </c>
      <c r="J426" s="44">
        <f>IF(Q426="","",IF(G426="","要調整",IFERROR(IF(IF(OR(設定!$C$14="〇",設定!$C$14="○"),COUNTIFS($A$7:$A$456,"&gt;="&amp;A426,$G$7:$G$456,G426),COUNTIF($G$7:$G$456,G426))&lt;=(INDEX(設定!$Q$8:$Q$27,MATCH(G426,設定!$P$8:$P$27,0))+N(INDEX(設定!$R$8:$R$27,MATCH(G426,設定!$P$8:$P$27,0)))),G426,"要調整"),"要調整")))</f>
        <v/>
      </c>
      <c r="K426" s="40" t="n"/>
      <c r="L426" s="52">
        <f>IF(P426="","",IF(K426&lt;&gt;"",K426,IF(OR(J426="",J426="要調整"),"",J426)))</f>
        <v/>
      </c>
      <c r="M426" s="44">
        <f>IF(P426="","",IF(AND(計算用!$B$1=1,T426=""),"転出",IF(L426&lt;&gt;"","決定",IF(Q426="","未提出","要調整"))))</f>
        <v/>
      </c>
      <c r="N426" s="44">
        <f>IF(OR(M426&lt;&gt;"要調整",H426=""),"",IFERROR((INDEX(設定!$Q$8:$Q$27,MATCH(H426,設定!$P$8:$P$27,0))+N(INDEX(設定!$R$8:$R$27,MATCH(H426,設定!$P$8:$P$27,0))))-INDEX(定員チェック!$F$7:$F$26,MATCH(H426,設定!$P$8:$P$27,0))-COUNTIFS($M$7:$M$456,"要調整",$G$7:$G$456,H426),""))</f>
        <v/>
      </c>
      <c r="O426" s="44">
        <f>IF(OR(M426&lt;&gt;"要調整",I426=""),"",IFERROR((INDEX(設定!$Q$8:$Q$27,MATCH(I426,設定!$P$8:$P$27,0))+N(INDEX(設定!$R$8:$R$27,MATCH(I426,設定!$P$8:$P$27,0))))-INDEX(定員チェック!$F$7:$F$26,MATCH(I426,設定!$P$8:$P$27,0))-COUNTIFS($M$7:$M$456,"要調整",$G$7:$G$456,I426),""))</f>
        <v/>
      </c>
      <c r="P426" s="8">
        <f>IFERROR(MATCH(SMALL(前年度名簿!$G$2:$G$451,420),前年度名簿!$G$2:$G$451,0),"")</f>
        <v/>
      </c>
      <c r="Q426" s="8">
        <f>IF(R426="","",IFERROR(MATCH(R426,希望入力!$M$2:$M$551,0),""))</f>
        <v/>
      </c>
      <c r="R426" s="8">
        <f>IF(P426="","",INDEX(前年度名簿!$F$2:$F$451,P426))</f>
        <v/>
      </c>
      <c r="S426" s="8">
        <f>IF(P426="","",INDEX(前年度名簿!$I$2:$I$451,P426))</f>
        <v/>
      </c>
      <c r="T426" s="8">
        <f>IF(OR(P426="",計算用!$B$1=0),"",IFERROR(MATCH(S426,新年度名簿!$H$2:$H$451,0),""))</f>
        <v/>
      </c>
      <c r="U426" s="8">
        <f>IF(OR(L426="",M426="転出"),"",IFERROR(MATCH(L426,設定!$P$8:$P$27,0),""))</f>
        <v/>
      </c>
      <c r="V426" s="8">
        <f>IF(U426="","",COUNTIF($U$7:U426,U426))</f>
        <v/>
      </c>
      <c r="W426" s="8">
        <f>IF(U426="","",U426*1000+V426)</f>
        <v/>
      </c>
    </row>
    <row r="427">
      <c r="A427" s="44">
        <f>IF(P427="","",INDEX(前年度名簿!$H$2:$H$451,P427))</f>
        <v/>
      </c>
      <c r="B427" s="44">
        <f>IF(P427="","",IFERROR(INDEX(設定!$G$8:$G$31,INT(INDEX(前年度名簿!$G$2:$G$451,P427)/1000)),INDEX(前年度名簿!$A$2:$A$451,P427)&amp;INDEX(前年度名簿!$B$2:$B$451,P427)))</f>
        <v/>
      </c>
      <c r="C427" s="44">
        <f>IF(P427="","",INDEX(前年度名簿!$C$2:$C$451,P427))</f>
        <v/>
      </c>
      <c r="D427" s="3">
        <f>IF(P427="","",INDEX(前年度名簿!$D$2:$D$451,P427))</f>
        <v/>
      </c>
      <c r="E427" s="44">
        <f>IF(T427="","",INDEX(新年度名簿!$K$2:$K$451,T427))</f>
        <v/>
      </c>
      <c r="F427" s="44">
        <f>IF(T427="","",INDEX(新年度名簿!$C$2:$C$451,T427))</f>
        <v/>
      </c>
      <c r="G427" s="44">
        <f>IF(Q427="","",INDEX(希望入力!$H$2:$H$551,Q427)&amp;"")</f>
        <v/>
      </c>
      <c r="H427" s="44">
        <f>IF(Q427="","",INDEX(希望入力!$I$2:$I$551,Q427)&amp;"")</f>
        <v/>
      </c>
      <c r="I427" s="44">
        <f>IF(Q427="","",INDEX(希望入力!$J$2:$J$551,Q427)&amp;"")</f>
        <v/>
      </c>
      <c r="J427" s="44">
        <f>IF(Q427="","",IF(G427="","要調整",IFERROR(IF(IF(OR(設定!$C$14="〇",設定!$C$14="○"),COUNTIFS($A$7:$A$456,"&gt;="&amp;A427,$G$7:$G$456,G427),COUNTIF($G$7:$G$456,G427))&lt;=(INDEX(設定!$Q$8:$Q$27,MATCH(G427,設定!$P$8:$P$27,0))+N(INDEX(設定!$R$8:$R$27,MATCH(G427,設定!$P$8:$P$27,0)))),G427,"要調整"),"要調整")))</f>
        <v/>
      </c>
      <c r="K427" s="40" t="n"/>
      <c r="L427" s="52">
        <f>IF(P427="","",IF(K427&lt;&gt;"",K427,IF(OR(J427="",J427="要調整"),"",J427)))</f>
        <v/>
      </c>
      <c r="M427" s="44">
        <f>IF(P427="","",IF(AND(計算用!$B$1=1,T427=""),"転出",IF(L427&lt;&gt;"","決定",IF(Q427="","未提出","要調整"))))</f>
        <v/>
      </c>
      <c r="N427" s="44">
        <f>IF(OR(M427&lt;&gt;"要調整",H427=""),"",IFERROR((INDEX(設定!$Q$8:$Q$27,MATCH(H427,設定!$P$8:$P$27,0))+N(INDEX(設定!$R$8:$R$27,MATCH(H427,設定!$P$8:$P$27,0))))-INDEX(定員チェック!$F$7:$F$26,MATCH(H427,設定!$P$8:$P$27,0))-COUNTIFS($M$7:$M$456,"要調整",$G$7:$G$456,H427),""))</f>
        <v/>
      </c>
      <c r="O427" s="44">
        <f>IF(OR(M427&lt;&gt;"要調整",I427=""),"",IFERROR((INDEX(設定!$Q$8:$Q$27,MATCH(I427,設定!$P$8:$P$27,0))+N(INDEX(設定!$R$8:$R$27,MATCH(I427,設定!$P$8:$P$27,0))))-INDEX(定員チェック!$F$7:$F$26,MATCH(I427,設定!$P$8:$P$27,0))-COUNTIFS($M$7:$M$456,"要調整",$G$7:$G$456,I427),""))</f>
        <v/>
      </c>
      <c r="P427" s="8">
        <f>IFERROR(MATCH(SMALL(前年度名簿!$G$2:$G$451,421),前年度名簿!$G$2:$G$451,0),"")</f>
        <v/>
      </c>
      <c r="Q427" s="8">
        <f>IF(R427="","",IFERROR(MATCH(R427,希望入力!$M$2:$M$551,0),""))</f>
        <v/>
      </c>
      <c r="R427" s="8">
        <f>IF(P427="","",INDEX(前年度名簿!$F$2:$F$451,P427))</f>
        <v/>
      </c>
      <c r="S427" s="8">
        <f>IF(P427="","",INDEX(前年度名簿!$I$2:$I$451,P427))</f>
        <v/>
      </c>
      <c r="T427" s="8">
        <f>IF(OR(P427="",計算用!$B$1=0),"",IFERROR(MATCH(S427,新年度名簿!$H$2:$H$451,0),""))</f>
        <v/>
      </c>
      <c r="U427" s="8">
        <f>IF(OR(L427="",M427="転出"),"",IFERROR(MATCH(L427,設定!$P$8:$P$27,0),""))</f>
        <v/>
      </c>
      <c r="V427" s="8">
        <f>IF(U427="","",COUNTIF($U$7:U427,U427))</f>
        <v/>
      </c>
      <c r="W427" s="8">
        <f>IF(U427="","",U427*1000+V427)</f>
        <v/>
      </c>
    </row>
    <row r="428">
      <c r="A428" s="44">
        <f>IF(P428="","",INDEX(前年度名簿!$H$2:$H$451,P428))</f>
        <v/>
      </c>
      <c r="B428" s="44">
        <f>IF(P428="","",IFERROR(INDEX(設定!$G$8:$G$31,INT(INDEX(前年度名簿!$G$2:$G$451,P428)/1000)),INDEX(前年度名簿!$A$2:$A$451,P428)&amp;INDEX(前年度名簿!$B$2:$B$451,P428)))</f>
        <v/>
      </c>
      <c r="C428" s="44">
        <f>IF(P428="","",INDEX(前年度名簿!$C$2:$C$451,P428))</f>
        <v/>
      </c>
      <c r="D428" s="3">
        <f>IF(P428="","",INDEX(前年度名簿!$D$2:$D$451,P428))</f>
        <v/>
      </c>
      <c r="E428" s="44">
        <f>IF(T428="","",INDEX(新年度名簿!$K$2:$K$451,T428))</f>
        <v/>
      </c>
      <c r="F428" s="44">
        <f>IF(T428="","",INDEX(新年度名簿!$C$2:$C$451,T428))</f>
        <v/>
      </c>
      <c r="G428" s="44">
        <f>IF(Q428="","",INDEX(希望入力!$H$2:$H$551,Q428)&amp;"")</f>
        <v/>
      </c>
      <c r="H428" s="44">
        <f>IF(Q428="","",INDEX(希望入力!$I$2:$I$551,Q428)&amp;"")</f>
        <v/>
      </c>
      <c r="I428" s="44">
        <f>IF(Q428="","",INDEX(希望入力!$J$2:$J$551,Q428)&amp;"")</f>
        <v/>
      </c>
      <c r="J428" s="44">
        <f>IF(Q428="","",IF(G428="","要調整",IFERROR(IF(IF(OR(設定!$C$14="〇",設定!$C$14="○"),COUNTIFS($A$7:$A$456,"&gt;="&amp;A428,$G$7:$G$456,G428),COUNTIF($G$7:$G$456,G428))&lt;=(INDEX(設定!$Q$8:$Q$27,MATCH(G428,設定!$P$8:$P$27,0))+N(INDEX(設定!$R$8:$R$27,MATCH(G428,設定!$P$8:$P$27,0)))),G428,"要調整"),"要調整")))</f>
        <v/>
      </c>
      <c r="K428" s="40" t="n"/>
      <c r="L428" s="52">
        <f>IF(P428="","",IF(K428&lt;&gt;"",K428,IF(OR(J428="",J428="要調整"),"",J428)))</f>
        <v/>
      </c>
      <c r="M428" s="44">
        <f>IF(P428="","",IF(AND(計算用!$B$1=1,T428=""),"転出",IF(L428&lt;&gt;"","決定",IF(Q428="","未提出","要調整"))))</f>
        <v/>
      </c>
      <c r="N428" s="44">
        <f>IF(OR(M428&lt;&gt;"要調整",H428=""),"",IFERROR((INDEX(設定!$Q$8:$Q$27,MATCH(H428,設定!$P$8:$P$27,0))+N(INDEX(設定!$R$8:$R$27,MATCH(H428,設定!$P$8:$P$27,0))))-INDEX(定員チェック!$F$7:$F$26,MATCH(H428,設定!$P$8:$P$27,0))-COUNTIFS($M$7:$M$456,"要調整",$G$7:$G$456,H428),""))</f>
        <v/>
      </c>
      <c r="O428" s="44">
        <f>IF(OR(M428&lt;&gt;"要調整",I428=""),"",IFERROR((INDEX(設定!$Q$8:$Q$27,MATCH(I428,設定!$P$8:$P$27,0))+N(INDEX(設定!$R$8:$R$27,MATCH(I428,設定!$P$8:$P$27,0))))-INDEX(定員チェック!$F$7:$F$26,MATCH(I428,設定!$P$8:$P$27,0))-COUNTIFS($M$7:$M$456,"要調整",$G$7:$G$456,I428),""))</f>
        <v/>
      </c>
      <c r="P428" s="8">
        <f>IFERROR(MATCH(SMALL(前年度名簿!$G$2:$G$451,422),前年度名簿!$G$2:$G$451,0),"")</f>
        <v/>
      </c>
      <c r="Q428" s="8">
        <f>IF(R428="","",IFERROR(MATCH(R428,希望入力!$M$2:$M$551,0),""))</f>
        <v/>
      </c>
      <c r="R428" s="8">
        <f>IF(P428="","",INDEX(前年度名簿!$F$2:$F$451,P428))</f>
        <v/>
      </c>
      <c r="S428" s="8">
        <f>IF(P428="","",INDEX(前年度名簿!$I$2:$I$451,P428))</f>
        <v/>
      </c>
      <c r="T428" s="8">
        <f>IF(OR(P428="",計算用!$B$1=0),"",IFERROR(MATCH(S428,新年度名簿!$H$2:$H$451,0),""))</f>
        <v/>
      </c>
      <c r="U428" s="8">
        <f>IF(OR(L428="",M428="転出"),"",IFERROR(MATCH(L428,設定!$P$8:$P$27,0),""))</f>
        <v/>
      </c>
      <c r="V428" s="8">
        <f>IF(U428="","",COUNTIF($U$7:U428,U428))</f>
        <v/>
      </c>
      <c r="W428" s="8">
        <f>IF(U428="","",U428*1000+V428)</f>
        <v/>
      </c>
    </row>
    <row r="429">
      <c r="A429" s="44">
        <f>IF(P429="","",INDEX(前年度名簿!$H$2:$H$451,P429))</f>
        <v/>
      </c>
      <c r="B429" s="44">
        <f>IF(P429="","",IFERROR(INDEX(設定!$G$8:$G$31,INT(INDEX(前年度名簿!$G$2:$G$451,P429)/1000)),INDEX(前年度名簿!$A$2:$A$451,P429)&amp;INDEX(前年度名簿!$B$2:$B$451,P429)))</f>
        <v/>
      </c>
      <c r="C429" s="44">
        <f>IF(P429="","",INDEX(前年度名簿!$C$2:$C$451,P429))</f>
        <v/>
      </c>
      <c r="D429" s="3">
        <f>IF(P429="","",INDEX(前年度名簿!$D$2:$D$451,P429))</f>
        <v/>
      </c>
      <c r="E429" s="44">
        <f>IF(T429="","",INDEX(新年度名簿!$K$2:$K$451,T429))</f>
        <v/>
      </c>
      <c r="F429" s="44">
        <f>IF(T429="","",INDEX(新年度名簿!$C$2:$C$451,T429))</f>
        <v/>
      </c>
      <c r="G429" s="44">
        <f>IF(Q429="","",INDEX(希望入力!$H$2:$H$551,Q429)&amp;"")</f>
        <v/>
      </c>
      <c r="H429" s="44">
        <f>IF(Q429="","",INDEX(希望入力!$I$2:$I$551,Q429)&amp;"")</f>
        <v/>
      </c>
      <c r="I429" s="44">
        <f>IF(Q429="","",INDEX(希望入力!$J$2:$J$551,Q429)&amp;"")</f>
        <v/>
      </c>
      <c r="J429" s="44">
        <f>IF(Q429="","",IF(G429="","要調整",IFERROR(IF(IF(OR(設定!$C$14="〇",設定!$C$14="○"),COUNTIFS($A$7:$A$456,"&gt;="&amp;A429,$G$7:$G$456,G429),COUNTIF($G$7:$G$456,G429))&lt;=(INDEX(設定!$Q$8:$Q$27,MATCH(G429,設定!$P$8:$P$27,0))+N(INDEX(設定!$R$8:$R$27,MATCH(G429,設定!$P$8:$P$27,0)))),G429,"要調整"),"要調整")))</f>
        <v/>
      </c>
      <c r="K429" s="40" t="n"/>
      <c r="L429" s="52">
        <f>IF(P429="","",IF(K429&lt;&gt;"",K429,IF(OR(J429="",J429="要調整"),"",J429)))</f>
        <v/>
      </c>
      <c r="M429" s="44">
        <f>IF(P429="","",IF(AND(計算用!$B$1=1,T429=""),"転出",IF(L429&lt;&gt;"","決定",IF(Q429="","未提出","要調整"))))</f>
        <v/>
      </c>
      <c r="N429" s="44">
        <f>IF(OR(M429&lt;&gt;"要調整",H429=""),"",IFERROR((INDEX(設定!$Q$8:$Q$27,MATCH(H429,設定!$P$8:$P$27,0))+N(INDEX(設定!$R$8:$R$27,MATCH(H429,設定!$P$8:$P$27,0))))-INDEX(定員チェック!$F$7:$F$26,MATCH(H429,設定!$P$8:$P$27,0))-COUNTIFS($M$7:$M$456,"要調整",$G$7:$G$456,H429),""))</f>
        <v/>
      </c>
      <c r="O429" s="44">
        <f>IF(OR(M429&lt;&gt;"要調整",I429=""),"",IFERROR((INDEX(設定!$Q$8:$Q$27,MATCH(I429,設定!$P$8:$P$27,0))+N(INDEX(設定!$R$8:$R$27,MATCH(I429,設定!$P$8:$P$27,0))))-INDEX(定員チェック!$F$7:$F$26,MATCH(I429,設定!$P$8:$P$27,0))-COUNTIFS($M$7:$M$456,"要調整",$G$7:$G$456,I429),""))</f>
        <v/>
      </c>
      <c r="P429" s="8">
        <f>IFERROR(MATCH(SMALL(前年度名簿!$G$2:$G$451,423),前年度名簿!$G$2:$G$451,0),"")</f>
        <v/>
      </c>
      <c r="Q429" s="8">
        <f>IF(R429="","",IFERROR(MATCH(R429,希望入力!$M$2:$M$551,0),""))</f>
        <v/>
      </c>
      <c r="R429" s="8">
        <f>IF(P429="","",INDEX(前年度名簿!$F$2:$F$451,P429))</f>
        <v/>
      </c>
      <c r="S429" s="8">
        <f>IF(P429="","",INDEX(前年度名簿!$I$2:$I$451,P429))</f>
        <v/>
      </c>
      <c r="T429" s="8">
        <f>IF(OR(P429="",計算用!$B$1=0),"",IFERROR(MATCH(S429,新年度名簿!$H$2:$H$451,0),""))</f>
        <v/>
      </c>
      <c r="U429" s="8">
        <f>IF(OR(L429="",M429="転出"),"",IFERROR(MATCH(L429,設定!$P$8:$P$27,0),""))</f>
        <v/>
      </c>
      <c r="V429" s="8">
        <f>IF(U429="","",COUNTIF($U$7:U429,U429))</f>
        <v/>
      </c>
      <c r="W429" s="8">
        <f>IF(U429="","",U429*1000+V429)</f>
        <v/>
      </c>
    </row>
    <row r="430">
      <c r="A430" s="44">
        <f>IF(P430="","",INDEX(前年度名簿!$H$2:$H$451,P430))</f>
        <v/>
      </c>
      <c r="B430" s="44">
        <f>IF(P430="","",IFERROR(INDEX(設定!$G$8:$G$31,INT(INDEX(前年度名簿!$G$2:$G$451,P430)/1000)),INDEX(前年度名簿!$A$2:$A$451,P430)&amp;INDEX(前年度名簿!$B$2:$B$451,P430)))</f>
        <v/>
      </c>
      <c r="C430" s="44">
        <f>IF(P430="","",INDEX(前年度名簿!$C$2:$C$451,P430))</f>
        <v/>
      </c>
      <c r="D430" s="3">
        <f>IF(P430="","",INDEX(前年度名簿!$D$2:$D$451,P430))</f>
        <v/>
      </c>
      <c r="E430" s="44">
        <f>IF(T430="","",INDEX(新年度名簿!$K$2:$K$451,T430))</f>
        <v/>
      </c>
      <c r="F430" s="44">
        <f>IF(T430="","",INDEX(新年度名簿!$C$2:$C$451,T430))</f>
        <v/>
      </c>
      <c r="G430" s="44">
        <f>IF(Q430="","",INDEX(希望入力!$H$2:$H$551,Q430)&amp;"")</f>
        <v/>
      </c>
      <c r="H430" s="44">
        <f>IF(Q430="","",INDEX(希望入力!$I$2:$I$551,Q430)&amp;"")</f>
        <v/>
      </c>
      <c r="I430" s="44">
        <f>IF(Q430="","",INDEX(希望入力!$J$2:$J$551,Q430)&amp;"")</f>
        <v/>
      </c>
      <c r="J430" s="44">
        <f>IF(Q430="","",IF(G430="","要調整",IFERROR(IF(IF(OR(設定!$C$14="〇",設定!$C$14="○"),COUNTIFS($A$7:$A$456,"&gt;="&amp;A430,$G$7:$G$456,G430),COUNTIF($G$7:$G$456,G430))&lt;=(INDEX(設定!$Q$8:$Q$27,MATCH(G430,設定!$P$8:$P$27,0))+N(INDEX(設定!$R$8:$R$27,MATCH(G430,設定!$P$8:$P$27,0)))),G430,"要調整"),"要調整")))</f>
        <v/>
      </c>
      <c r="K430" s="40" t="n"/>
      <c r="L430" s="52">
        <f>IF(P430="","",IF(K430&lt;&gt;"",K430,IF(OR(J430="",J430="要調整"),"",J430)))</f>
        <v/>
      </c>
      <c r="M430" s="44">
        <f>IF(P430="","",IF(AND(計算用!$B$1=1,T430=""),"転出",IF(L430&lt;&gt;"","決定",IF(Q430="","未提出","要調整"))))</f>
        <v/>
      </c>
      <c r="N430" s="44">
        <f>IF(OR(M430&lt;&gt;"要調整",H430=""),"",IFERROR((INDEX(設定!$Q$8:$Q$27,MATCH(H430,設定!$P$8:$P$27,0))+N(INDEX(設定!$R$8:$R$27,MATCH(H430,設定!$P$8:$P$27,0))))-INDEX(定員チェック!$F$7:$F$26,MATCH(H430,設定!$P$8:$P$27,0))-COUNTIFS($M$7:$M$456,"要調整",$G$7:$G$456,H430),""))</f>
        <v/>
      </c>
      <c r="O430" s="44">
        <f>IF(OR(M430&lt;&gt;"要調整",I430=""),"",IFERROR((INDEX(設定!$Q$8:$Q$27,MATCH(I430,設定!$P$8:$P$27,0))+N(INDEX(設定!$R$8:$R$27,MATCH(I430,設定!$P$8:$P$27,0))))-INDEX(定員チェック!$F$7:$F$26,MATCH(I430,設定!$P$8:$P$27,0))-COUNTIFS($M$7:$M$456,"要調整",$G$7:$G$456,I430),""))</f>
        <v/>
      </c>
      <c r="P430" s="8">
        <f>IFERROR(MATCH(SMALL(前年度名簿!$G$2:$G$451,424),前年度名簿!$G$2:$G$451,0),"")</f>
        <v/>
      </c>
      <c r="Q430" s="8">
        <f>IF(R430="","",IFERROR(MATCH(R430,希望入力!$M$2:$M$551,0),""))</f>
        <v/>
      </c>
      <c r="R430" s="8">
        <f>IF(P430="","",INDEX(前年度名簿!$F$2:$F$451,P430))</f>
        <v/>
      </c>
      <c r="S430" s="8">
        <f>IF(P430="","",INDEX(前年度名簿!$I$2:$I$451,P430))</f>
        <v/>
      </c>
      <c r="T430" s="8">
        <f>IF(OR(P430="",計算用!$B$1=0),"",IFERROR(MATCH(S430,新年度名簿!$H$2:$H$451,0),""))</f>
        <v/>
      </c>
      <c r="U430" s="8">
        <f>IF(OR(L430="",M430="転出"),"",IFERROR(MATCH(L430,設定!$P$8:$P$27,0),""))</f>
        <v/>
      </c>
      <c r="V430" s="8">
        <f>IF(U430="","",COUNTIF($U$7:U430,U430))</f>
        <v/>
      </c>
      <c r="W430" s="8">
        <f>IF(U430="","",U430*1000+V430)</f>
        <v/>
      </c>
    </row>
    <row r="431">
      <c r="A431" s="44">
        <f>IF(P431="","",INDEX(前年度名簿!$H$2:$H$451,P431))</f>
        <v/>
      </c>
      <c r="B431" s="44">
        <f>IF(P431="","",IFERROR(INDEX(設定!$G$8:$G$31,INT(INDEX(前年度名簿!$G$2:$G$451,P431)/1000)),INDEX(前年度名簿!$A$2:$A$451,P431)&amp;INDEX(前年度名簿!$B$2:$B$451,P431)))</f>
        <v/>
      </c>
      <c r="C431" s="44">
        <f>IF(P431="","",INDEX(前年度名簿!$C$2:$C$451,P431))</f>
        <v/>
      </c>
      <c r="D431" s="3">
        <f>IF(P431="","",INDEX(前年度名簿!$D$2:$D$451,P431))</f>
        <v/>
      </c>
      <c r="E431" s="44">
        <f>IF(T431="","",INDEX(新年度名簿!$K$2:$K$451,T431))</f>
        <v/>
      </c>
      <c r="F431" s="44">
        <f>IF(T431="","",INDEX(新年度名簿!$C$2:$C$451,T431))</f>
        <v/>
      </c>
      <c r="G431" s="44">
        <f>IF(Q431="","",INDEX(希望入力!$H$2:$H$551,Q431)&amp;"")</f>
        <v/>
      </c>
      <c r="H431" s="44">
        <f>IF(Q431="","",INDEX(希望入力!$I$2:$I$551,Q431)&amp;"")</f>
        <v/>
      </c>
      <c r="I431" s="44">
        <f>IF(Q431="","",INDEX(希望入力!$J$2:$J$551,Q431)&amp;"")</f>
        <v/>
      </c>
      <c r="J431" s="44">
        <f>IF(Q431="","",IF(G431="","要調整",IFERROR(IF(IF(OR(設定!$C$14="〇",設定!$C$14="○"),COUNTIFS($A$7:$A$456,"&gt;="&amp;A431,$G$7:$G$456,G431),COUNTIF($G$7:$G$456,G431))&lt;=(INDEX(設定!$Q$8:$Q$27,MATCH(G431,設定!$P$8:$P$27,0))+N(INDEX(設定!$R$8:$R$27,MATCH(G431,設定!$P$8:$P$27,0)))),G431,"要調整"),"要調整")))</f>
        <v/>
      </c>
      <c r="K431" s="40" t="n"/>
      <c r="L431" s="52">
        <f>IF(P431="","",IF(K431&lt;&gt;"",K431,IF(OR(J431="",J431="要調整"),"",J431)))</f>
        <v/>
      </c>
      <c r="M431" s="44">
        <f>IF(P431="","",IF(AND(計算用!$B$1=1,T431=""),"転出",IF(L431&lt;&gt;"","決定",IF(Q431="","未提出","要調整"))))</f>
        <v/>
      </c>
      <c r="N431" s="44">
        <f>IF(OR(M431&lt;&gt;"要調整",H431=""),"",IFERROR((INDEX(設定!$Q$8:$Q$27,MATCH(H431,設定!$P$8:$P$27,0))+N(INDEX(設定!$R$8:$R$27,MATCH(H431,設定!$P$8:$P$27,0))))-INDEX(定員チェック!$F$7:$F$26,MATCH(H431,設定!$P$8:$P$27,0))-COUNTIFS($M$7:$M$456,"要調整",$G$7:$G$456,H431),""))</f>
        <v/>
      </c>
      <c r="O431" s="44">
        <f>IF(OR(M431&lt;&gt;"要調整",I431=""),"",IFERROR((INDEX(設定!$Q$8:$Q$27,MATCH(I431,設定!$P$8:$P$27,0))+N(INDEX(設定!$R$8:$R$27,MATCH(I431,設定!$P$8:$P$27,0))))-INDEX(定員チェック!$F$7:$F$26,MATCH(I431,設定!$P$8:$P$27,0))-COUNTIFS($M$7:$M$456,"要調整",$G$7:$G$456,I431),""))</f>
        <v/>
      </c>
      <c r="P431" s="8">
        <f>IFERROR(MATCH(SMALL(前年度名簿!$G$2:$G$451,425),前年度名簿!$G$2:$G$451,0),"")</f>
        <v/>
      </c>
      <c r="Q431" s="8">
        <f>IF(R431="","",IFERROR(MATCH(R431,希望入力!$M$2:$M$551,0),""))</f>
        <v/>
      </c>
      <c r="R431" s="8">
        <f>IF(P431="","",INDEX(前年度名簿!$F$2:$F$451,P431))</f>
        <v/>
      </c>
      <c r="S431" s="8">
        <f>IF(P431="","",INDEX(前年度名簿!$I$2:$I$451,P431))</f>
        <v/>
      </c>
      <c r="T431" s="8">
        <f>IF(OR(P431="",計算用!$B$1=0),"",IFERROR(MATCH(S431,新年度名簿!$H$2:$H$451,0),""))</f>
        <v/>
      </c>
      <c r="U431" s="8">
        <f>IF(OR(L431="",M431="転出"),"",IFERROR(MATCH(L431,設定!$P$8:$P$27,0),""))</f>
        <v/>
      </c>
      <c r="V431" s="8">
        <f>IF(U431="","",COUNTIF($U$7:U431,U431))</f>
        <v/>
      </c>
      <c r="W431" s="8">
        <f>IF(U431="","",U431*1000+V431)</f>
        <v/>
      </c>
    </row>
    <row r="432">
      <c r="A432" s="44">
        <f>IF(P432="","",INDEX(前年度名簿!$H$2:$H$451,P432))</f>
        <v/>
      </c>
      <c r="B432" s="44">
        <f>IF(P432="","",IFERROR(INDEX(設定!$G$8:$G$31,INT(INDEX(前年度名簿!$G$2:$G$451,P432)/1000)),INDEX(前年度名簿!$A$2:$A$451,P432)&amp;INDEX(前年度名簿!$B$2:$B$451,P432)))</f>
        <v/>
      </c>
      <c r="C432" s="44">
        <f>IF(P432="","",INDEX(前年度名簿!$C$2:$C$451,P432))</f>
        <v/>
      </c>
      <c r="D432" s="3">
        <f>IF(P432="","",INDEX(前年度名簿!$D$2:$D$451,P432))</f>
        <v/>
      </c>
      <c r="E432" s="44">
        <f>IF(T432="","",INDEX(新年度名簿!$K$2:$K$451,T432))</f>
        <v/>
      </c>
      <c r="F432" s="44">
        <f>IF(T432="","",INDEX(新年度名簿!$C$2:$C$451,T432))</f>
        <v/>
      </c>
      <c r="G432" s="44">
        <f>IF(Q432="","",INDEX(希望入力!$H$2:$H$551,Q432)&amp;"")</f>
        <v/>
      </c>
      <c r="H432" s="44">
        <f>IF(Q432="","",INDEX(希望入力!$I$2:$I$551,Q432)&amp;"")</f>
        <v/>
      </c>
      <c r="I432" s="44">
        <f>IF(Q432="","",INDEX(希望入力!$J$2:$J$551,Q432)&amp;"")</f>
        <v/>
      </c>
      <c r="J432" s="44">
        <f>IF(Q432="","",IF(G432="","要調整",IFERROR(IF(IF(OR(設定!$C$14="〇",設定!$C$14="○"),COUNTIFS($A$7:$A$456,"&gt;="&amp;A432,$G$7:$G$456,G432),COUNTIF($G$7:$G$456,G432))&lt;=(INDEX(設定!$Q$8:$Q$27,MATCH(G432,設定!$P$8:$P$27,0))+N(INDEX(設定!$R$8:$R$27,MATCH(G432,設定!$P$8:$P$27,0)))),G432,"要調整"),"要調整")))</f>
        <v/>
      </c>
      <c r="K432" s="40" t="n"/>
      <c r="L432" s="52">
        <f>IF(P432="","",IF(K432&lt;&gt;"",K432,IF(OR(J432="",J432="要調整"),"",J432)))</f>
        <v/>
      </c>
      <c r="M432" s="44">
        <f>IF(P432="","",IF(AND(計算用!$B$1=1,T432=""),"転出",IF(L432&lt;&gt;"","決定",IF(Q432="","未提出","要調整"))))</f>
        <v/>
      </c>
      <c r="N432" s="44">
        <f>IF(OR(M432&lt;&gt;"要調整",H432=""),"",IFERROR((INDEX(設定!$Q$8:$Q$27,MATCH(H432,設定!$P$8:$P$27,0))+N(INDEX(設定!$R$8:$R$27,MATCH(H432,設定!$P$8:$P$27,0))))-INDEX(定員チェック!$F$7:$F$26,MATCH(H432,設定!$P$8:$P$27,0))-COUNTIFS($M$7:$M$456,"要調整",$G$7:$G$456,H432),""))</f>
        <v/>
      </c>
      <c r="O432" s="44">
        <f>IF(OR(M432&lt;&gt;"要調整",I432=""),"",IFERROR((INDEX(設定!$Q$8:$Q$27,MATCH(I432,設定!$P$8:$P$27,0))+N(INDEX(設定!$R$8:$R$27,MATCH(I432,設定!$P$8:$P$27,0))))-INDEX(定員チェック!$F$7:$F$26,MATCH(I432,設定!$P$8:$P$27,0))-COUNTIFS($M$7:$M$456,"要調整",$G$7:$G$456,I432),""))</f>
        <v/>
      </c>
      <c r="P432" s="8">
        <f>IFERROR(MATCH(SMALL(前年度名簿!$G$2:$G$451,426),前年度名簿!$G$2:$G$451,0),"")</f>
        <v/>
      </c>
      <c r="Q432" s="8">
        <f>IF(R432="","",IFERROR(MATCH(R432,希望入力!$M$2:$M$551,0),""))</f>
        <v/>
      </c>
      <c r="R432" s="8">
        <f>IF(P432="","",INDEX(前年度名簿!$F$2:$F$451,P432))</f>
        <v/>
      </c>
      <c r="S432" s="8">
        <f>IF(P432="","",INDEX(前年度名簿!$I$2:$I$451,P432))</f>
        <v/>
      </c>
      <c r="T432" s="8">
        <f>IF(OR(P432="",計算用!$B$1=0),"",IFERROR(MATCH(S432,新年度名簿!$H$2:$H$451,0),""))</f>
        <v/>
      </c>
      <c r="U432" s="8">
        <f>IF(OR(L432="",M432="転出"),"",IFERROR(MATCH(L432,設定!$P$8:$P$27,0),""))</f>
        <v/>
      </c>
      <c r="V432" s="8">
        <f>IF(U432="","",COUNTIF($U$7:U432,U432))</f>
        <v/>
      </c>
      <c r="W432" s="8">
        <f>IF(U432="","",U432*1000+V432)</f>
        <v/>
      </c>
    </row>
    <row r="433">
      <c r="A433" s="44">
        <f>IF(P433="","",INDEX(前年度名簿!$H$2:$H$451,P433))</f>
        <v/>
      </c>
      <c r="B433" s="44">
        <f>IF(P433="","",IFERROR(INDEX(設定!$G$8:$G$31,INT(INDEX(前年度名簿!$G$2:$G$451,P433)/1000)),INDEX(前年度名簿!$A$2:$A$451,P433)&amp;INDEX(前年度名簿!$B$2:$B$451,P433)))</f>
        <v/>
      </c>
      <c r="C433" s="44">
        <f>IF(P433="","",INDEX(前年度名簿!$C$2:$C$451,P433))</f>
        <v/>
      </c>
      <c r="D433" s="3">
        <f>IF(P433="","",INDEX(前年度名簿!$D$2:$D$451,P433))</f>
        <v/>
      </c>
      <c r="E433" s="44">
        <f>IF(T433="","",INDEX(新年度名簿!$K$2:$K$451,T433))</f>
        <v/>
      </c>
      <c r="F433" s="44">
        <f>IF(T433="","",INDEX(新年度名簿!$C$2:$C$451,T433))</f>
        <v/>
      </c>
      <c r="G433" s="44">
        <f>IF(Q433="","",INDEX(希望入力!$H$2:$H$551,Q433)&amp;"")</f>
        <v/>
      </c>
      <c r="H433" s="44">
        <f>IF(Q433="","",INDEX(希望入力!$I$2:$I$551,Q433)&amp;"")</f>
        <v/>
      </c>
      <c r="I433" s="44">
        <f>IF(Q433="","",INDEX(希望入力!$J$2:$J$551,Q433)&amp;"")</f>
        <v/>
      </c>
      <c r="J433" s="44">
        <f>IF(Q433="","",IF(G433="","要調整",IFERROR(IF(IF(OR(設定!$C$14="〇",設定!$C$14="○"),COUNTIFS($A$7:$A$456,"&gt;="&amp;A433,$G$7:$G$456,G433),COUNTIF($G$7:$G$456,G433))&lt;=(INDEX(設定!$Q$8:$Q$27,MATCH(G433,設定!$P$8:$P$27,0))+N(INDEX(設定!$R$8:$R$27,MATCH(G433,設定!$P$8:$P$27,0)))),G433,"要調整"),"要調整")))</f>
        <v/>
      </c>
      <c r="K433" s="40" t="n"/>
      <c r="L433" s="52">
        <f>IF(P433="","",IF(K433&lt;&gt;"",K433,IF(OR(J433="",J433="要調整"),"",J433)))</f>
        <v/>
      </c>
      <c r="M433" s="44">
        <f>IF(P433="","",IF(AND(計算用!$B$1=1,T433=""),"転出",IF(L433&lt;&gt;"","決定",IF(Q433="","未提出","要調整"))))</f>
        <v/>
      </c>
      <c r="N433" s="44">
        <f>IF(OR(M433&lt;&gt;"要調整",H433=""),"",IFERROR((INDEX(設定!$Q$8:$Q$27,MATCH(H433,設定!$P$8:$P$27,0))+N(INDEX(設定!$R$8:$R$27,MATCH(H433,設定!$P$8:$P$27,0))))-INDEX(定員チェック!$F$7:$F$26,MATCH(H433,設定!$P$8:$P$27,0))-COUNTIFS($M$7:$M$456,"要調整",$G$7:$G$456,H433),""))</f>
        <v/>
      </c>
      <c r="O433" s="44">
        <f>IF(OR(M433&lt;&gt;"要調整",I433=""),"",IFERROR((INDEX(設定!$Q$8:$Q$27,MATCH(I433,設定!$P$8:$P$27,0))+N(INDEX(設定!$R$8:$R$27,MATCH(I433,設定!$P$8:$P$27,0))))-INDEX(定員チェック!$F$7:$F$26,MATCH(I433,設定!$P$8:$P$27,0))-COUNTIFS($M$7:$M$456,"要調整",$G$7:$G$456,I433),""))</f>
        <v/>
      </c>
      <c r="P433" s="8">
        <f>IFERROR(MATCH(SMALL(前年度名簿!$G$2:$G$451,427),前年度名簿!$G$2:$G$451,0),"")</f>
        <v/>
      </c>
      <c r="Q433" s="8">
        <f>IF(R433="","",IFERROR(MATCH(R433,希望入力!$M$2:$M$551,0),""))</f>
        <v/>
      </c>
      <c r="R433" s="8">
        <f>IF(P433="","",INDEX(前年度名簿!$F$2:$F$451,P433))</f>
        <v/>
      </c>
      <c r="S433" s="8">
        <f>IF(P433="","",INDEX(前年度名簿!$I$2:$I$451,P433))</f>
        <v/>
      </c>
      <c r="T433" s="8">
        <f>IF(OR(P433="",計算用!$B$1=0),"",IFERROR(MATCH(S433,新年度名簿!$H$2:$H$451,0),""))</f>
        <v/>
      </c>
      <c r="U433" s="8">
        <f>IF(OR(L433="",M433="転出"),"",IFERROR(MATCH(L433,設定!$P$8:$P$27,0),""))</f>
        <v/>
      </c>
      <c r="V433" s="8">
        <f>IF(U433="","",COUNTIF($U$7:U433,U433))</f>
        <v/>
      </c>
      <c r="W433" s="8">
        <f>IF(U433="","",U433*1000+V433)</f>
        <v/>
      </c>
    </row>
    <row r="434">
      <c r="A434" s="44">
        <f>IF(P434="","",INDEX(前年度名簿!$H$2:$H$451,P434))</f>
        <v/>
      </c>
      <c r="B434" s="44">
        <f>IF(P434="","",IFERROR(INDEX(設定!$G$8:$G$31,INT(INDEX(前年度名簿!$G$2:$G$451,P434)/1000)),INDEX(前年度名簿!$A$2:$A$451,P434)&amp;INDEX(前年度名簿!$B$2:$B$451,P434)))</f>
        <v/>
      </c>
      <c r="C434" s="44">
        <f>IF(P434="","",INDEX(前年度名簿!$C$2:$C$451,P434))</f>
        <v/>
      </c>
      <c r="D434" s="3">
        <f>IF(P434="","",INDEX(前年度名簿!$D$2:$D$451,P434))</f>
        <v/>
      </c>
      <c r="E434" s="44">
        <f>IF(T434="","",INDEX(新年度名簿!$K$2:$K$451,T434))</f>
        <v/>
      </c>
      <c r="F434" s="44">
        <f>IF(T434="","",INDEX(新年度名簿!$C$2:$C$451,T434))</f>
        <v/>
      </c>
      <c r="G434" s="44">
        <f>IF(Q434="","",INDEX(希望入力!$H$2:$H$551,Q434)&amp;"")</f>
        <v/>
      </c>
      <c r="H434" s="44">
        <f>IF(Q434="","",INDEX(希望入力!$I$2:$I$551,Q434)&amp;"")</f>
        <v/>
      </c>
      <c r="I434" s="44">
        <f>IF(Q434="","",INDEX(希望入力!$J$2:$J$551,Q434)&amp;"")</f>
        <v/>
      </c>
      <c r="J434" s="44">
        <f>IF(Q434="","",IF(G434="","要調整",IFERROR(IF(IF(OR(設定!$C$14="〇",設定!$C$14="○"),COUNTIFS($A$7:$A$456,"&gt;="&amp;A434,$G$7:$G$456,G434),COUNTIF($G$7:$G$456,G434))&lt;=(INDEX(設定!$Q$8:$Q$27,MATCH(G434,設定!$P$8:$P$27,0))+N(INDEX(設定!$R$8:$R$27,MATCH(G434,設定!$P$8:$P$27,0)))),G434,"要調整"),"要調整")))</f>
        <v/>
      </c>
      <c r="K434" s="40" t="n"/>
      <c r="L434" s="52">
        <f>IF(P434="","",IF(K434&lt;&gt;"",K434,IF(OR(J434="",J434="要調整"),"",J434)))</f>
        <v/>
      </c>
      <c r="M434" s="44">
        <f>IF(P434="","",IF(AND(計算用!$B$1=1,T434=""),"転出",IF(L434&lt;&gt;"","決定",IF(Q434="","未提出","要調整"))))</f>
        <v/>
      </c>
      <c r="N434" s="44">
        <f>IF(OR(M434&lt;&gt;"要調整",H434=""),"",IFERROR((INDEX(設定!$Q$8:$Q$27,MATCH(H434,設定!$P$8:$P$27,0))+N(INDEX(設定!$R$8:$R$27,MATCH(H434,設定!$P$8:$P$27,0))))-INDEX(定員チェック!$F$7:$F$26,MATCH(H434,設定!$P$8:$P$27,0))-COUNTIFS($M$7:$M$456,"要調整",$G$7:$G$456,H434),""))</f>
        <v/>
      </c>
      <c r="O434" s="44">
        <f>IF(OR(M434&lt;&gt;"要調整",I434=""),"",IFERROR((INDEX(設定!$Q$8:$Q$27,MATCH(I434,設定!$P$8:$P$27,0))+N(INDEX(設定!$R$8:$R$27,MATCH(I434,設定!$P$8:$P$27,0))))-INDEX(定員チェック!$F$7:$F$26,MATCH(I434,設定!$P$8:$P$27,0))-COUNTIFS($M$7:$M$456,"要調整",$G$7:$G$456,I434),""))</f>
        <v/>
      </c>
      <c r="P434" s="8">
        <f>IFERROR(MATCH(SMALL(前年度名簿!$G$2:$G$451,428),前年度名簿!$G$2:$G$451,0),"")</f>
        <v/>
      </c>
      <c r="Q434" s="8">
        <f>IF(R434="","",IFERROR(MATCH(R434,希望入力!$M$2:$M$551,0),""))</f>
        <v/>
      </c>
      <c r="R434" s="8">
        <f>IF(P434="","",INDEX(前年度名簿!$F$2:$F$451,P434))</f>
        <v/>
      </c>
      <c r="S434" s="8">
        <f>IF(P434="","",INDEX(前年度名簿!$I$2:$I$451,P434))</f>
        <v/>
      </c>
      <c r="T434" s="8">
        <f>IF(OR(P434="",計算用!$B$1=0),"",IFERROR(MATCH(S434,新年度名簿!$H$2:$H$451,0),""))</f>
        <v/>
      </c>
      <c r="U434" s="8">
        <f>IF(OR(L434="",M434="転出"),"",IFERROR(MATCH(L434,設定!$P$8:$P$27,0),""))</f>
        <v/>
      </c>
      <c r="V434" s="8">
        <f>IF(U434="","",COUNTIF($U$7:U434,U434))</f>
        <v/>
      </c>
      <c r="W434" s="8">
        <f>IF(U434="","",U434*1000+V434)</f>
        <v/>
      </c>
    </row>
    <row r="435">
      <c r="A435" s="44">
        <f>IF(P435="","",INDEX(前年度名簿!$H$2:$H$451,P435))</f>
        <v/>
      </c>
      <c r="B435" s="44">
        <f>IF(P435="","",IFERROR(INDEX(設定!$G$8:$G$31,INT(INDEX(前年度名簿!$G$2:$G$451,P435)/1000)),INDEX(前年度名簿!$A$2:$A$451,P435)&amp;INDEX(前年度名簿!$B$2:$B$451,P435)))</f>
        <v/>
      </c>
      <c r="C435" s="44">
        <f>IF(P435="","",INDEX(前年度名簿!$C$2:$C$451,P435))</f>
        <v/>
      </c>
      <c r="D435" s="3">
        <f>IF(P435="","",INDEX(前年度名簿!$D$2:$D$451,P435))</f>
        <v/>
      </c>
      <c r="E435" s="44">
        <f>IF(T435="","",INDEX(新年度名簿!$K$2:$K$451,T435))</f>
        <v/>
      </c>
      <c r="F435" s="44">
        <f>IF(T435="","",INDEX(新年度名簿!$C$2:$C$451,T435))</f>
        <v/>
      </c>
      <c r="G435" s="44">
        <f>IF(Q435="","",INDEX(希望入力!$H$2:$H$551,Q435)&amp;"")</f>
        <v/>
      </c>
      <c r="H435" s="44">
        <f>IF(Q435="","",INDEX(希望入力!$I$2:$I$551,Q435)&amp;"")</f>
        <v/>
      </c>
      <c r="I435" s="44">
        <f>IF(Q435="","",INDEX(希望入力!$J$2:$J$551,Q435)&amp;"")</f>
        <v/>
      </c>
      <c r="J435" s="44">
        <f>IF(Q435="","",IF(G435="","要調整",IFERROR(IF(IF(OR(設定!$C$14="〇",設定!$C$14="○"),COUNTIFS($A$7:$A$456,"&gt;="&amp;A435,$G$7:$G$456,G435),COUNTIF($G$7:$G$456,G435))&lt;=(INDEX(設定!$Q$8:$Q$27,MATCH(G435,設定!$P$8:$P$27,0))+N(INDEX(設定!$R$8:$R$27,MATCH(G435,設定!$P$8:$P$27,0)))),G435,"要調整"),"要調整")))</f>
        <v/>
      </c>
      <c r="K435" s="40" t="n"/>
      <c r="L435" s="52">
        <f>IF(P435="","",IF(K435&lt;&gt;"",K435,IF(OR(J435="",J435="要調整"),"",J435)))</f>
        <v/>
      </c>
      <c r="M435" s="44">
        <f>IF(P435="","",IF(AND(計算用!$B$1=1,T435=""),"転出",IF(L435&lt;&gt;"","決定",IF(Q435="","未提出","要調整"))))</f>
        <v/>
      </c>
      <c r="N435" s="44">
        <f>IF(OR(M435&lt;&gt;"要調整",H435=""),"",IFERROR((INDEX(設定!$Q$8:$Q$27,MATCH(H435,設定!$P$8:$P$27,0))+N(INDEX(設定!$R$8:$R$27,MATCH(H435,設定!$P$8:$P$27,0))))-INDEX(定員チェック!$F$7:$F$26,MATCH(H435,設定!$P$8:$P$27,0))-COUNTIFS($M$7:$M$456,"要調整",$G$7:$G$456,H435),""))</f>
        <v/>
      </c>
      <c r="O435" s="44">
        <f>IF(OR(M435&lt;&gt;"要調整",I435=""),"",IFERROR((INDEX(設定!$Q$8:$Q$27,MATCH(I435,設定!$P$8:$P$27,0))+N(INDEX(設定!$R$8:$R$27,MATCH(I435,設定!$P$8:$P$27,0))))-INDEX(定員チェック!$F$7:$F$26,MATCH(I435,設定!$P$8:$P$27,0))-COUNTIFS($M$7:$M$456,"要調整",$G$7:$G$456,I435),""))</f>
        <v/>
      </c>
      <c r="P435" s="8">
        <f>IFERROR(MATCH(SMALL(前年度名簿!$G$2:$G$451,429),前年度名簿!$G$2:$G$451,0),"")</f>
        <v/>
      </c>
      <c r="Q435" s="8">
        <f>IF(R435="","",IFERROR(MATCH(R435,希望入力!$M$2:$M$551,0),""))</f>
        <v/>
      </c>
      <c r="R435" s="8">
        <f>IF(P435="","",INDEX(前年度名簿!$F$2:$F$451,P435))</f>
        <v/>
      </c>
      <c r="S435" s="8">
        <f>IF(P435="","",INDEX(前年度名簿!$I$2:$I$451,P435))</f>
        <v/>
      </c>
      <c r="T435" s="8">
        <f>IF(OR(P435="",計算用!$B$1=0),"",IFERROR(MATCH(S435,新年度名簿!$H$2:$H$451,0),""))</f>
        <v/>
      </c>
      <c r="U435" s="8">
        <f>IF(OR(L435="",M435="転出"),"",IFERROR(MATCH(L435,設定!$P$8:$P$27,0),""))</f>
        <v/>
      </c>
      <c r="V435" s="8">
        <f>IF(U435="","",COUNTIF($U$7:U435,U435))</f>
        <v/>
      </c>
      <c r="W435" s="8">
        <f>IF(U435="","",U435*1000+V435)</f>
        <v/>
      </c>
    </row>
    <row r="436">
      <c r="A436" s="44">
        <f>IF(P436="","",INDEX(前年度名簿!$H$2:$H$451,P436))</f>
        <v/>
      </c>
      <c r="B436" s="44">
        <f>IF(P436="","",IFERROR(INDEX(設定!$G$8:$G$31,INT(INDEX(前年度名簿!$G$2:$G$451,P436)/1000)),INDEX(前年度名簿!$A$2:$A$451,P436)&amp;INDEX(前年度名簿!$B$2:$B$451,P436)))</f>
        <v/>
      </c>
      <c r="C436" s="44">
        <f>IF(P436="","",INDEX(前年度名簿!$C$2:$C$451,P436))</f>
        <v/>
      </c>
      <c r="D436" s="3">
        <f>IF(P436="","",INDEX(前年度名簿!$D$2:$D$451,P436))</f>
        <v/>
      </c>
      <c r="E436" s="44">
        <f>IF(T436="","",INDEX(新年度名簿!$K$2:$K$451,T436))</f>
        <v/>
      </c>
      <c r="F436" s="44">
        <f>IF(T436="","",INDEX(新年度名簿!$C$2:$C$451,T436))</f>
        <v/>
      </c>
      <c r="G436" s="44">
        <f>IF(Q436="","",INDEX(希望入力!$H$2:$H$551,Q436)&amp;"")</f>
        <v/>
      </c>
      <c r="H436" s="44">
        <f>IF(Q436="","",INDEX(希望入力!$I$2:$I$551,Q436)&amp;"")</f>
        <v/>
      </c>
      <c r="I436" s="44">
        <f>IF(Q436="","",INDEX(希望入力!$J$2:$J$551,Q436)&amp;"")</f>
        <v/>
      </c>
      <c r="J436" s="44">
        <f>IF(Q436="","",IF(G436="","要調整",IFERROR(IF(IF(OR(設定!$C$14="〇",設定!$C$14="○"),COUNTIFS($A$7:$A$456,"&gt;="&amp;A436,$G$7:$G$456,G436),COUNTIF($G$7:$G$456,G436))&lt;=(INDEX(設定!$Q$8:$Q$27,MATCH(G436,設定!$P$8:$P$27,0))+N(INDEX(設定!$R$8:$R$27,MATCH(G436,設定!$P$8:$P$27,0)))),G436,"要調整"),"要調整")))</f>
        <v/>
      </c>
      <c r="K436" s="40" t="n"/>
      <c r="L436" s="52">
        <f>IF(P436="","",IF(K436&lt;&gt;"",K436,IF(OR(J436="",J436="要調整"),"",J436)))</f>
        <v/>
      </c>
      <c r="M436" s="44">
        <f>IF(P436="","",IF(AND(計算用!$B$1=1,T436=""),"転出",IF(L436&lt;&gt;"","決定",IF(Q436="","未提出","要調整"))))</f>
        <v/>
      </c>
      <c r="N436" s="44">
        <f>IF(OR(M436&lt;&gt;"要調整",H436=""),"",IFERROR((INDEX(設定!$Q$8:$Q$27,MATCH(H436,設定!$P$8:$P$27,0))+N(INDEX(設定!$R$8:$R$27,MATCH(H436,設定!$P$8:$P$27,0))))-INDEX(定員チェック!$F$7:$F$26,MATCH(H436,設定!$P$8:$P$27,0))-COUNTIFS($M$7:$M$456,"要調整",$G$7:$G$456,H436),""))</f>
        <v/>
      </c>
      <c r="O436" s="44">
        <f>IF(OR(M436&lt;&gt;"要調整",I436=""),"",IFERROR((INDEX(設定!$Q$8:$Q$27,MATCH(I436,設定!$P$8:$P$27,0))+N(INDEX(設定!$R$8:$R$27,MATCH(I436,設定!$P$8:$P$27,0))))-INDEX(定員チェック!$F$7:$F$26,MATCH(I436,設定!$P$8:$P$27,0))-COUNTIFS($M$7:$M$456,"要調整",$G$7:$G$456,I436),""))</f>
        <v/>
      </c>
      <c r="P436" s="8">
        <f>IFERROR(MATCH(SMALL(前年度名簿!$G$2:$G$451,430),前年度名簿!$G$2:$G$451,0),"")</f>
        <v/>
      </c>
      <c r="Q436" s="8">
        <f>IF(R436="","",IFERROR(MATCH(R436,希望入力!$M$2:$M$551,0),""))</f>
        <v/>
      </c>
      <c r="R436" s="8">
        <f>IF(P436="","",INDEX(前年度名簿!$F$2:$F$451,P436))</f>
        <v/>
      </c>
      <c r="S436" s="8">
        <f>IF(P436="","",INDEX(前年度名簿!$I$2:$I$451,P436))</f>
        <v/>
      </c>
      <c r="T436" s="8">
        <f>IF(OR(P436="",計算用!$B$1=0),"",IFERROR(MATCH(S436,新年度名簿!$H$2:$H$451,0),""))</f>
        <v/>
      </c>
      <c r="U436" s="8">
        <f>IF(OR(L436="",M436="転出"),"",IFERROR(MATCH(L436,設定!$P$8:$P$27,0),""))</f>
        <v/>
      </c>
      <c r="V436" s="8">
        <f>IF(U436="","",COUNTIF($U$7:U436,U436))</f>
        <v/>
      </c>
      <c r="W436" s="8">
        <f>IF(U436="","",U436*1000+V436)</f>
        <v/>
      </c>
    </row>
    <row r="437">
      <c r="A437" s="44">
        <f>IF(P437="","",INDEX(前年度名簿!$H$2:$H$451,P437))</f>
        <v/>
      </c>
      <c r="B437" s="44">
        <f>IF(P437="","",IFERROR(INDEX(設定!$G$8:$G$31,INT(INDEX(前年度名簿!$G$2:$G$451,P437)/1000)),INDEX(前年度名簿!$A$2:$A$451,P437)&amp;INDEX(前年度名簿!$B$2:$B$451,P437)))</f>
        <v/>
      </c>
      <c r="C437" s="44">
        <f>IF(P437="","",INDEX(前年度名簿!$C$2:$C$451,P437))</f>
        <v/>
      </c>
      <c r="D437" s="3">
        <f>IF(P437="","",INDEX(前年度名簿!$D$2:$D$451,P437))</f>
        <v/>
      </c>
      <c r="E437" s="44">
        <f>IF(T437="","",INDEX(新年度名簿!$K$2:$K$451,T437))</f>
        <v/>
      </c>
      <c r="F437" s="44">
        <f>IF(T437="","",INDEX(新年度名簿!$C$2:$C$451,T437))</f>
        <v/>
      </c>
      <c r="G437" s="44">
        <f>IF(Q437="","",INDEX(希望入力!$H$2:$H$551,Q437)&amp;"")</f>
        <v/>
      </c>
      <c r="H437" s="44">
        <f>IF(Q437="","",INDEX(希望入力!$I$2:$I$551,Q437)&amp;"")</f>
        <v/>
      </c>
      <c r="I437" s="44">
        <f>IF(Q437="","",INDEX(希望入力!$J$2:$J$551,Q437)&amp;"")</f>
        <v/>
      </c>
      <c r="J437" s="44">
        <f>IF(Q437="","",IF(G437="","要調整",IFERROR(IF(IF(OR(設定!$C$14="〇",設定!$C$14="○"),COUNTIFS($A$7:$A$456,"&gt;="&amp;A437,$G$7:$G$456,G437),COUNTIF($G$7:$G$456,G437))&lt;=(INDEX(設定!$Q$8:$Q$27,MATCH(G437,設定!$P$8:$P$27,0))+N(INDEX(設定!$R$8:$R$27,MATCH(G437,設定!$P$8:$P$27,0)))),G437,"要調整"),"要調整")))</f>
        <v/>
      </c>
      <c r="K437" s="40" t="n"/>
      <c r="L437" s="52">
        <f>IF(P437="","",IF(K437&lt;&gt;"",K437,IF(OR(J437="",J437="要調整"),"",J437)))</f>
        <v/>
      </c>
      <c r="M437" s="44">
        <f>IF(P437="","",IF(AND(計算用!$B$1=1,T437=""),"転出",IF(L437&lt;&gt;"","決定",IF(Q437="","未提出","要調整"))))</f>
        <v/>
      </c>
      <c r="N437" s="44">
        <f>IF(OR(M437&lt;&gt;"要調整",H437=""),"",IFERROR((INDEX(設定!$Q$8:$Q$27,MATCH(H437,設定!$P$8:$P$27,0))+N(INDEX(設定!$R$8:$R$27,MATCH(H437,設定!$P$8:$P$27,0))))-INDEX(定員チェック!$F$7:$F$26,MATCH(H437,設定!$P$8:$P$27,0))-COUNTIFS($M$7:$M$456,"要調整",$G$7:$G$456,H437),""))</f>
        <v/>
      </c>
      <c r="O437" s="44">
        <f>IF(OR(M437&lt;&gt;"要調整",I437=""),"",IFERROR((INDEX(設定!$Q$8:$Q$27,MATCH(I437,設定!$P$8:$P$27,0))+N(INDEX(設定!$R$8:$R$27,MATCH(I437,設定!$P$8:$P$27,0))))-INDEX(定員チェック!$F$7:$F$26,MATCH(I437,設定!$P$8:$P$27,0))-COUNTIFS($M$7:$M$456,"要調整",$G$7:$G$456,I437),""))</f>
        <v/>
      </c>
      <c r="P437" s="8">
        <f>IFERROR(MATCH(SMALL(前年度名簿!$G$2:$G$451,431),前年度名簿!$G$2:$G$451,0),"")</f>
        <v/>
      </c>
      <c r="Q437" s="8">
        <f>IF(R437="","",IFERROR(MATCH(R437,希望入力!$M$2:$M$551,0),""))</f>
        <v/>
      </c>
      <c r="R437" s="8">
        <f>IF(P437="","",INDEX(前年度名簿!$F$2:$F$451,P437))</f>
        <v/>
      </c>
      <c r="S437" s="8">
        <f>IF(P437="","",INDEX(前年度名簿!$I$2:$I$451,P437))</f>
        <v/>
      </c>
      <c r="T437" s="8">
        <f>IF(OR(P437="",計算用!$B$1=0),"",IFERROR(MATCH(S437,新年度名簿!$H$2:$H$451,0),""))</f>
        <v/>
      </c>
      <c r="U437" s="8">
        <f>IF(OR(L437="",M437="転出"),"",IFERROR(MATCH(L437,設定!$P$8:$P$27,0),""))</f>
        <v/>
      </c>
      <c r="V437" s="8">
        <f>IF(U437="","",COUNTIF($U$7:U437,U437))</f>
        <v/>
      </c>
      <c r="W437" s="8">
        <f>IF(U437="","",U437*1000+V437)</f>
        <v/>
      </c>
    </row>
    <row r="438">
      <c r="A438" s="44">
        <f>IF(P438="","",INDEX(前年度名簿!$H$2:$H$451,P438))</f>
        <v/>
      </c>
      <c r="B438" s="44">
        <f>IF(P438="","",IFERROR(INDEX(設定!$G$8:$G$31,INT(INDEX(前年度名簿!$G$2:$G$451,P438)/1000)),INDEX(前年度名簿!$A$2:$A$451,P438)&amp;INDEX(前年度名簿!$B$2:$B$451,P438)))</f>
        <v/>
      </c>
      <c r="C438" s="44">
        <f>IF(P438="","",INDEX(前年度名簿!$C$2:$C$451,P438))</f>
        <v/>
      </c>
      <c r="D438" s="3">
        <f>IF(P438="","",INDEX(前年度名簿!$D$2:$D$451,P438))</f>
        <v/>
      </c>
      <c r="E438" s="44">
        <f>IF(T438="","",INDEX(新年度名簿!$K$2:$K$451,T438))</f>
        <v/>
      </c>
      <c r="F438" s="44">
        <f>IF(T438="","",INDEX(新年度名簿!$C$2:$C$451,T438))</f>
        <v/>
      </c>
      <c r="G438" s="44">
        <f>IF(Q438="","",INDEX(希望入力!$H$2:$H$551,Q438)&amp;"")</f>
        <v/>
      </c>
      <c r="H438" s="44">
        <f>IF(Q438="","",INDEX(希望入力!$I$2:$I$551,Q438)&amp;"")</f>
        <v/>
      </c>
      <c r="I438" s="44">
        <f>IF(Q438="","",INDEX(希望入力!$J$2:$J$551,Q438)&amp;"")</f>
        <v/>
      </c>
      <c r="J438" s="44">
        <f>IF(Q438="","",IF(G438="","要調整",IFERROR(IF(IF(OR(設定!$C$14="〇",設定!$C$14="○"),COUNTIFS($A$7:$A$456,"&gt;="&amp;A438,$G$7:$G$456,G438),COUNTIF($G$7:$G$456,G438))&lt;=(INDEX(設定!$Q$8:$Q$27,MATCH(G438,設定!$P$8:$P$27,0))+N(INDEX(設定!$R$8:$R$27,MATCH(G438,設定!$P$8:$P$27,0)))),G438,"要調整"),"要調整")))</f>
        <v/>
      </c>
      <c r="K438" s="40" t="n"/>
      <c r="L438" s="52">
        <f>IF(P438="","",IF(K438&lt;&gt;"",K438,IF(OR(J438="",J438="要調整"),"",J438)))</f>
        <v/>
      </c>
      <c r="M438" s="44">
        <f>IF(P438="","",IF(AND(計算用!$B$1=1,T438=""),"転出",IF(L438&lt;&gt;"","決定",IF(Q438="","未提出","要調整"))))</f>
        <v/>
      </c>
      <c r="N438" s="44">
        <f>IF(OR(M438&lt;&gt;"要調整",H438=""),"",IFERROR((INDEX(設定!$Q$8:$Q$27,MATCH(H438,設定!$P$8:$P$27,0))+N(INDEX(設定!$R$8:$R$27,MATCH(H438,設定!$P$8:$P$27,0))))-INDEX(定員チェック!$F$7:$F$26,MATCH(H438,設定!$P$8:$P$27,0))-COUNTIFS($M$7:$M$456,"要調整",$G$7:$G$456,H438),""))</f>
        <v/>
      </c>
      <c r="O438" s="44">
        <f>IF(OR(M438&lt;&gt;"要調整",I438=""),"",IFERROR((INDEX(設定!$Q$8:$Q$27,MATCH(I438,設定!$P$8:$P$27,0))+N(INDEX(設定!$R$8:$R$27,MATCH(I438,設定!$P$8:$P$27,0))))-INDEX(定員チェック!$F$7:$F$26,MATCH(I438,設定!$P$8:$P$27,0))-COUNTIFS($M$7:$M$456,"要調整",$G$7:$G$456,I438),""))</f>
        <v/>
      </c>
      <c r="P438" s="8">
        <f>IFERROR(MATCH(SMALL(前年度名簿!$G$2:$G$451,432),前年度名簿!$G$2:$G$451,0),"")</f>
        <v/>
      </c>
      <c r="Q438" s="8">
        <f>IF(R438="","",IFERROR(MATCH(R438,希望入力!$M$2:$M$551,0),""))</f>
        <v/>
      </c>
      <c r="R438" s="8">
        <f>IF(P438="","",INDEX(前年度名簿!$F$2:$F$451,P438))</f>
        <v/>
      </c>
      <c r="S438" s="8">
        <f>IF(P438="","",INDEX(前年度名簿!$I$2:$I$451,P438))</f>
        <v/>
      </c>
      <c r="T438" s="8">
        <f>IF(OR(P438="",計算用!$B$1=0),"",IFERROR(MATCH(S438,新年度名簿!$H$2:$H$451,0),""))</f>
        <v/>
      </c>
      <c r="U438" s="8">
        <f>IF(OR(L438="",M438="転出"),"",IFERROR(MATCH(L438,設定!$P$8:$P$27,0),""))</f>
        <v/>
      </c>
      <c r="V438" s="8">
        <f>IF(U438="","",COUNTIF($U$7:U438,U438))</f>
        <v/>
      </c>
      <c r="W438" s="8">
        <f>IF(U438="","",U438*1000+V438)</f>
        <v/>
      </c>
    </row>
    <row r="439">
      <c r="A439" s="44">
        <f>IF(P439="","",INDEX(前年度名簿!$H$2:$H$451,P439))</f>
        <v/>
      </c>
      <c r="B439" s="44">
        <f>IF(P439="","",IFERROR(INDEX(設定!$G$8:$G$31,INT(INDEX(前年度名簿!$G$2:$G$451,P439)/1000)),INDEX(前年度名簿!$A$2:$A$451,P439)&amp;INDEX(前年度名簿!$B$2:$B$451,P439)))</f>
        <v/>
      </c>
      <c r="C439" s="44">
        <f>IF(P439="","",INDEX(前年度名簿!$C$2:$C$451,P439))</f>
        <v/>
      </c>
      <c r="D439" s="3">
        <f>IF(P439="","",INDEX(前年度名簿!$D$2:$D$451,P439))</f>
        <v/>
      </c>
      <c r="E439" s="44">
        <f>IF(T439="","",INDEX(新年度名簿!$K$2:$K$451,T439))</f>
        <v/>
      </c>
      <c r="F439" s="44">
        <f>IF(T439="","",INDEX(新年度名簿!$C$2:$C$451,T439))</f>
        <v/>
      </c>
      <c r="G439" s="44">
        <f>IF(Q439="","",INDEX(希望入力!$H$2:$H$551,Q439)&amp;"")</f>
        <v/>
      </c>
      <c r="H439" s="44">
        <f>IF(Q439="","",INDEX(希望入力!$I$2:$I$551,Q439)&amp;"")</f>
        <v/>
      </c>
      <c r="I439" s="44">
        <f>IF(Q439="","",INDEX(希望入力!$J$2:$J$551,Q439)&amp;"")</f>
        <v/>
      </c>
      <c r="J439" s="44">
        <f>IF(Q439="","",IF(G439="","要調整",IFERROR(IF(IF(OR(設定!$C$14="〇",設定!$C$14="○"),COUNTIFS($A$7:$A$456,"&gt;="&amp;A439,$G$7:$G$456,G439),COUNTIF($G$7:$G$456,G439))&lt;=(INDEX(設定!$Q$8:$Q$27,MATCH(G439,設定!$P$8:$P$27,0))+N(INDEX(設定!$R$8:$R$27,MATCH(G439,設定!$P$8:$P$27,0)))),G439,"要調整"),"要調整")))</f>
        <v/>
      </c>
      <c r="K439" s="40" t="n"/>
      <c r="L439" s="52">
        <f>IF(P439="","",IF(K439&lt;&gt;"",K439,IF(OR(J439="",J439="要調整"),"",J439)))</f>
        <v/>
      </c>
      <c r="M439" s="44">
        <f>IF(P439="","",IF(AND(計算用!$B$1=1,T439=""),"転出",IF(L439&lt;&gt;"","決定",IF(Q439="","未提出","要調整"))))</f>
        <v/>
      </c>
      <c r="N439" s="44">
        <f>IF(OR(M439&lt;&gt;"要調整",H439=""),"",IFERROR((INDEX(設定!$Q$8:$Q$27,MATCH(H439,設定!$P$8:$P$27,0))+N(INDEX(設定!$R$8:$R$27,MATCH(H439,設定!$P$8:$P$27,0))))-INDEX(定員チェック!$F$7:$F$26,MATCH(H439,設定!$P$8:$P$27,0))-COUNTIFS($M$7:$M$456,"要調整",$G$7:$G$456,H439),""))</f>
        <v/>
      </c>
      <c r="O439" s="44">
        <f>IF(OR(M439&lt;&gt;"要調整",I439=""),"",IFERROR((INDEX(設定!$Q$8:$Q$27,MATCH(I439,設定!$P$8:$P$27,0))+N(INDEX(設定!$R$8:$R$27,MATCH(I439,設定!$P$8:$P$27,0))))-INDEX(定員チェック!$F$7:$F$26,MATCH(I439,設定!$P$8:$P$27,0))-COUNTIFS($M$7:$M$456,"要調整",$G$7:$G$456,I439),""))</f>
        <v/>
      </c>
      <c r="P439" s="8">
        <f>IFERROR(MATCH(SMALL(前年度名簿!$G$2:$G$451,433),前年度名簿!$G$2:$G$451,0),"")</f>
        <v/>
      </c>
      <c r="Q439" s="8">
        <f>IF(R439="","",IFERROR(MATCH(R439,希望入力!$M$2:$M$551,0),""))</f>
        <v/>
      </c>
      <c r="R439" s="8">
        <f>IF(P439="","",INDEX(前年度名簿!$F$2:$F$451,P439))</f>
        <v/>
      </c>
      <c r="S439" s="8">
        <f>IF(P439="","",INDEX(前年度名簿!$I$2:$I$451,P439))</f>
        <v/>
      </c>
      <c r="T439" s="8">
        <f>IF(OR(P439="",計算用!$B$1=0),"",IFERROR(MATCH(S439,新年度名簿!$H$2:$H$451,0),""))</f>
        <v/>
      </c>
      <c r="U439" s="8">
        <f>IF(OR(L439="",M439="転出"),"",IFERROR(MATCH(L439,設定!$P$8:$P$27,0),""))</f>
        <v/>
      </c>
      <c r="V439" s="8">
        <f>IF(U439="","",COUNTIF($U$7:U439,U439))</f>
        <v/>
      </c>
      <c r="W439" s="8">
        <f>IF(U439="","",U439*1000+V439)</f>
        <v/>
      </c>
    </row>
    <row r="440">
      <c r="A440" s="44">
        <f>IF(P440="","",INDEX(前年度名簿!$H$2:$H$451,P440))</f>
        <v/>
      </c>
      <c r="B440" s="44">
        <f>IF(P440="","",IFERROR(INDEX(設定!$G$8:$G$31,INT(INDEX(前年度名簿!$G$2:$G$451,P440)/1000)),INDEX(前年度名簿!$A$2:$A$451,P440)&amp;INDEX(前年度名簿!$B$2:$B$451,P440)))</f>
        <v/>
      </c>
      <c r="C440" s="44">
        <f>IF(P440="","",INDEX(前年度名簿!$C$2:$C$451,P440))</f>
        <v/>
      </c>
      <c r="D440" s="3">
        <f>IF(P440="","",INDEX(前年度名簿!$D$2:$D$451,P440))</f>
        <v/>
      </c>
      <c r="E440" s="44">
        <f>IF(T440="","",INDEX(新年度名簿!$K$2:$K$451,T440))</f>
        <v/>
      </c>
      <c r="F440" s="44">
        <f>IF(T440="","",INDEX(新年度名簿!$C$2:$C$451,T440))</f>
        <v/>
      </c>
      <c r="G440" s="44">
        <f>IF(Q440="","",INDEX(希望入力!$H$2:$H$551,Q440)&amp;"")</f>
        <v/>
      </c>
      <c r="H440" s="44">
        <f>IF(Q440="","",INDEX(希望入力!$I$2:$I$551,Q440)&amp;"")</f>
        <v/>
      </c>
      <c r="I440" s="44">
        <f>IF(Q440="","",INDEX(希望入力!$J$2:$J$551,Q440)&amp;"")</f>
        <v/>
      </c>
      <c r="J440" s="44">
        <f>IF(Q440="","",IF(G440="","要調整",IFERROR(IF(IF(OR(設定!$C$14="〇",設定!$C$14="○"),COUNTIFS($A$7:$A$456,"&gt;="&amp;A440,$G$7:$G$456,G440),COUNTIF($G$7:$G$456,G440))&lt;=(INDEX(設定!$Q$8:$Q$27,MATCH(G440,設定!$P$8:$P$27,0))+N(INDEX(設定!$R$8:$R$27,MATCH(G440,設定!$P$8:$P$27,0)))),G440,"要調整"),"要調整")))</f>
        <v/>
      </c>
      <c r="K440" s="40" t="n"/>
      <c r="L440" s="52">
        <f>IF(P440="","",IF(K440&lt;&gt;"",K440,IF(OR(J440="",J440="要調整"),"",J440)))</f>
        <v/>
      </c>
      <c r="M440" s="44">
        <f>IF(P440="","",IF(AND(計算用!$B$1=1,T440=""),"転出",IF(L440&lt;&gt;"","決定",IF(Q440="","未提出","要調整"))))</f>
        <v/>
      </c>
      <c r="N440" s="44">
        <f>IF(OR(M440&lt;&gt;"要調整",H440=""),"",IFERROR((INDEX(設定!$Q$8:$Q$27,MATCH(H440,設定!$P$8:$P$27,0))+N(INDEX(設定!$R$8:$R$27,MATCH(H440,設定!$P$8:$P$27,0))))-INDEX(定員チェック!$F$7:$F$26,MATCH(H440,設定!$P$8:$P$27,0))-COUNTIFS($M$7:$M$456,"要調整",$G$7:$G$456,H440),""))</f>
        <v/>
      </c>
      <c r="O440" s="44">
        <f>IF(OR(M440&lt;&gt;"要調整",I440=""),"",IFERROR((INDEX(設定!$Q$8:$Q$27,MATCH(I440,設定!$P$8:$P$27,0))+N(INDEX(設定!$R$8:$R$27,MATCH(I440,設定!$P$8:$P$27,0))))-INDEX(定員チェック!$F$7:$F$26,MATCH(I440,設定!$P$8:$P$27,0))-COUNTIFS($M$7:$M$456,"要調整",$G$7:$G$456,I440),""))</f>
        <v/>
      </c>
      <c r="P440" s="8">
        <f>IFERROR(MATCH(SMALL(前年度名簿!$G$2:$G$451,434),前年度名簿!$G$2:$G$451,0),"")</f>
        <v/>
      </c>
      <c r="Q440" s="8">
        <f>IF(R440="","",IFERROR(MATCH(R440,希望入力!$M$2:$M$551,0),""))</f>
        <v/>
      </c>
      <c r="R440" s="8">
        <f>IF(P440="","",INDEX(前年度名簿!$F$2:$F$451,P440))</f>
        <v/>
      </c>
      <c r="S440" s="8">
        <f>IF(P440="","",INDEX(前年度名簿!$I$2:$I$451,P440))</f>
        <v/>
      </c>
      <c r="T440" s="8">
        <f>IF(OR(P440="",計算用!$B$1=0),"",IFERROR(MATCH(S440,新年度名簿!$H$2:$H$451,0),""))</f>
        <v/>
      </c>
      <c r="U440" s="8">
        <f>IF(OR(L440="",M440="転出"),"",IFERROR(MATCH(L440,設定!$P$8:$P$27,0),""))</f>
        <v/>
      </c>
      <c r="V440" s="8">
        <f>IF(U440="","",COUNTIF($U$7:U440,U440))</f>
        <v/>
      </c>
      <c r="W440" s="8">
        <f>IF(U440="","",U440*1000+V440)</f>
        <v/>
      </c>
    </row>
    <row r="441">
      <c r="A441" s="44">
        <f>IF(P441="","",INDEX(前年度名簿!$H$2:$H$451,P441))</f>
        <v/>
      </c>
      <c r="B441" s="44">
        <f>IF(P441="","",IFERROR(INDEX(設定!$G$8:$G$31,INT(INDEX(前年度名簿!$G$2:$G$451,P441)/1000)),INDEX(前年度名簿!$A$2:$A$451,P441)&amp;INDEX(前年度名簿!$B$2:$B$451,P441)))</f>
        <v/>
      </c>
      <c r="C441" s="44">
        <f>IF(P441="","",INDEX(前年度名簿!$C$2:$C$451,P441))</f>
        <v/>
      </c>
      <c r="D441" s="3">
        <f>IF(P441="","",INDEX(前年度名簿!$D$2:$D$451,P441))</f>
        <v/>
      </c>
      <c r="E441" s="44">
        <f>IF(T441="","",INDEX(新年度名簿!$K$2:$K$451,T441))</f>
        <v/>
      </c>
      <c r="F441" s="44">
        <f>IF(T441="","",INDEX(新年度名簿!$C$2:$C$451,T441))</f>
        <v/>
      </c>
      <c r="G441" s="44">
        <f>IF(Q441="","",INDEX(希望入力!$H$2:$H$551,Q441)&amp;"")</f>
        <v/>
      </c>
      <c r="H441" s="44">
        <f>IF(Q441="","",INDEX(希望入力!$I$2:$I$551,Q441)&amp;"")</f>
        <v/>
      </c>
      <c r="I441" s="44">
        <f>IF(Q441="","",INDEX(希望入力!$J$2:$J$551,Q441)&amp;"")</f>
        <v/>
      </c>
      <c r="J441" s="44">
        <f>IF(Q441="","",IF(G441="","要調整",IFERROR(IF(IF(OR(設定!$C$14="〇",設定!$C$14="○"),COUNTIFS($A$7:$A$456,"&gt;="&amp;A441,$G$7:$G$456,G441),COUNTIF($G$7:$G$456,G441))&lt;=(INDEX(設定!$Q$8:$Q$27,MATCH(G441,設定!$P$8:$P$27,0))+N(INDEX(設定!$R$8:$R$27,MATCH(G441,設定!$P$8:$P$27,0)))),G441,"要調整"),"要調整")))</f>
        <v/>
      </c>
      <c r="K441" s="40" t="n"/>
      <c r="L441" s="52">
        <f>IF(P441="","",IF(K441&lt;&gt;"",K441,IF(OR(J441="",J441="要調整"),"",J441)))</f>
        <v/>
      </c>
      <c r="M441" s="44">
        <f>IF(P441="","",IF(AND(計算用!$B$1=1,T441=""),"転出",IF(L441&lt;&gt;"","決定",IF(Q441="","未提出","要調整"))))</f>
        <v/>
      </c>
      <c r="N441" s="44">
        <f>IF(OR(M441&lt;&gt;"要調整",H441=""),"",IFERROR((INDEX(設定!$Q$8:$Q$27,MATCH(H441,設定!$P$8:$P$27,0))+N(INDEX(設定!$R$8:$R$27,MATCH(H441,設定!$P$8:$P$27,0))))-INDEX(定員チェック!$F$7:$F$26,MATCH(H441,設定!$P$8:$P$27,0))-COUNTIFS($M$7:$M$456,"要調整",$G$7:$G$456,H441),""))</f>
        <v/>
      </c>
      <c r="O441" s="44">
        <f>IF(OR(M441&lt;&gt;"要調整",I441=""),"",IFERROR((INDEX(設定!$Q$8:$Q$27,MATCH(I441,設定!$P$8:$P$27,0))+N(INDEX(設定!$R$8:$R$27,MATCH(I441,設定!$P$8:$P$27,0))))-INDEX(定員チェック!$F$7:$F$26,MATCH(I441,設定!$P$8:$P$27,0))-COUNTIFS($M$7:$M$456,"要調整",$G$7:$G$456,I441),""))</f>
        <v/>
      </c>
      <c r="P441" s="8">
        <f>IFERROR(MATCH(SMALL(前年度名簿!$G$2:$G$451,435),前年度名簿!$G$2:$G$451,0),"")</f>
        <v/>
      </c>
      <c r="Q441" s="8">
        <f>IF(R441="","",IFERROR(MATCH(R441,希望入力!$M$2:$M$551,0),""))</f>
        <v/>
      </c>
      <c r="R441" s="8">
        <f>IF(P441="","",INDEX(前年度名簿!$F$2:$F$451,P441))</f>
        <v/>
      </c>
      <c r="S441" s="8">
        <f>IF(P441="","",INDEX(前年度名簿!$I$2:$I$451,P441))</f>
        <v/>
      </c>
      <c r="T441" s="8">
        <f>IF(OR(P441="",計算用!$B$1=0),"",IFERROR(MATCH(S441,新年度名簿!$H$2:$H$451,0),""))</f>
        <v/>
      </c>
      <c r="U441" s="8">
        <f>IF(OR(L441="",M441="転出"),"",IFERROR(MATCH(L441,設定!$P$8:$P$27,0),""))</f>
        <v/>
      </c>
      <c r="V441" s="8">
        <f>IF(U441="","",COUNTIF($U$7:U441,U441))</f>
        <v/>
      </c>
      <c r="W441" s="8">
        <f>IF(U441="","",U441*1000+V441)</f>
        <v/>
      </c>
    </row>
    <row r="442">
      <c r="A442" s="44">
        <f>IF(P442="","",INDEX(前年度名簿!$H$2:$H$451,P442))</f>
        <v/>
      </c>
      <c r="B442" s="44">
        <f>IF(P442="","",IFERROR(INDEX(設定!$G$8:$G$31,INT(INDEX(前年度名簿!$G$2:$G$451,P442)/1000)),INDEX(前年度名簿!$A$2:$A$451,P442)&amp;INDEX(前年度名簿!$B$2:$B$451,P442)))</f>
        <v/>
      </c>
      <c r="C442" s="44">
        <f>IF(P442="","",INDEX(前年度名簿!$C$2:$C$451,P442))</f>
        <v/>
      </c>
      <c r="D442" s="3">
        <f>IF(P442="","",INDEX(前年度名簿!$D$2:$D$451,P442))</f>
        <v/>
      </c>
      <c r="E442" s="44">
        <f>IF(T442="","",INDEX(新年度名簿!$K$2:$K$451,T442))</f>
        <v/>
      </c>
      <c r="F442" s="44">
        <f>IF(T442="","",INDEX(新年度名簿!$C$2:$C$451,T442))</f>
        <v/>
      </c>
      <c r="G442" s="44">
        <f>IF(Q442="","",INDEX(希望入力!$H$2:$H$551,Q442)&amp;"")</f>
        <v/>
      </c>
      <c r="H442" s="44">
        <f>IF(Q442="","",INDEX(希望入力!$I$2:$I$551,Q442)&amp;"")</f>
        <v/>
      </c>
      <c r="I442" s="44">
        <f>IF(Q442="","",INDEX(希望入力!$J$2:$J$551,Q442)&amp;"")</f>
        <v/>
      </c>
      <c r="J442" s="44">
        <f>IF(Q442="","",IF(G442="","要調整",IFERROR(IF(IF(OR(設定!$C$14="〇",設定!$C$14="○"),COUNTIFS($A$7:$A$456,"&gt;="&amp;A442,$G$7:$G$456,G442),COUNTIF($G$7:$G$456,G442))&lt;=(INDEX(設定!$Q$8:$Q$27,MATCH(G442,設定!$P$8:$P$27,0))+N(INDEX(設定!$R$8:$R$27,MATCH(G442,設定!$P$8:$P$27,0)))),G442,"要調整"),"要調整")))</f>
        <v/>
      </c>
      <c r="K442" s="40" t="n"/>
      <c r="L442" s="52">
        <f>IF(P442="","",IF(K442&lt;&gt;"",K442,IF(OR(J442="",J442="要調整"),"",J442)))</f>
        <v/>
      </c>
      <c r="M442" s="44">
        <f>IF(P442="","",IF(AND(計算用!$B$1=1,T442=""),"転出",IF(L442&lt;&gt;"","決定",IF(Q442="","未提出","要調整"))))</f>
        <v/>
      </c>
      <c r="N442" s="44">
        <f>IF(OR(M442&lt;&gt;"要調整",H442=""),"",IFERROR((INDEX(設定!$Q$8:$Q$27,MATCH(H442,設定!$P$8:$P$27,0))+N(INDEX(設定!$R$8:$R$27,MATCH(H442,設定!$P$8:$P$27,0))))-INDEX(定員チェック!$F$7:$F$26,MATCH(H442,設定!$P$8:$P$27,0))-COUNTIFS($M$7:$M$456,"要調整",$G$7:$G$456,H442),""))</f>
        <v/>
      </c>
      <c r="O442" s="44">
        <f>IF(OR(M442&lt;&gt;"要調整",I442=""),"",IFERROR((INDEX(設定!$Q$8:$Q$27,MATCH(I442,設定!$P$8:$P$27,0))+N(INDEX(設定!$R$8:$R$27,MATCH(I442,設定!$P$8:$P$27,0))))-INDEX(定員チェック!$F$7:$F$26,MATCH(I442,設定!$P$8:$P$27,0))-COUNTIFS($M$7:$M$456,"要調整",$G$7:$G$456,I442),""))</f>
        <v/>
      </c>
      <c r="P442" s="8">
        <f>IFERROR(MATCH(SMALL(前年度名簿!$G$2:$G$451,436),前年度名簿!$G$2:$G$451,0),"")</f>
        <v/>
      </c>
      <c r="Q442" s="8">
        <f>IF(R442="","",IFERROR(MATCH(R442,希望入力!$M$2:$M$551,0),""))</f>
        <v/>
      </c>
      <c r="R442" s="8">
        <f>IF(P442="","",INDEX(前年度名簿!$F$2:$F$451,P442))</f>
        <v/>
      </c>
      <c r="S442" s="8">
        <f>IF(P442="","",INDEX(前年度名簿!$I$2:$I$451,P442))</f>
        <v/>
      </c>
      <c r="T442" s="8">
        <f>IF(OR(P442="",計算用!$B$1=0),"",IFERROR(MATCH(S442,新年度名簿!$H$2:$H$451,0),""))</f>
        <v/>
      </c>
      <c r="U442" s="8">
        <f>IF(OR(L442="",M442="転出"),"",IFERROR(MATCH(L442,設定!$P$8:$P$27,0),""))</f>
        <v/>
      </c>
      <c r="V442" s="8">
        <f>IF(U442="","",COUNTIF($U$7:U442,U442))</f>
        <v/>
      </c>
      <c r="W442" s="8">
        <f>IF(U442="","",U442*1000+V442)</f>
        <v/>
      </c>
    </row>
    <row r="443">
      <c r="A443" s="44">
        <f>IF(P443="","",INDEX(前年度名簿!$H$2:$H$451,P443))</f>
        <v/>
      </c>
      <c r="B443" s="44">
        <f>IF(P443="","",IFERROR(INDEX(設定!$G$8:$G$31,INT(INDEX(前年度名簿!$G$2:$G$451,P443)/1000)),INDEX(前年度名簿!$A$2:$A$451,P443)&amp;INDEX(前年度名簿!$B$2:$B$451,P443)))</f>
        <v/>
      </c>
      <c r="C443" s="44">
        <f>IF(P443="","",INDEX(前年度名簿!$C$2:$C$451,P443))</f>
        <v/>
      </c>
      <c r="D443" s="3">
        <f>IF(P443="","",INDEX(前年度名簿!$D$2:$D$451,P443))</f>
        <v/>
      </c>
      <c r="E443" s="44">
        <f>IF(T443="","",INDEX(新年度名簿!$K$2:$K$451,T443))</f>
        <v/>
      </c>
      <c r="F443" s="44">
        <f>IF(T443="","",INDEX(新年度名簿!$C$2:$C$451,T443))</f>
        <v/>
      </c>
      <c r="G443" s="44">
        <f>IF(Q443="","",INDEX(希望入力!$H$2:$H$551,Q443)&amp;"")</f>
        <v/>
      </c>
      <c r="H443" s="44">
        <f>IF(Q443="","",INDEX(希望入力!$I$2:$I$551,Q443)&amp;"")</f>
        <v/>
      </c>
      <c r="I443" s="44">
        <f>IF(Q443="","",INDEX(希望入力!$J$2:$J$551,Q443)&amp;"")</f>
        <v/>
      </c>
      <c r="J443" s="44">
        <f>IF(Q443="","",IF(G443="","要調整",IFERROR(IF(IF(OR(設定!$C$14="〇",設定!$C$14="○"),COUNTIFS($A$7:$A$456,"&gt;="&amp;A443,$G$7:$G$456,G443),COUNTIF($G$7:$G$456,G443))&lt;=(INDEX(設定!$Q$8:$Q$27,MATCH(G443,設定!$P$8:$P$27,0))+N(INDEX(設定!$R$8:$R$27,MATCH(G443,設定!$P$8:$P$27,0)))),G443,"要調整"),"要調整")))</f>
        <v/>
      </c>
      <c r="K443" s="40" t="n"/>
      <c r="L443" s="52">
        <f>IF(P443="","",IF(K443&lt;&gt;"",K443,IF(OR(J443="",J443="要調整"),"",J443)))</f>
        <v/>
      </c>
      <c r="M443" s="44">
        <f>IF(P443="","",IF(AND(計算用!$B$1=1,T443=""),"転出",IF(L443&lt;&gt;"","決定",IF(Q443="","未提出","要調整"))))</f>
        <v/>
      </c>
      <c r="N443" s="44">
        <f>IF(OR(M443&lt;&gt;"要調整",H443=""),"",IFERROR((INDEX(設定!$Q$8:$Q$27,MATCH(H443,設定!$P$8:$P$27,0))+N(INDEX(設定!$R$8:$R$27,MATCH(H443,設定!$P$8:$P$27,0))))-INDEX(定員チェック!$F$7:$F$26,MATCH(H443,設定!$P$8:$P$27,0))-COUNTIFS($M$7:$M$456,"要調整",$G$7:$G$456,H443),""))</f>
        <v/>
      </c>
      <c r="O443" s="44">
        <f>IF(OR(M443&lt;&gt;"要調整",I443=""),"",IFERROR((INDEX(設定!$Q$8:$Q$27,MATCH(I443,設定!$P$8:$P$27,0))+N(INDEX(設定!$R$8:$R$27,MATCH(I443,設定!$P$8:$P$27,0))))-INDEX(定員チェック!$F$7:$F$26,MATCH(I443,設定!$P$8:$P$27,0))-COUNTIFS($M$7:$M$456,"要調整",$G$7:$G$456,I443),""))</f>
        <v/>
      </c>
      <c r="P443" s="8">
        <f>IFERROR(MATCH(SMALL(前年度名簿!$G$2:$G$451,437),前年度名簿!$G$2:$G$451,0),"")</f>
        <v/>
      </c>
      <c r="Q443" s="8">
        <f>IF(R443="","",IFERROR(MATCH(R443,希望入力!$M$2:$M$551,0),""))</f>
        <v/>
      </c>
      <c r="R443" s="8">
        <f>IF(P443="","",INDEX(前年度名簿!$F$2:$F$451,P443))</f>
        <v/>
      </c>
      <c r="S443" s="8">
        <f>IF(P443="","",INDEX(前年度名簿!$I$2:$I$451,P443))</f>
        <v/>
      </c>
      <c r="T443" s="8">
        <f>IF(OR(P443="",計算用!$B$1=0),"",IFERROR(MATCH(S443,新年度名簿!$H$2:$H$451,0),""))</f>
        <v/>
      </c>
      <c r="U443" s="8">
        <f>IF(OR(L443="",M443="転出"),"",IFERROR(MATCH(L443,設定!$P$8:$P$27,0),""))</f>
        <v/>
      </c>
      <c r="V443" s="8">
        <f>IF(U443="","",COUNTIF($U$7:U443,U443))</f>
        <v/>
      </c>
      <c r="W443" s="8">
        <f>IF(U443="","",U443*1000+V443)</f>
        <v/>
      </c>
    </row>
    <row r="444">
      <c r="A444" s="44">
        <f>IF(P444="","",INDEX(前年度名簿!$H$2:$H$451,P444))</f>
        <v/>
      </c>
      <c r="B444" s="44">
        <f>IF(P444="","",IFERROR(INDEX(設定!$G$8:$G$31,INT(INDEX(前年度名簿!$G$2:$G$451,P444)/1000)),INDEX(前年度名簿!$A$2:$A$451,P444)&amp;INDEX(前年度名簿!$B$2:$B$451,P444)))</f>
        <v/>
      </c>
      <c r="C444" s="44">
        <f>IF(P444="","",INDEX(前年度名簿!$C$2:$C$451,P444))</f>
        <v/>
      </c>
      <c r="D444" s="3">
        <f>IF(P444="","",INDEX(前年度名簿!$D$2:$D$451,P444))</f>
        <v/>
      </c>
      <c r="E444" s="44">
        <f>IF(T444="","",INDEX(新年度名簿!$K$2:$K$451,T444))</f>
        <v/>
      </c>
      <c r="F444" s="44">
        <f>IF(T444="","",INDEX(新年度名簿!$C$2:$C$451,T444))</f>
        <v/>
      </c>
      <c r="G444" s="44">
        <f>IF(Q444="","",INDEX(希望入力!$H$2:$H$551,Q444)&amp;"")</f>
        <v/>
      </c>
      <c r="H444" s="44">
        <f>IF(Q444="","",INDEX(希望入力!$I$2:$I$551,Q444)&amp;"")</f>
        <v/>
      </c>
      <c r="I444" s="44">
        <f>IF(Q444="","",INDEX(希望入力!$J$2:$J$551,Q444)&amp;"")</f>
        <v/>
      </c>
      <c r="J444" s="44">
        <f>IF(Q444="","",IF(G444="","要調整",IFERROR(IF(IF(OR(設定!$C$14="〇",設定!$C$14="○"),COUNTIFS($A$7:$A$456,"&gt;="&amp;A444,$G$7:$G$456,G444),COUNTIF($G$7:$G$456,G444))&lt;=(INDEX(設定!$Q$8:$Q$27,MATCH(G444,設定!$P$8:$P$27,0))+N(INDEX(設定!$R$8:$R$27,MATCH(G444,設定!$P$8:$P$27,0)))),G444,"要調整"),"要調整")))</f>
        <v/>
      </c>
      <c r="K444" s="40" t="n"/>
      <c r="L444" s="52">
        <f>IF(P444="","",IF(K444&lt;&gt;"",K444,IF(OR(J444="",J444="要調整"),"",J444)))</f>
        <v/>
      </c>
      <c r="M444" s="44">
        <f>IF(P444="","",IF(AND(計算用!$B$1=1,T444=""),"転出",IF(L444&lt;&gt;"","決定",IF(Q444="","未提出","要調整"))))</f>
        <v/>
      </c>
      <c r="N444" s="44">
        <f>IF(OR(M444&lt;&gt;"要調整",H444=""),"",IFERROR((INDEX(設定!$Q$8:$Q$27,MATCH(H444,設定!$P$8:$P$27,0))+N(INDEX(設定!$R$8:$R$27,MATCH(H444,設定!$P$8:$P$27,0))))-INDEX(定員チェック!$F$7:$F$26,MATCH(H444,設定!$P$8:$P$27,0))-COUNTIFS($M$7:$M$456,"要調整",$G$7:$G$456,H444),""))</f>
        <v/>
      </c>
      <c r="O444" s="44">
        <f>IF(OR(M444&lt;&gt;"要調整",I444=""),"",IFERROR((INDEX(設定!$Q$8:$Q$27,MATCH(I444,設定!$P$8:$P$27,0))+N(INDEX(設定!$R$8:$R$27,MATCH(I444,設定!$P$8:$P$27,0))))-INDEX(定員チェック!$F$7:$F$26,MATCH(I444,設定!$P$8:$P$27,0))-COUNTIFS($M$7:$M$456,"要調整",$G$7:$G$456,I444),""))</f>
        <v/>
      </c>
      <c r="P444" s="8">
        <f>IFERROR(MATCH(SMALL(前年度名簿!$G$2:$G$451,438),前年度名簿!$G$2:$G$451,0),"")</f>
        <v/>
      </c>
      <c r="Q444" s="8">
        <f>IF(R444="","",IFERROR(MATCH(R444,希望入力!$M$2:$M$551,0),""))</f>
        <v/>
      </c>
      <c r="R444" s="8">
        <f>IF(P444="","",INDEX(前年度名簿!$F$2:$F$451,P444))</f>
        <v/>
      </c>
      <c r="S444" s="8">
        <f>IF(P444="","",INDEX(前年度名簿!$I$2:$I$451,P444))</f>
        <v/>
      </c>
      <c r="T444" s="8">
        <f>IF(OR(P444="",計算用!$B$1=0),"",IFERROR(MATCH(S444,新年度名簿!$H$2:$H$451,0),""))</f>
        <v/>
      </c>
      <c r="U444" s="8">
        <f>IF(OR(L444="",M444="転出"),"",IFERROR(MATCH(L444,設定!$P$8:$P$27,0),""))</f>
        <v/>
      </c>
      <c r="V444" s="8">
        <f>IF(U444="","",COUNTIF($U$7:U444,U444))</f>
        <v/>
      </c>
      <c r="W444" s="8">
        <f>IF(U444="","",U444*1000+V444)</f>
        <v/>
      </c>
    </row>
    <row r="445">
      <c r="A445" s="44">
        <f>IF(P445="","",INDEX(前年度名簿!$H$2:$H$451,P445))</f>
        <v/>
      </c>
      <c r="B445" s="44">
        <f>IF(P445="","",IFERROR(INDEX(設定!$G$8:$G$31,INT(INDEX(前年度名簿!$G$2:$G$451,P445)/1000)),INDEX(前年度名簿!$A$2:$A$451,P445)&amp;INDEX(前年度名簿!$B$2:$B$451,P445)))</f>
        <v/>
      </c>
      <c r="C445" s="44">
        <f>IF(P445="","",INDEX(前年度名簿!$C$2:$C$451,P445))</f>
        <v/>
      </c>
      <c r="D445" s="3">
        <f>IF(P445="","",INDEX(前年度名簿!$D$2:$D$451,P445))</f>
        <v/>
      </c>
      <c r="E445" s="44">
        <f>IF(T445="","",INDEX(新年度名簿!$K$2:$K$451,T445))</f>
        <v/>
      </c>
      <c r="F445" s="44">
        <f>IF(T445="","",INDEX(新年度名簿!$C$2:$C$451,T445))</f>
        <v/>
      </c>
      <c r="G445" s="44">
        <f>IF(Q445="","",INDEX(希望入力!$H$2:$H$551,Q445)&amp;"")</f>
        <v/>
      </c>
      <c r="H445" s="44">
        <f>IF(Q445="","",INDEX(希望入力!$I$2:$I$551,Q445)&amp;"")</f>
        <v/>
      </c>
      <c r="I445" s="44">
        <f>IF(Q445="","",INDEX(希望入力!$J$2:$J$551,Q445)&amp;"")</f>
        <v/>
      </c>
      <c r="J445" s="44">
        <f>IF(Q445="","",IF(G445="","要調整",IFERROR(IF(IF(OR(設定!$C$14="〇",設定!$C$14="○"),COUNTIFS($A$7:$A$456,"&gt;="&amp;A445,$G$7:$G$456,G445),COUNTIF($G$7:$G$456,G445))&lt;=(INDEX(設定!$Q$8:$Q$27,MATCH(G445,設定!$P$8:$P$27,0))+N(INDEX(設定!$R$8:$R$27,MATCH(G445,設定!$P$8:$P$27,0)))),G445,"要調整"),"要調整")))</f>
        <v/>
      </c>
      <c r="K445" s="40" t="n"/>
      <c r="L445" s="52">
        <f>IF(P445="","",IF(K445&lt;&gt;"",K445,IF(OR(J445="",J445="要調整"),"",J445)))</f>
        <v/>
      </c>
      <c r="M445" s="44">
        <f>IF(P445="","",IF(AND(計算用!$B$1=1,T445=""),"転出",IF(L445&lt;&gt;"","決定",IF(Q445="","未提出","要調整"))))</f>
        <v/>
      </c>
      <c r="N445" s="44">
        <f>IF(OR(M445&lt;&gt;"要調整",H445=""),"",IFERROR((INDEX(設定!$Q$8:$Q$27,MATCH(H445,設定!$P$8:$P$27,0))+N(INDEX(設定!$R$8:$R$27,MATCH(H445,設定!$P$8:$P$27,0))))-INDEX(定員チェック!$F$7:$F$26,MATCH(H445,設定!$P$8:$P$27,0))-COUNTIFS($M$7:$M$456,"要調整",$G$7:$G$456,H445),""))</f>
        <v/>
      </c>
      <c r="O445" s="44">
        <f>IF(OR(M445&lt;&gt;"要調整",I445=""),"",IFERROR((INDEX(設定!$Q$8:$Q$27,MATCH(I445,設定!$P$8:$P$27,0))+N(INDEX(設定!$R$8:$R$27,MATCH(I445,設定!$P$8:$P$27,0))))-INDEX(定員チェック!$F$7:$F$26,MATCH(I445,設定!$P$8:$P$27,0))-COUNTIFS($M$7:$M$456,"要調整",$G$7:$G$456,I445),""))</f>
        <v/>
      </c>
      <c r="P445" s="8">
        <f>IFERROR(MATCH(SMALL(前年度名簿!$G$2:$G$451,439),前年度名簿!$G$2:$G$451,0),"")</f>
        <v/>
      </c>
      <c r="Q445" s="8">
        <f>IF(R445="","",IFERROR(MATCH(R445,希望入力!$M$2:$M$551,0),""))</f>
        <v/>
      </c>
      <c r="R445" s="8">
        <f>IF(P445="","",INDEX(前年度名簿!$F$2:$F$451,P445))</f>
        <v/>
      </c>
      <c r="S445" s="8">
        <f>IF(P445="","",INDEX(前年度名簿!$I$2:$I$451,P445))</f>
        <v/>
      </c>
      <c r="T445" s="8">
        <f>IF(OR(P445="",計算用!$B$1=0),"",IFERROR(MATCH(S445,新年度名簿!$H$2:$H$451,0),""))</f>
        <v/>
      </c>
      <c r="U445" s="8">
        <f>IF(OR(L445="",M445="転出"),"",IFERROR(MATCH(L445,設定!$P$8:$P$27,0),""))</f>
        <v/>
      </c>
      <c r="V445" s="8">
        <f>IF(U445="","",COUNTIF($U$7:U445,U445))</f>
        <v/>
      </c>
      <c r="W445" s="8">
        <f>IF(U445="","",U445*1000+V445)</f>
        <v/>
      </c>
    </row>
    <row r="446">
      <c r="A446" s="44">
        <f>IF(P446="","",INDEX(前年度名簿!$H$2:$H$451,P446))</f>
        <v/>
      </c>
      <c r="B446" s="44">
        <f>IF(P446="","",IFERROR(INDEX(設定!$G$8:$G$31,INT(INDEX(前年度名簿!$G$2:$G$451,P446)/1000)),INDEX(前年度名簿!$A$2:$A$451,P446)&amp;INDEX(前年度名簿!$B$2:$B$451,P446)))</f>
        <v/>
      </c>
      <c r="C446" s="44">
        <f>IF(P446="","",INDEX(前年度名簿!$C$2:$C$451,P446))</f>
        <v/>
      </c>
      <c r="D446" s="3">
        <f>IF(P446="","",INDEX(前年度名簿!$D$2:$D$451,P446))</f>
        <v/>
      </c>
      <c r="E446" s="44">
        <f>IF(T446="","",INDEX(新年度名簿!$K$2:$K$451,T446))</f>
        <v/>
      </c>
      <c r="F446" s="44">
        <f>IF(T446="","",INDEX(新年度名簿!$C$2:$C$451,T446))</f>
        <v/>
      </c>
      <c r="G446" s="44">
        <f>IF(Q446="","",INDEX(希望入力!$H$2:$H$551,Q446)&amp;"")</f>
        <v/>
      </c>
      <c r="H446" s="44">
        <f>IF(Q446="","",INDEX(希望入力!$I$2:$I$551,Q446)&amp;"")</f>
        <v/>
      </c>
      <c r="I446" s="44">
        <f>IF(Q446="","",INDEX(希望入力!$J$2:$J$551,Q446)&amp;"")</f>
        <v/>
      </c>
      <c r="J446" s="44">
        <f>IF(Q446="","",IF(G446="","要調整",IFERROR(IF(IF(OR(設定!$C$14="〇",設定!$C$14="○"),COUNTIFS($A$7:$A$456,"&gt;="&amp;A446,$G$7:$G$456,G446),COUNTIF($G$7:$G$456,G446))&lt;=(INDEX(設定!$Q$8:$Q$27,MATCH(G446,設定!$P$8:$P$27,0))+N(INDEX(設定!$R$8:$R$27,MATCH(G446,設定!$P$8:$P$27,0)))),G446,"要調整"),"要調整")))</f>
        <v/>
      </c>
      <c r="K446" s="40" t="n"/>
      <c r="L446" s="52">
        <f>IF(P446="","",IF(K446&lt;&gt;"",K446,IF(OR(J446="",J446="要調整"),"",J446)))</f>
        <v/>
      </c>
      <c r="M446" s="44">
        <f>IF(P446="","",IF(AND(計算用!$B$1=1,T446=""),"転出",IF(L446&lt;&gt;"","決定",IF(Q446="","未提出","要調整"))))</f>
        <v/>
      </c>
      <c r="N446" s="44">
        <f>IF(OR(M446&lt;&gt;"要調整",H446=""),"",IFERROR((INDEX(設定!$Q$8:$Q$27,MATCH(H446,設定!$P$8:$P$27,0))+N(INDEX(設定!$R$8:$R$27,MATCH(H446,設定!$P$8:$P$27,0))))-INDEX(定員チェック!$F$7:$F$26,MATCH(H446,設定!$P$8:$P$27,0))-COUNTIFS($M$7:$M$456,"要調整",$G$7:$G$456,H446),""))</f>
        <v/>
      </c>
      <c r="O446" s="44">
        <f>IF(OR(M446&lt;&gt;"要調整",I446=""),"",IFERROR((INDEX(設定!$Q$8:$Q$27,MATCH(I446,設定!$P$8:$P$27,0))+N(INDEX(設定!$R$8:$R$27,MATCH(I446,設定!$P$8:$P$27,0))))-INDEX(定員チェック!$F$7:$F$26,MATCH(I446,設定!$P$8:$P$27,0))-COUNTIFS($M$7:$M$456,"要調整",$G$7:$G$456,I446),""))</f>
        <v/>
      </c>
      <c r="P446" s="8">
        <f>IFERROR(MATCH(SMALL(前年度名簿!$G$2:$G$451,440),前年度名簿!$G$2:$G$451,0),"")</f>
        <v/>
      </c>
      <c r="Q446" s="8">
        <f>IF(R446="","",IFERROR(MATCH(R446,希望入力!$M$2:$M$551,0),""))</f>
        <v/>
      </c>
      <c r="R446" s="8">
        <f>IF(P446="","",INDEX(前年度名簿!$F$2:$F$451,P446))</f>
        <v/>
      </c>
      <c r="S446" s="8">
        <f>IF(P446="","",INDEX(前年度名簿!$I$2:$I$451,P446))</f>
        <v/>
      </c>
      <c r="T446" s="8">
        <f>IF(OR(P446="",計算用!$B$1=0),"",IFERROR(MATCH(S446,新年度名簿!$H$2:$H$451,0),""))</f>
        <v/>
      </c>
      <c r="U446" s="8">
        <f>IF(OR(L446="",M446="転出"),"",IFERROR(MATCH(L446,設定!$P$8:$P$27,0),""))</f>
        <v/>
      </c>
      <c r="V446" s="8">
        <f>IF(U446="","",COUNTIF($U$7:U446,U446))</f>
        <v/>
      </c>
      <c r="W446" s="8">
        <f>IF(U446="","",U446*1000+V446)</f>
        <v/>
      </c>
    </row>
    <row r="447">
      <c r="A447" s="44">
        <f>IF(P447="","",INDEX(前年度名簿!$H$2:$H$451,P447))</f>
        <v/>
      </c>
      <c r="B447" s="44">
        <f>IF(P447="","",IFERROR(INDEX(設定!$G$8:$G$31,INT(INDEX(前年度名簿!$G$2:$G$451,P447)/1000)),INDEX(前年度名簿!$A$2:$A$451,P447)&amp;INDEX(前年度名簿!$B$2:$B$451,P447)))</f>
        <v/>
      </c>
      <c r="C447" s="44">
        <f>IF(P447="","",INDEX(前年度名簿!$C$2:$C$451,P447))</f>
        <v/>
      </c>
      <c r="D447" s="3">
        <f>IF(P447="","",INDEX(前年度名簿!$D$2:$D$451,P447))</f>
        <v/>
      </c>
      <c r="E447" s="44">
        <f>IF(T447="","",INDEX(新年度名簿!$K$2:$K$451,T447))</f>
        <v/>
      </c>
      <c r="F447" s="44">
        <f>IF(T447="","",INDEX(新年度名簿!$C$2:$C$451,T447))</f>
        <v/>
      </c>
      <c r="G447" s="44">
        <f>IF(Q447="","",INDEX(希望入力!$H$2:$H$551,Q447)&amp;"")</f>
        <v/>
      </c>
      <c r="H447" s="44">
        <f>IF(Q447="","",INDEX(希望入力!$I$2:$I$551,Q447)&amp;"")</f>
        <v/>
      </c>
      <c r="I447" s="44">
        <f>IF(Q447="","",INDEX(希望入力!$J$2:$J$551,Q447)&amp;"")</f>
        <v/>
      </c>
      <c r="J447" s="44">
        <f>IF(Q447="","",IF(G447="","要調整",IFERROR(IF(IF(OR(設定!$C$14="〇",設定!$C$14="○"),COUNTIFS($A$7:$A$456,"&gt;="&amp;A447,$G$7:$G$456,G447),COUNTIF($G$7:$G$456,G447))&lt;=(INDEX(設定!$Q$8:$Q$27,MATCH(G447,設定!$P$8:$P$27,0))+N(INDEX(設定!$R$8:$R$27,MATCH(G447,設定!$P$8:$P$27,0)))),G447,"要調整"),"要調整")))</f>
        <v/>
      </c>
      <c r="K447" s="40" t="n"/>
      <c r="L447" s="52">
        <f>IF(P447="","",IF(K447&lt;&gt;"",K447,IF(OR(J447="",J447="要調整"),"",J447)))</f>
        <v/>
      </c>
      <c r="M447" s="44">
        <f>IF(P447="","",IF(AND(計算用!$B$1=1,T447=""),"転出",IF(L447&lt;&gt;"","決定",IF(Q447="","未提出","要調整"))))</f>
        <v/>
      </c>
      <c r="N447" s="44">
        <f>IF(OR(M447&lt;&gt;"要調整",H447=""),"",IFERROR((INDEX(設定!$Q$8:$Q$27,MATCH(H447,設定!$P$8:$P$27,0))+N(INDEX(設定!$R$8:$R$27,MATCH(H447,設定!$P$8:$P$27,0))))-INDEX(定員チェック!$F$7:$F$26,MATCH(H447,設定!$P$8:$P$27,0))-COUNTIFS($M$7:$M$456,"要調整",$G$7:$G$456,H447),""))</f>
        <v/>
      </c>
      <c r="O447" s="44">
        <f>IF(OR(M447&lt;&gt;"要調整",I447=""),"",IFERROR((INDEX(設定!$Q$8:$Q$27,MATCH(I447,設定!$P$8:$P$27,0))+N(INDEX(設定!$R$8:$R$27,MATCH(I447,設定!$P$8:$P$27,0))))-INDEX(定員チェック!$F$7:$F$26,MATCH(I447,設定!$P$8:$P$27,0))-COUNTIFS($M$7:$M$456,"要調整",$G$7:$G$456,I447),""))</f>
        <v/>
      </c>
      <c r="P447" s="8">
        <f>IFERROR(MATCH(SMALL(前年度名簿!$G$2:$G$451,441),前年度名簿!$G$2:$G$451,0),"")</f>
        <v/>
      </c>
      <c r="Q447" s="8">
        <f>IF(R447="","",IFERROR(MATCH(R447,希望入力!$M$2:$M$551,0),""))</f>
        <v/>
      </c>
      <c r="R447" s="8">
        <f>IF(P447="","",INDEX(前年度名簿!$F$2:$F$451,P447))</f>
        <v/>
      </c>
      <c r="S447" s="8">
        <f>IF(P447="","",INDEX(前年度名簿!$I$2:$I$451,P447))</f>
        <v/>
      </c>
      <c r="T447" s="8">
        <f>IF(OR(P447="",計算用!$B$1=0),"",IFERROR(MATCH(S447,新年度名簿!$H$2:$H$451,0),""))</f>
        <v/>
      </c>
      <c r="U447" s="8">
        <f>IF(OR(L447="",M447="転出"),"",IFERROR(MATCH(L447,設定!$P$8:$P$27,0),""))</f>
        <v/>
      </c>
      <c r="V447" s="8">
        <f>IF(U447="","",COUNTIF($U$7:U447,U447))</f>
        <v/>
      </c>
      <c r="W447" s="8">
        <f>IF(U447="","",U447*1000+V447)</f>
        <v/>
      </c>
    </row>
    <row r="448">
      <c r="A448" s="44">
        <f>IF(P448="","",INDEX(前年度名簿!$H$2:$H$451,P448))</f>
        <v/>
      </c>
      <c r="B448" s="44">
        <f>IF(P448="","",IFERROR(INDEX(設定!$G$8:$G$31,INT(INDEX(前年度名簿!$G$2:$G$451,P448)/1000)),INDEX(前年度名簿!$A$2:$A$451,P448)&amp;INDEX(前年度名簿!$B$2:$B$451,P448)))</f>
        <v/>
      </c>
      <c r="C448" s="44">
        <f>IF(P448="","",INDEX(前年度名簿!$C$2:$C$451,P448))</f>
        <v/>
      </c>
      <c r="D448" s="3">
        <f>IF(P448="","",INDEX(前年度名簿!$D$2:$D$451,P448))</f>
        <v/>
      </c>
      <c r="E448" s="44">
        <f>IF(T448="","",INDEX(新年度名簿!$K$2:$K$451,T448))</f>
        <v/>
      </c>
      <c r="F448" s="44">
        <f>IF(T448="","",INDEX(新年度名簿!$C$2:$C$451,T448))</f>
        <v/>
      </c>
      <c r="G448" s="44">
        <f>IF(Q448="","",INDEX(希望入力!$H$2:$H$551,Q448)&amp;"")</f>
        <v/>
      </c>
      <c r="H448" s="44">
        <f>IF(Q448="","",INDEX(希望入力!$I$2:$I$551,Q448)&amp;"")</f>
        <v/>
      </c>
      <c r="I448" s="44">
        <f>IF(Q448="","",INDEX(希望入力!$J$2:$J$551,Q448)&amp;"")</f>
        <v/>
      </c>
      <c r="J448" s="44">
        <f>IF(Q448="","",IF(G448="","要調整",IFERROR(IF(IF(OR(設定!$C$14="〇",設定!$C$14="○"),COUNTIFS($A$7:$A$456,"&gt;="&amp;A448,$G$7:$G$456,G448),COUNTIF($G$7:$G$456,G448))&lt;=(INDEX(設定!$Q$8:$Q$27,MATCH(G448,設定!$P$8:$P$27,0))+N(INDEX(設定!$R$8:$R$27,MATCH(G448,設定!$P$8:$P$27,0)))),G448,"要調整"),"要調整")))</f>
        <v/>
      </c>
      <c r="K448" s="40" t="n"/>
      <c r="L448" s="52">
        <f>IF(P448="","",IF(K448&lt;&gt;"",K448,IF(OR(J448="",J448="要調整"),"",J448)))</f>
        <v/>
      </c>
      <c r="M448" s="44">
        <f>IF(P448="","",IF(AND(計算用!$B$1=1,T448=""),"転出",IF(L448&lt;&gt;"","決定",IF(Q448="","未提出","要調整"))))</f>
        <v/>
      </c>
      <c r="N448" s="44">
        <f>IF(OR(M448&lt;&gt;"要調整",H448=""),"",IFERROR((INDEX(設定!$Q$8:$Q$27,MATCH(H448,設定!$P$8:$P$27,0))+N(INDEX(設定!$R$8:$R$27,MATCH(H448,設定!$P$8:$P$27,0))))-INDEX(定員チェック!$F$7:$F$26,MATCH(H448,設定!$P$8:$P$27,0))-COUNTIFS($M$7:$M$456,"要調整",$G$7:$G$456,H448),""))</f>
        <v/>
      </c>
      <c r="O448" s="44">
        <f>IF(OR(M448&lt;&gt;"要調整",I448=""),"",IFERROR((INDEX(設定!$Q$8:$Q$27,MATCH(I448,設定!$P$8:$P$27,0))+N(INDEX(設定!$R$8:$R$27,MATCH(I448,設定!$P$8:$P$27,0))))-INDEX(定員チェック!$F$7:$F$26,MATCH(I448,設定!$P$8:$P$27,0))-COUNTIFS($M$7:$M$456,"要調整",$G$7:$G$456,I448),""))</f>
        <v/>
      </c>
      <c r="P448" s="8">
        <f>IFERROR(MATCH(SMALL(前年度名簿!$G$2:$G$451,442),前年度名簿!$G$2:$G$451,0),"")</f>
        <v/>
      </c>
      <c r="Q448" s="8">
        <f>IF(R448="","",IFERROR(MATCH(R448,希望入力!$M$2:$M$551,0),""))</f>
        <v/>
      </c>
      <c r="R448" s="8">
        <f>IF(P448="","",INDEX(前年度名簿!$F$2:$F$451,P448))</f>
        <v/>
      </c>
      <c r="S448" s="8">
        <f>IF(P448="","",INDEX(前年度名簿!$I$2:$I$451,P448))</f>
        <v/>
      </c>
      <c r="T448" s="8">
        <f>IF(OR(P448="",計算用!$B$1=0),"",IFERROR(MATCH(S448,新年度名簿!$H$2:$H$451,0),""))</f>
        <v/>
      </c>
      <c r="U448" s="8">
        <f>IF(OR(L448="",M448="転出"),"",IFERROR(MATCH(L448,設定!$P$8:$P$27,0),""))</f>
        <v/>
      </c>
      <c r="V448" s="8">
        <f>IF(U448="","",COUNTIF($U$7:U448,U448))</f>
        <v/>
      </c>
      <c r="W448" s="8">
        <f>IF(U448="","",U448*1000+V448)</f>
        <v/>
      </c>
    </row>
    <row r="449">
      <c r="A449" s="44">
        <f>IF(P449="","",INDEX(前年度名簿!$H$2:$H$451,P449))</f>
        <v/>
      </c>
      <c r="B449" s="44">
        <f>IF(P449="","",IFERROR(INDEX(設定!$G$8:$G$31,INT(INDEX(前年度名簿!$G$2:$G$451,P449)/1000)),INDEX(前年度名簿!$A$2:$A$451,P449)&amp;INDEX(前年度名簿!$B$2:$B$451,P449)))</f>
        <v/>
      </c>
      <c r="C449" s="44">
        <f>IF(P449="","",INDEX(前年度名簿!$C$2:$C$451,P449))</f>
        <v/>
      </c>
      <c r="D449" s="3">
        <f>IF(P449="","",INDEX(前年度名簿!$D$2:$D$451,P449))</f>
        <v/>
      </c>
      <c r="E449" s="44">
        <f>IF(T449="","",INDEX(新年度名簿!$K$2:$K$451,T449))</f>
        <v/>
      </c>
      <c r="F449" s="44">
        <f>IF(T449="","",INDEX(新年度名簿!$C$2:$C$451,T449))</f>
        <v/>
      </c>
      <c r="G449" s="44">
        <f>IF(Q449="","",INDEX(希望入力!$H$2:$H$551,Q449)&amp;"")</f>
        <v/>
      </c>
      <c r="H449" s="44">
        <f>IF(Q449="","",INDEX(希望入力!$I$2:$I$551,Q449)&amp;"")</f>
        <v/>
      </c>
      <c r="I449" s="44">
        <f>IF(Q449="","",INDEX(希望入力!$J$2:$J$551,Q449)&amp;"")</f>
        <v/>
      </c>
      <c r="J449" s="44">
        <f>IF(Q449="","",IF(G449="","要調整",IFERROR(IF(IF(OR(設定!$C$14="〇",設定!$C$14="○"),COUNTIFS($A$7:$A$456,"&gt;="&amp;A449,$G$7:$G$456,G449),COUNTIF($G$7:$G$456,G449))&lt;=(INDEX(設定!$Q$8:$Q$27,MATCH(G449,設定!$P$8:$P$27,0))+N(INDEX(設定!$R$8:$R$27,MATCH(G449,設定!$P$8:$P$27,0)))),G449,"要調整"),"要調整")))</f>
        <v/>
      </c>
      <c r="K449" s="40" t="n"/>
      <c r="L449" s="52">
        <f>IF(P449="","",IF(K449&lt;&gt;"",K449,IF(OR(J449="",J449="要調整"),"",J449)))</f>
        <v/>
      </c>
      <c r="M449" s="44">
        <f>IF(P449="","",IF(AND(計算用!$B$1=1,T449=""),"転出",IF(L449&lt;&gt;"","決定",IF(Q449="","未提出","要調整"))))</f>
        <v/>
      </c>
      <c r="N449" s="44">
        <f>IF(OR(M449&lt;&gt;"要調整",H449=""),"",IFERROR((INDEX(設定!$Q$8:$Q$27,MATCH(H449,設定!$P$8:$P$27,0))+N(INDEX(設定!$R$8:$R$27,MATCH(H449,設定!$P$8:$P$27,0))))-INDEX(定員チェック!$F$7:$F$26,MATCH(H449,設定!$P$8:$P$27,0))-COUNTIFS($M$7:$M$456,"要調整",$G$7:$G$456,H449),""))</f>
        <v/>
      </c>
      <c r="O449" s="44">
        <f>IF(OR(M449&lt;&gt;"要調整",I449=""),"",IFERROR((INDEX(設定!$Q$8:$Q$27,MATCH(I449,設定!$P$8:$P$27,0))+N(INDEX(設定!$R$8:$R$27,MATCH(I449,設定!$P$8:$P$27,0))))-INDEX(定員チェック!$F$7:$F$26,MATCH(I449,設定!$P$8:$P$27,0))-COUNTIFS($M$7:$M$456,"要調整",$G$7:$G$456,I449),""))</f>
        <v/>
      </c>
      <c r="P449" s="8">
        <f>IFERROR(MATCH(SMALL(前年度名簿!$G$2:$G$451,443),前年度名簿!$G$2:$G$451,0),"")</f>
        <v/>
      </c>
      <c r="Q449" s="8">
        <f>IF(R449="","",IFERROR(MATCH(R449,希望入力!$M$2:$M$551,0),""))</f>
        <v/>
      </c>
      <c r="R449" s="8">
        <f>IF(P449="","",INDEX(前年度名簿!$F$2:$F$451,P449))</f>
        <v/>
      </c>
      <c r="S449" s="8">
        <f>IF(P449="","",INDEX(前年度名簿!$I$2:$I$451,P449))</f>
        <v/>
      </c>
      <c r="T449" s="8">
        <f>IF(OR(P449="",計算用!$B$1=0),"",IFERROR(MATCH(S449,新年度名簿!$H$2:$H$451,0),""))</f>
        <v/>
      </c>
      <c r="U449" s="8">
        <f>IF(OR(L449="",M449="転出"),"",IFERROR(MATCH(L449,設定!$P$8:$P$27,0),""))</f>
        <v/>
      </c>
      <c r="V449" s="8">
        <f>IF(U449="","",COUNTIF($U$7:U449,U449))</f>
        <v/>
      </c>
      <c r="W449" s="8">
        <f>IF(U449="","",U449*1000+V449)</f>
        <v/>
      </c>
    </row>
    <row r="450">
      <c r="A450" s="44">
        <f>IF(P450="","",INDEX(前年度名簿!$H$2:$H$451,P450))</f>
        <v/>
      </c>
      <c r="B450" s="44">
        <f>IF(P450="","",IFERROR(INDEX(設定!$G$8:$G$31,INT(INDEX(前年度名簿!$G$2:$G$451,P450)/1000)),INDEX(前年度名簿!$A$2:$A$451,P450)&amp;INDEX(前年度名簿!$B$2:$B$451,P450)))</f>
        <v/>
      </c>
      <c r="C450" s="44">
        <f>IF(P450="","",INDEX(前年度名簿!$C$2:$C$451,P450))</f>
        <v/>
      </c>
      <c r="D450" s="3">
        <f>IF(P450="","",INDEX(前年度名簿!$D$2:$D$451,P450))</f>
        <v/>
      </c>
      <c r="E450" s="44">
        <f>IF(T450="","",INDEX(新年度名簿!$K$2:$K$451,T450))</f>
        <v/>
      </c>
      <c r="F450" s="44">
        <f>IF(T450="","",INDEX(新年度名簿!$C$2:$C$451,T450))</f>
        <v/>
      </c>
      <c r="G450" s="44">
        <f>IF(Q450="","",INDEX(希望入力!$H$2:$H$551,Q450)&amp;"")</f>
        <v/>
      </c>
      <c r="H450" s="44">
        <f>IF(Q450="","",INDEX(希望入力!$I$2:$I$551,Q450)&amp;"")</f>
        <v/>
      </c>
      <c r="I450" s="44">
        <f>IF(Q450="","",INDEX(希望入力!$J$2:$J$551,Q450)&amp;"")</f>
        <v/>
      </c>
      <c r="J450" s="44">
        <f>IF(Q450="","",IF(G450="","要調整",IFERROR(IF(IF(OR(設定!$C$14="〇",設定!$C$14="○"),COUNTIFS($A$7:$A$456,"&gt;="&amp;A450,$G$7:$G$456,G450),COUNTIF($G$7:$G$456,G450))&lt;=(INDEX(設定!$Q$8:$Q$27,MATCH(G450,設定!$P$8:$P$27,0))+N(INDEX(設定!$R$8:$R$27,MATCH(G450,設定!$P$8:$P$27,0)))),G450,"要調整"),"要調整")))</f>
        <v/>
      </c>
      <c r="K450" s="40" t="n"/>
      <c r="L450" s="52">
        <f>IF(P450="","",IF(K450&lt;&gt;"",K450,IF(OR(J450="",J450="要調整"),"",J450)))</f>
        <v/>
      </c>
      <c r="M450" s="44">
        <f>IF(P450="","",IF(AND(計算用!$B$1=1,T450=""),"転出",IF(L450&lt;&gt;"","決定",IF(Q450="","未提出","要調整"))))</f>
        <v/>
      </c>
      <c r="N450" s="44">
        <f>IF(OR(M450&lt;&gt;"要調整",H450=""),"",IFERROR((INDEX(設定!$Q$8:$Q$27,MATCH(H450,設定!$P$8:$P$27,0))+N(INDEX(設定!$R$8:$R$27,MATCH(H450,設定!$P$8:$P$27,0))))-INDEX(定員チェック!$F$7:$F$26,MATCH(H450,設定!$P$8:$P$27,0))-COUNTIFS($M$7:$M$456,"要調整",$G$7:$G$456,H450),""))</f>
        <v/>
      </c>
      <c r="O450" s="44">
        <f>IF(OR(M450&lt;&gt;"要調整",I450=""),"",IFERROR((INDEX(設定!$Q$8:$Q$27,MATCH(I450,設定!$P$8:$P$27,0))+N(INDEX(設定!$R$8:$R$27,MATCH(I450,設定!$P$8:$P$27,0))))-INDEX(定員チェック!$F$7:$F$26,MATCH(I450,設定!$P$8:$P$27,0))-COUNTIFS($M$7:$M$456,"要調整",$G$7:$G$456,I450),""))</f>
        <v/>
      </c>
      <c r="P450" s="8">
        <f>IFERROR(MATCH(SMALL(前年度名簿!$G$2:$G$451,444),前年度名簿!$G$2:$G$451,0),"")</f>
        <v/>
      </c>
      <c r="Q450" s="8">
        <f>IF(R450="","",IFERROR(MATCH(R450,希望入力!$M$2:$M$551,0),""))</f>
        <v/>
      </c>
      <c r="R450" s="8">
        <f>IF(P450="","",INDEX(前年度名簿!$F$2:$F$451,P450))</f>
        <v/>
      </c>
      <c r="S450" s="8">
        <f>IF(P450="","",INDEX(前年度名簿!$I$2:$I$451,P450))</f>
        <v/>
      </c>
      <c r="T450" s="8">
        <f>IF(OR(P450="",計算用!$B$1=0),"",IFERROR(MATCH(S450,新年度名簿!$H$2:$H$451,0),""))</f>
        <v/>
      </c>
      <c r="U450" s="8">
        <f>IF(OR(L450="",M450="転出"),"",IFERROR(MATCH(L450,設定!$P$8:$P$27,0),""))</f>
        <v/>
      </c>
      <c r="V450" s="8">
        <f>IF(U450="","",COUNTIF($U$7:U450,U450))</f>
        <v/>
      </c>
      <c r="W450" s="8">
        <f>IF(U450="","",U450*1000+V450)</f>
        <v/>
      </c>
    </row>
    <row r="451">
      <c r="A451" s="44">
        <f>IF(P451="","",INDEX(前年度名簿!$H$2:$H$451,P451))</f>
        <v/>
      </c>
      <c r="B451" s="44">
        <f>IF(P451="","",IFERROR(INDEX(設定!$G$8:$G$31,INT(INDEX(前年度名簿!$G$2:$G$451,P451)/1000)),INDEX(前年度名簿!$A$2:$A$451,P451)&amp;INDEX(前年度名簿!$B$2:$B$451,P451)))</f>
        <v/>
      </c>
      <c r="C451" s="44">
        <f>IF(P451="","",INDEX(前年度名簿!$C$2:$C$451,P451))</f>
        <v/>
      </c>
      <c r="D451" s="3">
        <f>IF(P451="","",INDEX(前年度名簿!$D$2:$D$451,P451))</f>
        <v/>
      </c>
      <c r="E451" s="44">
        <f>IF(T451="","",INDEX(新年度名簿!$K$2:$K$451,T451))</f>
        <v/>
      </c>
      <c r="F451" s="44">
        <f>IF(T451="","",INDEX(新年度名簿!$C$2:$C$451,T451))</f>
        <v/>
      </c>
      <c r="G451" s="44">
        <f>IF(Q451="","",INDEX(希望入力!$H$2:$H$551,Q451)&amp;"")</f>
        <v/>
      </c>
      <c r="H451" s="44">
        <f>IF(Q451="","",INDEX(希望入力!$I$2:$I$551,Q451)&amp;"")</f>
        <v/>
      </c>
      <c r="I451" s="44">
        <f>IF(Q451="","",INDEX(希望入力!$J$2:$J$551,Q451)&amp;"")</f>
        <v/>
      </c>
      <c r="J451" s="44">
        <f>IF(Q451="","",IF(G451="","要調整",IFERROR(IF(IF(OR(設定!$C$14="〇",設定!$C$14="○"),COUNTIFS($A$7:$A$456,"&gt;="&amp;A451,$G$7:$G$456,G451),COUNTIF($G$7:$G$456,G451))&lt;=(INDEX(設定!$Q$8:$Q$27,MATCH(G451,設定!$P$8:$P$27,0))+N(INDEX(設定!$R$8:$R$27,MATCH(G451,設定!$P$8:$P$27,0)))),G451,"要調整"),"要調整")))</f>
        <v/>
      </c>
      <c r="K451" s="40" t="n"/>
      <c r="L451" s="52">
        <f>IF(P451="","",IF(K451&lt;&gt;"",K451,IF(OR(J451="",J451="要調整"),"",J451)))</f>
        <v/>
      </c>
      <c r="M451" s="44">
        <f>IF(P451="","",IF(AND(計算用!$B$1=1,T451=""),"転出",IF(L451&lt;&gt;"","決定",IF(Q451="","未提出","要調整"))))</f>
        <v/>
      </c>
      <c r="N451" s="44">
        <f>IF(OR(M451&lt;&gt;"要調整",H451=""),"",IFERROR((INDEX(設定!$Q$8:$Q$27,MATCH(H451,設定!$P$8:$P$27,0))+N(INDEX(設定!$R$8:$R$27,MATCH(H451,設定!$P$8:$P$27,0))))-INDEX(定員チェック!$F$7:$F$26,MATCH(H451,設定!$P$8:$P$27,0))-COUNTIFS($M$7:$M$456,"要調整",$G$7:$G$456,H451),""))</f>
        <v/>
      </c>
      <c r="O451" s="44">
        <f>IF(OR(M451&lt;&gt;"要調整",I451=""),"",IFERROR((INDEX(設定!$Q$8:$Q$27,MATCH(I451,設定!$P$8:$P$27,0))+N(INDEX(設定!$R$8:$R$27,MATCH(I451,設定!$P$8:$P$27,0))))-INDEX(定員チェック!$F$7:$F$26,MATCH(I451,設定!$P$8:$P$27,0))-COUNTIFS($M$7:$M$456,"要調整",$G$7:$G$456,I451),""))</f>
        <v/>
      </c>
      <c r="P451" s="8">
        <f>IFERROR(MATCH(SMALL(前年度名簿!$G$2:$G$451,445),前年度名簿!$G$2:$G$451,0),"")</f>
        <v/>
      </c>
      <c r="Q451" s="8">
        <f>IF(R451="","",IFERROR(MATCH(R451,希望入力!$M$2:$M$551,0),""))</f>
        <v/>
      </c>
      <c r="R451" s="8">
        <f>IF(P451="","",INDEX(前年度名簿!$F$2:$F$451,P451))</f>
        <v/>
      </c>
      <c r="S451" s="8">
        <f>IF(P451="","",INDEX(前年度名簿!$I$2:$I$451,P451))</f>
        <v/>
      </c>
      <c r="T451" s="8">
        <f>IF(OR(P451="",計算用!$B$1=0),"",IFERROR(MATCH(S451,新年度名簿!$H$2:$H$451,0),""))</f>
        <v/>
      </c>
      <c r="U451" s="8">
        <f>IF(OR(L451="",M451="転出"),"",IFERROR(MATCH(L451,設定!$P$8:$P$27,0),""))</f>
        <v/>
      </c>
      <c r="V451" s="8">
        <f>IF(U451="","",COUNTIF($U$7:U451,U451))</f>
        <v/>
      </c>
      <c r="W451" s="8">
        <f>IF(U451="","",U451*1000+V451)</f>
        <v/>
      </c>
    </row>
    <row r="452">
      <c r="A452" s="44">
        <f>IF(P452="","",INDEX(前年度名簿!$H$2:$H$451,P452))</f>
        <v/>
      </c>
      <c r="B452" s="44">
        <f>IF(P452="","",IFERROR(INDEX(設定!$G$8:$G$31,INT(INDEX(前年度名簿!$G$2:$G$451,P452)/1000)),INDEX(前年度名簿!$A$2:$A$451,P452)&amp;INDEX(前年度名簿!$B$2:$B$451,P452)))</f>
        <v/>
      </c>
      <c r="C452" s="44">
        <f>IF(P452="","",INDEX(前年度名簿!$C$2:$C$451,P452))</f>
        <v/>
      </c>
      <c r="D452" s="3">
        <f>IF(P452="","",INDEX(前年度名簿!$D$2:$D$451,P452))</f>
        <v/>
      </c>
      <c r="E452" s="44">
        <f>IF(T452="","",INDEX(新年度名簿!$K$2:$K$451,T452))</f>
        <v/>
      </c>
      <c r="F452" s="44">
        <f>IF(T452="","",INDEX(新年度名簿!$C$2:$C$451,T452))</f>
        <v/>
      </c>
      <c r="G452" s="44">
        <f>IF(Q452="","",INDEX(希望入力!$H$2:$H$551,Q452)&amp;"")</f>
        <v/>
      </c>
      <c r="H452" s="44">
        <f>IF(Q452="","",INDEX(希望入力!$I$2:$I$551,Q452)&amp;"")</f>
        <v/>
      </c>
      <c r="I452" s="44">
        <f>IF(Q452="","",INDEX(希望入力!$J$2:$J$551,Q452)&amp;"")</f>
        <v/>
      </c>
      <c r="J452" s="44">
        <f>IF(Q452="","",IF(G452="","要調整",IFERROR(IF(IF(OR(設定!$C$14="〇",設定!$C$14="○"),COUNTIFS($A$7:$A$456,"&gt;="&amp;A452,$G$7:$G$456,G452),COUNTIF($G$7:$G$456,G452))&lt;=(INDEX(設定!$Q$8:$Q$27,MATCH(G452,設定!$P$8:$P$27,0))+N(INDEX(設定!$R$8:$R$27,MATCH(G452,設定!$P$8:$P$27,0)))),G452,"要調整"),"要調整")))</f>
        <v/>
      </c>
      <c r="K452" s="40" t="n"/>
      <c r="L452" s="52">
        <f>IF(P452="","",IF(K452&lt;&gt;"",K452,IF(OR(J452="",J452="要調整"),"",J452)))</f>
        <v/>
      </c>
      <c r="M452" s="44">
        <f>IF(P452="","",IF(AND(計算用!$B$1=1,T452=""),"転出",IF(L452&lt;&gt;"","決定",IF(Q452="","未提出","要調整"))))</f>
        <v/>
      </c>
      <c r="N452" s="44">
        <f>IF(OR(M452&lt;&gt;"要調整",H452=""),"",IFERROR((INDEX(設定!$Q$8:$Q$27,MATCH(H452,設定!$P$8:$P$27,0))+N(INDEX(設定!$R$8:$R$27,MATCH(H452,設定!$P$8:$P$27,0))))-INDEX(定員チェック!$F$7:$F$26,MATCH(H452,設定!$P$8:$P$27,0))-COUNTIFS($M$7:$M$456,"要調整",$G$7:$G$456,H452),""))</f>
        <v/>
      </c>
      <c r="O452" s="44">
        <f>IF(OR(M452&lt;&gt;"要調整",I452=""),"",IFERROR((INDEX(設定!$Q$8:$Q$27,MATCH(I452,設定!$P$8:$P$27,0))+N(INDEX(設定!$R$8:$R$27,MATCH(I452,設定!$P$8:$P$27,0))))-INDEX(定員チェック!$F$7:$F$26,MATCH(I452,設定!$P$8:$P$27,0))-COUNTIFS($M$7:$M$456,"要調整",$G$7:$G$456,I452),""))</f>
        <v/>
      </c>
      <c r="P452" s="8">
        <f>IFERROR(MATCH(SMALL(前年度名簿!$G$2:$G$451,446),前年度名簿!$G$2:$G$451,0),"")</f>
        <v/>
      </c>
      <c r="Q452" s="8">
        <f>IF(R452="","",IFERROR(MATCH(R452,希望入力!$M$2:$M$551,0),""))</f>
        <v/>
      </c>
      <c r="R452" s="8">
        <f>IF(P452="","",INDEX(前年度名簿!$F$2:$F$451,P452))</f>
        <v/>
      </c>
      <c r="S452" s="8">
        <f>IF(P452="","",INDEX(前年度名簿!$I$2:$I$451,P452))</f>
        <v/>
      </c>
      <c r="T452" s="8">
        <f>IF(OR(P452="",計算用!$B$1=0),"",IFERROR(MATCH(S452,新年度名簿!$H$2:$H$451,0),""))</f>
        <v/>
      </c>
      <c r="U452" s="8">
        <f>IF(OR(L452="",M452="転出"),"",IFERROR(MATCH(L452,設定!$P$8:$P$27,0),""))</f>
        <v/>
      </c>
      <c r="V452" s="8">
        <f>IF(U452="","",COUNTIF($U$7:U452,U452))</f>
        <v/>
      </c>
      <c r="W452" s="8">
        <f>IF(U452="","",U452*1000+V452)</f>
        <v/>
      </c>
    </row>
    <row r="453">
      <c r="A453" s="44">
        <f>IF(P453="","",INDEX(前年度名簿!$H$2:$H$451,P453))</f>
        <v/>
      </c>
      <c r="B453" s="44">
        <f>IF(P453="","",IFERROR(INDEX(設定!$G$8:$G$31,INT(INDEX(前年度名簿!$G$2:$G$451,P453)/1000)),INDEX(前年度名簿!$A$2:$A$451,P453)&amp;INDEX(前年度名簿!$B$2:$B$451,P453)))</f>
        <v/>
      </c>
      <c r="C453" s="44">
        <f>IF(P453="","",INDEX(前年度名簿!$C$2:$C$451,P453))</f>
        <v/>
      </c>
      <c r="D453" s="3">
        <f>IF(P453="","",INDEX(前年度名簿!$D$2:$D$451,P453))</f>
        <v/>
      </c>
      <c r="E453" s="44">
        <f>IF(T453="","",INDEX(新年度名簿!$K$2:$K$451,T453))</f>
        <v/>
      </c>
      <c r="F453" s="44">
        <f>IF(T453="","",INDEX(新年度名簿!$C$2:$C$451,T453))</f>
        <v/>
      </c>
      <c r="G453" s="44">
        <f>IF(Q453="","",INDEX(希望入力!$H$2:$H$551,Q453)&amp;"")</f>
        <v/>
      </c>
      <c r="H453" s="44">
        <f>IF(Q453="","",INDEX(希望入力!$I$2:$I$551,Q453)&amp;"")</f>
        <v/>
      </c>
      <c r="I453" s="44">
        <f>IF(Q453="","",INDEX(希望入力!$J$2:$J$551,Q453)&amp;"")</f>
        <v/>
      </c>
      <c r="J453" s="44">
        <f>IF(Q453="","",IF(G453="","要調整",IFERROR(IF(IF(OR(設定!$C$14="〇",設定!$C$14="○"),COUNTIFS($A$7:$A$456,"&gt;="&amp;A453,$G$7:$G$456,G453),COUNTIF($G$7:$G$456,G453))&lt;=(INDEX(設定!$Q$8:$Q$27,MATCH(G453,設定!$P$8:$P$27,0))+N(INDEX(設定!$R$8:$R$27,MATCH(G453,設定!$P$8:$P$27,0)))),G453,"要調整"),"要調整")))</f>
        <v/>
      </c>
      <c r="K453" s="40" t="n"/>
      <c r="L453" s="52">
        <f>IF(P453="","",IF(K453&lt;&gt;"",K453,IF(OR(J453="",J453="要調整"),"",J453)))</f>
        <v/>
      </c>
      <c r="M453" s="44">
        <f>IF(P453="","",IF(AND(計算用!$B$1=1,T453=""),"転出",IF(L453&lt;&gt;"","決定",IF(Q453="","未提出","要調整"))))</f>
        <v/>
      </c>
      <c r="N453" s="44">
        <f>IF(OR(M453&lt;&gt;"要調整",H453=""),"",IFERROR((INDEX(設定!$Q$8:$Q$27,MATCH(H453,設定!$P$8:$P$27,0))+N(INDEX(設定!$R$8:$R$27,MATCH(H453,設定!$P$8:$P$27,0))))-INDEX(定員チェック!$F$7:$F$26,MATCH(H453,設定!$P$8:$P$27,0))-COUNTIFS($M$7:$M$456,"要調整",$G$7:$G$456,H453),""))</f>
        <v/>
      </c>
      <c r="O453" s="44">
        <f>IF(OR(M453&lt;&gt;"要調整",I453=""),"",IFERROR((INDEX(設定!$Q$8:$Q$27,MATCH(I453,設定!$P$8:$P$27,0))+N(INDEX(設定!$R$8:$R$27,MATCH(I453,設定!$P$8:$P$27,0))))-INDEX(定員チェック!$F$7:$F$26,MATCH(I453,設定!$P$8:$P$27,0))-COUNTIFS($M$7:$M$456,"要調整",$G$7:$G$456,I453),""))</f>
        <v/>
      </c>
      <c r="P453" s="8">
        <f>IFERROR(MATCH(SMALL(前年度名簿!$G$2:$G$451,447),前年度名簿!$G$2:$G$451,0),"")</f>
        <v/>
      </c>
      <c r="Q453" s="8">
        <f>IF(R453="","",IFERROR(MATCH(R453,希望入力!$M$2:$M$551,0),""))</f>
        <v/>
      </c>
      <c r="R453" s="8">
        <f>IF(P453="","",INDEX(前年度名簿!$F$2:$F$451,P453))</f>
        <v/>
      </c>
      <c r="S453" s="8">
        <f>IF(P453="","",INDEX(前年度名簿!$I$2:$I$451,P453))</f>
        <v/>
      </c>
      <c r="T453" s="8">
        <f>IF(OR(P453="",計算用!$B$1=0),"",IFERROR(MATCH(S453,新年度名簿!$H$2:$H$451,0),""))</f>
        <v/>
      </c>
      <c r="U453" s="8">
        <f>IF(OR(L453="",M453="転出"),"",IFERROR(MATCH(L453,設定!$P$8:$P$27,0),""))</f>
        <v/>
      </c>
      <c r="V453" s="8">
        <f>IF(U453="","",COUNTIF($U$7:U453,U453))</f>
        <v/>
      </c>
      <c r="W453" s="8">
        <f>IF(U453="","",U453*1000+V453)</f>
        <v/>
      </c>
    </row>
    <row r="454">
      <c r="A454" s="44">
        <f>IF(P454="","",INDEX(前年度名簿!$H$2:$H$451,P454))</f>
        <v/>
      </c>
      <c r="B454" s="44">
        <f>IF(P454="","",IFERROR(INDEX(設定!$G$8:$G$31,INT(INDEX(前年度名簿!$G$2:$G$451,P454)/1000)),INDEX(前年度名簿!$A$2:$A$451,P454)&amp;INDEX(前年度名簿!$B$2:$B$451,P454)))</f>
        <v/>
      </c>
      <c r="C454" s="44">
        <f>IF(P454="","",INDEX(前年度名簿!$C$2:$C$451,P454))</f>
        <v/>
      </c>
      <c r="D454" s="3">
        <f>IF(P454="","",INDEX(前年度名簿!$D$2:$D$451,P454))</f>
        <v/>
      </c>
      <c r="E454" s="44">
        <f>IF(T454="","",INDEX(新年度名簿!$K$2:$K$451,T454))</f>
        <v/>
      </c>
      <c r="F454" s="44">
        <f>IF(T454="","",INDEX(新年度名簿!$C$2:$C$451,T454))</f>
        <v/>
      </c>
      <c r="G454" s="44">
        <f>IF(Q454="","",INDEX(希望入力!$H$2:$H$551,Q454)&amp;"")</f>
        <v/>
      </c>
      <c r="H454" s="44">
        <f>IF(Q454="","",INDEX(希望入力!$I$2:$I$551,Q454)&amp;"")</f>
        <v/>
      </c>
      <c r="I454" s="44">
        <f>IF(Q454="","",INDEX(希望入力!$J$2:$J$551,Q454)&amp;"")</f>
        <v/>
      </c>
      <c r="J454" s="44">
        <f>IF(Q454="","",IF(G454="","要調整",IFERROR(IF(IF(OR(設定!$C$14="〇",設定!$C$14="○"),COUNTIFS($A$7:$A$456,"&gt;="&amp;A454,$G$7:$G$456,G454),COUNTIF($G$7:$G$456,G454))&lt;=(INDEX(設定!$Q$8:$Q$27,MATCH(G454,設定!$P$8:$P$27,0))+N(INDEX(設定!$R$8:$R$27,MATCH(G454,設定!$P$8:$P$27,0)))),G454,"要調整"),"要調整")))</f>
        <v/>
      </c>
      <c r="K454" s="40" t="n"/>
      <c r="L454" s="52">
        <f>IF(P454="","",IF(K454&lt;&gt;"",K454,IF(OR(J454="",J454="要調整"),"",J454)))</f>
        <v/>
      </c>
      <c r="M454" s="44">
        <f>IF(P454="","",IF(AND(計算用!$B$1=1,T454=""),"転出",IF(L454&lt;&gt;"","決定",IF(Q454="","未提出","要調整"))))</f>
        <v/>
      </c>
      <c r="N454" s="44">
        <f>IF(OR(M454&lt;&gt;"要調整",H454=""),"",IFERROR((INDEX(設定!$Q$8:$Q$27,MATCH(H454,設定!$P$8:$P$27,0))+N(INDEX(設定!$R$8:$R$27,MATCH(H454,設定!$P$8:$P$27,0))))-INDEX(定員チェック!$F$7:$F$26,MATCH(H454,設定!$P$8:$P$27,0))-COUNTIFS($M$7:$M$456,"要調整",$G$7:$G$456,H454),""))</f>
        <v/>
      </c>
      <c r="O454" s="44">
        <f>IF(OR(M454&lt;&gt;"要調整",I454=""),"",IFERROR((INDEX(設定!$Q$8:$Q$27,MATCH(I454,設定!$P$8:$P$27,0))+N(INDEX(設定!$R$8:$R$27,MATCH(I454,設定!$P$8:$P$27,0))))-INDEX(定員チェック!$F$7:$F$26,MATCH(I454,設定!$P$8:$P$27,0))-COUNTIFS($M$7:$M$456,"要調整",$G$7:$G$456,I454),""))</f>
        <v/>
      </c>
      <c r="P454" s="8">
        <f>IFERROR(MATCH(SMALL(前年度名簿!$G$2:$G$451,448),前年度名簿!$G$2:$G$451,0),"")</f>
        <v/>
      </c>
      <c r="Q454" s="8">
        <f>IF(R454="","",IFERROR(MATCH(R454,希望入力!$M$2:$M$551,0),""))</f>
        <v/>
      </c>
      <c r="R454" s="8">
        <f>IF(P454="","",INDEX(前年度名簿!$F$2:$F$451,P454))</f>
        <v/>
      </c>
      <c r="S454" s="8">
        <f>IF(P454="","",INDEX(前年度名簿!$I$2:$I$451,P454))</f>
        <v/>
      </c>
      <c r="T454" s="8">
        <f>IF(OR(P454="",計算用!$B$1=0),"",IFERROR(MATCH(S454,新年度名簿!$H$2:$H$451,0),""))</f>
        <v/>
      </c>
      <c r="U454" s="8">
        <f>IF(OR(L454="",M454="転出"),"",IFERROR(MATCH(L454,設定!$P$8:$P$27,0),""))</f>
        <v/>
      </c>
      <c r="V454" s="8">
        <f>IF(U454="","",COUNTIF($U$7:U454,U454))</f>
        <v/>
      </c>
      <c r="W454" s="8">
        <f>IF(U454="","",U454*1000+V454)</f>
        <v/>
      </c>
    </row>
    <row r="455">
      <c r="A455" s="44">
        <f>IF(P455="","",INDEX(前年度名簿!$H$2:$H$451,P455))</f>
        <v/>
      </c>
      <c r="B455" s="44">
        <f>IF(P455="","",IFERROR(INDEX(設定!$G$8:$G$31,INT(INDEX(前年度名簿!$G$2:$G$451,P455)/1000)),INDEX(前年度名簿!$A$2:$A$451,P455)&amp;INDEX(前年度名簿!$B$2:$B$451,P455)))</f>
        <v/>
      </c>
      <c r="C455" s="44">
        <f>IF(P455="","",INDEX(前年度名簿!$C$2:$C$451,P455))</f>
        <v/>
      </c>
      <c r="D455" s="3">
        <f>IF(P455="","",INDEX(前年度名簿!$D$2:$D$451,P455))</f>
        <v/>
      </c>
      <c r="E455" s="44">
        <f>IF(T455="","",INDEX(新年度名簿!$K$2:$K$451,T455))</f>
        <v/>
      </c>
      <c r="F455" s="44">
        <f>IF(T455="","",INDEX(新年度名簿!$C$2:$C$451,T455))</f>
        <v/>
      </c>
      <c r="G455" s="44">
        <f>IF(Q455="","",INDEX(希望入力!$H$2:$H$551,Q455)&amp;"")</f>
        <v/>
      </c>
      <c r="H455" s="44">
        <f>IF(Q455="","",INDEX(希望入力!$I$2:$I$551,Q455)&amp;"")</f>
        <v/>
      </c>
      <c r="I455" s="44">
        <f>IF(Q455="","",INDEX(希望入力!$J$2:$J$551,Q455)&amp;"")</f>
        <v/>
      </c>
      <c r="J455" s="44">
        <f>IF(Q455="","",IF(G455="","要調整",IFERROR(IF(IF(OR(設定!$C$14="〇",設定!$C$14="○"),COUNTIFS($A$7:$A$456,"&gt;="&amp;A455,$G$7:$G$456,G455),COUNTIF($G$7:$G$456,G455))&lt;=(INDEX(設定!$Q$8:$Q$27,MATCH(G455,設定!$P$8:$P$27,0))+N(INDEX(設定!$R$8:$R$27,MATCH(G455,設定!$P$8:$P$27,0)))),G455,"要調整"),"要調整")))</f>
        <v/>
      </c>
      <c r="K455" s="40" t="n"/>
      <c r="L455" s="52">
        <f>IF(P455="","",IF(K455&lt;&gt;"",K455,IF(OR(J455="",J455="要調整"),"",J455)))</f>
        <v/>
      </c>
      <c r="M455" s="44">
        <f>IF(P455="","",IF(AND(計算用!$B$1=1,T455=""),"転出",IF(L455&lt;&gt;"","決定",IF(Q455="","未提出","要調整"))))</f>
        <v/>
      </c>
      <c r="N455" s="44">
        <f>IF(OR(M455&lt;&gt;"要調整",H455=""),"",IFERROR((INDEX(設定!$Q$8:$Q$27,MATCH(H455,設定!$P$8:$P$27,0))+N(INDEX(設定!$R$8:$R$27,MATCH(H455,設定!$P$8:$P$27,0))))-INDEX(定員チェック!$F$7:$F$26,MATCH(H455,設定!$P$8:$P$27,0))-COUNTIFS($M$7:$M$456,"要調整",$G$7:$G$456,H455),""))</f>
        <v/>
      </c>
      <c r="O455" s="44">
        <f>IF(OR(M455&lt;&gt;"要調整",I455=""),"",IFERROR((INDEX(設定!$Q$8:$Q$27,MATCH(I455,設定!$P$8:$P$27,0))+N(INDEX(設定!$R$8:$R$27,MATCH(I455,設定!$P$8:$P$27,0))))-INDEX(定員チェック!$F$7:$F$26,MATCH(I455,設定!$P$8:$P$27,0))-COUNTIFS($M$7:$M$456,"要調整",$G$7:$G$456,I455),""))</f>
        <v/>
      </c>
      <c r="P455" s="8">
        <f>IFERROR(MATCH(SMALL(前年度名簿!$G$2:$G$451,449),前年度名簿!$G$2:$G$451,0),"")</f>
        <v/>
      </c>
      <c r="Q455" s="8">
        <f>IF(R455="","",IFERROR(MATCH(R455,希望入力!$M$2:$M$551,0),""))</f>
        <v/>
      </c>
      <c r="R455" s="8">
        <f>IF(P455="","",INDEX(前年度名簿!$F$2:$F$451,P455))</f>
        <v/>
      </c>
      <c r="S455" s="8">
        <f>IF(P455="","",INDEX(前年度名簿!$I$2:$I$451,P455))</f>
        <v/>
      </c>
      <c r="T455" s="8">
        <f>IF(OR(P455="",計算用!$B$1=0),"",IFERROR(MATCH(S455,新年度名簿!$H$2:$H$451,0),""))</f>
        <v/>
      </c>
      <c r="U455" s="8">
        <f>IF(OR(L455="",M455="転出"),"",IFERROR(MATCH(L455,設定!$P$8:$P$27,0),""))</f>
        <v/>
      </c>
      <c r="V455" s="8">
        <f>IF(U455="","",COUNTIF($U$7:U455,U455))</f>
        <v/>
      </c>
      <c r="W455" s="8">
        <f>IF(U455="","",U455*1000+V455)</f>
        <v/>
      </c>
    </row>
    <row r="456">
      <c r="A456" s="44">
        <f>IF(P456="","",INDEX(前年度名簿!$H$2:$H$451,P456))</f>
        <v/>
      </c>
      <c r="B456" s="44">
        <f>IF(P456="","",IFERROR(INDEX(設定!$G$8:$G$31,INT(INDEX(前年度名簿!$G$2:$G$451,P456)/1000)),INDEX(前年度名簿!$A$2:$A$451,P456)&amp;INDEX(前年度名簿!$B$2:$B$451,P456)))</f>
        <v/>
      </c>
      <c r="C456" s="44">
        <f>IF(P456="","",INDEX(前年度名簿!$C$2:$C$451,P456))</f>
        <v/>
      </c>
      <c r="D456" s="3">
        <f>IF(P456="","",INDEX(前年度名簿!$D$2:$D$451,P456))</f>
        <v/>
      </c>
      <c r="E456" s="44">
        <f>IF(T456="","",INDEX(新年度名簿!$K$2:$K$451,T456))</f>
        <v/>
      </c>
      <c r="F456" s="44">
        <f>IF(T456="","",INDEX(新年度名簿!$C$2:$C$451,T456))</f>
        <v/>
      </c>
      <c r="G456" s="44">
        <f>IF(Q456="","",INDEX(希望入力!$H$2:$H$551,Q456)&amp;"")</f>
        <v/>
      </c>
      <c r="H456" s="44">
        <f>IF(Q456="","",INDEX(希望入力!$I$2:$I$551,Q456)&amp;"")</f>
        <v/>
      </c>
      <c r="I456" s="44">
        <f>IF(Q456="","",INDEX(希望入力!$J$2:$J$551,Q456)&amp;"")</f>
        <v/>
      </c>
      <c r="J456" s="44">
        <f>IF(Q456="","",IF(G456="","要調整",IFERROR(IF(IF(OR(設定!$C$14="〇",設定!$C$14="○"),COUNTIFS($A$7:$A$456,"&gt;="&amp;A456,$G$7:$G$456,G456),COUNTIF($G$7:$G$456,G456))&lt;=(INDEX(設定!$Q$8:$Q$27,MATCH(G456,設定!$P$8:$P$27,0))+N(INDEX(設定!$R$8:$R$27,MATCH(G456,設定!$P$8:$P$27,0)))),G456,"要調整"),"要調整")))</f>
        <v/>
      </c>
      <c r="K456" s="40" t="n"/>
      <c r="L456" s="52">
        <f>IF(P456="","",IF(K456&lt;&gt;"",K456,IF(OR(J456="",J456="要調整"),"",J456)))</f>
        <v/>
      </c>
      <c r="M456" s="44">
        <f>IF(P456="","",IF(AND(計算用!$B$1=1,T456=""),"転出",IF(L456&lt;&gt;"","決定",IF(Q456="","未提出","要調整"))))</f>
        <v/>
      </c>
      <c r="N456" s="44">
        <f>IF(OR(M456&lt;&gt;"要調整",H456=""),"",IFERROR((INDEX(設定!$Q$8:$Q$27,MATCH(H456,設定!$P$8:$P$27,0))+N(INDEX(設定!$R$8:$R$27,MATCH(H456,設定!$P$8:$P$27,0))))-INDEX(定員チェック!$F$7:$F$26,MATCH(H456,設定!$P$8:$P$27,0))-COUNTIFS($M$7:$M$456,"要調整",$G$7:$G$456,H456),""))</f>
        <v/>
      </c>
      <c r="O456" s="44">
        <f>IF(OR(M456&lt;&gt;"要調整",I456=""),"",IFERROR((INDEX(設定!$Q$8:$Q$27,MATCH(I456,設定!$P$8:$P$27,0))+N(INDEX(設定!$R$8:$R$27,MATCH(I456,設定!$P$8:$P$27,0))))-INDEX(定員チェック!$F$7:$F$26,MATCH(I456,設定!$P$8:$P$27,0))-COUNTIFS($M$7:$M$456,"要調整",$G$7:$G$456,I456),""))</f>
        <v/>
      </c>
      <c r="P456" s="8">
        <f>IFERROR(MATCH(SMALL(前年度名簿!$G$2:$G$451,450),前年度名簿!$G$2:$G$451,0),"")</f>
        <v/>
      </c>
      <c r="Q456" s="8">
        <f>IF(R456="","",IFERROR(MATCH(R456,希望入力!$M$2:$M$551,0),""))</f>
        <v/>
      </c>
      <c r="R456" s="8">
        <f>IF(P456="","",INDEX(前年度名簿!$F$2:$F$451,P456))</f>
        <v/>
      </c>
      <c r="S456" s="8">
        <f>IF(P456="","",INDEX(前年度名簿!$I$2:$I$451,P456))</f>
        <v/>
      </c>
      <c r="T456" s="8">
        <f>IF(OR(P456="",計算用!$B$1=0),"",IFERROR(MATCH(S456,新年度名簿!$H$2:$H$451,0),""))</f>
        <v/>
      </c>
      <c r="U456" s="8">
        <f>IF(OR(L456="",M456="転出"),"",IFERROR(MATCH(L456,設定!$P$8:$P$27,0),""))</f>
        <v/>
      </c>
      <c r="V456" s="8">
        <f>IF(U456="","",COUNTIF($U$7:U456,U456))</f>
        <v/>
      </c>
      <c r="W456" s="8">
        <f>IF(U456="","",U456*1000+V456)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O456"/>
  <conditionalFormatting sqref="J7:J456">
    <cfRule type="expression" priority="1" dxfId="9">
      <formula>J7="要調整"</formula>
    </cfRule>
  </conditionalFormatting>
  <conditionalFormatting sqref="H7:H456">
    <cfRule type="expression" priority="2" dxfId="10">
      <formula>AND($M7="要調整",N(N7)&gt;0)</formula>
    </cfRule>
  </conditionalFormatting>
  <conditionalFormatting sqref="I7:I456">
    <cfRule type="expression" priority="3" dxfId="10">
      <formula>AND($M7="要調整",N(O7)&gt;0)</formula>
    </cfRule>
  </conditionalFormatting>
  <conditionalFormatting sqref="A7:O456">
    <cfRule type="expression" priority="4" dxfId="8">
      <formula>$M7="要調整"</formula>
    </cfRule>
    <cfRule type="expression" priority="5" dxfId="11">
      <formula>OR($M7="未提出",$M7="転出")</formula>
    </cfRule>
  </conditionalFormatting>
  <conditionalFormatting sqref="K7:K456">
    <cfRule type="expression" priority="6" dxfId="12">
      <formula>K7&lt;&gt;""</formula>
    </cfRule>
  </conditionalFormatting>
  <dataValidations count="1">
    <dataValidation sqref="K7:K456" showDropDown="0" showInputMessage="0" showErrorMessage="0" allowBlank="1" type="list">
      <formula1>設定!$P$8:$P$27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8" customWidth="1" min="4" max="4"/>
    <col width="16" customWidth="1" min="5" max="5"/>
    <col width="30" customWidth="1" min="6" max="6"/>
    <col width="16" customWidth="1" min="7" max="7"/>
    <col width="14" customWidth="1" min="8" max="8"/>
    <col width="7" customWidth="1" min="9" max="9"/>
    <col width="9" customWidth="1" min="10" max="10"/>
    <col width="8" customWidth="1" min="11" max="11"/>
  </cols>
  <sheetData>
    <row r="1" ht="30" customHeight="1">
      <c r="A1" s="49" t="inlineStr">
        <is>
          <t>学年</t>
        </is>
      </c>
      <c r="B1" s="49" t="inlineStr">
        <is>
          <t>組</t>
        </is>
      </c>
      <c r="C1" s="49" t="inlineStr">
        <is>
          <t>番号</t>
        </is>
      </c>
      <c r="D1" s="49" t="inlineStr">
        <is>
          <t>名前</t>
        </is>
      </c>
      <c r="E1" s="49" t="inlineStr">
        <is>
          <t>クラブ（転入生などの手入力）</t>
        </is>
      </c>
      <c r="F1" s="43" t="inlineStr">
        <is>
          <t>つながり（自動）</t>
        </is>
      </c>
      <c r="G1" s="43" t="inlineStr">
        <is>
          <t>決まったクラブ（自動）</t>
        </is>
      </c>
      <c r="H1" s="39" t="inlineStr">
        <is>
          <t>名前キー</t>
        </is>
      </c>
      <c r="I1" s="39" t="inlineStr">
        <is>
          <t>振り分け行</t>
        </is>
      </c>
      <c r="J1" s="39" t="inlineStr">
        <is>
          <t>並び順</t>
        </is>
      </c>
      <c r="K1" s="39" t="inlineStr">
        <is>
          <t>組表示</t>
        </is>
      </c>
    </row>
    <row r="2">
      <c r="A2" s="40" t="n">
        <v>6</v>
      </c>
      <c r="B2" s="40" t="inlineStr">
        <is>
          <t>松</t>
        </is>
      </c>
      <c r="C2" s="40" t="n">
        <v>1</v>
      </c>
      <c r="D2" s="41" t="inlineStr">
        <is>
          <t>藤田　新</t>
        </is>
      </c>
      <c r="E2" s="40" t="n"/>
      <c r="F2" s="45">
        <f>IF(D2="","",IF(E2&lt;&gt;"","手入力",IF(I2="","前年度名簿にいない",IF(OR(COUNTIF($H$2:$H$451,H2)&gt;1,COUNTIF(振り分け!$S$7:$S$456,H2)&gt;1),"同姓同名あり（手入力してください）","OK"))))</f>
        <v/>
      </c>
      <c r="G2" s="44">
        <f>IF(D2="","",IF(E2&lt;&gt;"",E2,IF(F2&lt;&gt;"OK","",IF(INDEX(振り分け!$L$7:$L$456,I2)="","未決定",INDEX(振り分け!$L$7:$L$456,I2)))))</f>
        <v/>
      </c>
      <c r="H2" s="8">
        <f>IF(D2="","",A2&amp;"|"&amp;SUBSTITUTE(SUBSTITUTE(D2," ",""),"　",""))</f>
        <v/>
      </c>
      <c r="I2" s="8">
        <f>IF(H2="","",IFERROR(MATCH(H2,振り分け!$S$7:$S$456,0),""))</f>
        <v/>
      </c>
      <c r="J2" s="8">
        <f>IF(D2="","",IFERROR(MATCH(A2&amp;"-"&amp;B2,設定!$Z$8:$Z$31,0),99)*1000+C2+ROW()/1000000)</f>
        <v/>
      </c>
      <c r="K2" s="8">
        <f>IF(D2="","",IFERROR(INDEX(設定!$L$8:$L$31,MATCH(A2&amp;"-"&amp;B2,設定!$Z$8:$Z$31,0)),A2&amp;B2))</f>
        <v/>
      </c>
    </row>
    <row r="3">
      <c r="A3" s="40" t="n">
        <v>6</v>
      </c>
      <c r="B3" s="40" t="inlineStr">
        <is>
          <t>松</t>
        </is>
      </c>
      <c r="C3" s="40" t="n">
        <v>2</v>
      </c>
      <c r="D3" s="41" t="inlineStr">
        <is>
          <t>木村　澪</t>
        </is>
      </c>
      <c r="E3" s="40" t="n"/>
      <c r="F3" s="45">
        <f>IF(D3="","",IF(E3&lt;&gt;"","手入力",IF(I3="","前年度名簿にいない",IF(OR(COUNTIF($H$2:$H$451,H3)&gt;1,COUNTIF(振り分け!$S$7:$S$456,H3)&gt;1),"同姓同名あり（手入力してください）","OK"))))</f>
        <v/>
      </c>
      <c r="G3" s="44">
        <f>IF(D3="","",IF(E3&lt;&gt;"",E3,IF(F3&lt;&gt;"OK","",IF(INDEX(振り分け!$L$7:$L$456,I3)="","未決定",INDEX(振り分け!$L$7:$L$456,I3)))))</f>
        <v/>
      </c>
      <c r="H3" s="8">
        <f>IF(D3="","",A3&amp;"|"&amp;SUBSTITUTE(SUBSTITUTE(D3," ",""),"　",""))</f>
        <v/>
      </c>
      <c r="I3" s="8">
        <f>IF(H3="","",IFERROR(MATCH(H3,振り分け!$S$7:$S$456,0),""))</f>
        <v/>
      </c>
      <c r="J3" s="8">
        <f>IF(D3="","",IFERROR(MATCH(A3&amp;"-"&amp;B3,設定!$Z$8:$Z$31,0),99)*1000+C3+ROW()/1000000)</f>
        <v/>
      </c>
      <c r="K3" s="8">
        <f>IF(D3="","",IFERROR(INDEX(設定!$L$8:$L$31,MATCH(A3&amp;"-"&amp;B3,設定!$Z$8:$Z$31,0)),A3&amp;B3))</f>
        <v/>
      </c>
    </row>
    <row r="4">
      <c r="A4" s="40" t="n">
        <v>6</v>
      </c>
      <c r="B4" s="40" t="inlineStr">
        <is>
          <t>松</t>
        </is>
      </c>
      <c r="C4" s="40" t="n">
        <v>3</v>
      </c>
      <c r="D4" s="41" t="inlineStr">
        <is>
          <t>佐々木　翼</t>
        </is>
      </c>
      <c r="E4" s="40" t="n"/>
      <c r="F4" s="45">
        <f>IF(D4="","",IF(E4&lt;&gt;"","手入力",IF(I4="","前年度名簿にいない",IF(OR(COUNTIF($H$2:$H$451,H4)&gt;1,COUNTIF(振り分け!$S$7:$S$456,H4)&gt;1),"同姓同名あり（手入力してください）","OK"))))</f>
        <v/>
      </c>
      <c r="G4" s="44">
        <f>IF(D4="","",IF(E4&lt;&gt;"",E4,IF(F4&lt;&gt;"OK","",IF(INDEX(振り分け!$L$7:$L$456,I4)="","未決定",INDEX(振り分け!$L$7:$L$456,I4)))))</f>
        <v/>
      </c>
      <c r="H4" s="8">
        <f>IF(D4="","",A4&amp;"|"&amp;SUBSTITUTE(SUBSTITUTE(D4," ",""),"　",""))</f>
        <v/>
      </c>
      <c r="I4" s="8">
        <f>IF(H4="","",IFERROR(MATCH(H4,振り分け!$S$7:$S$456,0),""))</f>
        <v/>
      </c>
      <c r="J4" s="8">
        <f>IF(D4="","",IFERROR(MATCH(A4&amp;"-"&amp;B4,設定!$Z$8:$Z$31,0),99)*1000+C4+ROW()/1000000)</f>
        <v/>
      </c>
      <c r="K4" s="8">
        <f>IF(D4="","",IFERROR(INDEX(設定!$L$8:$L$31,MATCH(A4&amp;"-"&amp;B4,設定!$Z$8:$Z$31,0)),A4&amp;B4))</f>
        <v/>
      </c>
    </row>
    <row r="5">
      <c r="A5" s="40" t="n">
        <v>6</v>
      </c>
      <c r="B5" s="40" t="inlineStr">
        <is>
          <t>松</t>
        </is>
      </c>
      <c r="C5" s="40" t="n">
        <v>4</v>
      </c>
      <c r="D5" s="41" t="inlineStr">
        <is>
          <t>中野　紬</t>
        </is>
      </c>
      <c r="E5" s="40" t="n"/>
      <c r="F5" s="45">
        <f>IF(D5="","",IF(E5&lt;&gt;"","手入力",IF(I5="","前年度名簿にいない",IF(OR(COUNTIF($H$2:$H$451,H5)&gt;1,COUNTIF(振り分け!$S$7:$S$456,H5)&gt;1),"同姓同名あり（手入力してください）","OK"))))</f>
        <v/>
      </c>
      <c r="G5" s="44">
        <f>IF(D5="","",IF(E5&lt;&gt;"",E5,IF(F5&lt;&gt;"OK","",IF(INDEX(振り分け!$L$7:$L$456,I5)="","未決定",INDEX(振り分け!$L$7:$L$456,I5)))))</f>
        <v/>
      </c>
      <c r="H5" s="8">
        <f>IF(D5="","",A5&amp;"|"&amp;SUBSTITUTE(SUBSTITUTE(D5," ",""),"　",""))</f>
        <v/>
      </c>
      <c r="I5" s="8">
        <f>IF(H5="","",IFERROR(MATCH(H5,振り分け!$S$7:$S$456,0),""))</f>
        <v/>
      </c>
      <c r="J5" s="8">
        <f>IF(D5="","",IFERROR(MATCH(A5&amp;"-"&amp;B5,設定!$Z$8:$Z$31,0),99)*1000+C5+ROW()/1000000)</f>
        <v/>
      </c>
      <c r="K5" s="8">
        <f>IF(D5="","",IFERROR(INDEX(設定!$L$8:$L$31,MATCH(A5&amp;"-"&amp;B5,設定!$Z$8:$Z$31,0)),A5&amp;B5))</f>
        <v/>
      </c>
    </row>
    <row r="6">
      <c r="A6" s="40" t="n">
        <v>6</v>
      </c>
      <c r="B6" s="40" t="inlineStr">
        <is>
          <t>松</t>
        </is>
      </c>
      <c r="C6" s="40" t="n">
        <v>5</v>
      </c>
      <c r="D6" s="41" t="inlineStr">
        <is>
          <t>斎藤　彩花</t>
        </is>
      </c>
      <c r="E6" s="40" t="n"/>
      <c r="F6" s="45">
        <f>IF(D6="","",IF(E6&lt;&gt;"","手入力",IF(I6="","前年度名簿にいない",IF(OR(COUNTIF($H$2:$H$451,H6)&gt;1,COUNTIF(振り分け!$S$7:$S$456,H6)&gt;1),"同姓同名あり（手入力してください）","OK"))))</f>
        <v/>
      </c>
      <c r="G6" s="44">
        <f>IF(D6="","",IF(E6&lt;&gt;"",E6,IF(F6&lt;&gt;"OK","",IF(INDEX(振り分け!$L$7:$L$456,I6)="","未決定",INDEX(振り分け!$L$7:$L$456,I6)))))</f>
        <v/>
      </c>
      <c r="H6" s="8">
        <f>IF(D6="","",A6&amp;"|"&amp;SUBSTITUTE(SUBSTITUTE(D6," ",""),"　",""))</f>
        <v/>
      </c>
      <c r="I6" s="8">
        <f>IF(H6="","",IFERROR(MATCH(H6,振り分け!$S$7:$S$456,0),""))</f>
        <v/>
      </c>
      <c r="J6" s="8">
        <f>IF(D6="","",IFERROR(MATCH(A6&amp;"-"&amp;B6,設定!$Z$8:$Z$31,0),99)*1000+C6+ROW()/1000000)</f>
        <v/>
      </c>
      <c r="K6" s="8">
        <f>IF(D6="","",IFERROR(INDEX(設定!$L$8:$L$31,MATCH(A6&amp;"-"&amp;B6,設定!$Z$8:$Z$31,0)),A6&amp;B6))</f>
        <v/>
      </c>
    </row>
    <row r="7">
      <c r="A7" s="40" t="n">
        <v>6</v>
      </c>
      <c r="B7" s="40" t="inlineStr">
        <is>
          <t>松</t>
        </is>
      </c>
      <c r="C7" s="40" t="n">
        <v>6</v>
      </c>
      <c r="D7" s="41" t="inlineStr">
        <is>
          <t>山本　咲良</t>
        </is>
      </c>
      <c r="E7" s="40" t="n"/>
      <c r="F7" s="45">
        <f>IF(D7="","",IF(E7&lt;&gt;"","手入力",IF(I7="","前年度名簿にいない",IF(OR(COUNTIF($H$2:$H$451,H7)&gt;1,COUNTIF(振り分け!$S$7:$S$456,H7)&gt;1),"同姓同名あり（手入力してください）","OK"))))</f>
        <v/>
      </c>
      <c r="G7" s="44">
        <f>IF(D7="","",IF(E7&lt;&gt;"",E7,IF(F7&lt;&gt;"OK","",IF(INDEX(振り分け!$L$7:$L$456,I7)="","未決定",INDEX(振り分け!$L$7:$L$456,I7)))))</f>
        <v/>
      </c>
      <c r="H7" s="8">
        <f>IF(D7="","",A7&amp;"|"&amp;SUBSTITUTE(SUBSTITUTE(D7," ",""),"　",""))</f>
        <v/>
      </c>
      <c r="I7" s="8">
        <f>IF(H7="","",IFERROR(MATCH(H7,振り分け!$S$7:$S$456,0),""))</f>
        <v/>
      </c>
      <c r="J7" s="8">
        <f>IF(D7="","",IFERROR(MATCH(A7&amp;"-"&amp;B7,設定!$Z$8:$Z$31,0),99)*1000+C7+ROW()/1000000)</f>
        <v/>
      </c>
      <c r="K7" s="8">
        <f>IF(D7="","",IFERROR(INDEX(設定!$L$8:$L$31,MATCH(A7&amp;"-"&amp;B7,設定!$Z$8:$Z$31,0)),A7&amp;B7))</f>
        <v/>
      </c>
    </row>
    <row r="8">
      <c r="A8" s="40" t="n">
        <v>6</v>
      </c>
      <c r="B8" s="40" t="inlineStr">
        <is>
          <t>松</t>
        </is>
      </c>
      <c r="C8" s="40" t="n">
        <v>7</v>
      </c>
      <c r="D8" s="41" t="inlineStr">
        <is>
          <t>井上　翼</t>
        </is>
      </c>
      <c r="E8" s="40" t="n"/>
      <c r="F8" s="45">
        <f>IF(D8="","",IF(E8&lt;&gt;"","手入力",IF(I8="","前年度名簿にいない",IF(OR(COUNTIF($H$2:$H$451,H8)&gt;1,COUNTIF(振り分け!$S$7:$S$456,H8)&gt;1),"同姓同名あり（手入力してください）","OK"))))</f>
        <v/>
      </c>
      <c r="G8" s="44">
        <f>IF(D8="","",IF(E8&lt;&gt;"",E8,IF(F8&lt;&gt;"OK","",IF(INDEX(振り分け!$L$7:$L$456,I8)="","未決定",INDEX(振り分け!$L$7:$L$456,I8)))))</f>
        <v/>
      </c>
      <c r="H8" s="8">
        <f>IF(D8="","",A8&amp;"|"&amp;SUBSTITUTE(SUBSTITUTE(D8," ",""),"　",""))</f>
        <v/>
      </c>
      <c r="I8" s="8">
        <f>IF(H8="","",IFERROR(MATCH(H8,振り分け!$S$7:$S$456,0),""))</f>
        <v/>
      </c>
      <c r="J8" s="8">
        <f>IF(D8="","",IFERROR(MATCH(A8&amp;"-"&amp;B8,設定!$Z$8:$Z$31,0),99)*1000+C8+ROW()/1000000)</f>
        <v/>
      </c>
      <c r="K8" s="8">
        <f>IF(D8="","",IFERROR(INDEX(設定!$L$8:$L$31,MATCH(A8&amp;"-"&amp;B8,設定!$Z$8:$Z$31,0)),A8&amp;B8))</f>
        <v/>
      </c>
    </row>
    <row r="9">
      <c r="A9" s="40" t="n">
        <v>6</v>
      </c>
      <c r="B9" s="40" t="inlineStr">
        <is>
          <t>松</t>
        </is>
      </c>
      <c r="C9" s="40" t="n">
        <v>8</v>
      </c>
      <c r="D9" s="41" t="inlineStr">
        <is>
          <t>林　凛</t>
        </is>
      </c>
      <c r="E9" s="40" t="n"/>
      <c r="F9" s="45">
        <f>IF(D9="","",IF(E9&lt;&gt;"","手入力",IF(I9="","前年度名簿にいない",IF(OR(COUNTIF($H$2:$H$451,H9)&gt;1,COUNTIF(振り分け!$S$7:$S$456,H9)&gt;1),"同姓同名あり（手入力してください）","OK"))))</f>
        <v/>
      </c>
      <c r="G9" s="44">
        <f>IF(D9="","",IF(E9&lt;&gt;"",E9,IF(F9&lt;&gt;"OK","",IF(INDEX(振り分け!$L$7:$L$456,I9)="","未決定",INDEX(振り分け!$L$7:$L$456,I9)))))</f>
        <v/>
      </c>
      <c r="H9" s="8">
        <f>IF(D9="","",A9&amp;"|"&amp;SUBSTITUTE(SUBSTITUTE(D9," ",""),"　",""))</f>
        <v/>
      </c>
      <c r="I9" s="8">
        <f>IF(H9="","",IFERROR(MATCH(H9,振り分け!$S$7:$S$456,0),""))</f>
        <v/>
      </c>
      <c r="J9" s="8">
        <f>IF(D9="","",IFERROR(MATCH(A9&amp;"-"&amp;B9,設定!$Z$8:$Z$31,0),99)*1000+C9+ROW()/1000000)</f>
        <v/>
      </c>
      <c r="K9" s="8">
        <f>IF(D9="","",IFERROR(INDEX(設定!$L$8:$L$31,MATCH(A9&amp;"-"&amp;B9,設定!$Z$8:$Z$31,0)),A9&amp;B9))</f>
        <v/>
      </c>
    </row>
    <row r="10">
      <c r="A10" s="40" t="n">
        <v>6</v>
      </c>
      <c r="B10" s="40" t="inlineStr">
        <is>
          <t>松</t>
        </is>
      </c>
      <c r="C10" s="40" t="n">
        <v>9</v>
      </c>
      <c r="D10" s="41" t="inlineStr">
        <is>
          <t>小川　杏</t>
        </is>
      </c>
      <c r="E10" s="40" t="n"/>
      <c r="F10" s="45">
        <f>IF(D10="","",IF(E10&lt;&gt;"","手入力",IF(I10="","前年度名簿にいない",IF(OR(COUNTIF($H$2:$H$451,H10)&gt;1,COUNTIF(振り分け!$S$7:$S$456,H10)&gt;1),"同姓同名あり（手入力してください）","OK"))))</f>
        <v/>
      </c>
      <c r="G10" s="44">
        <f>IF(D10="","",IF(E10&lt;&gt;"",E10,IF(F10&lt;&gt;"OK","",IF(INDEX(振り分け!$L$7:$L$456,I10)="","未決定",INDEX(振り分け!$L$7:$L$456,I10)))))</f>
        <v/>
      </c>
      <c r="H10" s="8">
        <f>IF(D10="","",A10&amp;"|"&amp;SUBSTITUTE(SUBSTITUTE(D10," ",""),"　",""))</f>
        <v/>
      </c>
      <c r="I10" s="8">
        <f>IF(H10="","",IFERROR(MATCH(H10,振り分け!$S$7:$S$456,0),""))</f>
        <v/>
      </c>
      <c r="J10" s="8">
        <f>IF(D10="","",IFERROR(MATCH(A10&amp;"-"&amp;B10,設定!$Z$8:$Z$31,0),99)*1000+C10+ROW()/1000000)</f>
        <v/>
      </c>
      <c r="K10" s="8">
        <f>IF(D10="","",IFERROR(INDEX(設定!$L$8:$L$31,MATCH(A10&amp;"-"&amp;B10,設定!$Z$8:$Z$31,0)),A10&amp;B10))</f>
        <v/>
      </c>
    </row>
    <row r="11">
      <c r="A11" s="40" t="n">
        <v>6</v>
      </c>
      <c r="B11" s="40" t="inlineStr">
        <is>
          <t>松</t>
        </is>
      </c>
      <c r="C11" s="40" t="n">
        <v>10</v>
      </c>
      <c r="D11" s="41" t="inlineStr">
        <is>
          <t>石井　柚葉</t>
        </is>
      </c>
      <c r="E11" s="40" t="n"/>
      <c r="F11" s="45">
        <f>IF(D11="","",IF(E11&lt;&gt;"","手入力",IF(I11="","前年度名簿にいない",IF(OR(COUNTIF($H$2:$H$451,H11)&gt;1,COUNTIF(振り分け!$S$7:$S$456,H11)&gt;1),"同姓同名あり（手入力してください）","OK"))))</f>
        <v/>
      </c>
      <c r="G11" s="44">
        <f>IF(D11="","",IF(E11&lt;&gt;"",E11,IF(F11&lt;&gt;"OK","",IF(INDEX(振り分け!$L$7:$L$456,I11)="","未決定",INDEX(振り分け!$L$7:$L$456,I11)))))</f>
        <v/>
      </c>
      <c r="H11" s="8">
        <f>IF(D11="","",A11&amp;"|"&amp;SUBSTITUTE(SUBSTITUTE(D11," ",""),"　",""))</f>
        <v/>
      </c>
      <c r="I11" s="8">
        <f>IF(H11="","",IFERROR(MATCH(H11,振り分け!$S$7:$S$456,0),""))</f>
        <v/>
      </c>
      <c r="J11" s="8">
        <f>IF(D11="","",IFERROR(MATCH(A11&amp;"-"&amp;B11,設定!$Z$8:$Z$31,0),99)*1000+C11+ROW()/1000000)</f>
        <v/>
      </c>
      <c r="K11" s="8">
        <f>IF(D11="","",IFERROR(INDEX(設定!$L$8:$L$31,MATCH(A11&amp;"-"&amp;B11,設定!$Z$8:$Z$31,0)),A11&amp;B11))</f>
        <v/>
      </c>
    </row>
    <row r="12">
      <c r="A12" s="40" t="n">
        <v>6</v>
      </c>
      <c r="B12" s="40" t="inlineStr">
        <is>
          <t>松</t>
        </is>
      </c>
      <c r="C12" s="40" t="n">
        <v>11</v>
      </c>
      <c r="D12" s="41" t="inlineStr">
        <is>
          <t>小林　楓</t>
        </is>
      </c>
      <c r="E12" s="40" t="n"/>
      <c r="F12" s="45">
        <f>IF(D12="","",IF(E12&lt;&gt;"","手入力",IF(I12="","前年度名簿にいない",IF(OR(COUNTIF($H$2:$H$451,H12)&gt;1,COUNTIF(振り分け!$S$7:$S$456,H12)&gt;1),"同姓同名あり（手入力してください）","OK"))))</f>
        <v/>
      </c>
      <c r="G12" s="44">
        <f>IF(D12="","",IF(E12&lt;&gt;"",E12,IF(F12&lt;&gt;"OK","",IF(INDEX(振り分け!$L$7:$L$456,I12)="","未決定",INDEX(振り分け!$L$7:$L$456,I12)))))</f>
        <v/>
      </c>
      <c r="H12" s="8">
        <f>IF(D12="","",A12&amp;"|"&amp;SUBSTITUTE(SUBSTITUTE(D12," ",""),"　",""))</f>
        <v/>
      </c>
      <c r="I12" s="8">
        <f>IF(H12="","",IFERROR(MATCH(H12,振り分け!$S$7:$S$456,0),""))</f>
        <v/>
      </c>
      <c r="J12" s="8">
        <f>IF(D12="","",IFERROR(MATCH(A12&amp;"-"&amp;B12,設定!$Z$8:$Z$31,0),99)*1000+C12+ROW()/1000000)</f>
        <v/>
      </c>
      <c r="K12" s="8">
        <f>IF(D12="","",IFERROR(INDEX(設定!$L$8:$L$31,MATCH(A12&amp;"-"&amp;B12,設定!$Z$8:$Z$31,0)),A12&amp;B12))</f>
        <v/>
      </c>
    </row>
    <row r="13">
      <c r="A13" s="40" t="n">
        <v>6</v>
      </c>
      <c r="B13" s="40" t="inlineStr">
        <is>
          <t>松</t>
        </is>
      </c>
      <c r="C13" s="40" t="n">
        <v>12</v>
      </c>
      <c r="D13" s="41" t="inlineStr">
        <is>
          <t>前田　真央</t>
        </is>
      </c>
      <c r="E13" s="40" t="n"/>
      <c r="F13" s="45">
        <f>IF(D13="","",IF(E13&lt;&gt;"","手入力",IF(I13="","前年度名簿にいない",IF(OR(COUNTIF($H$2:$H$451,H13)&gt;1,COUNTIF(振り分け!$S$7:$S$456,H13)&gt;1),"同姓同名あり（手入力してください）","OK"))))</f>
        <v/>
      </c>
      <c r="G13" s="44">
        <f>IF(D13="","",IF(E13&lt;&gt;"",E13,IF(F13&lt;&gt;"OK","",IF(INDEX(振り分け!$L$7:$L$456,I13)="","未決定",INDEX(振り分け!$L$7:$L$456,I13)))))</f>
        <v/>
      </c>
      <c r="H13" s="8">
        <f>IF(D13="","",A13&amp;"|"&amp;SUBSTITUTE(SUBSTITUTE(D13," ",""),"　",""))</f>
        <v/>
      </c>
      <c r="I13" s="8">
        <f>IF(H13="","",IFERROR(MATCH(H13,振り分け!$S$7:$S$456,0),""))</f>
        <v/>
      </c>
      <c r="J13" s="8">
        <f>IF(D13="","",IFERROR(MATCH(A13&amp;"-"&amp;B13,設定!$Z$8:$Z$31,0),99)*1000+C13+ROW()/1000000)</f>
        <v/>
      </c>
      <c r="K13" s="8">
        <f>IF(D13="","",IFERROR(INDEX(設定!$L$8:$L$31,MATCH(A13&amp;"-"&amp;B13,設定!$Z$8:$Z$31,0)),A13&amp;B13))</f>
        <v/>
      </c>
    </row>
    <row r="14">
      <c r="A14" s="40" t="n">
        <v>6</v>
      </c>
      <c r="B14" s="40" t="inlineStr">
        <is>
          <t>松</t>
        </is>
      </c>
      <c r="C14" s="40" t="n">
        <v>13</v>
      </c>
      <c r="D14" s="41" t="inlineStr">
        <is>
          <t>佐藤　真央</t>
        </is>
      </c>
      <c r="E14" s="40" t="n"/>
      <c r="F14" s="45">
        <f>IF(D14="","",IF(E14&lt;&gt;"","手入力",IF(I14="","前年度名簿にいない",IF(OR(COUNTIF($H$2:$H$451,H14)&gt;1,COUNTIF(振り分け!$S$7:$S$456,H14)&gt;1),"同姓同名あり（手入力してください）","OK"))))</f>
        <v/>
      </c>
      <c r="G14" s="44">
        <f>IF(D14="","",IF(E14&lt;&gt;"",E14,IF(F14&lt;&gt;"OK","",IF(INDEX(振り分け!$L$7:$L$456,I14)="","未決定",INDEX(振り分け!$L$7:$L$456,I14)))))</f>
        <v/>
      </c>
      <c r="H14" s="8">
        <f>IF(D14="","",A14&amp;"|"&amp;SUBSTITUTE(SUBSTITUTE(D14," ",""),"　",""))</f>
        <v/>
      </c>
      <c r="I14" s="8">
        <f>IF(H14="","",IFERROR(MATCH(H14,振り分け!$S$7:$S$456,0),""))</f>
        <v/>
      </c>
      <c r="J14" s="8">
        <f>IF(D14="","",IFERROR(MATCH(A14&amp;"-"&amp;B14,設定!$Z$8:$Z$31,0),99)*1000+C14+ROW()/1000000)</f>
        <v/>
      </c>
      <c r="K14" s="8">
        <f>IF(D14="","",IFERROR(INDEX(設定!$L$8:$L$31,MATCH(A14&amp;"-"&amp;B14,設定!$Z$8:$Z$31,0)),A14&amp;B14))</f>
        <v/>
      </c>
    </row>
    <row r="15">
      <c r="A15" s="40" t="n">
        <v>6</v>
      </c>
      <c r="B15" s="40" t="inlineStr">
        <is>
          <t>松</t>
        </is>
      </c>
      <c r="C15" s="40" t="n">
        <v>14</v>
      </c>
      <c r="D15" s="41" t="inlineStr">
        <is>
          <t>小川　悠人</t>
        </is>
      </c>
      <c r="E15" s="40" t="n"/>
      <c r="F15" s="45">
        <f>IF(D15="","",IF(E15&lt;&gt;"","手入力",IF(I15="","前年度名簿にいない",IF(OR(COUNTIF($H$2:$H$451,H15)&gt;1,COUNTIF(振り分け!$S$7:$S$456,H15)&gt;1),"同姓同名あり（手入力してください）","OK"))))</f>
        <v/>
      </c>
      <c r="G15" s="44">
        <f>IF(D15="","",IF(E15&lt;&gt;"",E15,IF(F15&lt;&gt;"OK","",IF(INDEX(振り分け!$L$7:$L$456,I15)="","未決定",INDEX(振り分け!$L$7:$L$456,I15)))))</f>
        <v/>
      </c>
      <c r="H15" s="8">
        <f>IF(D15="","",A15&amp;"|"&amp;SUBSTITUTE(SUBSTITUTE(D15," ",""),"　",""))</f>
        <v/>
      </c>
      <c r="I15" s="8">
        <f>IF(H15="","",IFERROR(MATCH(H15,振り分け!$S$7:$S$456,0),""))</f>
        <v/>
      </c>
      <c r="J15" s="8">
        <f>IF(D15="","",IFERROR(MATCH(A15&amp;"-"&amp;B15,設定!$Z$8:$Z$31,0),99)*1000+C15+ROW()/1000000)</f>
        <v/>
      </c>
      <c r="K15" s="8">
        <f>IF(D15="","",IFERROR(INDEX(設定!$L$8:$L$31,MATCH(A15&amp;"-"&amp;B15,設定!$Z$8:$Z$31,0)),A15&amp;B15))</f>
        <v/>
      </c>
    </row>
    <row r="16">
      <c r="A16" s="40" t="n">
        <v>6</v>
      </c>
      <c r="B16" s="40" t="inlineStr">
        <is>
          <t>松</t>
        </is>
      </c>
      <c r="C16" s="40" t="n">
        <v>15</v>
      </c>
      <c r="D16" s="41" t="inlineStr">
        <is>
          <t>遠藤　朝陽</t>
        </is>
      </c>
      <c r="E16" s="40" t="n"/>
      <c r="F16" s="45">
        <f>IF(D16="","",IF(E16&lt;&gt;"","手入力",IF(I16="","前年度名簿にいない",IF(OR(COUNTIF($H$2:$H$451,H16)&gt;1,COUNTIF(振り分け!$S$7:$S$456,H16)&gt;1),"同姓同名あり（手入力してください）","OK"))))</f>
        <v/>
      </c>
      <c r="G16" s="44">
        <f>IF(D16="","",IF(E16&lt;&gt;"",E16,IF(F16&lt;&gt;"OK","",IF(INDEX(振り分け!$L$7:$L$456,I16)="","未決定",INDEX(振り分け!$L$7:$L$456,I16)))))</f>
        <v/>
      </c>
      <c r="H16" s="8">
        <f>IF(D16="","",A16&amp;"|"&amp;SUBSTITUTE(SUBSTITUTE(D16," ",""),"　",""))</f>
        <v/>
      </c>
      <c r="I16" s="8">
        <f>IF(H16="","",IFERROR(MATCH(H16,振り分け!$S$7:$S$456,0),""))</f>
        <v/>
      </c>
      <c r="J16" s="8">
        <f>IF(D16="","",IFERROR(MATCH(A16&amp;"-"&amp;B16,設定!$Z$8:$Z$31,0),99)*1000+C16+ROW()/1000000)</f>
        <v/>
      </c>
      <c r="K16" s="8">
        <f>IF(D16="","",IFERROR(INDEX(設定!$L$8:$L$31,MATCH(A16&amp;"-"&amp;B16,設定!$Z$8:$Z$31,0)),A16&amp;B16))</f>
        <v/>
      </c>
    </row>
    <row r="17">
      <c r="A17" s="40" t="n">
        <v>6</v>
      </c>
      <c r="B17" s="40" t="inlineStr">
        <is>
          <t>松</t>
        </is>
      </c>
      <c r="C17" s="40" t="n">
        <v>16</v>
      </c>
      <c r="D17" s="41" t="inlineStr">
        <is>
          <t>近藤　優斗</t>
        </is>
      </c>
      <c r="E17" s="40" t="n"/>
      <c r="F17" s="45">
        <f>IF(D17="","",IF(E17&lt;&gt;"","手入力",IF(I17="","前年度名簿にいない",IF(OR(COUNTIF($H$2:$H$451,H17)&gt;1,COUNTIF(振り分け!$S$7:$S$456,H17)&gt;1),"同姓同名あり（手入力してください）","OK"))))</f>
        <v/>
      </c>
      <c r="G17" s="44">
        <f>IF(D17="","",IF(E17&lt;&gt;"",E17,IF(F17&lt;&gt;"OK","",IF(INDEX(振り分け!$L$7:$L$456,I17)="","未決定",INDEX(振り分け!$L$7:$L$456,I17)))))</f>
        <v/>
      </c>
      <c r="H17" s="8">
        <f>IF(D17="","",A17&amp;"|"&amp;SUBSTITUTE(SUBSTITUTE(D17," ",""),"　",""))</f>
        <v/>
      </c>
      <c r="I17" s="8">
        <f>IF(H17="","",IFERROR(MATCH(H17,振り分け!$S$7:$S$456,0),""))</f>
        <v/>
      </c>
      <c r="J17" s="8">
        <f>IF(D17="","",IFERROR(MATCH(A17&amp;"-"&amp;B17,設定!$Z$8:$Z$31,0),99)*1000+C17+ROW()/1000000)</f>
        <v/>
      </c>
      <c r="K17" s="8">
        <f>IF(D17="","",IFERROR(INDEX(設定!$L$8:$L$31,MATCH(A17&amp;"-"&amp;B17,設定!$Z$8:$Z$31,0)),A17&amp;B17))</f>
        <v/>
      </c>
    </row>
    <row r="18">
      <c r="A18" s="40" t="n">
        <v>6</v>
      </c>
      <c r="B18" s="40" t="inlineStr">
        <is>
          <t>松</t>
        </is>
      </c>
      <c r="C18" s="40" t="n">
        <v>17</v>
      </c>
      <c r="D18" s="41" t="inlineStr">
        <is>
          <t>伊藤　大和</t>
        </is>
      </c>
      <c r="E18" s="40" t="n"/>
      <c r="F18" s="45">
        <f>IF(D18="","",IF(E18&lt;&gt;"","手入力",IF(I18="","前年度名簿にいない",IF(OR(COUNTIF($H$2:$H$451,H18)&gt;1,COUNTIF(振り分け!$S$7:$S$456,H18)&gt;1),"同姓同名あり（手入力してください）","OK"))))</f>
        <v/>
      </c>
      <c r="G18" s="44">
        <f>IF(D18="","",IF(E18&lt;&gt;"",E18,IF(F18&lt;&gt;"OK","",IF(INDEX(振り分け!$L$7:$L$456,I18)="","未決定",INDEX(振り分け!$L$7:$L$456,I18)))))</f>
        <v/>
      </c>
      <c r="H18" s="8">
        <f>IF(D18="","",A18&amp;"|"&amp;SUBSTITUTE(SUBSTITUTE(D18," ",""),"　",""))</f>
        <v/>
      </c>
      <c r="I18" s="8">
        <f>IF(H18="","",IFERROR(MATCH(H18,振り分け!$S$7:$S$456,0),""))</f>
        <v/>
      </c>
      <c r="J18" s="8">
        <f>IF(D18="","",IFERROR(MATCH(A18&amp;"-"&amp;B18,設定!$Z$8:$Z$31,0),99)*1000+C18+ROW()/1000000)</f>
        <v/>
      </c>
      <c r="K18" s="8">
        <f>IF(D18="","",IFERROR(INDEX(設定!$L$8:$L$31,MATCH(A18&amp;"-"&amp;B18,設定!$Z$8:$Z$31,0)),A18&amp;B18))</f>
        <v/>
      </c>
    </row>
    <row r="19">
      <c r="A19" s="40" t="n">
        <v>6</v>
      </c>
      <c r="B19" s="40" t="inlineStr">
        <is>
          <t>松</t>
        </is>
      </c>
      <c r="C19" s="40" t="n">
        <v>18</v>
      </c>
      <c r="D19" s="41" t="inlineStr">
        <is>
          <t>高橋　結翔</t>
        </is>
      </c>
      <c r="E19" s="40" t="n"/>
      <c r="F19" s="45">
        <f>IF(D19="","",IF(E19&lt;&gt;"","手入力",IF(I19="","前年度名簿にいない",IF(OR(COUNTIF($H$2:$H$451,H19)&gt;1,COUNTIF(振り分け!$S$7:$S$456,H19)&gt;1),"同姓同名あり（手入力してください）","OK"))))</f>
        <v/>
      </c>
      <c r="G19" s="44">
        <f>IF(D19="","",IF(E19&lt;&gt;"",E19,IF(F19&lt;&gt;"OK","",IF(INDEX(振り分け!$L$7:$L$456,I19)="","未決定",INDEX(振り分け!$L$7:$L$456,I19)))))</f>
        <v/>
      </c>
      <c r="H19" s="8">
        <f>IF(D19="","",A19&amp;"|"&amp;SUBSTITUTE(SUBSTITUTE(D19," ",""),"　",""))</f>
        <v/>
      </c>
      <c r="I19" s="8">
        <f>IF(H19="","",IFERROR(MATCH(H19,振り分け!$S$7:$S$456,0),""))</f>
        <v/>
      </c>
      <c r="J19" s="8">
        <f>IF(D19="","",IFERROR(MATCH(A19&amp;"-"&amp;B19,設定!$Z$8:$Z$31,0),99)*1000+C19+ROW()/1000000)</f>
        <v/>
      </c>
      <c r="K19" s="8">
        <f>IF(D19="","",IFERROR(INDEX(設定!$L$8:$L$31,MATCH(A19&amp;"-"&amp;B19,設定!$Z$8:$Z$31,0)),A19&amp;B19))</f>
        <v/>
      </c>
    </row>
    <row r="20">
      <c r="A20" s="40" t="n">
        <v>6</v>
      </c>
      <c r="B20" s="40" t="inlineStr">
        <is>
          <t>松</t>
        </is>
      </c>
      <c r="C20" s="40" t="n">
        <v>19</v>
      </c>
      <c r="D20" s="41" t="inlineStr">
        <is>
          <t>山田　一花</t>
        </is>
      </c>
      <c r="E20" s="40" t="n"/>
      <c r="F20" s="45">
        <f>IF(D20="","",IF(E20&lt;&gt;"","手入力",IF(I20="","前年度名簿にいない",IF(OR(COUNTIF($H$2:$H$451,H20)&gt;1,COUNTIF(振り分け!$S$7:$S$456,H20)&gt;1),"同姓同名あり（手入力してください）","OK"))))</f>
        <v/>
      </c>
      <c r="G20" s="44">
        <f>IF(D20="","",IF(E20&lt;&gt;"",E20,IF(F20&lt;&gt;"OK","",IF(INDEX(振り分け!$L$7:$L$456,I20)="","未決定",INDEX(振り分け!$L$7:$L$456,I20)))))</f>
        <v/>
      </c>
      <c r="H20" s="8">
        <f>IF(D20="","",A20&amp;"|"&amp;SUBSTITUTE(SUBSTITUTE(D20," ",""),"　",""))</f>
        <v/>
      </c>
      <c r="I20" s="8">
        <f>IF(H20="","",IFERROR(MATCH(H20,振り分け!$S$7:$S$456,0),""))</f>
        <v/>
      </c>
      <c r="J20" s="8">
        <f>IF(D20="","",IFERROR(MATCH(A20&amp;"-"&amp;B20,設定!$Z$8:$Z$31,0),99)*1000+C20+ROW()/1000000)</f>
        <v/>
      </c>
      <c r="K20" s="8">
        <f>IF(D20="","",IFERROR(INDEX(設定!$L$8:$L$31,MATCH(A20&amp;"-"&amp;B20,設定!$Z$8:$Z$31,0)),A20&amp;B20))</f>
        <v/>
      </c>
    </row>
    <row r="21">
      <c r="A21" s="40" t="n">
        <v>6</v>
      </c>
      <c r="B21" s="40" t="inlineStr">
        <is>
          <t>松</t>
        </is>
      </c>
      <c r="C21" s="40" t="n">
        <v>20</v>
      </c>
      <c r="D21" s="41" t="inlineStr">
        <is>
          <t>岡本　彩花</t>
        </is>
      </c>
      <c r="E21" s="40" t="n"/>
      <c r="F21" s="45">
        <f>IF(D21="","",IF(E21&lt;&gt;"","手入力",IF(I21="","前年度名簿にいない",IF(OR(COUNTIF($H$2:$H$451,H21)&gt;1,COUNTIF(振り分け!$S$7:$S$456,H21)&gt;1),"同姓同名あり（手入力してください）","OK"))))</f>
        <v/>
      </c>
      <c r="G21" s="44">
        <f>IF(D21="","",IF(E21&lt;&gt;"",E21,IF(F21&lt;&gt;"OK","",IF(INDEX(振り分け!$L$7:$L$456,I21)="","未決定",INDEX(振り分け!$L$7:$L$456,I21)))))</f>
        <v/>
      </c>
      <c r="H21" s="8">
        <f>IF(D21="","",A21&amp;"|"&amp;SUBSTITUTE(SUBSTITUTE(D21," ",""),"　",""))</f>
        <v/>
      </c>
      <c r="I21" s="8">
        <f>IF(H21="","",IFERROR(MATCH(H21,振り分け!$S$7:$S$456,0),""))</f>
        <v/>
      </c>
      <c r="J21" s="8">
        <f>IF(D21="","",IFERROR(MATCH(A21&amp;"-"&amp;B21,設定!$Z$8:$Z$31,0),99)*1000+C21+ROW()/1000000)</f>
        <v/>
      </c>
      <c r="K21" s="8">
        <f>IF(D21="","",IFERROR(INDEX(設定!$L$8:$L$31,MATCH(A21&amp;"-"&amp;B21,設定!$Z$8:$Z$31,0)),A21&amp;B21))</f>
        <v/>
      </c>
    </row>
    <row r="22">
      <c r="A22" s="40" t="n">
        <v>6</v>
      </c>
      <c r="B22" s="40" t="inlineStr">
        <is>
          <t>松</t>
        </is>
      </c>
      <c r="C22" s="40" t="n">
        <v>21</v>
      </c>
      <c r="D22" s="41" t="inlineStr">
        <is>
          <t>石川　咲良</t>
        </is>
      </c>
      <c r="E22" s="40" t="n"/>
      <c r="F22" s="45">
        <f>IF(D22="","",IF(E22&lt;&gt;"","手入力",IF(I22="","前年度名簿にいない",IF(OR(COUNTIF($H$2:$H$451,H22)&gt;1,COUNTIF(振り分け!$S$7:$S$456,H22)&gt;1),"同姓同名あり（手入力してください）","OK"))))</f>
        <v/>
      </c>
      <c r="G22" s="44">
        <f>IF(D22="","",IF(E22&lt;&gt;"",E22,IF(F22&lt;&gt;"OK","",IF(INDEX(振り分け!$L$7:$L$456,I22)="","未決定",INDEX(振り分け!$L$7:$L$456,I22)))))</f>
        <v/>
      </c>
      <c r="H22" s="8">
        <f>IF(D22="","",A22&amp;"|"&amp;SUBSTITUTE(SUBSTITUTE(D22," ",""),"　",""))</f>
        <v/>
      </c>
      <c r="I22" s="8">
        <f>IF(H22="","",IFERROR(MATCH(H22,振り分け!$S$7:$S$456,0),""))</f>
        <v/>
      </c>
      <c r="J22" s="8">
        <f>IF(D22="","",IFERROR(MATCH(A22&amp;"-"&amp;B22,設定!$Z$8:$Z$31,0),99)*1000+C22+ROW()/1000000)</f>
        <v/>
      </c>
      <c r="K22" s="8">
        <f>IF(D22="","",IFERROR(INDEX(設定!$L$8:$L$31,MATCH(A22&amp;"-"&amp;B22,設定!$Z$8:$Z$31,0)),A22&amp;B22))</f>
        <v/>
      </c>
    </row>
    <row r="23">
      <c r="A23" s="40" t="n">
        <v>6</v>
      </c>
      <c r="B23" s="40" t="inlineStr">
        <is>
          <t>松</t>
        </is>
      </c>
      <c r="C23" s="40" t="n">
        <v>22</v>
      </c>
      <c r="D23" s="41" t="inlineStr">
        <is>
          <t>西村　大和</t>
        </is>
      </c>
      <c r="E23" s="40" t="n"/>
      <c r="F23" s="45">
        <f>IF(D23="","",IF(E23&lt;&gt;"","手入力",IF(I23="","前年度名簿にいない",IF(OR(COUNTIF($H$2:$H$451,H23)&gt;1,COUNTIF(振り分け!$S$7:$S$456,H23)&gt;1),"同姓同名あり（手入力してください）","OK"))))</f>
        <v/>
      </c>
      <c r="G23" s="44">
        <f>IF(D23="","",IF(E23&lt;&gt;"",E23,IF(F23&lt;&gt;"OK","",IF(INDEX(振り分け!$L$7:$L$456,I23)="","未決定",INDEX(振り分け!$L$7:$L$456,I23)))))</f>
        <v/>
      </c>
      <c r="H23" s="8">
        <f>IF(D23="","",A23&amp;"|"&amp;SUBSTITUTE(SUBSTITUTE(D23," ",""),"　",""))</f>
        <v/>
      </c>
      <c r="I23" s="8">
        <f>IF(H23="","",IFERROR(MATCH(H23,振り分け!$S$7:$S$456,0),""))</f>
        <v/>
      </c>
      <c r="J23" s="8">
        <f>IF(D23="","",IFERROR(MATCH(A23&amp;"-"&amp;B23,設定!$Z$8:$Z$31,0),99)*1000+C23+ROW()/1000000)</f>
        <v/>
      </c>
      <c r="K23" s="8">
        <f>IF(D23="","",IFERROR(INDEX(設定!$L$8:$L$31,MATCH(A23&amp;"-"&amp;B23,設定!$Z$8:$Z$31,0)),A23&amp;B23))</f>
        <v/>
      </c>
    </row>
    <row r="24">
      <c r="A24" s="40" t="n">
        <v>6</v>
      </c>
      <c r="B24" s="40" t="inlineStr">
        <is>
          <t>松</t>
        </is>
      </c>
      <c r="C24" s="40" t="n">
        <v>23</v>
      </c>
      <c r="D24" s="41" t="inlineStr">
        <is>
          <t>金子　朝陽</t>
        </is>
      </c>
      <c r="E24" s="40" t="n"/>
      <c r="F24" s="45">
        <f>IF(D24="","",IF(E24&lt;&gt;"","手入力",IF(I24="","前年度名簿にいない",IF(OR(COUNTIF($H$2:$H$451,H24)&gt;1,COUNTIF(振り分け!$S$7:$S$456,H24)&gt;1),"同姓同名あり（手入力してください）","OK"))))</f>
        <v/>
      </c>
      <c r="G24" s="44">
        <f>IF(D24="","",IF(E24&lt;&gt;"",E24,IF(F24&lt;&gt;"OK","",IF(INDEX(振り分け!$L$7:$L$456,I24)="","未決定",INDEX(振り分け!$L$7:$L$456,I24)))))</f>
        <v/>
      </c>
      <c r="H24" s="8">
        <f>IF(D24="","",A24&amp;"|"&amp;SUBSTITUTE(SUBSTITUTE(D24," ",""),"　",""))</f>
        <v/>
      </c>
      <c r="I24" s="8">
        <f>IF(H24="","",IFERROR(MATCH(H24,振り分け!$S$7:$S$456,0),""))</f>
        <v/>
      </c>
      <c r="J24" s="8">
        <f>IF(D24="","",IFERROR(MATCH(A24&amp;"-"&amp;B24,設定!$Z$8:$Z$31,0),99)*1000+C24+ROW()/1000000)</f>
        <v/>
      </c>
      <c r="K24" s="8">
        <f>IF(D24="","",IFERROR(INDEX(設定!$L$8:$L$31,MATCH(A24&amp;"-"&amp;B24,設定!$Z$8:$Z$31,0)),A24&amp;B24))</f>
        <v/>
      </c>
    </row>
    <row r="25">
      <c r="A25" s="40" t="n">
        <v>6</v>
      </c>
      <c r="B25" s="40" t="inlineStr">
        <is>
          <t>松</t>
        </is>
      </c>
      <c r="C25" s="40" t="n">
        <v>24</v>
      </c>
      <c r="D25" s="41" t="inlineStr">
        <is>
          <t>前田　千尋</t>
        </is>
      </c>
      <c r="E25" s="40" t="n"/>
      <c r="F25" s="45">
        <f>IF(D25="","",IF(E25&lt;&gt;"","手入力",IF(I25="","前年度名簿にいない",IF(OR(COUNTIF($H$2:$H$451,H25)&gt;1,COUNTIF(振り分け!$S$7:$S$456,H25)&gt;1),"同姓同名あり（手入力してください）","OK"))))</f>
        <v/>
      </c>
      <c r="G25" s="44">
        <f>IF(D25="","",IF(E25&lt;&gt;"",E25,IF(F25&lt;&gt;"OK","",IF(INDEX(振り分け!$L$7:$L$456,I25)="","未決定",INDEX(振り分け!$L$7:$L$456,I25)))))</f>
        <v/>
      </c>
      <c r="H25" s="8">
        <f>IF(D25="","",A25&amp;"|"&amp;SUBSTITUTE(SUBSTITUTE(D25," ",""),"　",""))</f>
        <v/>
      </c>
      <c r="I25" s="8">
        <f>IF(H25="","",IFERROR(MATCH(H25,振り分け!$S$7:$S$456,0),""))</f>
        <v/>
      </c>
      <c r="J25" s="8">
        <f>IF(D25="","",IFERROR(MATCH(A25&amp;"-"&amp;B25,設定!$Z$8:$Z$31,0),99)*1000+C25+ROW()/1000000)</f>
        <v/>
      </c>
      <c r="K25" s="8">
        <f>IF(D25="","",IFERROR(INDEX(設定!$L$8:$L$31,MATCH(A25&amp;"-"&amp;B25,設定!$Z$8:$Z$31,0)),A25&amp;B25))</f>
        <v/>
      </c>
    </row>
    <row r="26">
      <c r="A26" s="40" t="n">
        <v>6</v>
      </c>
      <c r="B26" s="40" t="inlineStr">
        <is>
          <t>松</t>
        </is>
      </c>
      <c r="C26" s="40" t="n">
        <v>25</v>
      </c>
      <c r="D26" s="41" t="inlineStr">
        <is>
          <t>中野　悠真</t>
        </is>
      </c>
      <c r="E26" s="40" t="n"/>
      <c r="F26" s="45">
        <f>IF(D26="","",IF(E26&lt;&gt;"","手入力",IF(I26="","前年度名簿にいない",IF(OR(COUNTIF($H$2:$H$451,H26)&gt;1,COUNTIF(振り分け!$S$7:$S$456,H26)&gt;1),"同姓同名あり（手入力してください）","OK"))))</f>
        <v/>
      </c>
      <c r="G26" s="44">
        <f>IF(D26="","",IF(E26&lt;&gt;"",E26,IF(F26&lt;&gt;"OK","",IF(INDEX(振り分け!$L$7:$L$456,I26)="","未決定",INDEX(振り分け!$L$7:$L$456,I26)))))</f>
        <v/>
      </c>
      <c r="H26" s="8">
        <f>IF(D26="","",A26&amp;"|"&amp;SUBSTITUTE(SUBSTITUTE(D26," ",""),"　",""))</f>
        <v/>
      </c>
      <c r="I26" s="8">
        <f>IF(H26="","",IFERROR(MATCH(H26,振り分け!$S$7:$S$456,0),""))</f>
        <v/>
      </c>
      <c r="J26" s="8">
        <f>IF(D26="","",IFERROR(MATCH(A26&amp;"-"&amp;B26,設定!$Z$8:$Z$31,0),99)*1000+C26+ROW()/1000000)</f>
        <v/>
      </c>
      <c r="K26" s="8">
        <f>IF(D26="","",IFERROR(INDEX(設定!$L$8:$L$31,MATCH(A26&amp;"-"&amp;B26,設定!$Z$8:$Z$31,0)),A26&amp;B26))</f>
        <v/>
      </c>
    </row>
    <row r="27">
      <c r="A27" s="40" t="n">
        <v>6</v>
      </c>
      <c r="B27" s="40" t="inlineStr">
        <is>
          <t>松</t>
        </is>
      </c>
      <c r="C27" s="40" t="n">
        <v>26</v>
      </c>
      <c r="D27" s="41" t="inlineStr">
        <is>
          <t>西村　翼</t>
        </is>
      </c>
      <c r="E27" s="40" t="n"/>
      <c r="F27" s="45">
        <f>IF(D27="","",IF(E27&lt;&gt;"","手入力",IF(I27="","前年度名簿にいない",IF(OR(COUNTIF($H$2:$H$451,H27)&gt;1,COUNTIF(振り分け!$S$7:$S$456,H27)&gt;1),"同姓同名あり（手入力してください）","OK"))))</f>
        <v/>
      </c>
      <c r="G27" s="44">
        <f>IF(D27="","",IF(E27&lt;&gt;"",E27,IF(F27&lt;&gt;"OK","",IF(INDEX(振り分け!$L$7:$L$456,I27)="","未決定",INDEX(振り分け!$L$7:$L$456,I27)))))</f>
        <v/>
      </c>
      <c r="H27" s="8">
        <f>IF(D27="","",A27&amp;"|"&amp;SUBSTITUTE(SUBSTITUTE(D27," ",""),"　",""))</f>
        <v/>
      </c>
      <c r="I27" s="8">
        <f>IF(H27="","",IFERROR(MATCH(H27,振り分け!$S$7:$S$456,0),""))</f>
        <v/>
      </c>
      <c r="J27" s="8">
        <f>IF(D27="","",IFERROR(MATCH(A27&amp;"-"&amp;B27,設定!$Z$8:$Z$31,0),99)*1000+C27+ROW()/1000000)</f>
        <v/>
      </c>
      <c r="K27" s="8">
        <f>IF(D27="","",IFERROR(INDEX(設定!$L$8:$L$31,MATCH(A27&amp;"-"&amp;B27,設定!$Z$8:$Z$31,0)),A27&amp;B27))</f>
        <v/>
      </c>
    </row>
    <row r="28">
      <c r="A28" s="40" t="n">
        <v>6</v>
      </c>
      <c r="B28" s="40" t="inlineStr">
        <is>
          <t>松</t>
        </is>
      </c>
      <c r="C28" s="40" t="n">
        <v>27</v>
      </c>
      <c r="D28" s="41" t="inlineStr">
        <is>
          <t>小林　陸</t>
        </is>
      </c>
      <c r="E28" s="40" t="n"/>
      <c r="F28" s="45">
        <f>IF(D28="","",IF(E28&lt;&gt;"","手入力",IF(I28="","前年度名簿にいない",IF(OR(COUNTIF($H$2:$H$451,H28)&gt;1,COUNTIF(振り分け!$S$7:$S$456,H28)&gt;1),"同姓同名あり（手入力してください）","OK"))))</f>
        <v/>
      </c>
      <c r="G28" s="44">
        <f>IF(D28="","",IF(E28&lt;&gt;"",E28,IF(F28&lt;&gt;"OK","",IF(INDEX(振り分け!$L$7:$L$456,I28)="","未決定",INDEX(振り分け!$L$7:$L$456,I28)))))</f>
        <v/>
      </c>
      <c r="H28" s="8">
        <f>IF(D28="","",A28&amp;"|"&amp;SUBSTITUTE(SUBSTITUTE(D28," ",""),"　",""))</f>
        <v/>
      </c>
      <c r="I28" s="8">
        <f>IF(H28="","",IFERROR(MATCH(H28,振り分け!$S$7:$S$456,0),""))</f>
        <v/>
      </c>
      <c r="J28" s="8">
        <f>IF(D28="","",IFERROR(MATCH(A28&amp;"-"&amp;B28,設定!$Z$8:$Z$31,0),99)*1000+C28+ROW()/1000000)</f>
        <v/>
      </c>
      <c r="K28" s="8">
        <f>IF(D28="","",IFERROR(INDEX(設定!$L$8:$L$31,MATCH(A28&amp;"-"&amp;B28,設定!$Z$8:$Z$31,0)),A28&amp;B28))</f>
        <v/>
      </c>
    </row>
    <row r="29">
      <c r="A29" s="40" t="n">
        <v>6</v>
      </c>
      <c r="B29" s="40" t="inlineStr">
        <is>
          <t>松</t>
        </is>
      </c>
      <c r="C29" s="40" t="n">
        <v>28</v>
      </c>
      <c r="D29" s="41" t="inlineStr">
        <is>
          <t>山口　楓</t>
        </is>
      </c>
      <c r="E29" s="40" t="n"/>
      <c r="F29" s="45">
        <f>IF(D29="","",IF(E29&lt;&gt;"","手入力",IF(I29="","前年度名簿にいない",IF(OR(COUNTIF($H$2:$H$451,H29)&gt;1,COUNTIF(振り分け!$S$7:$S$456,H29)&gt;1),"同姓同名あり（手入力してください）","OK"))))</f>
        <v/>
      </c>
      <c r="G29" s="44">
        <f>IF(D29="","",IF(E29&lt;&gt;"",E29,IF(F29&lt;&gt;"OK","",IF(INDEX(振り分け!$L$7:$L$456,I29)="","未決定",INDEX(振り分け!$L$7:$L$456,I29)))))</f>
        <v/>
      </c>
      <c r="H29" s="8">
        <f>IF(D29="","",A29&amp;"|"&amp;SUBSTITUTE(SUBSTITUTE(D29," ",""),"　",""))</f>
        <v/>
      </c>
      <c r="I29" s="8">
        <f>IF(H29="","",IFERROR(MATCH(H29,振り分け!$S$7:$S$456,0),""))</f>
        <v/>
      </c>
      <c r="J29" s="8">
        <f>IF(D29="","",IFERROR(MATCH(A29&amp;"-"&amp;B29,設定!$Z$8:$Z$31,0),99)*1000+C29+ROW()/1000000)</f>
        <v/>
      </c>
      <c r="K29" s="8">
        <f>IF(D29="","",IFERROR(INDEX(設定!$L$8:$L$31,MATCH(A29&amp;"-"&amp;B29,設定!$Z$8:$Z$31,0)),A29&amp;B29))</f>
        <v/>
      </c>
    </row>
    <row r="30">
      <c r="A30" s="40" t="n">
        <v>6</v>
      </c>
      <c r="B30" s="40" t="inlineStr">
        <is>
          <t>松</t>
        </is>
      </c>
      <c r="C30" s="40" t="n">
        <v>29</v>
      </c>
      <c r="D30" s="41" t="inlineStr">
        <is>
          <t>福田　優斗</t>
        </is>
      </c>
      <c r="E30" s="40" t="n"/>
      <c r="F30" s="45">
        <f>IF(D30="","",IF(E30&lt;&gt;"","手入力",IF(I30="","前年度名簿にいない",IF(OR(COUNTIF($H$2:$H$451,H30)&gt;1,COUNTIF(振り分け!$S$7:$S$456,H30)&gt;1),"同姓同名あり（手入力してください）","OK"))))</f>
        <v/>
      </c>
      <c r="G30" s="44">
        <f>IF(D30="","",IF(E30&lt;&gt;"",E30,IF(F30&lt;&gt;"OK","",IF(INDEX(振り分け!$L$7:$L$456,I30)="","未決定",INDEX(振り分け!$L$7:$L$456,I30)))))</f>
        <v/>
      </c>
      <c r="H30" s="8">
        <f>IF(D30="","",A30&amp;"|"&amp;SUBSTITUTE(SUBSTITUTE(D30," ",""),"　",""))</f>
        <v/>
      </c>
      <c r="I30" s="8">
        <f>IF(H30="","",IFERROR(MATCH(H30,振り分け!$S$7:$S$456,0),""))</f>
        <v/>
      </c>
      <c r="J30" s="8">
        <f>IF(D30="","",IFERROR(MATCH(A30&amp;"-"&amp;B30,設定!$Z$8:$Z$31,0),99)*1000+C30+ROW()/1000000)</f>
        <v/>
      </c>
      <c r="K30" s="8">
        <f>IF(D30="","",IFERROR(INDEX(設定!$L$8:$L$31,MATCH(A30&amp;"-"&amp;B30,設定!$Z$8:$Z$31,0)),A30&amp;B30))</f>
        <v/>
      </c>
    </row>
    <row r="31">
      <c r="A31" s="40" t="n">
        <v>6</v>
      </c>
      <c r="B31" s="40" t="inlineStr">
        <is>
          <t>松</t>
        </is>
      </c>
      <c r="C31" s="40" t="n">
        <v>30</v>
      </c>
      <c r="D31" s="41" t="inlineStr">
        <is>
          <t>中野　海斗</t>
        </is>
      </c>
      <c r="E31" s="40" t="n"/>
      <c r="F31" s="45">
        <f>IF(D31="","",IF(E31&lt;&gt;"","手入力",IF(I31="","前年度名簿にいない",IF(OR(COUNTIF($H$2:$H$451,H31)&gt;1,COUNTIF(振り分け!$S$7:$S$456,H31)&gt;1),"同姓同名あり（手入力してください）","OK"))))</f>
        <v/>
      </c>
      <c r="G31" s="44">
        <f>IF(D31="","",IF(E31&lt;&gt;"",E31,IF(F31&lt;&gt;"OK","",IF(INDEX(振り分け!$L$7:$L$456,I31)="","未決定",INDEX(振り分け!$L$7:$L$456,I31)))))</f>
        <v/>
      </c>
      <c r="H31" s="8">
        <f>IF(D31="","",A31&amp;"|"&amp;SUBSTITUTE(SUBSTITUTE(D31," ",""),"　",""))</f>
        <v/>
      </c>
      <c r="I31" s="8">
        <f>IF(H31="","",IFERROR(MATCH(H31,振り分け!$S$7:$S$456,0),""))</f>
        <v/>
      </c>
      <c r="J31" s="8">
        <f>IF(D31="","",IFERROR(MATCH(A31&amp;"-"&amp;B31,設定!$Z$8:$Z$31,0),99)*1000+C31+ROW()/1000000)</f>
        <v/>
      </c>
      <c r="K31" s="8">
        <f>IF(D31="","",IFERROR(INDEX(設定!$L$8:$L$31,MATCH(A31&amp;"-"&amp;B31,設定!$Z$8:$Z$31,0)),A31&amp;B31))</f>
        <v/>
      </c>
    </row>
    <row r="32">
      <c r="A32" s="40" t="n">
        <v>6</v>
      </c>
      <c r="B32" s="40" t="inlineStr">
        <is>
          <t>竹</t>
        </is>
      </c>
      <c r="C32" s="40" t="n">
        <v>1</v>
      </c>
      <c r="D32" s="41" t="inlineStr">
        <is>
          <t>斎藤　芽依</t>
        </is>
      </c>
      <c r="E32" s="40" t="n"/>
      <c r="F32" s="45">
        <f>IF(D32="","",IF(E32&lt;&gt;"","手入力",IF(I32="","前年度名簿にいない",IF(OR(COUNTIF($H$2:$H$451,H32)&gt;1,COUNTIF(振り分け!$S$7:$S$456,H32)&gt;1),"同姓同名あり（手入力してください）","OK"))))</f>
        <v/>
      </c>
      <c r="G32" s="44">
        <f>IF(D32="","",IF(E32&lt;&gt;"",E32,IF(F32&lt;&gt;"OK","",IF(INDEX(振り分け!$L$7:$L$456,I32)="","未決定",INDEX(振り分け!$L$7:$L$456,I32)))))</f>
        <v/>
      </c>
      <c r="H32" s="8">
        <f>IF(D32="","",A32&amp;"|"&amp;SUBSTITUTE(SUBSTITUTE(D32," ",""),"　",""))</f>
        <v/>
      </c>
      <c r="I32" s="8">
        <f>IF(H32="","",IFERROR(MATCH(H32,振り分け!$S$7:$S$456,0),""))</f>
        <v/>
      </c>
      <c r="J32" s="8">
        <f>IF(D32="","",IFERROR(MATCH(A32&amp;"-"&amp;B32,設定!$Z$8:$Z$31,0),99)*1000+C32+ROW()/1000000)</f>
        <v/>
      </c>
      <c r="K32" s="8">
        <f>IF(D32="","",IFERROR(INDEX(設定!$L$8:$L$31,MATCH(A32&amp;"-"&amp;B32,設定!$Z$8:$Z$31,0)),A32&amp;B32))</f>
        <v/>
      </c>
    </row>
    <row r="33">
      <c r="A33" s="40" t="n">
        <v>6</v>
      </c>
      <c r="B33" s="40" t="inlineStr">
        <is>
          <t>竹</t>
        </is>
      </c>
      <c r="C33" s="40" t="n">
        <v>2</v>
      </c>
      <c r="D33" s="41" t="inlineStr">
        <is>
          <t>山田　莉子</t>
        </is>
      </c>
      <c r="E33" s="40" t="n"/>
      <c r="F33" s="45">
        <f>IF(D33="","",IF(E33&lt;&gt;"","手入力",IF(I33="","前年度名簿にいない",IF(OR(COUNTIF($H$2:$H$451,H33)&gt;1,COUNTIF(振り分け!$S$7:$S$456,H33)&gt;1),"同姓同名あり（手入力してください）","OK"))))</f>
        <v/>
      </c>
      <c r="G33" s="44">
        <f>IF(D33="","",IF(E33&lt;&gt;"",E33,IF(F33&lt;&gt;"OK","",IF(INDEX(振り分け!$L$7:$L$456,I33)="","未決定",INDEX(振り分け!$L$7:$L$456,I33)))))</f>
        <v/>
      </c>
      <c r="H33" s="8">
        <f>IF(D33="","",A33&amp;"|"&amp;SUBSTITUTE(SUBSTITUTE(D33," ",""),"　",""))</f>
        <v/>
      </c>
      <c r="I33" s="8">
        <f>IF(H33="","",IFERROR(MATCH(H33,振り分け!$S$7:$S$456,0),""))</f>
        <v/>
      </c>
      <c r="J33" s="8">
        <f>IF(D33="","",IFERROR(MATCH(A33&amp;"-"&amp;B33,設定!$Z$8:$Z$31,0),99)*1000+C33+ROW()/1000000)</f>
        <v/>
      </c>
      <c r="K33" s="8">
        <f>IF(D33="","",IFERROR(INDEX(設定!$L$8:$L$31,MATCH(A33&amp;"-"&amp;B33,設定!$Z$8:$Z$31,0)),A33&amp;B33))</f>
        <v/>
      </c>
    </row>
    <row r="34">
      <c r="A34" s="40" t="n">
        <v>6</v>
      </c>
      <c r="B34" s="40" t="inlineStr">
        <is>
          <t>竹</t>
        </is>
      </c>
      <c r="C34" s="40" t="n">
        <v>3</v>
      </c>
      <c r="D34" s="41" t="inlineStr">
        <is>
          <t>山崎　咲良</t>
        </is>
      </c>
      <c r="E34" s="40" t="n"/>
      <c r="F34" s="45">
        <f>IF(D34="","",IF(E34&lt;&gt;"","手入力",IF(I34="","前年度名簿にいない",IF(OR(COUNTIF($H$2:$H$451,H34)&gt;1,COUNTIF(振り分け!$S$7:$S$456,H34)&gt;1),"同姓同名あり（手入力してください）","OK"))))</f>
        <v/>
      </c>
      <c r="G34" s="44">
        <f>IF(D34="","",IF(E34&lt;&gt;"",E34,IF(F34&lt;&gt;"OK","",IF(INDEX(振り分け!$L$7:$L$456,I34)="","未決定",INDEX(振り分け!$L$7:$L$456,I34)))))</f>
        <v/>
      </c>
      <c r="H34" s="8">
        <f>IF(D34="","",A34&amp;"|"&amp;SUBSTITUTE(SUBSTITUTE(D34," ",""),"　",""))</f>
        <v/>
      </c>
      <c r="I34" s="8">
        <f>IF(H34="","",IFERROR(MATCH(H34,振り分け!$S$7:$S$456,0),""))</f>
        <v/>
      </c>
      <c r="J34" s="8">
        <f>IF(D34="","",IFERROR(MATCH(A34&amp;"-"&amp;B34,設定!$Z$8:$Z$31,0),99)*1000+C34+ROW()/1000000)</f>
        <v/>
      </c>
      <c r="K34" s="8">
        <f>IF(D34="","",IFERROR(INDEX(設定!$L$8:$L$31,MATCH(A34&amp;"-"&amp;B34,設定!$Z$8:$Z$31,0)),A34&amp;B34))</f>
        <v/>
      </c>
    </row>
    <row r="35">
      <c r="A35" s="40" t="n">
        <v>6</v>
      </c>
      <c r="B35" s="40" t="inlineStr">
        <is>
          <t>竹</t>
        </is>
      </c>
      <c r="C35" s="40" t="n">
        <v>4</v>
      </c>
      <c r="D35" s="41" t="inlineStr">
        <is>
          <t>小林　大和</t>
        </is>
      </c>
      <c r="E35" s="40" t="n"/>
      <c r="F35" s="45">
        <f>IF(D35="","",IF(E35&lt;&gt;"","手入力",IF(I35="","前年度名簿にいない",IF(OR(COUNTIF($H$2:$H$451,H35)&gt;1,COUNTIF(振り分け!$S$7:$S$456,H35)&gt;1),"同姓同名あり（手入力してください）","OK"))))</f>
        <v/>
      </c>
      <c r="G35" s="44">
        <f>IF(D35="","",IF(E35&lt;&gt;"",E35,IF(F35&lt;&gt;"OK","",IF(INDEX(振り分け!$L$7:$L$456,I35)="","未決定",INDEX(振り分け!$L$7:$L$456,I35)))))</f>
        <v/>
      </c>
      <c r="H35" s="8">
        <f>IF(D35="","",A35&amp;"|"&amp;SUBSTITUTE(SUBSTITUTE(D35," ",""),"　",""))</f>
        <v/>
      </c>
      <c r="I35" s="8">
        <f>IF(H35="","",IFERROR(MATCH(H35,振り分け!$S$7:$S$456,0),""))</f>
        <v/>
      </c>
      <c r="J35" s="8">
        <f>IF(D35="","",IFERROR(MATCH(A35&amp;"-"&amp;B35,設定!$Z$8:$Z$31,0),99)*1000+C35+ROW()/1000000)</f>
        <v/>
      </c>
      <c r="K35" s="8">
        <f>IF(D35="","",IFERROR(INDEX(設定!$L$8:$L$31,MATCH(A35&amp;"-"&amp;B35,設定!$Z$8:$Z$31,0)),A35&amp;B35))</f>
        <v/>
      </c>
    </row>
    <row r="36">
      <c r="A36" s="40" t="n">
        <v>6</v>
      </c>
      <c r="B36" s="40" t="inlineStr">
        <is>
          <t>竹</t>
        </is>
      </c>
      <c r="C36" s="40" t="n">
        <v>5</v>
      </c>
      <c r="D36" s="41" t="inlineStr">
        <is>
          <t>清水　律</t>
        </is>
      </c>
      <c r="E36" s="40" t="n"/>
      <c r="F36" s="45">
        <f>IF(D36="","",IF(E36&lt;&gt;"","手入力",IF(I36="","前年度名簿にいない",IF(OR(COUNTIF($H$2:$H$451,H36)&gt;1,COUNTIF(振り分け!$S$7:$S$456,H36)&gt;1),"同姓同名あり（手入力してください）","OK"))))</f>
        <v/>
      </c>
      <c r="G36" s="44">
        <f>IF(D36="","",IF(E36&lt;&gt;"",E36,IF(F36&lt;&gt;"OK","",IF(INDEX(振り分け!$L$7:$L$456,I36)="","未決定",INDEX(振り分け!$L$7:$L$456,I36)))))</f>
        <v/>
      </c>
      <c r="H36" s="8">
        <f>IF(D36="","",A36&amp;"|"&amp;SUBSTITUTE(SUBSTITUTE(D36," ",""),"　",""))</f>
        <v/>
      </c>
      <c r="I36" s="8">
        <f>IF(H36="","",IFERROR(MATCH(H36,振り分け!$S$7:$S$456,0),""))</f>
        <v/>
      </c>
      <c r="J36" s="8">
        <f>IF(D36="","",IFERROR(MATCH(A36&amp;"-"&amp;B36,設定!$Z$8:$Z$31,0),99)*1000+C36+ROW()/1000000)</f>
        <v/>
      </c>
      <c r="K36" s="8">
        <f>IF(D36="","",IFERROR(INDEX(設定!$L$8:$L$31,MATCH(A36&amp;"-"&amp;B36,設定!$Z$8:$Z$31,0)),A36&amp;B36))</f>
        <v/>
      </c>
    </row>
    <row r="37">
      <c r="A37" s="40" t="n">
        <v>6</v>
      </c>
      <c r="B37" s="40" t="inlineStr">
        <is>
          <t>竹</t>
        </is>
      </c>
      <c r="C37" s="40" t="n">
        <v>6</v>
      </c>
      <c r="D37" s="41" t="inlineStr">
        <is>
          <t>阿部　陽太</t>
        </is>
      </c>
      <c r="E37" s="40" t="n"/>
      <c r="F37" s="45">
        <f>IF(D37="","",IF(E37&lt;&gt;"","手入力",IF(I37="","前年度名簿にいない",IF(OR(COUNTIF($H$2:$H$451,H37)&gt;1,COUNTIF(振り分け!$S$7:$S$456,H37)&gt;1),"同姓同名あり（手入力してください）","OK"))))</f>
        <v/>
      </c>
      <c r="G37" s="44">
        <f>IF(D37="","",IF(E37&lt;&gt;"",E37,IF(F37&lt;&gt;"OK","",IF(INDEX(振り分け!$L$7:$L$456,I37)="","未決定",INDEX(振り分け!$L$7:$L$456,I37)))))</f>
        <v/>
      </c>
      <c r="H37" s="8">
        <f>IF(D37="","",A37&amp;"|"&amp;SUBSTITUTE(SUBSTITUTE(D37," ",""),"　",""))</f>
        <v/>
      </c>
      <c r="I37" s="8">
        <f>IF(H37="","",IFERROR(MATCH(H37,振り分け!$S$7:$S$456,0),""))</f>
        <v/>
      </c>
      <c r="J37" s="8">
        <f>IF(D37="","",IFERROR(MATCH(A37&amp;"-"&amp;B37,設定!$Z$8:$Z$31,0),99)*1000+C37+ROW()/1000000)</f>
        <v/>
      </c>
      <c r="K37" s="8">
        <f>IF(D37="","",IFERROR(INDEX(設定!$L$8:$L$31,MATCH(A37&amp;"-"&amp;B37,設定!$Z$8:$Z$31,0)),A37&amp;B37))</f>
        <v/>
      </c>
    </row>
    <row r="38">
      <c r="A38" s="40" t="n">
        <v>6</v>
      </c>
      <c r="B38" s="40" t="inlineStr">
        <is>
          <t>竹</t>
        </is>
      </c>
      <c r="C38" s="40" t="n">
        <v>7</v>
      </c>
      <c r="D38" s="41" t="inlineStr">
        <is>
          <t>坂本　美月</t>
        </is>
      </c>
      <c r="E38" s="40" t="n"/>
      <c r="F38" s="45">
        <f>IF(D38="","",IF(E38&lt;&gt;"","手入力",IF(I38="","前年度名簿にいない",IF(OR(COUNTIF($H$2:$H$451,H38)&gt;1,COUNTIF(振り分け!$S$7:$S$456,H38)&gt;1),"同姓同名あり（手入力してください）","OK"))))</f>
        <v/>
      </c>
      <c r="G38" s="44">
        <f>IF(D38="","",IF(E38&lt;&gt;"",E38,IF(F38&lt;&gt;"OK","",IF(INDEX(振り分け!$L$7:$L$456,I38)="","未決定",INDEX(振り分け!$L$7:$L$456,I38)))))</f>
        <v/>
      </c>
      <c r="H38" s="8">
        <f>IF(D38="","",A38&amp;"|"&amp;SUBSTITUTE(SUBSTITUTE(D38," ",""),"　",""))</f>
        <v/>
      </c>
      <c r="I38" s="8">
        <f>IF(H38="","",IFERROR(MATCH(H38,振り分け!$S$7:$S$456,0),""))</f>
        <v/>
      </c>
      <c r="J38" s="8">
        <f>IF(D38="","",IFERROR(MATCH(A38&amp;"-"&amp;B38,設定!$Z$8:$Z$31,0),99)*1000+C38+ROW()/1000000)</f>
        <v/>
      </c>
      <c r="K38" s="8">
        <f>IF(D38="","",IFERROR(INDEX(設定!$L$8:$L$31,MATCH(A38&amp;"-"&amp;B38,設定!$Z$8:$Z$31,0)),A38&amp;B38))</f>
        <v/>
      </c>
    </row>
    <row r="39">
      <c r="A39" s="40" t="n">
        <v>6</v>
      </c>
      <c r="B39" s="40" t="inlineStr">
        <is>
          <t>竹</t>
        </is>
      </c>
      <c r="C39" s="40" t="n">
        <v>8</v>
      </c>
      <c r="D39" s="41" t="inlineStr">
        <is>
          <t>近藤　大和</t>
        </is>
      </c>
      <c r="E39" s="40" t="n"/>
      <c r="F39" s="45">
        <f>IF(D39="","",IF(E39&lt;&gt;"","手入力",IF(I39="","前年度名簿にいない",IF(OR(COUNTIF($H$2:$H$451,H39)&gt;1,COUNTIF(振り分け!$S$7:$S$456,H39)&gt;1),"同姓同名あり（手入力してください）","OK"))))</f>
        <v/>
      </c>
      <c r="G39" s="44">
        <f>IF(D39="","",IF(E39&lt;&gt;"",E39,IF(F39&lt;&gt;"OK","",IF(INDEX(振り分け!$L$7:$L$456,I39)="","未決定",INDEX(振り分け!$L$7:$L$456,I39)))))</f>
        <v/>
      </c>
      <c r="H39" s="8">
        <f>IF(D39="","",A39&amp;"|"&amp;SUBSTITUTE(SUBSTITUTE(D39," ",""),"　",""))</f>
        <v/>
      </c>
      <c r="I39" s="8">
        <f>IF(H39="","",IFERROR(MATCH(H39,振り分け!$S$7:$S$456,0),""))</f>
        <v/>
      </c>
      <c r="J39" s="8">
        <f>IF(D39="","",IFERROR(MATCH(A39&amp;"-"&amp;B39,設定!$Z$8:$Z$31,0),99)*1000+C39+ROW()/1000000)</f>
        <v/>
      </c>
      <c r="K39" s="8">
        <f>IF(D39="","",IFERROR(INDEX(設定!$L$8:$L$31,MATCH(A39&amp;"-"&amp;B39,設定!$Z$8:$Z$31,0)),A39&amp;B39))</f>
        <v/>
      </c>
    </row>
    <row r="40">
      <c r="A40" s="40" t="n">
        <v>6</v>
      </c>
      <c r="B40" s="40" t="inlineStr">
        <is>
          <t>竹</t>
        </is>
      </c>
      <c r="C40" s="40" t="n">
        <v>9</v>
      </c>
      <c r="D40" s="41" t="inlineStr">
        <is>
          <t>清水　陽翔</t>
        </is>
      </c>
      <c r="E40" s="40" t="n"/>
      <c r="F40" s="45">
        <f>IF(D40="","",IF(E40&lt;&gt;"","手入力",IF(I40="","前年度名簿にいない",IF(OR(COUNTIF($H$2:$H$451,H40)&gt;1,COUNTIF(振り分け!$S$7:$S$456,H40)&gt;1),"同姓同名あり（手入力してください）","OK"))))</f>
        <v/>
      </c>
      <c r="G40" s="44">
        <f>IF(D40="","",IF(E40&lt;&gt;"",E40,IF(F40&lt;&gt;"OK","",IF(INDEX(振り分け!$L$7:$L$456,I40)="","未決定",INDEX(振り分け!$L$7:$L$456,I40)))))</f>
        <v/>
      </c>
      <c r="H40" s="8">
        <f>IF(D40="","",A40&amp;"|"&amp;SUBSTITUTE(SUBSTITUTE(D40," ",""),"　",""))</f>
        <v/>
      </c>
      <c r="I40" s="8">
        <f>IF(H40="","",IFERROR(MATCH(H40,振り分け!$S$7:$S$456,0),""))</f>
        <v/>
      </c>
      <c r="J40" s="8">
        <f>IF(D40="","",IFERROR(MATCH(A40&amp;"-"&amp;B40,設定!$Z$8:$Z$31,0),99)*1000+C40+ROW()/1000000)</f>
        <v/>
      </c>
      <c r="K40" s="8">
        <f>IF(D40="","",IFERROR(INDEX(設定!$L$8:$L$31,MATCH(A40&amp;"-"&amp;B40,設定!$Z$8:$Z$31,0)),A40&amp;B40))</f>
        <v/>
      </c>
    </row>
    <row r="41">
      <c r="A41" s="40" t="n">
        <v>6</v>
      </c>
      <c r="B41" s="40" t="inlineStr">
        <is>
          <t>竹</t>
        </is>
      </c>
      <c r="C41" s="40" t="n">
        <v>10</v>
      </c>
      <c r="D41" s="41" t="inlineStr">
        <is>
          <t>加藤　航</t>
        </is>
      </c>
      <c r="E41" s="40" t="n"/>
      <c r="F41" s="45">
        <f>IF(D41="","",IF(E41&lt;&gt;"","手入力",IF(I41="","前年度名簿にいない",IF(OR(COUNTIF($H$2:$H$451,H41)&gt;1,COUNTIF(振り分け!$S$7:$S$456,H41)&gt;1),"同姓同名あり（手入力してください）","OK"))))</f>
        <v/>
      </c>
      <c r="G41" s="44">
        <f>IF(D41="","",IF(E41&lt;&gt;"",E41,IF(F41&lt;&gt;"OK","",IF(INDEX(振り分け!$L$7:$L$456,I41)="","未決定",INDEX(振り分け!$L$7:$L$456,I41)))))</f>
        <v/>
      </c>
      <c r="H41" s="8">
        <f>IF(D41="","",A41&amp;"|"&amp;SUBSTITUTE(SUBSTITUTE(D41," ",""),"　",""))</f>
        <v/>
      </c>
      <c r="I41" s="8">
        <f>IF(H41="","",IFERROR(MATCH(H41,振り分け!$S$7:$S$456,0),""))</f>
        <v/>
      </c>
      <c r="J41" s="8">
        <f>IF(D41="","",IFERROR(MATCH(A41&amp;"-"&amp;B41,設定!$Z$8:$Z$31,0),99)*1000+C41+ROW()/1000000)</f>
        <v/>
      </c>
      <c r="K41" s="8">
        <f>IF(D41="","",IFERROR(INDEX(設定!$L$8:$L$31,MATCH(A41&amp;"-"&amp;B41,設定!$Z$8:$Z$31,0)),A41&amp;B41))</f>
        <v/>
      </c>
    </row>
    <row r="42">
      <c r="A42" s="40" t="n">
        <v>6</v>
      </c>
      <c r="B42" s="40" t="inlineStr">
        <is>
          <t>竹</t>
        </is>
      </c>
      <c r="C42" s="40" t="n">
        <v>11</v>
      </c>
      <c r="D42" s="41" t="inlineStr">
        <is>
          <t>伊藤　蒼</t>
        </is>
      </c>
      <c r="E42" s="40" t="n"/>
      <c r="F42" s="45">
        <f>IF(D42="","",IF(E42&lt;&gt;"","手入力",IF(I42="","前年度名簿にいない",IF(OR(COUNTIF($H$2:$H$451,H42)&gt;1,COUNTIF(振り分け!$S$7:$S$456,H42)&gt;1),"同姓同名あり（手入力してください）","OK"))))</f>
        <v/>
      </c>
      <c r="G42" s="44">
        <f>IF(D42="","",IF(E42&lt;&gt;"",E42,IF(F42&lt;&gt;"OK","",IF(INDEX(振り分け!$L$7:$L$456,I42)="","未決定",INDEX(振り分け!$L$7:$L$456,I42)))))</f>
        <v/>
      </c>
      <c r="H42" s="8">
        <f>IF(D42="","",A42&amp;"|"&amp;SUBSTITUTE(SUBSTITUTE(D42," ",""),"　",""))</f>
        <v/>
      </c>
      <c r="I42" s="8">
        <f>IF(H42="","",IFERROR(MATCH(H42,振り分け!$S$7:$S$456,0),""))</f>
        <v/>
      </c>
      <c r="J42" s="8">
        <f>IF(D42="","",IFERROR(MATCH(A42&amp;"-"&amp;B42,設定!$Z$8:$Z$31,0),99)*1000+C42+ROW()/1000000)</f>
        <v/>
      </c>
      <c r="K42" s="8">
        <f>IF(D42="","",IFERROR(INDEX(設定!$L$8:$L$31,MATCH(A42&amp;"-"&amp;B42,設定!$Z$8:$Z$31,0)),A42&amp;B42))</f>
        <v/>
      </c>
    </row>
    <row r="43">
      <c r="A43" s="40" t="n">
        <v>6</v>
      </c>
      <c r="B43" s="40" t="inlineStr">
        <is>
          <t>竹</t>
        </is>
      </c>
      <c r="C43" s="40" t="n">
        <v>12</v>
      </c>
      <c r="D43" s="41" t="inlineStr">
        <is>
          <t>山田　翼</t>
        </is>
      </c>
      <c r="E43" s="40" t="n"/>
      <c r="F43" s="45">
        <f>IF(D43="","",IF(E43&lt;&gt;"","手入力",IF(I43="","前年度名簿にいない",IF(OR(COUNTIF($H$2:$H$451,H43)&gt;1,COUNTIF(振り分け!$S$7:$S$456,H43)&gt;1),"同姓同名あり（手入力してください）","OK"))))</f>
        <v/>
      </c>
      <c r="G43" s="44">
        <f>IF(D43="","",IF(E43&lt;&gt;"",E43,IF(F43&lt;&gt;"OK","",IF(INDEX(振り分け!$L$7:$L$456,I43)="","未決定",INDEX(振り分け!$L$7:$L$456,I43)))))</f>
        <v/>
      </c>
      <c r="H43" s="8">
        <f>IF(D43="","",A43&amp;"|"&amp;SUBSTITUTE(SUBSTITUTE(D43," ",""),"　",""))</f>
        <v/>
      </c>
      <c r="I43" s="8">
        <f>IF(H43="","",IFERROR(MATCH(H43,振り分け!$S$7:$S$456,0),""))</f>
        <v/>
      </c>
      <c r="J43" s="8">
        <f>IF(D43="","",IFERROR(MATCH(A43&amp;"-"&amp;B43,設定!$Z$8:$Z$31,0),99)*1000+C43+ROW()/1000000)</f>
        <v/>
      </c>
      <c r="K43" s="8">
        <f>IF(D43="","",IFERROR(INDEX(設定!$L$8:$L$31,MATCH(A43&amp;"-"&amp;B43,設定!$Z$8:$Z$31,0)),A43&amp;B43))</f>
        <v/>
      </c>
    </row>
    <row r="44">
      <c r="A44" s="40" t="n">
        <v>6</v>
      </c>
      <c r="B44" s="40" t="inlineStr">
        <is>
          <t>竹</t>
        </is>
      </c>
      <c r="C44" s="40" t="n">
        <v>13</v>
      </c>
      <c r="D44" s="41" t="inlineStr">
        <is>
          <t>石井　凛</t>
        </is>
      </c>
      <c r="E44" s="40" t="n"/>
      <c r="F44" s="45">
        <f>IF(D44="","",IF(E44&lt;&gt;"","手入力",IF(I44="","前年度名簿にいない",IF(OR(COUNTIF($H$2:$H$451,H44)&gt;1,COUNTIF(振り分け!$S$7:$S$456,H44)&gt;1),"同姓同名あり（手入力してください）","OK"))))</f>
        <v/>
      </c>
      <c r="G44" s="44">
        <f>IF(D44="","",IF(E44&lt;&gt;"",E44,IF(F44&lt;&gt;"OK","",IF(INDEX(振り分け!$L$7:$L$456,I44)="","未決定",INDEX(振り分け!$L$7:$L$456,I44)))))</f>
        <v/>
      </c>
      <c r="H44" s="8">
        <f>IF(D44="","",A44&amp;"|"&amp;SUBSTITUTE(SUBSTITUTE(D44," ",""),"　",""))</f>
        <v/>
      </c>
      <c r="I44" s="8">
        <f>IF(H44="","",IFERROR(MATCH(H44,振り分け!$S$7:$S$456,0),""))</f>
        <v/>
      </c>
      <c r="J44" s="8">
        <f>IF(D44="","",IFERROR(MATCH(A44&amp;"-"&amp;B44,設定!$Z$8:$Z$31,0),99)*1000+C44+ROW()/1000000)</f>
        <v/>
      </c>
      <c r="K44" s="8">
        <f>IF(D44="","",IFERROR(INDEX(設定!$L$8:$L$31,MATCH(A44&amp;"-"&amp;B44,設定!$Z$8:$Z$31,0)),A44&amp;B44))</f>
        <v/>
      </c>
    </row>
    <row r="45">
      <c r="A45" s="40" t="n">
        <v>6</v>
      </c>
      <c r="B45" s="40" t="inlineStr">
        <is>
          <t>竹</t>
        </is>
      </c>
      <c r="C45" s="40" t="n">
        <v>14</v>
      </c>
      <c r="D45" s="41" t="inlineStr">
        <is>
          <t>山口　蓮</t>
        </is>
      </c>
      <c r="E45" s="40" t="n"/>
      <c r="F45" s="45">
        <f>IF(D45="","",IF(E45&lt;&gt;"","手入力",IF(I45="","前年度名簿にいない",IF(OR(COUNTIF($H$2:$H$451,H45)&gt;1,COUNTIF(振り分け!$S$7:$S$456,H45)&gt;1),"同姓同名あり（手入力してください）","OK"))))</f>
        <v/>
      </c>
      <c r="G45" s="44">
        <f>IF(D45="","",IF(E45&lt;&gt;"",E45,IF(F45&lt;&gt;"OK","",IF(INDEX(振り分け!$L$7:$L$456,I45)="","未決定",INDEX(振り分け!$L$7:$L$456,I45)))))</f>
        <v/>
      </c>
      <c r="H45" s="8">
        <f>IF(D45="","",A45&amp;"|"&amp;SUBSTITUTE(SUBSTITUTE(D45," ",""),"　",""))</f>
        <v/>
      </c>
      <c r="I45" s="8">
        <f>IF(H45="","",IFERROR(MATCH(H45,振り分け!$S$7:$S$456,0),""))</f>
        <v/>
      </c>
      <c r="J45" s="8">
        <f>IF(D45="","",IFERROR(MATCH(A45&amp;"-"&amp;B45,設定!$Z$8:$Z$31,0),99)*1000+C45+ROW()/1000000)</f>
        <v/>
      </c>
      <c r="K45" s="8">
        <f>IF(D45="","",IFERROR(INDEX(設定!$L$8:$L$31,MATCH(A45&amp;"-"&amp;B45,設定!$Z$8:$Z$31,0)),A45&amp;B45))</f>
        <v/>
      </c>
    </row>
    <row r="46">
      <c r="A46" s="40" t="n">
        <v>6</v>
      </c>
      <c r="B46" s="40" t="inlineStr">
        <is>
          <t>竹</t>
        </is>
      </c>
      <c r="C46" s="40" t="n">
        <v>15</v>
      </c>
      <c r="D46" s="41" t="inlineStr">
        <is>
          <t>田中　心春</t>
        </is>
      </c>
      <c r="E46" s="40" t="n"/>
      <c r="F46" s="45">
        <f>IF(D46="","",IF(E46&lt;&gt;"","手入力",IF(I46="","前年度名簿にいない",IF(OR(COUNTIF($H$2:$H$451,H46)&gt;1,COUNTIF(振り分け!$S$7:$S$456,H46)&gt;1),"同姓同名あり（手入力してください）","OK"))))</f>
        <v/>
      </c>
      <c r="G46" s="44">
        <f>IF(D46="","",IF(E46&lt;&gt;"",E46,IF(F46&lt;&gt;"OK","",IF(INDEX(振り分け!$L$7:$L$456,I46)="","未決定",INDEX(振り分け!$L$7:$L$456,I46)))))</f>
        <v/>
      </c>
      <c r="H46" s="8">
        <f>IF(D46="","",A46&amp;"|"&amp;SUBSTITUTE(SUBSTITUTE(D46," ",""),"　",""))</f>
        <v/>
      </c>
      <c r="I46" s="8">
        <f>IF(H46="","",IFERROR(MATCH(H46,振り分け!$S$7:$S$456,0),""))</f>
        <v/>
      </c>
      <c r="J46" s="8">
        <f>IF(D46="","",IFERROR(MATCH(A46&amp;"-"&amp;B46,設定!$Z$8:$Z$31,0),99)*1000+C46+ROW()/1000000)</f>
        <v/>
      </c>
      <c r="K46" s="8">
        <f>IF(D46="","",IFERROR(INDEX(設定!$L$8:$L$31,MATCH(A46&amp;"-"&amp;B46,設定!$Z$8:$Z$31,0)),A46&amp;B46))</f>
        <v/>
      </c>
    </row>
    <row r="47">
      <c r="A47" s="40" t="n">
        <v>6</v>
      </c>
      <c r="B47" s="40" t="inlineStr">
        <is>
          <t>竹</t>
        </is>
      </c>
      <c r="C47" s="40" t="n">
        <v>16</v>
      </c>
      <c r="D47" s="41" t="inlineStr">
        <is>
          <t>岡本　大翔</t>
        </is>
      </c>
      <c r="E47" s="40" t="n"/>
      <c r="F47" s="45">
        <f>IF(D47="","",IF(E47&lt;&gt;"","手入力",IF(I47="","前年度名簿にいない",IF(OR(COUNTIF($H$2:$H$451,H47)&gt;1,COUNTIF(振り分け!$S$7:$S$456,H47)&gt;1),"同姓同名あり（手入力してください）","OK"))))</f>
        <v/>
      </c>
      <c r="G47" s="44">
        <f>IF(D47="","",IF(E47&lt;&gt;"",E47,IF(F47&lt;&gt;"OK","",IF(INDEX(振り分け!$L$7:$L$456,I47)="","未決定",INDEX(振り分け!$L$7:$L$456,I47)))))</f>
        <v/>
      </c>
      <c r="H47" s="8">
        <f>IF(D47="","",A47&amp;"|"&amp;SUBSTITUTE(SUBSTITUTE(D47," ",""),"　",""))</f>
        <v/>
      </c>
      <c r="I47" s="8">
        <f>IF(H47="","",IFERROR(MATCH(H47,振り分け!$S$7:$S$456,0),""))</f>
        <v/>
      </c>
      <c r="J47" s="8">
        <f>IF(D47="","",IFERROR(MATCH(A47&amp;"-"&amp;B47,設定!$Z$8:$Z$31,0),99)*1000+C47+ROW()/1000000)</f>
        <v/>
      </c>
      <c r="K47" s="8">
        <f>IF(D47="","",IFERROR(INDEX(設定!$L$8:$L$31,MATCH(A47&amp;"-"&amp;B47,設定!$Z$8:$Z$31,0)),A47&amp;B47))</f>
        <v/>
      </c>
    </row>
    <row r="48">
      <c r="A48" s="40" t="n">
        <v>6</v>
      </c>
      <c r="B48" s="40" t="inlineStr">
        <is>
          <t>竹</t>
        </is>
      </c>
      <c r="C48" s="40" t="n">
        <v>17</v>
      </c>
      <c r="D48" s="41" t="inlineStr">
        <is>
          <t>鈴木　美月</t>
        </is>
      </c>
      <c r="E48" s="40" t="n"/>
      <c r="F48" s="45">
        <f>IF(D48="","",IF(E48&lt;&gt;"","手入力",IF(I48="","前年度名簿にいない",IF(OR(COUNTIF($H$2:$H$451,H48)&gt;1,COUNTIF(振り分け!$S$7:$S$456,H48)&gt;1),"同姓同名あり（手入力してください）","OK"))))</f>
        <v/>
      </c>
      <c r="G48" s="44">
        <f>IF(D48="","",IF(E48&lt;&gt;"",E48,IF(F48&lt;&gt;"OK","",IF(INDEX(振り分け!$L$7:$L$456,I48)="","未決定",INDEX(振り分け!$L$7:$L$456,I48)))))</f>
        <v/>
      </c>
      <c r="H48" s="8">
        <f>IF(D48="","",A48&amp;"|"&amp;SUBSTITUTE(SUBSTITUTE(D48," ",""),"　",""))</f>
        <v/>
      </c>
      <c r="I48" s="8">
        <f>IF(H48="","",IFERROR(MATCH(H48,振り分け!$S$7:$S$456,0),""))</f>
        <v/>
      </c>
      <c r="J48" s="8">
        <f>IF(D48="","",IFERROR(MATCH(A48&amp;"-"&amp;B48,設定!$Z$8:$Z$31,0),99)*1000+C48+ROW()/1000000)</f>
        <v/>
      </c>
      <c r="K48" s="8">
        <f>IF(D48="","",IFERROR(INDEX(設定!$L$8:$L$31,MATCH(A48&amp;"-"&amp;B48,設定!$Z$8:$Z$31,0)),A48&amp;B48))</f>
        <v/>
      </c>
    </row>
    <row r="49">
      <c r="A49" s="40" t="n">
        <v>6</v>
      </c>
      <c r="B49" s="40" t="inlineStr">
        <is>
          <t>竹</t>
        </is>
      </c>
      <c r="C49" s="40" t="n">
        <v>18</v>
      </c>
      <c r="D49" s="41" t="inlineStr">
        <is>
          <t>渡辺　澪</t>
        </is>
      </c>
      <c r="E49" s="40" t="n"/>
      <c r="F49" s="45">
        <f>IF(D49="","",IF(E49&lt;&gt;"","手入力",IF(I49="","前年度名簿にいない",IF(OR(COUNTIF($H$2:$H$451,H49)&gt;1,COUNTIF(振り分け!$S$7:$S$456,H49)&gt;1),"同姓同名あり（手入力してください）","OK"))))</f>
        <v/>
      </c>
      <c r="G49" s="44">
        <f>IF(D49="","",IF(E49&lt;&gt;"",E49,IF(F49&lt;&gt;"OK","",IF(INDEX(振り分け!$L$7:$L$456,I49)="","未決定",INDEX(振り分け!$L$7:$L$456,I49)))))</f>
        <v/>
      </c>
      <c r="H49" s="8">
        <f>IF(D49="","",A49&amp;"|"&amp;SUBSTITUTE(SUBSTITUTE(D49," ",""),"　",""))</f>
        <v/>
      </c>
      <c r="I49" s="8">
        <f>IF(H49="","",IFERROR(MATCH(H49,振り分け!$S$7:$S$456,0),""))</f>
        <v/>
      </c>
      <c r="J49" s="8">
        <f>IF(D49="","",IFERROR(MATCH(A49&amp;"-"&amp;B49,設定!$Z$8:$Z$31,0),99)*1000+C49+ROW()/1000000)</f>
        <v/>
      </c>
      <c r="K49" s="8">
        <f>IF(D49="","",IFERROR(INDEX(設定!$L$8:$L$31,MATCH(A49&amp;"-"&amp;B49,設定!$Z$8:$Z$31,0)),A49&amp;B49))</f>
        <v/>
      </c>
    </row>
    <row r="50">
      <c r="A50" s="40" t="n">
        <v>6</v>
      </c>
      <c r="B50" s="40" t="inlineStr">
        <is>
          <t>竹</t>
        </is>
      </c>
      <c r="C50" s="40" t="n">
        <v>19</v>
      </c>
      <c r="D50" s="41" t="inlineStr">
        <is>
          <t>山下　咲良</t>
        </is>
      </c>
      <c r="E50" s="40" t="n"/>
      <c r="F50" s="45">
        <f>IF(D50="","",IF(E50&lt;&gt;"","手入力",IF(I50="","前年度名簿にいない",IF(OR(COUNTIF($H$2:$H$451,H50)&gt;1,COUNTIF(振り分け!$S$7:$S$456,H50)&gt;1),"同姓同名あり（手入力してください）","OK"))))</f>
        <v/>
      </c>
      <c r="G50" s="44">
        <f>IF(D50="","",IF(E50&lt;&gt;"",E50,IF(F50&lt;&gt;"OK","",IF(INDEX(振り分け!$L$7:$L$456,I50)="","未決定",INDEX(振り分け!$L$7:$L$456,I50)))))</f>
        <v/>
      </c>
      <c r="H50" s="8">
        <f>IF(D50="","",A50&amp;"|"&amp;SUBSTITUTE(SUBSTITUTE(D50," ",""),"　",""))</f>
        <v/>
      </c>
      <c r="I50" s="8">
        <f>IF(H50="","",IFERROR(MATCH(H50,振り分け!$S$7:$S$456,0),""))</f>
        <v/>
      </c>
      <c r="J50" s="8">
        <f>IF(D50="","",IFERROR(MATCH(A50&amp;"-"&amp;B50,設定!$Z$8:$Z$31,0),99)*1000+C50+ROW()/1000000)</f>
        <v/>
      </c>
      <c r="K50" s="8">
        <f>IF(D50="","",IFERROR(INDEX(設定!$L$8:$L$31,MATCH(A50&amp;"-"&amp;B50,設定!$Z$8:$Z$31,0)),A50&amp;B50))</f>
        <v/>
      </c>
    </row>
    <row r="51">
      <c r="A51" s="40" t="n">
        <v>6</v>
      </c>
      <c r="B51" s="40" t="inlineStr">
        <is>
          <t>竹</t>
        </is>
      </c>
      <c r="C51" s="40" t="n">
        <v>20</v>
      </c>
      <c r="D51" s="41" t="inlineStr">
        <is>
          <t>斎藤　葵</t>
        </is>
      </c>
      <c r="E51" s="40" t="n"/>
      <c r="F51" s="45">
        <f>IF(D51="","",IF(E51&lt;&gt;"","手入力",IF(I51="","前年度名簿にいない",IF(OR(COUNTIF($H$2:$H$451,H51)&gt;1,COUNTIF(振り分け!$S$7:$S$456,H51)&gt;1),"同姓同名あり（手入力してください）","OK"))))</f>
        <v/>
      </c>
      <c r="G51" s="44">
        <f>IF(D51="","",IF(E51&lt;&gt;"",E51,IF(F51&lt;&gt;"OK","",IF(INDEX(振り分け!$L$7:$L$456,I51)="","未決定",INDEX(振り分け!$L$7:$L$456,I51)))))</f>
        <v/>
      </c>
      <c r="H51" s="8">
        <f>IF(D51="","",A51&amp;"|"&amp;SUBSTITUTE(SUBSTITUTE(D51," ",""),"　",""))</f>
        <v/>
      </c>
      <c r="I51" s="8">
        <f>IF(H51="","",IFERROR(MATCH(H51,振り分け!$S$7:$S$456,0),""))</f>
        <v/>
      </c>
      <c r="J51" s="8">
        <f>IF(D51="","",IFERROR(MATCH(A51&amp;"-"&amp;B51,設定!$Z$8:$Z$31,0),99)*1000+C51+ROW()/1000000)</f>
        <v/>
      </c>
      <c r="K51" s="8">
        <f>IF(D51="","",IFERROR(INDEX(設定!$L$8:$L$31,MATCH(A51&amp;"-"&amp;B51,設定!$Z$8:$Z$31,0)),A51&amp;B51))</f>
        <v/>
      </c>
    </row>
    <row r="52">
      <c r="A52" s="40" t="n">
        <v>6</v>
      </c>
      <c r="B52" s="40" t="inlineStr">
        <is>
          <t>竹</t>
        </is>
      </c>
      <c r="C52" s="40" t="n">
        <v>21</v>
      </c>
      <c r="D52" s="41" t="inlineStr">
        <is>
          <t>金子　美月</t>
        </is>
      </c>
      <c r="E52" s="40" t="n"/>
      <c r="F52" s="45">
        <f>IF(D52="","",IF(E52&lt;&gt;"","手入力",IF(I52="","前年度名簿にいない",IF(OR(COUNTIF($H$2:$H$451,H52)&gt;1,COUNTIF(振り分け!$S$7:$S$456,H52)&gt;1),"同姓同名あり（手入力してください）","OK"))))</f>
        <v/>
      </c>
      <c r="G52" s="44">
        <f>IF(D52="","",IF(E52&lt;&gt;"",E52,IF(F52&lt;&gt;"OK","",IF(INDEX(振り分け!$L$7:$L$456,I52)="","未決定",INDEX(振り分け!$L$7:$L$456,I52)))))</f>
        <v/>
      </c>
      <c r="H52" s="8">
        <f>IF(D52="","",A52&amp;"|"&amp;SUBSTITUTE(SUBSTITUTE(D52," ",""),"　",""))</f>
        <v/>
      </c>
      <c r="I52" s="8">
        <f>IF(H52="","",IFERROR(MATCH(H52,振り分け!$S$7:$S$456,0),""))</f>
        <v/>
      </c>
      <c r="J52" s="8">
        <f>IF(D52="","",IFERROR(MATCH(A52&amp;"-"&amp;B52,設定!$Z$8:$Z$31,0),99)*1000+C52+ROW()/1000000)</f>
        <v/>
      </c>
      <c r="K52" s="8">
        <f>IF(D52="","",IFERROR(INDEX(設定!$L$8:$L$31,MATCH(A52&amp;"-"&amp;B52,設定!$Z$8:$Z$31,0)),A52&amp;B52))</f>
        <v/>
      </c>
    </row>
    <row r="53">
      <c r="A53" s="40" t="n">
        <v>6</v>
      </c>
      <c r="B53" s="40" t="inlineStr">
        <is>
          <t>竹</t>
        </is>
      </c>
      <c r="C53" s="40" t="n">
        <v>22</v>
      </c>
      <c r="D53" s="41" t="inlineStr">
        <is>
          <t>清水　湊</t>
        </is>
      </c>
      <c r="E53" s="40" t="n"/>
      <c r="F53" s="45">
        <f>IF(D53="","",IF(E53&lt;&gt;"","手入力",IF(I53="","前年度名簿にいない",IF(OR(COUNTIF($H$2:$H$451,H53)&gt;1,COUNTIF(振り分け!$S$7:$S$456,H53)&gt;1),"同姓同名あり（手入力してください）","OK"))))</f>
        <v/>
      </c>
      <c r="G53" s="44">
        <f>IF(D53="","",IF(E53&lt;&gt;"",E53,IF(F53&lt;&gt;"OK","",IF(INDEX(振り分け!$L$7:$L$456,I53)="","未決定",INDEX(振り分け!$L$7:$L$456,I53)))))</f>
        <v/>
      </c>
      <c r="H53" s="8">
        <f>IF(D53="","",A53&amp;"|"&amp;SUBSTITUTE(SUBSTITUTE(D53," ",""),"　",""))</f>
        <v/>
      </c>
      <c r="I53" s="8">
        <f>IF(H53="","",IFERROR(MATCH(H53,振り分け!$S$7:$S$456,0),""))</f>
        <v/>
      </c>
      <c r="J53" s="8">
        <f>IF(D53="","",IFERROR(MATCH(A53&amp;"-"&amp;B53,設定!$Z$8:$Z$31,0),99)*1000+C53+ROW()/1000000)</f>
        <v/>
      </c>
      <c r="K53" s="8">
        <f>IF(D53="","",IFERROR(INDEX(設定!$L$8:$L$31,MATCH(A53&amp;"-"&amp;B53,設定!$Z$8:$Z$31,0)),A53&amp;B53))</f>
        <v/>
      </c>
    </row>
    <row r="54">
      <c r="A54" s="40" t="n">
        <v>6</v>
      </c>
      <c r="B54" s="40" t="inlineStr">
        <is>
          <t>竹</t>
        </is>
      </c>
      <c r="C54" s="40" t="n">
        <v>23</v>
      </c>
      <c r="D54" s="41" t="inlineStr">
        <is>
          <t>鈴木　樹</t>
        </is>
      </c>
      <c r="E54" s="40" t="n"/>
      <c r="F54" s="45">
        <f>IF(D54="","",IF(E54&lt;&gt;"","手入力",IF(I54="","前年度名簿にいない",IF(OR(COUNTIF($H$2:$H$451,H54)&gt;1,COUNTIF(振り分け!$S$7:$S$456,H54)&gt;1),"同姓同名あり（手入力してください）","OK"))))</f>
        <v/>
      </c>
      <c r="G54" s="44">
        <f>IF(D54="","",IF(E54&lt;&gt;"",E54,IF(F54&lt;&gt;"OK","",IF(INDEX(振り分け!$L$7:$L$456,I54)="","未決定",INDEX(振り分け!$L$7:$L$456,I54)))))</f>
        <v/>
      </c>
      <c r="H54" s="8">
        <f>IF(D54="","",A54&amp;"|"&amp;SUBSTITUTE(SUBSTITUTE(D54," ",""),"　",""))</f>
        <v/>
      </c>
      <c r="I54" s="8">
        <f>IF(H54="","",IFERROR(MATCH(H54,振り分け!$S$7:$S$456,0),""))</f>
        <v/>
      </c>
      <c r="J54" s="8">
        <f>IF(D54="","",IFERROR(MATCH(A54&amp;"-"&amp;B54,設定!$Z$8:$Z$31,0),99)*1000+C54+ROW()/1000000)</f>
        <v/>
      </c>
      <c r="K54" s="8">
        <f>IF(D54="","",IFERROR(INDEX(設定!$L$8:$L$31,MATCH(A54&amp;"-"&amp;B54,設定!$Z$8:$Z$31,0)),A54&amp;B54))</f>
        <v/>
      </c>
    </row>
    <row r="55">
      <c r="A55" s="40" t="n">
        <v>6</v>
      </c>
      <c r="B55" s="40" t="inlineStr">
        <is>
          <t>竹</t>
        </is>
      </c>
      <c r="C55" s="40" t="n">
        <v>24</v>
      </c>
      <c r="D55" s="41" t="inlineStr">
        <is>
          <t>坂本　悠人</t>
        </is>
      </c>
      <c r="E55" s="40" t="n"/>
      <c r="F55" s="45">
        <f>IF(D55="","",IF(E55&lt;&gt;"","手入力",IF(I55="","前年度名簿にいない",IF(OR(COUNTIF($H$2:$H$451,H55)&gt;1,COUNTIF(振り分け!$S$7:$S$456,H55)&gt;1),"同姓同名あり（手入力してください）","OK"))))</f>
        <v/>
      </c>
      <c r="G55" s="44">
        <f>IF(D55="","",IF(E55&lt;&gt;"",E55,IF(F55&lt;&gt;"OK","",IF(INDEX(振り分け!$L$7:$L$456,I55)="","未決定",INDEX(振り分け!$L$7:$L$456,I55)))))</f>
        <v/>
      </c>
      <c r="H55" s="8">
        <f>IF(D55="","",A55&amp;"|"&amp;SUBSTITUTE(SUBSTITUTE(D55," ",""),"　",""))</f>
        <v/>
      </c>
      <c r="I55" s="8">
        <f>IF(H55="","",IFERROR(MATCH(H55,振り分け!$S$7:$S$456,0),""))</f>
        <v/>
      </c>
      <c r="J55" s="8">
        <f>IF(D55="","",IFERROR(MATCH(A55&amp;"-"&amp;B55,設定!$Z$8:$Z$31,0),99)*1000+C55+ROW()/1000000)</f>
        <v/>
      </c>
      <c r="K55" s="8">
        <f>IF(D55="","",IFERROR(INDEX(設定!$L$8:$L$31,MATCH(A55&amp;"-"&amp;B55,設定!$Z$8:$Z$31,0)),A55&amp;B55))</f>
        <v/>
      </c>
    </row>
    <row r="56">
      <c r="A56" s="40" t="n">
        <v>6</v>
      </c>
      <c r="B56" s="40" t="inlineStr">
        <is>
          <t>竹</t>
        </is>
      </c>
      <c r="C56" s="40" t="n">
        <v>25</v>
      </c>
      <c r="D56" s="41" t="inlineStr">
        <is>
          <t>伊藤　朝陽</t>
        </is>
      </c>
      <c r="E56" s="40" t="n"/>
      <c r="F56" s="45">
        <f>IF(D56="","",IF(E56&lt;&gt;"","手入力",IF(I56="","前年度名簿にいない",IF(OR(COUNTIF($H$2:$H$451,H56)&gt;1,COUNTIF(振り分け!$S$7:$S$456,H56)&gt;1),"同姓同名あり（手入力してください）","OK"))))</f>
        <v/>
      </c>
      <c r="G56" s="44">
        <f>IF(D56="","",IF(E56&lt;&gt;"",E56,IF(F56&lt;&gt;"OK","",IF(INDEX(振り分け!$L$7:$L$456,I56)="","未決定",INDEX(振り分け!$L$7:$L$456,I56)))))</f>
        <v/>
      </c>
      <c r="H56" s="8">
        <f>IF(D56="","",A56&amp;"|"&amp;SUBSTITUTE(SUBSTITUTE(D56," ",""),"　",""))</f>
        <v/>
      </c>
      <c r="I56" s="8">
        <f>IF(H56="","",IFERROR(MATCH(H56,振り分け!$S$7:$S$456,0),""))</f>
        <v/>
      </c>
      <c r="J56" s="8">
        <f>IF(D56="","",IFERROR(MATCH(A56&amp;"-"&amp;B56,設定!$Z$8:$Z$31,0),99)*1000+C56+ROW()/1000000)</f>
        <v/>
      </c>
      <c r="K56" s="8">
        <f>IF(D56="","",IFERROR(INDEX(設定!$L$8:$L$31,MATCH(A56&amp;"-"&amp;B56,設定!$Z$8:$Z$31,0)),A56&amp;B56))</f>
        <v/>
      </c>
    </row>
    <row r="57">
      <c r="A57" s="40" t="n">
        <v>6</v>
      </c>
      <c r="B57" s="40" t="inlineStr">
        <is>
          <t>竹</t>
        </is>
      </c>
      <c r="C57" s="40" t="n">
        <v>26</v>
      </c>
      <c r="D57" s="41" t="inlineStr">
        <is>
          <t>松本　さくら</t>
        </is>
      </c>
      <c r="E57" s="40" t="n"/>
      <c r="F57" s="45">
        <f>IF(D57="","",IF(E57&lt;&gt;"","手入力",IF(I57="","前年度名簿にいない",IF(OR(COUNTIF($H$2:$H$451,H57)&gt;1,COUNTIF(振り分け!$S$7:$S$456,H57)&gt;1),"同姓同名あり（手入力してください）","OK"))))</f>
        <v/>
      </c>
      <c r="G57" s="44">
        <f>IF(D57="","",IF(E57&lt;&gt;"",E57,IF(F57&lt;&gt;"OK","",IF(INDEX(振り分け!$L$7:$L$456,I57)="","未決定",INDEX(振り分け!$L$7:$L$456,I57)))))</f>
        <v/>
      </c>
      <c r="H57" s="8">
        <f>IF(D57="","",A57&amp;"|"&amp;SUBSTITUTE(SUBSTITUTE(D57," ",""),"　",""))</f>
        <v/>
      </c>
      <c r="I57" s="8">
        <f>IF(H57="","",IFERROR(MATCH(H57,振り分け!$S$7:$S$456,0),""))</f>
        <v/>
      </c>
      <c r="J57" s="8">
        <f>IF(D57="","",IFERROR(MATCH(A57&amp;"-"&amp;B57,設定!$Z$8:$Z$31,0),99)*1000+C57+ROW()/1000000)</f>
        <v/>
      </c>
      <c r="K57" s="8">
        <f>IF(D57="","",IFERROR(INDEX(設定!$L$8:$L$31,MATCH(A57&amp;"-"&amp;B57,設定!$Z$8:$Z$31,0)),A57&amp;B57))</f>
        <v/>
      </c>
    </row>
    <row r="58">
      <c r="A58" s="40" t="n">
        <v>6</v>
      </c>
      <c r="B58" s="40" t="inlineStr">
        <is>
          <t>竹</t>
        </is>
      </c>
      <c r="C58" s="40" t="n">
        <v>27</v>
      </c>
      <c r="D58" s="41" t="inlineStr">
        <is>
          <t>渡辺　花音</t>
        </is>
      </c>
      <c r="E58" s="40" t="n"/>
      <c r="F58" s="45">
        <f>IF(D58="","",IF(E58&lt;&gt;"","手入力",IF(I58="","前年度名簿にいない",IF(OR(COUNTIF($H$2:$H$451,H58)&gt;1,COUNTIF(振り分け!$S$7:$S$456,H58)&gt;1),"同姓同名あり（手入力してください）","OK"))))</f>
        <v/>
      </c>
      <c r="G58" s="44">
        <f>IF(D58="","",IF(E58&lt;&gt;"",E58,IF(F58&lt;&gt;"OK","",IF(INDEX(振り分け!$L$7:$L$456,I58)="","未決定",INDEX(振り分け!$L$7:$L$456,I58)))))</f>
        <v/>
      </c>
      <c r="H58" s="8">
        <f>IF(D58="","",A58&amp;"|"&amp;SUBSTITUTE(SUBSTITUTE(D58," ",""),"　",""))</f>
        <v/>
      </c>
      <c r="I58" s="8">
        <f>IF(H58="","",IFERROR(MATCH(H58,振り分け!$S$7:$S$456,0),""))</f>
        <v/>
      </c>
      <c r="J58" s="8">
        <f>IF(D58="","",IFERROR(MATCH(A58&amp;"-"&amp;B58,設定!$Z$8:$Z$31,0),99)*1000+C58+ROW()/1000000)</f>
        <v/>
      </c>
      <c r="K58" s="8">
        <f>IF(D58="","",IFERROR(INDEX(設定!$L$8:$L$31,MATCH(A58&amp;"-"&amp;B58,設定!$Z$8:$Z$31,0)),A58&amp;B58))</f>
        <v/>
      </c>
    </row>
    <row r="59">
      <c r="A59" s="40" t="n">
        <v>6</v>
      </c>
      <c r="B59" s="40" t="inlineStr">
        <is>
          <t>竹</t>
        </is>
      </c>
      <c r="C59" s="40" t="n">
        <v>28</v>
      </c>
      <c r="D59" s="41" t="inlineStr">
        <is>
          <t>佐藤　蒼</t>
        </is>
      </c>
      <c r="E59" s="40" t="n"/>
      <c r="F59" s="45">
        <f>IF(D59="","",IF(E59&lt;&gt;"","手入力",IF(I59="","前年度名簿にいない",IF(OR(COUNTIF($H$2:$H$451,H59)&gt;1,COUNTIF(振り分け!$S$7:$S$456,H59)&gt;1),"同姓同名あり（手入力してください）","OK"))))</f>
        <v/>
      </c>
      <c r="G59" s="44">
        <f>IF(D59="","",IF(E59&lt;&gt;"",E59,IF(F59&lt;&gt;"OK","",IF(INDEX(振り分け!$L$7:$L$456,I59)="","未決定",INDEX(振り分け!$L$7:$L$456,I59)))))</f>
        <v/>
      </c>
      <c r="H59" s="8">
        <f>IF(D59="","",A59&amp;"|"&amp;SUBSTITUTE(SUBSTITUTE(D59," ",""),"　",""))</f>
        <v/>
      </c>
      <c r="I59" s="8">
        <f>IF(H59="","",IFERROR(MATCH(H59,振り分け!$S$7:$S$456,0),""))</f>
        <v/>
      </c>
      <c r="J59" s="8">
        <f>IF(D59="","",IFERROR(MATCH(A59&amp;"-"&amp;B59,設定!$Z$8:$Z$31,0),99)*1000+C59+ROW()/1000000)</f>
        <v/>
      </c>
      <c r="K59" s="8">
        <f>IF(D59="","",IFERROR(INDEX(設定!$L$8:$L$31,MATCH(A59&amp;"-"&amp;B59,設定!$Z$8:$Z$31,0)),A59&amp;B59))</f>
        <v/>
      </c>
    </row>
    <row r="60">
      <c r="A60" s="40" t="n">
        <v>6</v>
      </c>
      <c r="B60" s="40" t="inlineStr">
        <is>
          <t>竹</t>
        </is>
      </c>
      <c r="C60" s="40" t="n">
        <v>29</v>
      </c>
      <c r="D60" s="41" t="inlineStr">
        <is>
          <t>山口　奏太</t>
        </is>
      </c>
      <c r="E60" s="40" t="n"/>
      <c r="F60" s="45">
        <f>IF(D60="","",IF(E60&lt;&gt;"","手入力",IF(I60="","前年度名簿にいない",IF(OR(COUNTIF($H$2:$H$451,H60)&gt;1,COUNTIF(振り分け!$S$7:$S$456,H60)&gt;1),"同姓同名あり（手入力してください）","OK"))))</f>
        <v/>
      </c>
      <c r="G60" s="44">
        <f>IF(D60="","",IF(E60&lt;&gt;"",E60,IF(F60&lt;&gt;"OK","",IF(INDEX(振り分け!$L$7:$L$456,I60)="","未決定",INDEX(振り分け!$L$7:$L$456,I60)))))</f>
        <v/>
      </c>
      <c r="H60" s="8">
        <f>IF(D60="","",A60&amp;"|"&amp;SUBSTITUTE(SUBSTITUTE(D60," ",""),"　",""))</f>
        <v/>
      </c>
      <c r="I60" s="8">
        <f>IF(H60="","",IFERROR(MATCH(H60,振り分け!$S$7:$S$456,0),""))</f>
        <v/>
      </c>
      <c r="J60" s="8">
        <f>IF(D60="","",IFERROR(MATCH(A60&amp;"-"&amp;B60,設定!$Z$8:$Z$31,0),99)*1000+C60+ROW()/1000000)</f>
        <v/>
      </c>
      <c r="K60" s="8">
        <f>IF(D60="","",IFERROR(INDEX(設定!$L$8:$L$31,MATCH(A60&amp;"-"&amp;B60,設定!$Z$8:$Z$31,0)),A60&amp;B60))</f>
        <v/>
      </c>
    </row>
    <row r="61">
      <c r="A61" s="40" t="n">
        <v>6</v>
      </c>
      <c r="B61" s="40" t="inlineStr">
        <is>
          <t>竹</t>
        </is>
      </c>
      <c r="C61" s="40" t="n">
        <v>30</v>
      </c>
      <c r="D61" s="41" t="inlineStr">
        <is>
          <t>坂本　結翔</t>
        </is>
      </c>
      <c r="E61" s="40" t="n"/>
      <c r="F61" s="45">
        <f>IF(D61="","",IF(E61&lt;&gt;"","手入力",IF(I61="","前年度名簿にいない",IF(OR(COUNTIF($H$2:$H$451,H61)&gt;1,COUNTIF(振り分け!$S$7:$S$456,H61)&gt;1),"同姓同名あり（手入力してください）","OK"))))</f>
        <v/>
      </c>
      <c r="G61" s="44">
        <f>IF(D61="","",IF(E61&lt;&gt;"",E61,IF(F61&lt;&gt;"OK","",IF(INDEX(振り分け!$L$7:$L$456,I61)="","未決定",INDEX(振り分け!$L$7:$L$456,I61)))))</f>
        <v/>
      </c>
      <c r="H61" s="8">
        <f>IF(D61="","",A61&amp;"|"&amp;SUBSTITUTE(SUBSTITUTE(D61," ",""),"　",""))</f>
        <v/>
      </c>
      <c r="I61" s="8">
        <f>IF(H61="","",IFERROR(MATCH(H61,振り分け!$S$7:$S$456,0),""))</f>
        <v/>
      </c>
      <c r="J61" s="8">
        <f>IF(D61="","",IFERROR(MATCH(A61&amp;"-"&amp;B61,設定!$Z$8:$Z$31,0),99)*1000+C61+ROW()/1000000)</f>
        <v/>
      </c>
      <c r="K61" s="8">
        <f>IF(D61="","",IFERROR(INDEX(設定!$L$8:$L$31,MATCH(A61&amp;"-"&amp;B61,設定!$Z$8:$Z$31,0)),A61&amp;B61))</f>
        <v/>
      </c>
    </row>
    <row r="62">
      <c r="A62" s="40" t="n">
        <v>6</v>
      </c>
      <c r="B62" s="40" t="inlineStr">
        <is>
          <t>竹</t>
        </is>
      </c>
      <c r="C62" s="40" t="n">
        <v>31</v>
      </c>
      <c r="D62" s="41" t="inlineStr">
        <is>
          <t>田中　結菜</t>
        </is>
      </c>
      <c r="E62" s="40" t="inlineStr">
        <is>
          <t>卓球</t>
        </is>
      </c>
      <c r="F62" s="45">
        <f>IF(D62="","",IF(E62&lt;&gt;"","手入力",IF(I62="","前年度名簿にいない",IF(OR(COUNTIF($H$2:$H$451,H62)&gt;1,COUNTIF(振り分け!$S$7:$S$456,H62)&gt;1),"同姓同名あり（手入力してください）","OK"))))</f>
        <v/>
      </c>
      <c r="G62" s="44">
        <f>IF(D62="","",IF(E62&lt;&gt;"",E62,IF(F62&lt;&gt;"OK","",IF(INDEX(振り分け!$L$7:$L$456,I62)="","未決定",INDEX(振り分け!$L$7:$L$456,I62)))))</f>
        <v/>
      </c>
      <c r="H62" s="8">
        <f>IF(D62="","",A62&amp;"|"&amp;SUBSTITUTE(SUBSTITUTE(D62," ",""),"　",""))</f>
        <v/>
      </c>
      <c r="I62" s="8">
        <f>IF(H62="","",IFERROR(MATCH(H62,振り分け!$S$7:$S$456,0),""))</f>
        <v/>
      </c>
      <c r="J62" s="8">
        <f>IF(D62="","",IFERROR(MATCH(A62&amp;"-"&amp;B62,設定!$Z$8:$Z$31,0),99)*1000+C62+ROW()/1000000)</f>
        <v/>
      </c>
      <c r="K62" s="8">
        <f>IF(D62="","",IFERROR(INDEX(設定!$L$8:$L$31,MATCH(A62&amp;"-"&amp;B62,設定!$Z$8:$Z$31,0)),A62&amp;B62))</f>
        <v/>
      </c>
    </row>
    <row r="63">
      <c r="A63" s="40" t="n">
        <v>6</v>
      </c>
      <c r="B63" s="40" t="inlineStr">
        <is>
          <t>梅</t>
        </is>
      </c>
      <c r="C63" s="40" t="n">
        <v>1</v>
      </c>
      <c r="D63" s="41" t="inlineStr">
        <is>
          <t>遠藤　湊</t>
        </is>
      </c>
      <c r="E63" s="40" t="n"/>
      <c r="F63" s="45">
        <f>IF(D63="","",IF(E63&lt;&gt;"","手入力",IF(I63="","前年度名簿にいない",IF(OR(COUNTIF($H$2:$H$451,H63)&gt;1,COUNTIF(振り分け!$S$7:$S$456,H63)&gt;1),"同姓同名あり（手入力してください）","OK"))))</f>
        <v/>
      </c>
      <c r="G63" s="44">
        <f>IF(D63="","",IF(E63&lt;&gt;"",E63,IF(F63&lt;&gt;"OK","",IF(INDEX(振り分け!$L$7:$L$456,I63)="","未決定",INDEX(振り分け!$L$7:$L$456,I63)))))</f>
        <v/>
      </c>
      <c r="H63" s="8">
        <f>IF(D63="","",A63&amp;"|"&amp;SUBSTITUTE(SUBSTITUTE(D63," ",""),"　",""))</f>
        <v/>
      </c>
      <c r="I63" s="8">
        <f>IF(H63="","",IFERROR(MATCH(H63,振り分け!$S$7:$S$456,0),""))</f>
        <v/>
      </c>
      <c r="J63" s="8">
        <f>IF(D63="","",IFERROR(MATCH(A63&amp;"-"&amp;B63,設定!$Z$8:$Z$31,0),99)*1000+C63+ROW()/1000000)</f>
        <v/>
      </c>
      <c r="K63" s="8">
        <f>IF(D63="","",IFERROR(INDEX(設定!$L$8:$L$31,MATCH(A63&amp;"-"&amp;B63,設定!$Z$8:$Z$31,0)),A63&amp;B63))</f>
        <v/>
      </c>
    </row>
    <row r="64">
      <c r="A64" s="40" t="n">
        <v>6</v>
      </c>
      <c r="B64" s="40" t="inlineStr">
        <is>
          <t>梅</t>
        </is>
      </c>
      <c r="C64" s="40" t="n">
        <v>2</v>
      </c>
      <c r="D64" s="41" t="inlineStr">
        <is>
          <t>伊藤　陽翔</t>
        </is>
      </c>
      <c r="E64" s="40" t="n"/>
      <c r="F64" s="45">
        <f>IF(D64="","",IF(E64&lt;&gt;"","手入力",IF(I64="","前年度名簿にいない",IF(OR(COUNTIF($H$2:$H$451,H64)&gt;1,COUNTIF(振り分け!$S$7:$S$456,H64)&gt;1),"同姓同名あり（手入力してください）","OK"))))</f>
        <v/>
      </c>
      <c r="G64" s="44">
        <f>IF(D64="","",IF(E64&lt;&gt;"",E64,IF(F64&lt;&gt;"OK","",IF(INDEX(振り分け!$L$7:$L$456,I64)="","未決定",INDEX(振り分け!$L$7:$L$456,I64)))))</f>
        <v/>
      </c>
      <c r="H64" s="8">
        <f>IF(D64="","",A64&amp;"|"&amp;SUBSTITUTE(SUBSTITUTE(D64," ",""),"　",""))</f>
        <v/>
      </c>
      <c r="I64" s="8">
        <f>IF(H64="","",IFERROR(MATCH(H64,振り分け!$S$7:$S$456,0),""))</f>
        <v/>
      </c>
      <c r="J64" s="8">
        <f>IF(D64="","",IFERROR(MATCH(A64&amp;"-"&amp;B64,設定!$Z$8:$Z$31,0),99)*1000+C64+ROW()/1000000)</f>
        <v/>
      </c>
      <c r="K64" s="8">
        <f>IF(D64="","",IFERROR(INDEX(設定!$L$8:$L$31,MATCH(A64&amp;"-"&amp;B64,設定!$Z$8:$Z$31,0)),A64&amp;B64))</f>
        <v/>
      </c>
    </row>
    <row r="65">
      <c r="A65" s="40" t="n">
        <v>6</v>
      </c>
      <c r="B65" s="40" t="inlineStr">
        <is>
          <t>梅</t>
        </is>
      </c>
      <c r="C65" s="40" t="n">
        <v>3</v>
      </c>
      <c r="D65" s="41" t="inlineStr">
        <is>
          <t>佐藤　彩花</t>
        </is>
      </c>
      <c r="E65" s="40" t="n"/>
      <c r="F65" s="45">
        <f>IF(D65="","",IF(E65&lt;&gt;"","手入力",IF(I65="","前年度名簿にいない",IF(OR(COUNTIF($H$2:$H$451,H65)&gt;1,COUNTIF(振り分け!$S$7:$S$456,H65)&gt;1),"同姓同名あり（手入力してください）","OK"))))</f>
        <v/>
      </c>
      <c r="G65" s="44">
        <f>IF(D65="","",IF(E65&lt;&gt;"",E65,IF(F65&lt;&gt;"OK","",IF(INDEX(振り分け!$L$7:$L$456,I65)="","未決定",INDEX(振り分け!$L$7:$L$456,I65)))))</f>
        <v/>
      </c>
      <c r="H65" s="8">
        <f>IF(D65="","",A65&amp;"|"&amp;SUBSTITUTE(SUBSTITUTE(D65," ",""),"　",""))</f>
        <v/>
      </c>
      <c r="I65" s="8">
        <f>IF(H65="","",IFERROR(MATCH(H65,振り分け!$S$7:$S$456,0),""))</f>
        <v/>
      </c>
      <c r="J65" s="8">
        <f>IF(D65="","",IFERROR(MATCH(A65&amp;"-"&amp;B65,設定!$Z$8:$Z$31,0),99)*1000+C65+ROW()/1000000)</f>
        <v/>
      </c>
      <c r="K65" s="8">
        <f>IF(D65="","",IFERROR(INDEX(設定!$L$8:$L$31,MATCH(A65&amp;"-"&amp;B65,設定!$Z$8:$Z$31,0)),A65&amp;B65))</f>
        <v/>
      </c>
    </row>
    <row r="66">
      <c r="A66" s="40" t="n">
        <v>6</v>
      </c>
      <c r="B66" s="40" t="inlineStr">
        <is>
          <t>梅</t>
        </is>
      </c>
      <c r="C66" s="40" t="n">
        <v>4</v>
      </c>
      <c r="D66" s="41" t="inlineStr">
        <is>
          <t>伊藤　千尋</t>
        </is>
      </c>
      <c r="E66" s="40" t="n"/>
      <c r="F66" s="45">
        <f>IF(D66="","",IF(E66&lt;&gt;"","手入力",IF(I66="","前年度名簿にいない",IF(OR(COUNTIF($H$2:$H$451,H66)&gt;1,COUNTIF(振り分け!$S$7:$S$456,H66)&gt;1),"同姓同名あり（手入力してください）","OK"))))</f>
        <v/>
      </c>
      <c r="G66" s="44">
        <f>IF(D66="","",IF(E66&lt;&gt;"",E66,IF(F66&lt;&gt;"OK","",IF(INDEX(振り分け!$L$7:$L$456,I66)="","未決定",INDEX(振り分け!$L$7:$L$456,I66)))))</f>
        <v/>
      </c>
      <c r="H66" s="8">
        <f>IF(D66="","",A66&amp;"|"&amp;SUBSTITUTE(SUBSTITUTE(D66," ",""),"　",""))</f>
        <v/>
      </c>
      <c r="I66" s="8">
        <f>IF(H66="","",IFERROR(MATCH(H66,振り分け!$S$7:$S$456,0),""))</f>
        <v/>
      </c>
      <c r="J66" s="8">
        <f>IF(D66="","",IFERROR(MATCH(A66&amp;"-"&amp;B66,設定!$Z$8:$Z$31,0),99)*1000+C66+ROW()/1000000)</f>
        <v/>
      </c>
      <c r="K66" s="8">
        <f>IF(D66="","",IFERROR(INDEX(設定!$L$8:$L$31,MATCH(A66&amp;"-"&amp;B66,設定!$Z$8:$Z$31,0)),A66&amp;B66))</f>
        <v/>
      </c>
    </row>
    <row r="67">
      <c r="A67" s="40" t="n">
        <v>6</v>
      </c>
      <c r="B67" s="40" t="inlineStr">
        <is>
          <t>梅</t>
        </is>
      </c>
      <c r="C67" s="40" t="n">
        <v>5</v>
      </c>
      <c r="D67" s="41" t="inlineStr">
        <is>
          <t>阿部　美咲</t>
        </is>
      </c>
      <c r="E67" s="40" t="n"/>
      <c r="F67" s="45">
        <f>IF(D67="","",IF(E67&lt;&gt;"","手入力",IF(I67="","前年度名簿にいない",IF(OR(COUNTIF($H$2:$H$451,H67)&gt;1,COUNTIF(振り分け!$S$7:$S$456,H67)&gt;1),"同姓同名あり（手入力してください）","OK"))))</f>
        <v/>
      </c>
      <c r="G67" s="44">
        <f>IF(D67="","",IF(E67&lt;&gt;"",E67,IF(F67&lt;&gt;"OK","",IF(INDEX(振り分け!$L$7:$L$456,I67)="","未決定",INDEX(振り分け!$L$7:$L$456,I67)))))</f>
        <v/>
      </c>
      <c r="H67" s="8">
        <f>IF(D67="","",A67&amp;"|"&amp;SUBSTITUTE(SUBSTITUTE(D67," ",""),"　",""))</f>
        <v/>
      </c>
      <c r="I67" s="8">
        <f>IF(H67="","",IFERROR(MATCH(H67,振り分け!$S$7:$S$456,0),""))</f>
        <v/>
      </c>
      <c r="J67" s="8">
        <f>IF(D67="","",IFERROR(MATCH(A67&amp;"-"&amp;B67,設定!$Z$8:$Z$31,0),99)*1000+C67+ROW()/1000000)</f>
        <v/>
      </c>
      <c r="K67" s="8">
        <f>IF(D67="","",IFERROR(INDEX(設定!$L$8:$L$31,MATCH(A67&amp;"-"&amp;B67,設定!$Z$8:$Z$31,0)),A67&amp;B67))</f>
        <v/>
      </c>
    </row>
    <row r="68">
      <c r="A68" s="40" t="n">
        <v>6</v>
      </c>
      <c r="B68" s="40" t="inlineStr">
        <is>
          <t>梅</t>
        </is>
      </c>
      <c r="C68" s="40" t="n">
        <v>6</v>
      </c>
      <c r="D68" s="41" t="inlineStr">
        <is>
          <t>池田　琴音</t>
        </is>
      </c>
      <c r="E68" s="40" t="n"/>
      <c r="F68" s="45">
        <f>IF(D68="","",IF(E68&lt;&gt;"","手入力",IF(I68="","前年度名簿にいない",IF(OR(COUNTIF($H$2:$H$451,H68)&gt;1,COUNTIF(振り分け!$S$7:$S$456,H68)&gt;1),"同姓同名あり（手入力してください）","OK"))))</f>
        <v/>
      </c>
      <c r="G68" s="44">
        <f>IF(D68="","",IF(E68&lt;&gt;"",E68,IF(F68&lt;&gt;"OK","",IF(INDEX(振り分け!$L$7:$L$456,I68)="","未決定",INDEX(振り分け!$L$7:$L$456,I68)))))</f>
        <v/>
      </c>
      <c r="H68" s="8">
        <f>IF(D68="","",A68&amp;"|"&amp;SUBSTITUTE(SUBSTITUTE(D68," ",""),"　",""))</f>
        <v/>
      </c>
      <c r="I68" s="8">
        <f>IF(H68="","",IFERROR(MATCH(H68,振り分け!$S$7:$S$456,0),""))</f>
        <v/>
      </c>
      <c r="J68" s="8">
        <f>IF(D68="","",IFERROR(MATCH(A68&amp;"-"&amp;B68,設定!$Z$8:$Z$31,0),99)*1000+C68+ROW()/1000000)</f>
        <v/>
      </c>
      <c r="K68" s="8">
        <f>IF(D68="","",IFERROR(INDEX(設定!$L$8:$L$31,MATCH(A68&amp;"-"&amp;B68,設定!$Z$8:$Z$31,0)),A68&amp;B68))</f>
        <v/>
      </c>
    </row>
    <row r="69">
      <c r="A69" s="40" t="n">
        <v>6</v>
      </c>
      <c r="B69" s="40" t="inlineStr">
        <is>
          <t>梅</t>
        </is>
      </c>
      <c r="C69" s="40" t="n">
        <v>7</v>
      </c>
      <c r="D69" s="41" t="inlineStr">
        <is>
          <t>橋本　芽依</t>
        </is>
      </c>
      <c r="E69" s="40" t="n"/>
      <c r="F69" s="45">
        <f>IF(D69="","",IF(E69&lt;&gt;"","手入力",IF(I69="","前年度名簿にいない",IF(OR(COUNTIF($H$2:$H$451,H69)&gt;1,COUNTIF(振り分け!$S$7:$S$456,H69)&gt;1),"同姓同名あり（手入力してください）","OK"))))</f>
        <v/>
      </c>
      <c r="G69" s="44">
        <f>IF(D69="","",IF(E69&lt;&gt;"",E69,IF(F69&lt;&gt;"OK","",IF(INDEX(振り分け!$L$7:$L$456,I69)="","未決定",INDEX(振り分け!$L$7:$L$456,I69)))))</f>
        <v/>
      </c>
      <c r="H69" s="8">
        <f>IF(D69="","",A69&amp;"|"&amp;SUBSTITUTE(SUBSTITUTE(D69," ",""),"　",""))</f>
        <v/>
      </c>
      <c r="I69" s="8">
        <f>IF(H69="","",IFERROR(MATCH(H69,振り分け!$S$7:$S$456,0),""))</f>
        <v/>
      </c>
      <c r="J69" s="8">
        <f>IF(D69="","",IFERROR(MATCH(A69&amp;"-"&amp;B69,設定!$Z$8:$Z$31,0),99)*1000+C69+ROW()/1000000)</f>
        <v/>
      </c>
      <c r="K69" s="8">
        <f>IF(D69="","",IFERROR(INDEX(設定!$L$8:$L$31,MATCH(A69&amp;"-"&amp;B69,設定!$Z$8:$Z$31,0)),A69&amp;B69))</f>
        <v/>
      </c>
    </row>
    <row r="70">
      <c r="A70" s="40" t="n">
        <v>6</v>
      </c>
      <c r="B70" s="40" t="inlineStr">
        <is>
          <t>梅</t>
        </is>
      </c>
      <c r="C70" s="40" t="n">
        <v>8</v>
      </c>
      <c r="D70" s="41" t="inlineStr">
        <is>
          <t>藤井　蓮</t>
        </is>
      </c>
      <c r="E70" s="40" t="n"/>
      <c r="F70" s="45">
        <f>IF(D70="","",IF(E70&lt;&gt;"","手入力",IF(I70="","前年度名簿にいない",IF(OR(COUNTIF($H$2:$H$451,H70)&gt;1,COUNTIF(振り分け!$S$7:$S$456,H70)&gt;1),"同姓同名あり（手入力してください）","OK"))))</f>
        <v/>
      </c>
      <c r="G70" s="44">
        <f>IF(D70="","",IF(E70&lt;&gt;"",E70,IF(F70&lt;&gt;"OK","",IF(INDEX(振り分け!$L$7:$L$456,I70)="","未決定",INDEX(振り分け!$L$7:$L$456,I70)))))</f>
        <v/>
      </c>
      <c r="H70" s="8">
        <f>IF(D70="","",A70&amp;"|"&amp;SUBSTITUTE(SUBSTITUTE(D70," ",""),"　",""))</f>
        <v/>
      </c>
      <c r="I70" s="8">
        <f>IF(H70="","",IFERROR(MATCH(H70,振り分け!$S$7:$S$456,0),""))</f>
        <v/>
      </c>
      <c r="J70" s="8">
        <f>IF(D70="","",IFERROR(MATCH(A70&amp;"-"&amp;B70,設定!$Z$8:$Z$31,0),99)*1000+C70+ROW()/1000000)</f>
        <v/>
      </c>
      <c r="K70" s="8">
        <f>IF(D70="","",IFERROR(INDEX(設定!$L$8:$L$31,MATCH(A70&amp;"-"&amp;B70,設定!$Z$8:$Z$31,0)),A70&amp;B70))</f>
        <v/>
      </c>
    </row>
    <row r="71">
      <c r="A71" s="40" t="n">
        <v>6</v>
      </c>
      <c r="B71" s="40" t="inlineStr">
        <is>
          <t>梅</t>
        </is>
      </c>
      <c r="C71" s="40" t="n">
        <v>9</v>
      </c>
      <c r="D71" s="41" t="inlineStr">
        <is>
          <t>青木　杏</t>
        </is>
      </c>
      <c r="E71" s="40" t="n"/>
      <c r="F71" s="45">
        <f>IF(D71="","",IF(E71&lt;&gt;"","手入力",IF(I71="","前年度名簿にいない",IF(OR(COUNTIF($H$2:$H$451,H71)&gt;1,COUNTIF(振り分け!$S$7:$S$456,H71)&gt;1),"同姓同名あり（手入力してください）","OK"))))</f>
        <v/>
      </c>
      <c r="G71" s="44">
        <f>IF(D71="","",IF(E71&lt;&gt;"",E71,IF(F71&lt;&gt;"OK","",IF(INDEX(振り分け!$L$7:$L$456,I71)="","未決定",INDEX(振り分け!$L$7:$L$456,I71)))))</f>
        <v/>
      </c>
      <c r="H71" s="8">
        <f>IF(D71="","",A71&amp;"|"&amp;SUBSTITUTE(SUBSTITUTE(D71," ",""),"　",""))</f>
        <v/>
      </c>
      <c r="I71" s="8">
        <f>IF(H71="","",IFERROR(MATCH(H71,振り分け!$S$7:$S$456,0),""))</f>
        <v/>
      </c>
      <c r="J71" s="8">
        <f>IF(D71="","",IFERROR(MATCH(A71&amp;"-"&amp;B71,設定!$Z$8:$Z$31,0),99)*1000+C71+ROW()/1000000)</f>
        <v/>
      </c>
      <c r="K71" s="8">
        <f>IF(D71="","",IFERROR(INDEX(設定!$L$8:$L$31,MATCH(A71&amp;"-"&amp;B71,設定!$Z$8:$Z$31,0)),A71&amp;B71))</f>
        <v/>
      </c>
    </row>
    <row r="72">
      <c r="A72" s="40" t="n">
        <v>6</v>
      </c>
      <c r="B72" s="40" t="inlineStr">
        <is>
          <t>梅</t>
        </is>
      </c>
      <c r="C72" s="40" t="n">
        <v>10</v>
      </c>
      <c r="D72" s="41" t="inlineStr">
        <is>
          <t>山下　悠人</t>
        </is>
      </c>
      <c r="E72" s="40" t="n"/>
      <c r="F72" s="45">
        <f>IF(D72="","",IF(E72&lt;&gt;"","手入力",IF(I72="","前年度名簿にいない",IF(OR(COUNTIF($H$2:$H$451,H72)&gt;1,COUNTIF(振り分け!$S$7:$S$456,H72)&gt;1),"同姓同名あり（手入力してください）","OK"))))</f>
        <v/>
      </c>
      <c r="G72" s="44">
        <f>IF(D72="","",IF(E72&lt;&gt;"",E72,IF(F72&lt;&gt;"OK","",IF(INDEX(振り分け!$L$7:$L$456,I72)="","未決定",INDEX(振り分け!$L$7:$L$456,I72)))))</f>
        <v/>
      </c>
      <c r="H72" s="8">
        <f>IF(D72="","",A72&amp;"|"&amp;SUBSTITUTE(SUBSTITUTE(D72," ",""),"　",""))</f>
        <v/>
      </c>
      <c r="I72" s="8">
        <f>IF(H72="","",IFERROR(MATCH(H72,振り分け!$S$7:$S$456,0),""))</f>
        <v/>
      </c>
      <c r="J72" s="8">
        <f>IF(D72="","",IFERROR(MATCH(A72&amp;"-"&amp;B72,設定!$Z$8:$Z$31,0),99)*1000+C72+ROW()/1000000)</f>
        <v/>
      </c>
      <c r="K72" s="8">
        <f>IF(D72="","",IFERROR(INDEX(設定!$L$8:$L$31,MATCH(A72&amp;"-"&amp;B72,設定!$Z$8:$Z$31,0)),A72&amp;B72))</f>
        <v/>
      </c>
    </row>
    <row r="73">
      <c r="A73" s="40" t="n">
        <v>6</v>
      </c>
      <c r="B73" s="40" t="inlineStr">
        <is>
          <t>梅</t>
        </is>
      </c>
      <c r="C73" s="40" t="n">
        <v>11</v>
      </c>
      <c r="D73" s="41" t="inlineStr">
        <is>
          <t>石川　澪</t>
        </is>
      </c>
      <c r="E73" s="40" t="n"/>
      <c r="F73" s="45">
        <f>IF(D73="","",IF(E73&lt;&gt;"","手入力",IF(I73="","前年度名簿にいない",IF(OR(COUNTIF($H$2:$H$451,H73)&gt;1,COUNTIF(振り分け!$S$7:$S$456,H73)&gt;1),"同姓同名あり（手入力してください）","OK"))))</f>
        <v/>
      </c>
      <c r="G73" s="44">
        <f>IF(D73="","",IF(E73&lt;&gt;"",E73,IF(F73&lt;&gt;"OK","",IF(INDEX(振り分け!$L$7:$L$456,I73)="","未決定",INDEX(振り分け!$L$7:$L$456,I73)))))</f>
        <v/>
      </c>
      <c r="H73" s="8">
        <f>IF(D73="","",A73&amp;"|"&amp;SUBSTITUTE(SUBSTITUTE(D73," ",""),"　",""))</f>
        <v/>
      </c>
      <c r="I73" s="8">
        <f>IF(H73="","",IFERROR(MATCH(H73,振り分け!$S$7:$S$456,0),""))</f>
        <v/>
      </c>
      <c r="J73" s="8">
        <f>IF(D73="","",IFERROR(MATCH(A73&amp;"-"&amp;B73,設定!$Z$8:$Z$31,0),99)*1000+C73+ROW()/1000000)</f>
        <v/>
      </c>
      <c r="K73" s="8">
        <f>IF(D73="","",IFERROR(INDEX(設定!$L$8:$L$31,MATCH(A73&amp;"-"&amp;B73,設定!$Z$8:$Z$31,0)),A73&amp;B73))</f>
        <v/>
      </c>
    </row>
    <row r="74">
      <c r="A74" s="40" t="n">
        <v>6</v>
      </c>
      <c r="B74" s="40" t="inlineStr">
        <is>
          <t>梅</t>
        </is>
      </c>
      <c r="C74" s="40" t="n">
        <v>12</v>
      </c>
      <c r="D74" s="41" t="inlineStr">
        <is>
          <t>藤田　千尋</t>
        </is>
      </c>
      <c r="E74" s="40" t="n"/>
      <c r="F74" s="45">
        <f>IF(D74="","",IF(E74&lt;&gt;"","手入力",IF(I74="","前年度名簿にいない",IF(OR(COUNTIF($H$2:$H$451,H74)&gt;1,COUNTIF(振り分け!$S$7:$S$456,H74)&gt;1),"同姓同名あり（手入力してください）","OK"))))</f>
        <v/>
      </c>
      <c r="G74" s="44">
        <f>IF(D74="","",IF(E74&lt;&gt;"",E74,IF(F74&lt;&gt;"OK","",IF(INDEX(振り分け!$L$7:$L$456,I74)="","未決定",INDEX(振り分け!$L$7:$L$456,I74)))))</f>
        <v/>
      </c>
      <c r="H74" s="8">
        <f>IF(D74="","",A74&amp;"|"&amp;SUBSTITUTE(SUBSTITUTE(D74," ",""),"　",""))</f>
        <v/>
      </c>
      <c r="I74" s="8">
        <f>IF(H74="","",IFERROR(MATCH(H74,振り分け!$S$7:$S$456,0),""))</f>
        <v/>
      </c>
      <c r="J74" s="8">
        <f>IF(D74="","",IFERROR(MATCH(A74&amp;"-"&amp;B74,設定!$Z$8:$Z$31,0),99)*1000+C74+ROW()/1000000)</f>
        <v/>
      </c>
      <c r="K74" s="8">
        <f>IF(D74="","",IFERROR(INDEX(設定!$L$8:$L$31,MATCH(A74&amp;"-"&amp;B74,設定!$Z$8:$Z$31,0)),A74&amp;B74))</f>
        <v/>
      </c>
    </row>
    <row r="75">
      <c r="A75" s="40" t="n">
        <v>6</v>
      </c>
      <c r="B75" s="40" t="inlineStr">
        <is>
          <t>梅</t>
        </is>
      </c>
      <c r="C75" s="40" t="n">
        <v>13</v>
      </c>
      <c r="D75" s="41" t="inlineStr">
        <is>
          <t>鈴木　真央</t>
        </is>
      </c>
      <c r="E75" s="40" t="n"/>
      <c r="F75" s="45">
        <f>IF(D75="","",IF(E75&lt;&gt;"","手入力",IF(I75="","前年度名簿にいない",IF(OR(COUNTIF($H$2:$H$451,H75)&gt;1,COUNTIF(振り分け!$S$7:$S$456,H75)&gt;1),"同姓同名あり（手入力してください）","OK"))))</f>
        <v/>
      </c>
      <c r="G75" s="44">
        <f>IF(D75="","",IF(E75&lt;&gt;"",E75,IF(F75&lt;&gt;"OK","",IF(INDEX(振り分け!$L$7:$L$456,I75)="","未決定",INDEX(振り分け!$L$7:$L$456,I75)))))</f>
        <v/>
      </c>
      <c r="H75" s="8">
        <f>IF(D75="","",A75&amp;"|"&amp;SUBSTITUTE(SUBSTITUTE(D75," ",""),"　",""))</f>
        <v/>
      </c>
      <c r="I75" s="8">
        <f>IF(H75="","",IFERROR(MATCH(H75,振り分け!$S$7:$S$456,0),""))</f>
        <v/>
      </c>
      <c r="J75" s="8">
        <f>IF(D75="","",IFERROR(MATCH(A75&amp;"-"&amp;B75,設定!$Z$8:$Z$31,0),99)*1000+C75+ROW()/1000000)</f>
        <v/>
      </c>
      <c r="K75" s="8">
        <f>IF(D75="","",IFERROR(INDEX(設定!$L$8:$L$31,MATCH(A75&amp;"-"&amp;B75,設定!$Z$8:$Z$31,0)),A75&amp;B75))</f>
        <v/>
      </c>
    </row>
    <row r="76">
      <c r="A76" s="40" t="n">
        <v>6</v>
      </c>
      <c r="B76" s="40" t="inlineStr">
        <is>
          <t>梅</t>
        </is>
      </c>
      <c r="C76" s="40" t="n">
        <v>14</v>
      </c>
      <c r="D76" s="41" t="inlineStr">
        <is>
          <t>坂本　さくら</t>
        </is>
      </c>
      <c r="E76" s="40" t="n"/>
      <c r="F76" s="45">
        <f>IF(D76="","",IF(E76&lt;&gt;"","手入力",IF(I76="","前年度名簿にいない",IF(OR(COUNTIF($H$2:$H$451,H76)&gt;1,COUNTIF(振り分け!$S$7:$S$456,H76)&gt;1),"同姓同名あり（手入力してください）","OK"))))</f>
        <v/>
      </c>
      <c r="G76" s="44">
        <f>IF(D76="","",IF(E76&lt;&gt;"",E76,IF(F76&lt;&gt;"OK","",IF(INDEX(振り分け!$L$7:$L$456,I76)="","未決定",INDEX(振り分け!$L$7:$L$456,I76)))))</f>
        <v/>
      </c>
      <c r="H76" s="8">
        <f>IF(D76="","",A76&amp;"|"&amp;SUBSTITUTE(SUBSTITUTE(D76," ",""),"　",""))</f>
        <v/>
      </c>
      <c r="I76" s="8">
        <f>IF(H76="","",IFERROR(MATCH(H76,振り分け!$S$7:$S$456,0),""))</f>
        <v/>
      </c>
      <c r="J76" s="8">
        <f>IF(D76="","",IFERROR(MATCH(A76&amp;"-"&amp;B76,設定!$Z$8:$Z$31,0),99)*1000+C76+ROW()/1000000)</f>
        <v/>
      </c>
      <c r="K76" s="8">
        <f>IF(D76="","",IFERROR(INDEX(設定!$L$8:$L$31,MATCH(A76&amp;"-"&amp;B76,設定!$Z$8:$Z$31,0)),A76&amp;B76))</f>
        <v/>
      </c>
    </row>
    <row r="77">
      <c r="A77" s="40" t="n">
        <v>6</v>
      </c>
      <c r="B77" s="40" t="inlineStr">
        <is>
          <t>梅</t>
        </is>
      </c>
      <c r="C77" s="40" t="n">
        <v>15</v>
      </c>
      <c r="D77" s="41" t="inlineStr">
        <is>
          <t>福田　樹</t>
        </is>
      </c>
      <c r="E77" s="40" t="n"/>
      <c r="F77" s="45">
        <f>IF(D77="","",IF(E77&lt;&gt;"","手入力",IF(I77="","前年度名簿にいない",IF(OR(COUNTIF($H$2:$H$451,H77)&gt;1,COUNTIF(振り分け!$S$7:$S$456,H77)&gt;1),"同姓同名あり（手入力してください）","OK"))))</f>
        <v/>
      </c>
      <c r="G77" s="44">
        <f>IF(D77="","",IF(E77&lt;&gt;"",E77,IF(F77&lt;&gt;"OK","",IF(INDEX(振り分け!$L$7:$L$456,I77)="","未決定",INDEX(振り分け!$L$7:$L$456,I77)))))</f>
        <v/>
      </c>
      <c r="H77" s="8">
        <f>IF(D77="","",A77&amp;"|"&amp;SUBSTITUTE(SUBSTITUTE(D77," ",""),"　",""))</f>
        <v/>
      </c>
      <c r="I77" s="8">
        <f>IF(H77="","",IFERROR(MATCH(H77,振り分け!$S$7:$S$456,0),""))</f>
        <v/>
      </c>
      <c r="J77" s="8">
        <f>IF(D77="","",IFERROR(MATCH(A77&amp;"-"&amp;B77,設定!$Z$8:$Z$31,0),99)*1000+C77+ROW()/1000000)</f>
        <v/>
      </c>
      <c r="K77" s="8">
        <f>IF(D77="","",IFERROR(INDEX(設定!$L$8:$L$31,MATCH(A77&amp;"-"&amp;B77,設定!$Z$8:$Z$31,0)),A77&amp;B77))</f>
        <v/>
      </c>
    </row>
    <row r="78">
      <c r="A78" s="40" t="n">
        <v>6</v>
      </c>
      <c r="B78" s="40" t="inlineStr">
        <is>
          <t>梅</t>
        </is>
      </c>
      <c r="C78" s="40" t="n">
        <v>16</v>
      </c>
      <c r="D78" s="41" t="inlineStr">
        <is>
          <t>山口　結翔</t>
        </is>
      </c>
      <c r="E78" s="40" t="n"/>
      <c r="F78" s="45">
        <f>IF(D78="","",IF(E78&lt;&gt;"","手入力",IF(I78="","前年度名簿にいない",IF(OR(COUNTIF($H$2:$H$451,H78)&gt;1,COUNTIF(振り分け!$S$7:$S$456,H78)&gt;1),"同姓同名あり（手入力してください）","OK"))))</f>
        <v/>
      </c>
      <c r="G78" s="44">
        <f>IF(D78="","",IF(E78&lt;&gt;"",E78,IF(F78&lt;&gt;"OK","",IF(INDEX(振り分け!$L$7:$L$456,I78)="","未決定",INDEX(振り分け!$L$7:$L$456,I78)))))</f>
        <v/>
      </c>
      <c r="H78" s="8">
        <f>IF(D78="","",A78&amp;"|"&amp;SUBSTITUTE(SUBSTITUTE(D78," ",""),"　",""))</f>
        <v/>
      </c>
      <c r="I78" s="8">
        <f>IF(H78="","",IFERROR(MATCH(H78,振り分け!$S$7:$S$456,0),""))</f>
        <v/>
      </c>
      <c r="J78" s="8">
        <f>IF(D78="","",IFERROR(MATCH(A78&amp;"-"&amp;B78,設定!$Z$8:$Z$31,0),99)*1000+C78+ROW()/1000000)</f>
        <v/>
      </c>
      <c r="K78" s="8">
        <f>IF(D78="","",IFERROR(INDEX(設定!$L$8:$L$31,MATCH(A78&amp;"-"&amp;B78,設定!$Z$8:$Z$31,0)),A78&amp;B78))</f>
        <v/>
      </c>
    </row>
    <row r="79">
      <c r="A79" s="40" t="n">
        <v>6</v>
      </c>
      <c r="B79" s="40" t="inlineStr">
        <is>
          <t>梅</t>
        </is>
      </c>
      <c r="C79" s="40" t="n">
        <v>17</v>
      </c>
      <c r="D79" s="41" t="inlineStr">
        <is>
          <t>井上　蒼</t>
        </is>
      </c>
      <c r="E79" s="40" t="n"/>
      <c r="F79" s="45">
        <f>IF(D79="","",IF(E79&lt;&gt;"","手入力",IF(I79="","前年度名簿にいない",IF(OR(COUNTIF($H$2:$H$451,H79)&gt;1,COUNTIF(振り分け!$S$7:$S$456,H79)&gt;1),"同姓同名あり（手入力してください）","OK"))))</f>
        <v/>
      </c>
      <c r="G79" s="44">
        <f>IF(D79="","",IF(E79&lt;&gt;"",E79,IF(F79&lt;&gt;"OK","",IF(INDEX(振り分け!$L$7:$L$456,I79)="","未決定",INDEX(振り分け!$L$7:$L$456,I79)))))</f>
        <v/>
      </c>
      <c r="H79" s="8">
        <f>IF(D79="","",A79&amp;"|"&amp;SUBSTITUTE(SUBSTITUTE(D79," ",""),"　",""))</f>
        <v/>
      </c>
      <c r="I79" s="8">
        <f>IF(H79="","",IFERROR(MATCH(H79,振り分け!$S$7:$S$456,0),""))</f>
        <v/>
      </c>
      <c r="J79" s="8">
        <f>IF(D79="","",IFERROR(MATCH(A79&amp;"-"&amp;B79,設定!$Z$8:$Z$31,0),99)*1000+C79+ROW()/1000000)</f>
        <v/>
      </c>
      <c r="K79" s="8">
        <f>IF(D79="","",IFERROR(INDEX(設定!$L$8:$L$31,MATCH(A79&amp;"-"&amp;B79,設定!$Z$8:$Z$31,0)),A79&amp;B79))</f>
        <v/>
      </c>
    </row>
    <row r="80">
      <c r="A80" s="40" t="n">
        <v>6</v>
      </c>
      <c r="B80" s="40" t="inlineStr">
        <is>
          <t>梅</t>
        </is>
      </c>
      <c r="C80" s="40" t="n">
        <v>18</v>
      </c>
      <c r="D80" s="41" t="inlineStr">
        <is>
          <t>山田　大翔</t>
        </is>
      </c>
      <c r="E80" s="40" t="n"/>
      <c r="F80" s="45">
        <f>IF(D80="","",IF(E80&lt;&gt;"","手入力",IF(I80="","前年度名簿にいない",IF(OR(COUNTIF($H$2:$H$451,H80)&gt;1,COUNTIF(振り分け!$S$7:$S$456,H80)&gt;1),"同姓同名あり（手入力してください）","OK"))))</f>
        <v/>
      </c>
      <c r="G80" s="44">
        <f>IF(D80="","",IF(E80&lt;&gt;"",E80,IF(F80&lt;&gt;"OK","",IF(INDEX(振り分け!$L$7:$L$456,I80)="","未決定",INDEX(振り分け!$L$7:$L$456,I80)))))</f>
        <v/>
      </c>
      <c r="H80" s="8">
        <f>IF(D80="","",A80&amp;"|"&amp;SUBSTITUTE(SUBSTITUTE(D80," ",""),"　",""))</f>
        <v/>
      </c>
      <c r="I80" s="8">
        <f>IF(H80="","",IFERROR(MATCH(H80,振り分け!$S$7:$S$456,0),""))</f>
        <v/>
      </c>
      <c r="J80" s="8">
        <f>IF(D80="","",IFERROR(MATCH(A80&amp;"-"&amp;B80,設定!$Z$8:$Z$31,0),99)*1000+C80+ROW()/1000000)</f>
        <v/>
      </c>
      <c r="K80" s="8">
        <f>IF(D80="","",IFERROR(INDEX(設定!$L$8:$L$31,MATCH(A80&amp;"-"&amp;B80,設定!$Z$8:$Z$31,0)),A80&amp;B80))</f>
        <v/>
      </c>
    </row>
    <row r="81">
      <c r="A81" s="40" t="n">
        <v>6</v>
      </c>
      <c r="B81" s="40" t="inlineStr">
        <is>
          <t>梅</t>
        </is>
      </c>
      <c r="C81" s="40" t="n">
        <v>19</v>
      </c>
      <c r="D81" s="41" t="inlineStr">
        <is>
          <t>森　拓海</t>
        </is>
      </c>
      <c r="E81" s="40" t="n"/>
      <c r="F81" s="45">
        <f>IF(D81="","",IF(E81&lt;&gt;"","手入力",IF(I81="","前年度名簿にいない",IF(OR(COUNTIF($H$2:$H$451,H81)&gt;1,COUNTIF(振り分け!$S$7:$S$456,H81)&gt;1),"同姓同名あり（手入力してください）","OK"))))</f>
        <v/>
      </c>
      <c r="G81" s="44">
        <f>IF(D81="","",IF(E81&lt;&gt;"",E81,IF(F81&lt;&gt;"OK","",IF(INDEX(振り分け!$L$7:$L$456,I81)="","未決定",INDEX(振り分け!$L$7:$L$456,I81)))))</f>
        <v/>
      </c>
      <c r="H81" s="8">
        <f>IF(D81="","",A81&amp;"|"&amp;SUBSTITUTE(SUBSTITUTE(D81," ",""),"　",""))</f>
        <v/>
      </c>
      <c r="I81" s="8">
        <f>IF(H81="","",IFERROR(MATCH(H81,振り分け!$S$7:$S$456,0),""))</f>
        <v/>
      </c>
      <c r="J81" s="8">
        <f>IF(D81="","",IFERROR(MATCH(A81&amp;"-"&amp;B81,設定!$Z$8:$Z$31,0),99)*1000+C81+ROW()/1000000)</f>
        <v/>
      </c>
      <c r="K81" s="8">
        <f>IF(D81="","",IFERROR(INDEX(設定!$L$8:$L$31,MATCH(A81&amp;"-"&amp;B81,設定!$Z$8:$Z$31,0)),A81&amp;B81))</f>
        <v/>
      </c>
    </row>
    <row r="82">
      <c r="A82" s="40" t="n">
        <v>6</v>
      </c>
      <c r="B82" s="40" t="inlineStr">
        <is>
          <t>梅</t>
        </is>
      </c>
      <c r="C82" s="40" t="n">
        <v>20</v>
      </c>
      <c r="D82" s="41" t="inlineStr">
        <is>
          <t>近藤　悠人</t>
        </is>
      </c>
      <c r="E82" s="40" t="n"/>
      <c r="F82" s="45">
        <f>IF(D82="","",IF(E82&lt;&gt;"","手入力",IF(I82="","前年度名簿にいない",IF(OR(COUNTIF($H$2:$H$451,H82)&gt;1,COUNTIF(振り分け!$S$7:$S$456,H82)&gt;1),"同姓同名あり（手入力してください）","OK"))))</f>
        <v/>
      </c>
      <c r="G82" s="44">
        <f>IF(D82="","",IF(E82&lt;&gt;"",E82,IF(F82&lt;&gt;"OK","",IF(INDEX(振り分け!$L$7:$L$456,I82)="","未決定",INDEX(振り分け!$L$7:$L$456,I82)))))</f>
        <v/>
      </c>
      <c r="H82" s="8">
        <f>IF(D82="","",A82&amp;"|"&amp;SUBSTITUTE(SUBSTITUTE(D82," ",""),"　",""))</f>
        <v/>
      </c>
      <c r="I82" s="8">
        <f>IF(H82="","",IFERROR(MATCH(H82,振り分け!$S$7:$S$456,0),""))</f>
        <v/>
      </c>
      <c r="J82" s="8">
        <f>IF(D82="","",IFERROR(MATCH(A82&amp;"-"&amp;B82,設定!$Z$8:$Z$31,0),99)*1000+C82+ROW()/1000000)</f>
        <v/>
      </c>
      <c r="K82" s="8">
        <f>IF(D82="","",IFERROR(INDEX(設定!$L$8:$L$31,MATCH(A82&amp;"-"&amp;B82,設定!$Z$8:$Z$31,0)),A82&amp;B82))</f>
        <v/>
      </c>
    </row>
    <row r="83">
      <c r="A83" s="40" t="n">
        <v>6</v>
      </c>
      <c r="B83" s="40" t="inlineStr">
        <is>
          <t>梅</t>
        </is>
      </c>
      <c r="C83" s="40" t="n">
        <v>21</v>
      </c>
      <c r="D83" s="41" t="inlineStr">
        <is>
          <t>山下　陽太</t>
        </is>
      </c>
      <c r="E83" s="40" t="n"/>
      <c r="F83" s="45">
        <f>IF(D83="","",IF(E83&lt;&gt;"","手入力",IF(I83="","前年度名簿にいない",IF(OR(COUNTIF($H$2:$H$451,H83)&gt;1,COUNTIF(振り分け!$S$7:$S$456,H83)&gt;1),"同姓同名あり（手入力してください）","OK"))))</f>
        <v/>
      </c>
      <c r="G83" s="44">
        <f>IF(D83="","",IF(E83&lt;&gt;"",E83,IF(F83&lt;&gt;"OK","",IF(INDEX(振り分け!$L$7:$L$456,I83)="","未決定",INDEX(振り分け!$L$7:$L$456,I83)))))</f>
        <v/>
      </c>
      <c r="H83" s="8">
        <f>IF(D83="","",A83&amp;"|"&amp;SUBSTITUTE(SUBSTITUTE(D83," ",""),"　",""))</f>
        <v/>
      </c>
      <c r="I83" s="8">
        <f>IF(H83="","",IFERROR(MATCH(H83,振り分け!$S$7:$S$456,0),""))</f>
        <v/>
      </c>
      <c r="J83" s="8">
        <f>IF(D83="","",IFERROR(MATCH(A83&amp;"-"&amp;B83,設定!$Z$8:$Z$31,0),99)*1000+C83+ROW()/1000000)</f>
        <v/>
      </c>
      <c r="K83" s="8">
        <f>IF(D83="","",IFERROR(INDEX(設定!$L$8:$L$31,MATCH(A83&amp;"-"&amp;B83,設定!$Z$8:$Z$31,0)),A83&amp;B83))</f>
        <v/>
      </c>
    </row>
    <row r="84">
      <c r="A84" s="40" t="n">
        <v>6</v>
      </c>
      <c r="B84" s="40" t="inlineStr">
        <is>
          <t>梅</t>
        </is>
      </c>
      <c r="C84" s="40" t="n">
        <v>22</v>
      </c>
      <c r="D84" s="41" t="inlineStr">
        <is>
          <t>太田　千尋</t>
        </is>
      </c>
      <c r="E84" s="40" t="n"/>
      <c r="F84" s="45">
        <f>IF(D84="","",IF(E84&lt;&gt;"","手入力",IF(I84="","前年度名簿にいない",IF(OR(COUNTIF($H$2:$H$451,H84)&gt;1,COUNTIF(振り分け!$S$7:$S$456,H84)&gt;1),"同姓同名あり（手入力してください）","OK"))))</f>
        <v/>
      </c>
      <c r="G84" s="44">
        <f>IF(D84="","",IF(E84&lt;&gt;"",E84,IF(F84&lt;&gt;"OK","",IF(INDEX(振り分け!$L$7:$L$456,I84)="","未決定",INDEX(振り分け!$L$7:$L$456,I84)))))</f>
        <v/>
      </c>
      <c r="H84" s="8">
        <f>IF(D84="","",A84&amp;"|"&amp;SUBSTITUTE(SUBSTITUTE(D84," ",""),"　",""))</f>
        <v/>
      </c>
      <c r="I84" s="8">
        <f>IF(H84="","",IFERROR(MATCH(H84,振り分け!$S$7:$S$456,0),""))</f>
        <v/>
      </c>
      <c r="J84" s="8">
        <f>IF(D84="","",IFERROR(MATCH(A84&amp;"-"&amp;B84,設定!$Z$8:$Z$31,0),99)*1000+C84+ROW()/1000000)</f>
        <v/>
      </c>
      <c r="K84" s="8">
        <f>IF(D84="","",IFERROR(INDEX(設定!$L$8:$L$31,MATCH(A84&amp;"-"&amp;B84,設定!$Z$8:$Z$31,0)),A84&amp;B84))</f>
        <v/>
      </c>
    </row>
    <row r="85">
      <c r="A85" s="40" t="n">
        <v>6</v>
      </c>
      <c r="B85" s="40" t="inlineStr">
        <is>
          <t>梅</t>
        </is>
      </c>
      <c r="C85" s="40" t="n">
        <v>23</v>
      </c>
      <c r="D85" s="41" t="inlineStr">
        <is>
          <t>山崎　新</t>
        </is>
      </c>
      <c r="E85" s="40" t="n"/>
      <c r="F85" s="45">
        <f>IF(D85="","",IF(E85&lt;&gt;"","手入力",IF(I85="","前年度名簿にいない",IF(OR(COUNTIF($H$2:$H$451,H85)&gt;1,COUNTIF(振り分け!$S$7:$S$456,H85)&gt;1),"同姓同名あり（手入力してください）","OK"))))</f>
        <v/>
      </c>
      <c r="G85" s="44">
        <f>IF(D85="","",IF(E85&lt;&gt;"",E85,IF(F85&lt;&gt;"OK","",IF(INDEX(振り分け!$L$7:$L$456,I85)="","未決定",INDEX(振り分け!$L$7:$L$456,I85)))))</f>
        <v/>
      </c>
      <c r="H85" s="8">
        <f>IF(D85="","",A85&amp;"|"&amp;SUBSTITUTE(SUBSTITUTE(D85," ",""),"　",""))</f>
        <v/>
      </c>
      <c r="I85" s="8">
        <f>IF(H85="","",IFERROR(MATCH(H85,振り分け!$S$7:$S$456,0),""))</f>
        <v/>
      </c>
      <c r="J85" s="8">
        <f>IF(D85="","",IFERROR(MATCH(A85&amp;"-"&amp;B85,設定!$Z$8:$Z$31,0),99)*1000+C85+ROW()/1000000)</f>
        <v/>
      </c>
      <c r="K85" s="8">
        <f>IF(D85="","",IFERROR(INDEX(設定!$L$8:$L$31,MATCH(A85&amp;"-"&amp;B85,設定!$Z$8:$Z$31,0)),A85&amp;B85))</f>
        <v/>
      </c>
    </row>
    <row r="86">
      <c r="A86" s="40" t="n">
        <v>6</v>
      </c>
      <c r="B86" s="40" t="inlineStr">
        <is>
          <t>梅</t>
        </is>
      </c>
      <c r="C86" s="40" t="n">
        <v>24</v>
      </c>
      <c r="D86" s="41" t="inlineStr">
        <is>
          <t>石井　莉子</t>
        </is>
      </c>
      <c r="E86" s="40" t="n"/>
      <c r="F86" s="45">
        <f>IF(D86="","",IF(E86&lt;&gt;"","手入力",IF(I86="","前年度名簿にいない",IF(OR(COUNTIF($H$2:$H$451,H86)&gt;1,COUNTIF(振り分け!$S$7:$S$456,H86)&gt;1),"同姓同名あり（手入力してください）","OK"))))</f>
        <v/>
      </c>
      <c r="G86" s="44">
        <f>IF(D86="","",IF(E86&lt;&gt;"",E86,IF(F86&lt;&gt;"OK","",IF(INDEX(振り分け!$L$7:$L$456,I86)="","未決定",INDEX(振り分け!$L$7:$L$456,I86)))))</f>
        <v/>
      </c>
      <c r="H86" s="8">
        <f>IF(D86="","",A86&amp;"|"&amp;SUBSTITUTE(SUBSTITUTE(D86," ",""),"　",""))</f>
        <v/>
      </c>
      <c r="I86" s="8">
        <f>IF(H86="","",IFERROR(MATCH(H86,振り分け!$S$7:$S$456,0),""))</f>
        <v/>
      </c>
      <c r="J86" s="8">
        <f>IF(D86="","",IFERROR(MATCH(A86&amp;"-"&amp;B86,設定!$Z$8:$Z$31,0),99)*1000+C86+ROW()/1000000)</f>
        <v/>
      </c>
      <c r="K86" s="8">
        <f>IF(D86="","",IFERROR(INDEX(設定!$L$8:$L$31,MATCH(A86&amp;"-"&amp;B86,設定!$Z$8:$Z$31,0)),A86&amp;B86))</f>
        <v/>
      </c>
    </row>
    <row r="87">
      <c r="A87" s="40" t="n">
        <v>6</v>
      </c>
      <c r="B87" s="40" t="inlineStr">
        <is>
          <t>梅</t>
        </is>
      </c>
      <c r="C87" s="40" t="n">
        <v>25</v>
      </c>
      <c r="D87" s="41" t="inlineStr">
        <is>
          <t>吉田　さくら</t>
        </is>
      </c>
      <c r="E87" s="40" t="n"/>
      <c r="F87" s="45">
        <f>IF(D87="","",IF(E87&lt;&gt;"","手入力",IF(I87="","前年度名簿にいない",IF(OR(COUNTIF($H$2:$H$451,H87)&gt;1,COUNTIF(振り分け!$S$7:$S$456,H87)&gt;1),"同姓同名あり（手入力してください）","OK"))))</f>
        <v/>
      </c>
      <c r="G87" s="44">
        <f>IF(D87="","",IF(E87&lt;&gt;"",E87,IF(F87&lt;&gt;"OK","",IF(INDEX(振り分け!$L$7:$L$456,I87)="","未決定",INDEX(振り分け!$L$7:$L$456,I87)))))</f>
        <v/>
      </c>
      <c r="H87" s="8">
        <f>IF(D87="","",A87&amp;"|"&amp;SUBSTITUTE(SUBSTITUTE(D87," ",""),"　",""))</f>
        <v/>
      </c>
      <c r="I87" s="8">
        <f>IF(H87="","",IFERROR(MATCH(H87,振り分け!$S$7:$S$456,0),""))</f>
        <v/>
      </c>
      <c r="J87" s="8">
        <f>IF(D87="","",IFERROR(MATCH(A87&amp;"-"&amp;B87,設定!$Z$8:$Z$31,0),99)*1000+C87+ROW()/1000000)</f>
        <v/>
      </c>
      <c r="K87" s="8">
        <f>IF(D87="","",IFERROR(INDEX(設定!$L$8:$L$31,MATCH(A87&amp;"-"&amp;B87,設定!$Z$8:$Z$31,0)),A87&amp;B87))</f>
        <v/>
      </c>
    </row>
    <row r="88">
      <c r="A88" s="40" t="n">
        <v>6</v>
      </c>
      <c r="B88" s="40" t="inlineStr">
        <is>
          <t>梅</t>
        </is>
      </c>
      <c r="C88" s="40" t="n">
        <v>26</v>
      </c>
      <c r="D88" s="41" t="inlineStr">
        <is>
          <t>石川　真央</t>
        </is>
      </c>
      <c r="E88" s="40" t="n"/>
      <c r="F88" s="45">
        <f>IF(D88="","",IF(E88&lt;&gt;"","手入力",IF(I88="","前年度名簿にいない",IF(OR(COUNTIF($H$2:$H$451,H88)&gt;1,COUNTIF(振り分け!$S$7:$S$456,H88)&gt;1),"同姓同名あり（手入力してください）","OK"))))</f>
        <v/>
      </c>
      <c r="G88" s="44">
        <f>IF(D88="","",IF(E88&lt;&gt;"",E88,IF(F88&lt;&gt;"OK","",IF(INDEX(振り分け!$L$7:$L$456,I88)="","未決定",INDEX(振り分け!$L$7:$L$456,I88)))))</f>
        <v/>
      </c>
      <c r="H88" s="8">
        <f>IF(D88="","",A88&amp;"|"&amp;SUBSTITUTE(SUBSTITUTE(D88," ",""),"　",""))</f>
        <v/>
      </c>
      <c r="I88" s="8">
        <f>IF(H88="","",IFERROR(MATCH(H88,振り分け!$S$7:$S$456,0),""))</f>
        <v/>
      </c>
      <c r="J88" s="8">
        <f>IF(D88="","",IFERROR(MATCH(A88&amp;"-"&amp;B88,設定!$Z$8:$Z$31,0),99)*1000+C88+ROW()/1000000)</f>
        <v/>
      </c>
      <c r="K88" s="8">
        <f>IF(D88="","",IFERROR(INDEX(設定!$L$8:$L$31,MATCH(A88&amp;"-"&amp;B88,設定!$Z$8:$Z$31,0)),A88&amp;B88))</f>
        <v/>
      </c>
    </row>
    <row r="89">
      <c r="A89" s="40" t="n">
        <v>6</v>
      </c>
      <c r="B89" s="40" t="inlineStr">
        <is>
          <t>梅</t>
        </is>
      </c>
      <c r="C89" s="40" t="n">
        <v>27</v>
      </c>
      <c r="D89" s="41" t="inlineStr">
        <is>
          <t>佐藤　さくら</t>
        </is>
      </c>
      <c r="E89" s="40" t="n"/>
      <c r="F89" s="45">
        <f>IF(D89="","",IF(E89&lt;&gt;"","手入力",IF(I89="","前年度名簿にいない",IF(OR(COUNTIF($H$2:$H$451,H89)&gt;1,COUNTIF(振り分け!$S$7:$S$456,H89)&gt;1),"同姓同名あり（手入力してください）","OK"))))</f>
        <v/>
      </c>
      <c r="G89" s="44">
        <f>IF(D89="","",IF(E89&lt;&gt;"",E89,IF(F89&lt;&gt;"OK","",IF(INDEX(振り分け!$L$7:$L$456,I89)="","未決定",INDEX(振り分け!$L$7:$L$456,I89)))))</f>
        <v/>
      </c>
      <c r="H89" s="8">
        <f>IF(D89="","",A89&amp;"|"&amp;SUBSTITUTE(SUBSTITUTE(D89," ",""),"　",""))</f>
        <v/>
      </c>
      <c r="I89" s="8">
        <f>IF(H89="","",IFERROR(MATCH(H89,振り分け!$S$7:$S$456,0),""))</f>
        <v/>
      </c>
      <c r="J89" s="8">
        <f>IF(D89="","",IFERROR(MATCH(A89&amp;"-"&amp;B89,設定!$Z$8:$Z$31,0),99)*1000+C89+ROW()/1000000)</f>
        <v/>
      </c>
      <c r="K89" s="8">
        <f>IF(D89="","",IFERROR(INDEX(設定!$L$8:$L$31,MATCH(A89&amp;"-"&amp;B89,設定!$Z$8:$Z$31,0)),A89&amp;B89))</f>
        <v/>
      </c>
    </row>
    <row r="90">
      <c r="A90" s="40" t="n">
        <v>6</v>
      </c>
      <c r="B90" s="40" t="inlineStr">
        <is>
          <t>梅</t>
        </is>
      </c>
      <c r="C90" s="40" t="n">
        <v>28</v>
      </c>
      <c r="D90" s="41" t="inlineStr">
        <is>
          <t>佐々木　颯太</t>
        </is>
      </c>
      <c r="E90" s="40" t="n"/>
      <c r="F90" s="45">
        <f>IF(D90="","",IF(E90&lt;&gt;"","手入力",IF(I90="","前年度名簿にいない",IF(OR(COUNTIF($H$2:$H$451,H90)&gt;1,COUNTIF(振り分け!$S$7:$S$456,H90)&gt;1),"同姓同名あり（手入力してください）","OK"))))</f>
        <v/>
      </c>
      <c r="G90" s="44">
        <f>IF(D90="","",IF(E90&lt;&gt;"",E90,IF(F90&lt;&gt;"OK","",IF(INDEX(振り分け!$L$7:$L$456,I90)="","未決定",INDEX(振り分け!$L$7:$L$456,I90)))))</f>
        <v/>
      </c>
      <c r="H90" s="8">
        <f>IF(D90="","",A90&amp;"|"&amp;SUBSTITUTE(SUBSTITUTE(D90," ",""),"　",""))</f>
        <v/>
      </c>
      <c r="I90" s="8">
        <f>IF(H90="","",IFERROR(MATCH(H90,振り分け!$S$7:$S$456,0),""))</f>
        <v/>
      </c>
      <c r="J90" s="8">
        <f>IF(D90="","",IFERROR(MATCH(A90&amp;"-"&amp;B90,設定!$Z$8:$Z$31,0),99)*1000+C90+ROW()/1000000)</f>
        <v/>
      </c>
      <c r="K90" s="8">
        <f>IF(D90="","",IFERROR(INDEX(設定!$L$8:$L$31,MATCH(A90&amp;"-"&amp;B90,設定!$Z$8:$Z$31,0)),A90&amp;B90))</f>
        <v/>
      </c>
    </row>
    <row r="91">
      <c r="A91" s="40" t="n">
        <v>6</v>
      </c>
      <c r="B91" s="40" t="inlineStr">
        <is>
          <t>梅</t>
        </is>
      </c>
      <c r="C91" s="40" t="n">
        <v>29</v>
      </c>
      <c r="D91" s="41" t="inlineStr">
        <is>
          <t>小野　大翔</t>
        </is>
      </c>
      <c r="E91" s="40" t="n"/>
      <c r="F91" s="45">
        <f>IF(D91="","",IF(E91&lt;&gt;"","手入力",IF(I91="","前年度名簿にいない",IF(OR(COUNTIF($H$2:$H$451,H91)&gt;1,COUNTIF(振り分け!$S$7:$S$456,H91)&gt;1),"同姓同名あり（手入力してください）","OK"))))</f>
        <v/>
      </c>
      <c r="G91" s="44">
        <f>IF(D91="","",IF(E91&lt;&gt;"",E91,IF(F91&lt;&gt;"OK","",IF(INDEX(振り分け!$L$7:$L$456,I91)="","未決定",INDEX(振り分け!$L$7:$L$456,I91)))))</f>
        <v/>
      </c>
      <c r="H91" s="8">
        <f>IF(D91="","",A91&amp;"|"&amp;SUBSTITUTE(SUBSTITUTE(D91," ",""),"　",""))</f>
        <v/>
      </c>
      <c r="I91" s="8">
        <f>IF(H91="","",IFERROR(MATCH(H91,振り分け!$S$7:$S$456,0),""))</f>
        <v/>
      </c>
      <c r="J91" s="8">
        <f>IF(D91="","",IFERROR(MATCH(A91&amp;"-"&amp;B91,設定!$Z$8:$Z$31,0),99)*1000+C91+ROW()/1000000)</f>
        <v/>
      </c>
      <c r="K91" s="8">
        <f>IF(D91="","",IFERROR(INDEX(設定!$L$8:$L$31,MATCH(A91&amp;"-"&amp;B91,設定!$Z$8:$Z$31,0)),A91&amp;B91))</f>
        <v/>
      </c>
    </row>
    <row r="92">
      <c r="A92" s="40" t="n">
        <v>6</v>
      </c>
      <c r="B92" s="40" t="inlineStr">
        <is>
          <t>梅</t>
        </is>
      </c>
      <c r="C92" s="40" t="n">
        <v>30</v>
      </c>
      <c r="D92" s="41" t="inlineStr">
        <is>
          <t>小林　葵</t>
        </is>
      </c>
      <c r="E92" s="40" t="n"/>
      <c r="F92" s="45">
        <f>IF(D92="","",IF(E92&lt;&gt;"","手入力",IF(I92="","前年度名簿にいない",IF(OR(COUNTIF($H$2:$H$451,H92)&gt;1,COUNTIF(振り分け!$S$7:$S$456,H92)&gt;1),"同姓同名あり（手入力してください）","OK"))))</f>
        <v/>
      </c>
      <c r="G92" s="44">
        <f>IF(D92="","",IF(E92&lt;&gt;"",E92,IF(F92&lt;&gt;"OK","",IF(INDEX(振り分け!$L$7:$L$456,I92)="","未決定",INDEX(振り分け!$L$7:$L$456,I92)))))</f>
        <v/>
      </c>
      <c r="H92" s="8">
        <f>IF(D92="","",A92&amp;"|"&amp;SUBSTITUTE(SUBSTITUTE(D92," ",""),"　",""))</f>
        <v/>
      </c>
      <c r="I92" s="8">
        <f>IF(H92="","",IFERROR(MATCH(H92,振り分け!$S$7:$S$456,0),""))</f>
        <v/>
      </c>
      <c r="J92" s="8">
        <f>IF(D92="","",IFERROR(MATCH(A92&amp;"-"&amp;B92,設定!$Z$8:$Z$31,0),99)*1000+C92+ROW()/1000000)</f>
        <v/>
      </c>
      <c r="K92" s="8">
        <f>IF(D92="","",IFERROR(INDEX(設定!$L$8:$L$31,MATCH(A92&amp;"-"&amp;B92,設定!$Z$8:$Z$31,0)),A92&amp;B92))</f>
        <v/>
      </c>
    </row>
    <row r="93">
      <c r="A93" s="40" t="n">
        <v>6</v>
      </c>
      <c r="B93" s="40" t="inlineStr">
        <is>
          <t>月</t>
        </is>
      </c>
      <c r="C93" s="40" t="n">
        <v>1</v>
      </c>
      <c r="D93" s="41" t="inlineStr">
        <is>
          <t>石井　海斗</t>
        </is>
      </c>
      <c r="E93" s="40" t="n"/>
      <c r="F93" s="45">
        <f>IF(D93="","",IF(E93&lt;&gt;"","手入力",IF(I93="","前年度名簿にいない",IF(OR(COUNTIF($H$2:$H$451,H93)&gt;1,COUNTIF(振り分け!$S$7:$S$456,H93)&gt;1),"同姓同名あり（手入力してください）","OK"))))</f>
        <v/>
      </c>
      <c r="G93" s="44">
        <f>IF(D93="","",IF(E93&lt;&gt;"",E93,IF(F93&lt;&gt;"OK","",IF(INDEX(振り分け!$L$7:$L$456,I93)="","未決定",INDEX(振り分け!$L$7:$L$456,I93)))))</f>
        <v/>
      </c>
      <c r="H93" s="8">
        <f>IF(D93="","",A93&amp;"|"&amp;SUBSTITUTE(SUBSTITUTE(D93," ",""),"　",""))</f>
        <v/>
      </c>
      <c r="I93" s="8">
        <f>IF(H93="","",IFERROR(MATCH(H93,振り分け!$S$7:$S$456,0),""))</f>
        <v/>
      </c>
      <c r="J93" s="8">
        <f>IF(D93="","",IFERROR(MATCH(A93&amp;"-"&amp;B93,設定!$Z$8:$Z$31,0),99)*1000+C93+ROW()/1000000)</f>
        <v/>
      </c>
      <c r="K93" s="8">
        <f>IF(D93="","",IFERROR(INDEX(設定!$L$8:$L$31,MATCH(A93&amp;"-"&amp;B93,設定!$Z$8:$Z$31,0)),A93&amp;B93))</f>
        <v/>
      </c>
    </row>
    <row r="94">
      <c r="A94" s="40" t="n">
        <v>6</v>
      </c>
      <c r="B94" s="40" t="inlineStr">
        <is>
          <t>月</t>
        </is>
      </c>
      <c r="C94" s="40" t="n">
        <v>2</v>
      </c>
      <c r="D94" s="41" t="inlineStr">
        <is>
          <t>森　蓮</t>
        </is>
      </c>
      <c r="E94" s="40" t="n"/>
      <c r="F94" s="45">
        <f>IF(D94="","",IF(E94&lt;&gt;"","手入力",IF(I94="","前年度名簿にいない",IF(OR(COUNTIF($H$2:$H$451,H94)&gt;1,COUNTIF(振り分け!$S$7:$S$456,H94)&gt;1),"同姓同名あり（手入力してください）","OK"))))</f>
        <v/>
      </c>
      <c r="G94" s="44">
        <f>IF(D94="","",IF(E94&lt;&gt;"",E94,IF(F94&lt;&gt;"OK","",IF(INDEX(振り分け!$L$7:$L$456,I94)="","未決定",INDEX(振り分け!$L$7:$L$456,I94)))))</f>
        <v/>
      </c>
      <c r="H94" s="8">
        <f>IF(D94="","",A94&amp;"|"&amp;SUBSTITUTE(SUBSTITUTE(D94," ",""),"　",""))</f>
        <v/>
      </c>
      <c r="I94" s="8">
        <f>IF(H94="","",IFERROR(MATCH(H94,振り分け!$S$7:$S$456,0),""))</f>
        <v/>
      </c>
      <c r="J94" s="8">
        <f>IF(D94="","",IFERROR(MATCH(A94&amp;"-"&amp;B94,設定!$Z$8:$Z$31,0),99)*1000+C94+ROW()/1000000)</f>
        <v/>
      </c>
      <c r="K94" s="8">
        <f>IF(D94="","",IFERROR(INDEX(設定!$L$8:$L$31,MATCH(A94&amp;"-"&amp;B94,設定!$Z$8:$Z$31,0)),A94&amp;B94))</f>
        <v/>
      </c>
    </row>
    <row r="95">
      <c r="A95" s="40" t="n">
        <v>6</v>
      </c>
      <c r="B95" s="40" t="inlineStr">
        <is>
          <t>月</t>
        </is>
      </c>
      <c r="C95" s="40" t="n">
        <v>3</v>
      </c>
      <c r="D95" s="41" t="inlineStr">
        <is>
          <t>髙橋　真央</t>
        </is>
      </c>
      <c r="E95" s="40" t="n"/>
      <c r="F95" s="45">
        <f>IF(D95="","",IF(E95&lt;&gt;"","手入力",IF(I95="","前年度名簿にいない",IF(OR(COUNTIF($H$2:$H$451,H95)&gt;1,COUNTIF(振り分け!$S$7:$S$456,H95)&gt;1),"同姓同名あり（手入力してください）","OK"))))</f>
        <v/>
      </c>
      <c r="G95" s="44">
        <f>IF(D95="","",IF(E95&lt;&gt;"",E95,IF(F95&lt;&gt;"OK","",IF(INDEX(振り分け!$L$7:$L$456,I95)="","未決定",INDEX(振り分け!$L$7:$L$456,I95)))))</f>
        <v/>
      </c>
      <c r="H95" s="8">
        <f>IF(D95="","",A95&amp;"|"&amp;SUBSTITUTE(SUBSTITUTE(D95," ",""),"　",""))</f>
        <v/>
      </c>
      <c r="I95" s="8">
        <f>IF(H95="","",IFERROR(MATCH(H95,振り分け!$S$7:$S$456,0),""))</f>
        <v/>
      </c>
      <c r="J95" s="8">
        <f>IF(D95="","",IFERROR(MATCH(A95&amp;"-"&amp;B95,設定!$Z$8:$Z$31,0),99)*1000+C95+ROW()/1000000)</f>
        <v/>
      </c>
      <c r="K95" s="8">
        <f>IF(D95="","",IFERROR(INDEX(設定!$L$8:$L$31,MATCH(A95&amp;"-"&amp;B95,設定!$Z$8:$Z$31,0)),A95&amp;B95))</f>
        <v/>
      </c>
    </row>
    <row r="96">
      <c r="A96" s="40" t="n">
        <v>6</v>
      </c>
      <c r="B96" s="40" t="inlineStr">
        <is>
          <t>月</t>
        </is>
      </c>
      <c r="C96" s="40" t="n">
        <v>4</v>
      </c>
      <c r="D96" s="41" t="inlineStr">
        <is>
          <t>藤井　葵</t>
        </is>
      </c>
      <c r="E96" s="40" t="n"/>
      <c r="F96" s="45">
        <f>IF(D96="","",IF(E96&lt;&gt;"","手入力",IF(I96="","前年度名簿にいない",IF(OR(COUNTIF($H$2:$H$451,H96)&gt;1,COUNTIF(振り分け!$S$7:$S$456,H96)&gt;1),"同姓同名あり（手入力してください）","OK"))))</f>
        <v/>
      </c>
      <c r="G96" s="44">
        <f>IF(D96="","",IF(E96&lt;&gt;"",E96,IF(F96&lt;&gt;"OK","",IF(INDEX(振り分け!$L$7:$L$456,I96)="","未決定",INDEX(振り分け!$L$7:$L$456,I96)))))</f>
        <v/>
      </c>
      <c r="H96" s="8">
        <f>IF(D96="","",A96&amp;"|"&amp;SUBSTITUTE(SUBSTITUTE(D96," ",""),"　",""))</f>
        <v/>
      </c>
      <c r="I96" s="8">
        <f>IF(H96="","",IFERROR(MATCH(H96,振り分け!$S$7:$S$456,0),""))</f>
        <v/>
      </c>
      <c r="J96" s="8">
        <f>IF(D96="","",IFERROR(MATCH(A96&amp;"-"&amp;B96,設定!$Z$8:$Z$31,0),99)*1000+C96+ROW()/1000000)</f>
        <v/>
      </c>
      <c r="K96" s="8">
        <f>IF(D96="","",IFERROR(INDEX(設定!$L$8:$L$31,MATCH(A96&amp;"-"&amp;B96,設定!$Z$8:$Z$31,0)),A96&amp;B96))</f>
        <v/>
      </c>
    </row>
    <row r="97">
      <c r="A97" s="40" t="n">
        <v>6</v>
      </c>
      <c r="B97" s="40" t="inlineStr">
        <is>
          <t>月</t>
        </is>
      </c>
      <c r="C97" s="40" t="n">
        <v>5</v>
      </c>
      <c r="D97" s="41" t="inlineStr">
        <is>
          <t>井上　晴</t>
        </is>
      </c>
      <c r="E97" s="40" t="n"/>
      <c r="F97" s="45">
        <f>IF(D97="","",IF(E97&lt;&gt;"","手入力",IF(I97="","前年度名簿にいない",IF(OR(COUNTIF($H$2:$H$451,H97)&gt;1,COUNTIF(振り分け!$S$7:$S$456,H97)&gt;1),"同姓同名あり（手入力してください）","OK"))))</f>
        <v/>
      </c>
      <c r="G97" s="44">
        <f>IF(D97="","",IF(E97&lt;&gt;"",E97,IF(F97&lt;&gt;"OK","",IF(INDEX(振り分け!$L$7:$L$456,I97)="","未決定",INDEX(振り分け!$L$7:$L$456,I97)))))</f>
        <v/>
      </c>
      <c r="H97" s="8">
        <f>IF(D97="","",A97&amp;"|"&amp;SUBSTITUTE(SUBSTITUTE(D97," ",""),"　",""))</f>
        <v/>
      </c>
      <c r="I97" s="8">
        <f>IF(H97="","",IFERROR(MATCH(H97,振り分け!$S$7:$S$456,0),""))</f>
        <v/>
      </c>
      <c r="J97" s="8">
        <f>IF(D97="","",IFERROR(MATCH(A97&amp;"-"&amp;B97,設定!$Z$8:$Z$31,0),99)*1000+C97+ROW()/1000000)</f>
        <v/>
      </c>
      <c r="K97" s="8">
        <f>IF(D97="","",IFERROR(INDEX(設定!$L$8:$L$31,MATCH(A97&amp;"-"&amp;B97,設定!$Z$8:$Z$31,0)),A97&amp;B97))</f>
        <v/>
      </c>
    </row>
    <row r="98">
      <c r="A98" s="40" t="n">
        <v>6</v>
      </c>
      <c r="B98" s="40" t="inlineStr">
        <is>
          <t>月</t>
        </is>
      </c>
      <c r="C98" s="40" t="n">
        <v>6</v>
      </c>
      <c r="D98" s="41" t="inlineStr">
        <is>
          <t>小野　陽翔</t>
        </is>
      </c>
      <c r="E98" s="40" t="n"/>
      <c r="F98" s="45">
        <f>IF(D98="","",IF(E98&lt;&gt;"","手入力",IF(I98="","前年度名簿にいない",IF(OR(COUNTIF($H$2:$H$451,H98)&gt;1,COUNTIF(振り分け!$S$7:$S$456,H98)&gt;1),"同姓同名あり（手入力してください）","OK"))))</f>
        <v/>
      </c>
      <c r="G98" s="44">
        <f>IF(D98="","",IF(E98&lt;&gt;"",E98,IF(F98&lt;&gt;"OK","",IF(INDEX(振り分け!$L$7:$L$456,I98)="","未決定",INDEX(振り分け!$L$7:$L$456,I98)))))</f>
        <v/>
      </c>
      <c r="H98" s="8">
        <f>IF(D98="","",A98&amp;"|"&amp;SUBSTITUTE(SUBSTITUTE(D98," ",""),"　",""))</f>
        <v/>
      </c>
      <c r="I98" s="8">
        <f>IF(H98="","",IFERROR(MATCH(H98,振り分け!$S$7:$S$456,0),""))</f>
        <v/>
      </c>
      <c r="J98" s="8">
        <f>IF(D98="","",IFERROR(MATCH(A98&amp;"-"&amp;B98,設定!$Z$8:$Z$31,0),99)*1000+C98+ROW()/1000000)</f>
        <v/>
      </c>
      <c r="K98" s="8">
        <f>IF(D98="","",IFERROR(INDEX(設定!$L$8:$L$31,MATCH(A98&amp;"-"&amp;B98,設定!$Z$8:$Z$31,0)),A98&amp;B98))</f>
        <v/>
      </c>
    </row>
    <row r="99">
      <c r="A99" s="40" t="n">
        <v>6</v>
      </c>
      <c r="B99" s="40" t="inlineStr">
        <is>
          <t>月</t>
        </is>
      </c>
      <c r="C99" s="40" t="n">
        <v>7</v>
      </c>
      <c r="D99" s="41" t="inlineStr">
        <is>
          <t>渡辺　航</t>
        </is>
      </c>
      <c r="E99" s="40" t="n"/>
      <c r="F99" s="45">
        <f>IF(D99="","",IF(E99&lt;&gt;"","手入力",IF(I99="","前年度名簿にいない",IF(OR(COUNTIF($H$2:$H$451,H99)&gt;1,COUNTIF(振り分け!$S$7:$S$456,H99)&gt;1),"同姓同名あり（手入力してください）","OK"))))</f>
        <v/>
      </c>
      <c r="G99" s="44">
        <f>IF(D99="","",IF(E99&lt;&gt;"",E99,IF(F99&lt;&gt;"OK","",IF(INDEX(振り分け!$L$7:$L$456,I99)="","未決定",INDEX(振り分け!$L$7:$L$456,I99)))))</f>
        <v/>
      </c>
      <c r="H99" s="8">
        <f>IF(D99="","",A99&amp;"|"&amp;SUBSTITUTE(SUBSTITUTE(D99," ",""),"　",""))</f>
        <v/>
      </c>
      <c r="I99" s="8">
        <f>IF(H99="","",IFERROR(MATCH(H99,振り分け!$S$7:$S$456,0),""))</f>
        <v/>
      </c>
      <c r="J99" s="8">
        <f>IF(D99="","",IFERROR(MATCH(A99&amp;"-"&amp;B99,設定!$Z$8:$Z$31,0),99)*1000+C99+ROW()/1000000)</f>
        <v/>
      </c>
      <c r="K99" s="8">
        <f>IF(D99="","",IFERROR(INDEX(設定!$L$8:$L$31,MATCH(A99&amp;"-"&amp;B99,設定!$Z$8:$Z$31,0)),A99&amp;B99))</f>
        <v/>
      </c>
    </row>
    <row r="100">
      <c r="A100" s="40" t="n">
        <v>6</v>
      </c>
      <c r="B100" s="40" t="inlineStr">
        <is>
          <t>月</t>
        </is>
      </c>
      <c r="C100" s="40" t="n">
        <v>8</v>
      </c>
      <c r="D100" s="41" t="inlineStr">
        <is>
          <t>岡田　蓮</t>
        </is>
      </c>
      <c r="E100" s="40" t="n"/>
      <c r="F100" s="45">
        <f>IF(D100="","",IF(E100&lt;&gt;"","手入力",IF(I100="","前年度名簿にいない",IF(OR(COUNTIF($H$2:$H$451,H100)&gt;1,COUNTIF(振り分け!$S$7:$S$456,H100)&gt;1),"同姓同名あり（手入力してください）","OK"))))</f>
        <v/>
      </c>
      <c r="G100" s="44">
        <f>IF(D100="","",IF(E100&lt;&gt;"",E100,IF(F100&lt;&gt;"OK","",IF(INDEX(振り分け!$L$7:$L$456,I100)="","未決定",INDEX(振り分け!$L$7:$L$456,I100)))))</f>
        <v/>
      </c>
      <c r="H100" s="8">
        <f>IF(D100="","",A100&amp;"|"&amp;SUBSTITUTE(SUBSTITUTE(D100," ",""),"　",""))</f>
        <v/>
      </c>
      <c r="I100" s="8">
        <f>IF(H100="","",IFERROR(MATCH(H100,振り分け!$S$7:$S$456,0),""))</f>
        <v/>
      </c>
      <c r="J100" s="8">
        <f>IF(D100="","",IFERROR(MATCH(A100&amp;"-"&amp;B100,設定!$Z$8:$Z$31,0),99)*1000+C100+ROW()/1000000)</f>
        <v/>
      </c>
      <c r="K100" s="8">
        <f>IF(D100="","",IFERROR(INDEX(設定!$L$8:$L$31,MATCH(A100&amp;"-"&amp;B100,設定!$Z$8:$Z$31,0)),A100&amp;B100))</f>
        <v/>
      </c>
    </row>
    <row r="101">
      <c r="A101" s="40" t="n">
        <v>6</v>
      </c>
      <c r="B101" s="40" t="inlineStr">
        <is>
          <t>月</t>
        </is>
      </c>
      <c r="C101" s="40" t="n">
        <v>9</v>
      </c>
      <c r="D101" s="41" t="inlineStr">
        <is>
          <t>松本　心春</t>
        </is>
      </c>
      <c r="E101" s="40" t="n"/>
      <c r="F101" s="45">
        <f>IF(D101="","",IF(E101&lt;&gt;"","手入力",IF(I101="","前年度名簿にいない",IF(OR(COUNTIF($H$2:$H$451,H101)&gt;1,COUNTIF(振り分け!$S$7:$S$456,H101)&gt;1),"同姓同名あり（手入力してください）","OK"))))</f>
        <v/>
      </c>
      <c r="G101" s="44">
        <f>IF(D101="","",IF(E101&lt;&gt;"",E101,IF(F101&lt;&gt;"OK","",IF(INDEX(振り分け!$L$7:$L$456,I101)="","未決定",INDEX(振り分け!$L$7:$L$456,I101)))))</f>
        <v/>
      </c>
      <c r="H101" s="8">
        <f>IF(D101="","",A101&amp;"|"&amp;SUBSTITUTE(SUBSTITUTE(D101," ",""),"　",""))</f>
        <v/>
      </c>
      <c r="I101" s="8">
        <f>IF(H101="","",IFERROR(MATCH(H101,振り分け!$S$7:$S$456,0),""))</f>
        <v/>
      </c>
      <c r="J101" s="8">
        <f>IF(D101="","",IFERROR(MATCH(A101&amp;"-"&amp;B101,設定!$Z$8:$Z$31,0),99)*1000+C101+ROW()/1000000)</f>
        <v/>
      </c>
      <c r="K101" s="8">
        <f>IF(D101="","",IFERROR(INDEX(設定!$L$8:$L$31,MATCH(A101&amp;"-"&amp;B101,設定!$Z$8:$Z$31,0)),A101&amp;B101))</f>
        <v/>
      </c>
    </row>
    <row r="102">
      <c r="A102" s="40" t="n">
        <v>6</v>
      </c>
      <c r="B102" s="40" t="inlineStr">
        <is>
          <t>月</t>
        </is>
      </c>
      <c r="C102" s="40" t="n">
        <v>10</v>
      </c>
      <c r="D102" s="41" t="inlineStr">
        <is>
          <t>金子　一花</t>
        </is>
      </c>
      <c r="E102" s="40" t="n"/>
      <c r="F102" s="45">
        <f>IF(D102="","",IF(E102&lt;&gt;"","手入力",IF(I102="","前年度名簿にいない",IF(OR(COUNTIF($H$2:$H$451,H102)&gt;1,COUNTIF(振り分け!$S$7:$S$456,H102)&gt;1),"同姓同名あり（手入力してください）","OK"))))</f>
        <v/>
      </c>
      <c r="G102" s="44">
        <f>IF(D102="","",IF(E102&lt;&gt;"",E102,IF(F102&lt;&gt;"OK","",IF(INDEX(振り分け!$L$7:$L$456,I102)="","未決定",INDEX(振り分け!$L$7:$L$456,I102)))))</f>
        <v/>
      </c>
      <c r="H102" s="8">
        <f>IF(D102="","",A102&amp;"|"&amp;SUBSTITUTE(SUBSTITUTE(D102," ",""),"　",""))</f>
        <v/>
      </c>
      <c r="I102" s="8">
        <f>IF(H102="","",IFERROR(MATCH(H102,振り分け!$S$7:$S$456,0),""))</f>
        <v/>
      </c>
      <c r="J102" s="8">
        <f>IF(D102="","",IFERROR(MATCH(A102&amp;"-"&amp;B102,設定!$Z$8:$Z$31,0),99)*1000+C102+ROW()/1000000)</f>
        <v/>
      </c>
      <c r="K102" s="8">
        <f>IF(D102="","",IFERROR(INDEX(設定!$L$8:$L$31,MATCH(A102&amp;"-"&amp;B102,設定!$Z$8:$Z$31,0)),A102&amp;B102))</f>
        <v/>
      </c>
    </row>
    <row r="103">
      <c r="A103" s="40" t="n">
        <v>6</v>
      </c>
      <c r="B103" s="40" t="inlineStr">
        <is>
          <t>月</t>
        </is>
      </c>
      <c r="C103" s="40" t="n">
        <v>11</v>
      </c>
      <c r="D103" s="41" t="inlineStr">
        <is>
          <t>長谷川　海斗</t>
        </is>
      </c>
      <c r="E103" s="40" t="n"/>
      <c r="F103" s="45">
        <f>IF(D103="","",IF(E103&lt;&gt;"","手入力",IF(I103="","前年度名簿にいない",IF(OR(COUNTIF($H$2:$H$451,H103)&gt;1,COUNTIF(振り分け!$S$7:$S$456,H103)&gt;1),"同姓同名あり（手入力してください）","OK"))))</f>
        <v/>
      </c>
      <c r="G103" s="44">
        <f>IF(D103="","",IF(E103&lt;&gt;"",E103,IF(F103&lt;&gt;"OK","",IF(INDEX(振り分け!$L$7:$L$456,I103)="","未決定",INDEX(振り分け!$L$7:$L$456,I103)))))</f>
        <v/>
      </c>
      <c r="H103" s="8">
        <f>IF(D103="","",A103&amp;"|"&amp;SUBSTITUTE(SUBSTITUTE(D103," ",""),"　",""))</f>
        <v/>
      </c>
      <c r="I103" s="8">
        <f>IF(H103="","",IFERROR(MATCH(H103,振り分け!$S$7:$S$456,0),""))</f>
        <v/>
      </c>
      <c r="J103" s="8">
        <f>IF(D103="","",IFERROR(MATCH(A103&amp;"-"&amp;B103,設定!$Z$8:$Z$31,0),99)*1000+C103+ROW()/1000000)</f>
        <v/>
      </c>
      <c r="K103" s="8">
        <f>IF(D103="","",IFERROR(INDEX(設定!$L$8:$L$31,MATCH(A103&amp;"-"&amp;B103,設定!$Z$8:$Z$31,0)),A103&amp;B103))</f>
        <v/>
      </c>
    </row>
    <row r="104">
      <c r="A104" s="40" t="n">
        <v>6</v>
      </c>
      <c r="B104" s="40" t="inlineStr">
        <is>
          <t>月</t>
        </is>
      </c>
      <c r="C104" s="40" t="n">
        <v>12</v>
      </c>
      <c r="D104" s="41" t="inlineStr">
        <is>
          <t>井上　真央</t>
        </is>
      </c>
      <c r="E104" s="40" t="n"/>
      <c r="F104" s="45">
        <f>IF(D104="","",IF(E104&lt;&gt;"","手入力",IF(I104="","前年度名簿にいない",IF(OR(COUNTIF($H$2:$H$451,H104)&gt;1,COUNTIF(振り分け!$S$7:$S$456,H104)&gt;1),"同姓同名あり（手入力してください）","OK"))))</f>
        <v/>
      </c>
      <c r="G104" s="44">
        <f>IF(D104="","",IF(E104&lt;&gt;"",E104,IF(F104&lt;&gt;"OK","",IF(INDEX(振り分け!$L$7:$L$456,I104)="","未決定",INDEX(振り分け!$L$7:$L$456,I104)))))</f>
        <v/>
      </c>
      <c r="H104" s="8">
        <f>IF(D104="","",A104&amp;"|"&amp;SUBSTITUTE(SUBSTITUTE(D104," ",""),"　",""))</f>
        <v/>
      </c>
      <c r="I104" s="8">
        <f>IF(H104="","",IFERROR(MATCH(H104,振り分け!$S$7:$S$456,0),""))</f>
        <v/>
      </c>
      <c r="J104" s="8">
        <f>IF(D104="","",IFERROR(MATCH(A104&amp;"-"&amp;B104,設定!$Z$8:$Z$31,0),99)*1000+C104+ROW()/1000000)</f>
        <v/>
      </c>
      <c r="K104" s="8">
        <f>IF(D104="","",IFERROR(INDEX(設定!$L$8:$L$31,MATCH(A104&amp;"-"&amp;B104,設定!$Z$8:$Z$31,0)),A104&amp;B104))</f>
        <v/>
      </c>
    </row>
    <row r="105">
      <c r="A105" s="40" t="n">
        <v>6</v>
      </c>
      <c r="B105" s="40" t="inlineStr">
        <is>
          <t>月</t>
        </is>
      </c>
      <c r="C105" s="40" t="n">
        <v>13</v>
      </c>
      <c r="D105" s="41" t="inlineStr">
        <is>
          <t>高橋　優斗</t>
        </is>
      </c>
      <c r="E105" s="40" t="n"/>
      <c r="F105" s="45">
        <f>IF(D105="","",IF(E105&lt;&gt;"","手入力",IF(I105="","前年度名簿にいない",IF(OR(COUNTIF($H$2:$H$451,H105)&gt;1,COUNTIF(振り分け!$S$7:$S$456,H105)&gt;1),"同姓同名あり（手入力してください）","OK"))))</f>
        <v/>
      </c>
      <c r="G105" s="44">
        <f>IF(D105="","",IF(E105&lt;&gt;"",E105,IF(F105&lt;&gt;"OK","",IF(INDEX(振り分け!$L$7:$L$456,I105)="","未決定",INDEX(振り分け!$L$7:$L$456,I105)))))</f>
        <v/>
      </c>
      <c r="H105" s="8">
        <f>IF(D105="","",A105&amp;"|"&amp;SUBSTITUTE(SUBSTITUTE(D105," ",""),"　",""))</f>
        <v/>
      </c>
      <c r="I105" s="8">
        <f>IF(H105="","",IFERROR(MATCH(H105,振り分け!$S$7:$S$456,0),""))</f>
        <v/>
      </c>
      <c r="J105" s="8">
        <f>IF(D105="","",IFERROR(MATCH(A105&amp;"-"&amp;B105,設定!$Z$8:$Z$31,0),99)*1000+C105+ROW()/1000000)</f>
        <v/>
      </c>
      <c r="K105" s="8">
        <f>IF(D105="","",IFERROR(INDEX(設定!$L$8:$L$31,MATCH(A105&amp;"-"&amp;B105,設定!$Z$8:$Z$31,0)),A105&amp;B105))</f>
        <v/>
      </c>
    </row>
    <row r="106">
      <c r="A106" s="40" t="n">
        <v>6</v>
      </c>
      <c r="B106" s="40" t="inlineStr">
        <is>
          <t>月</t>
        </is>
      </c>
      <c r="C106" s="40" t="n">
        <v>14</v>
      </c>
      <c r="D106" s="41" t="inlineStr">
        <is>
          <t>遠藤　優斗</t>
        </is>
      </c>
      <c r="E106" s="40" t="n"/>
      <c r="F106" s="45">
        <f>IF(D106="","",IF(E106&lt;&gt;"","手入力",IF(I106="","前年度名簿にいない",IF(OR(COUNTIF($H$2:$H$451,H106)&gt;1,COUNTIF(振り分け!$S$7:$S$456,H106)&gt;1),"同姓同名あり（手入力してください）","OK"))))</f>
        <v/>
      </c>
      <c r="G106" s="44">
        <f>IF(D106="","",IF(E106&lt;&gt;"",E106,IF(F106&lt;&gt;"OK","",IF(INDEX(振り分け!$L$7:$L$456,I106)="","未決定",INDEX(振り分け!$L$7:$L$456,I106)))))</f>
        <v/>
      </c>
      <c r="H106" s="8">
        <f>IF(D106="","",A106&amp;"|"&amp;SUBSTITUTE(SUBSTITUTE(D106," ",""),"　",""))</f>
        <v/>
      </c>
      <c r="I106" s="8">
        <f>IF(H106="","",IFERROR(MATCH(H106,振り分け!$S$7:$S$456,0),""))</f>
        <v/>
      </c>
      <c r="J106" s="8">
        <f>IF(D106="","",IFERROR(MATCH(A106&amp;"-"&amp;B106,設定!$Z$8:$Z$31,0),99)*1000+C106+ROW()/1000000)</f>
        <v/>
      </c>
      <c r="K106" s="8">
        <f>IF(D106="","",IFERROR(INDEX(設定!$L$8:$L$31,MATCH(A106&amp;"-"&amp;B106,設定!$Z$8:$Z$31,0)),A106&amp;B106))</f>
        <v/>
      </c>
    </row>
    <row r="107">
      <c r="A107" s="40" t="n">
        <v>6</v>
      </c>
      <c r="B107" s="40" t="inlineStr">
        <is>
          <t>月</t>
        </is>
      </c>
      <c r="C107" s="40" t="n">
        <v>15</v>
      </c>
      <c r="D107" s="41" t="inlineStr">
        <is>
          <t>長谷川　拓海</t>
        </is>
      </c>
      <c r="E107" s="40" t="n"/>
      <c r="F107" s="45">
        <f>IF(D107="","",IF(E107&lt;&gt;"","手入力",IF(I107="","前年度名簿にいない",IF(OR(COUNTIF($H$2:$H$451,H107)&gt;1,COUNTIF(振り分け!$S$7:$S$456,H107)&gt;1),"同姓同名あり（手入力してください）","OK"))))</f>
        <v/>
      </c>
      <c r="G107" s="44">
        <f>IF(D107="","",IF(E107&lt;&gt;"",E107,IF(F107&lt;&gt;"OK","",IF(INDEX(振り分け!$L$7:$L$456,I107)="","未決定",INDEX(振り分け!$L$7:$L$456,I107)))))</f>
        <v/>
      </c>
      <c r="H107" s="8">
        <f>IF(D107="","",A107&amp;"|"&amp;SUBSTITUTE(SUBSTITUTE(D107," ",""),"　",""))</f>
        <v/>
      </c>
      <c r="I107" s="8">
        <f>IF(H107="","",IFERROR(MATCH(H107,振り分け!$S$7:$S$456,0),""))</f>
        <v/>
      </c>
      <c r="J107" s="8">
        <f>IF(D107="","",IFERROR(MATCH(A107&amp;"-"&amp;B107,設定!$Z$8:$Z$31,0),99)*1000+C107+ROW()/1000000)</f>
        <v/>
      </c>
      <c r="K107" s="8">
        <f>IF(D107="","",IFERROR(INDEX(設定!$L$8:$L$31,MATCH(A107&amp;"-"&amp;B107,設定!$Z$8:$Z$31,0)),A107&amp;B107))</f>
        <v/>
      </c>
    </row>
    <row r="108">
      <c r="A108" s="40" t="n">
        <v>6</v>
      </c>
      <c r="B108" s="40" t="inlineStr">
        <is>
          <t>月</t>
        </is>
      </c>
      <c r="C108" s="40" t="n">
        <v>16</v>
      </c>
      <c r="D108" s="41" t="inlineStr">
        <is>
          <t>林　楓</t>
        </is>
      </c>
      <c r="E108" s="40" t="n"/>
      <c r="F108" s="45">
        <f>IF(D108="","",IF(E108&lt;&gt;"","手入力",IF(I108="","前年度名簿にいない",IF(OR(COUNTIF($H$2:$H$451,H108)&gt;1,COUNTIF(振り分け!$S$7:$S$456,H108)&gt;1),"同姓同名あり（手入力してください）","OK"))))</f>
        <v/>
      </c>
      <c r="G108" s="44">
        <f>IF(D108="","",IF(E108&lt;&gt;"",E108,IF(F108&lt;&gt;"OK","",IF(INDEX(振り分け!$L$7:$L$456,I108)="","未決定",INDEX(振り分け!$L$7:$L$456,I108)))))</f>
        <v/>
      </c>
      <c r="H108" s="8">
        <f>IF(D108="","",A108&amp;"|"&amp;SUBSTITUTE(SUBSTITUTE(D108," ",""),"　",""))</f>
        <v/>
      </c>
      <c r="I108" s="8">
        <f>IF(H108="","",IFERROR(MATCH(H108,振り分け!$S$7:$S$456,0),""))</f>
        <v/>
      </c>
      <c r="J108" s="8">
        <f>IF(D108="","",IFERROR(MATCH(A108&amp;"-"&amp;B108,設定!$Z$8:$Z$31,0),99)*1000+C108+ROW()/1000000)</f>
        <v/>
      </c>
      <c r="K108" s="8">
        <f>IF(D108="","",IFERROR(INDEX(設定!$L$8:$L$31,MATCH(A108&amp;"-"&amp;B108,設定!$Z$8:$Z$31,0)),A108&amp;B108))</f>
        <v/>
      </c>
    </row>
    <row r="109">
      <c r="A109" s="40" t="n">
        <v>6</v>
      </c>
      <c r="B109" s="40" t="inlineStr">
        <is>
          <t>月</t>
        </is>
      </c>
      <c r="C109" s="40" t="n">
        <v>17</v>
      </c>
      <c r="D109" s="41" t="inlineStr">
        <is>
          <t>前田　大翔</t>
        </is>
      </c>
      <c r="E109" s="40" t="n"/>
      <c r="F109" s="45">
        <f>IF(D109="","",IF(E109&lt;&gt;"","手入力",IF(I109="","前年度名簿にいない",IF(OR(COUNTIF($H$2:$H$451,H109)&gt;1,COUNTIF(振り分け!$S$7:$S$456,H109)&gt;1),"同姓同名あり（手入力してください）","OK"))))</f>
        <v/>
      </c>
      <c r="G109" s="44">
        <f>IF(D109="","",IF(E109&lt;&gt;"",E109,IF(F109&lt;&gt;"OK","",IF(INDEX(振り分け!$L$7:$L$456,I109)="","未決定",INDEX(振り分け!$L$7:$L$456,I109)))))</f>
        <v/>
      </c>
      <c r="H109" s="8">
        <f>IF(D109="","",A109&amp;"|"&amp;SUBSTITUTE(SUBSTITUTE(D109," ",""),"　",""))</f>
        <v/>
      </c>
      <c r="I109" s="8">
        <f>IF(H109="","",IFERROR(MATCH(H109,振り分け!$S$7:$S$456,0),""))</f>
        <v/>
      </c>
      <c r="J109" s="8">
        <f>IF(D109="","",IFERROR(MATCH(A109&amp;"-"&amp;B109,設定!$Z$8:$Z$31,0),99)*1000+C109+ROW()/1000000)</f>
        <v/>
      </c>
      <c r="K109" s="8">
        <f>IF(D109="","",IFERROR(INDEX(設定!$L$8:$L$31,MATCH(A109&amp;"-"&amp;B109,設定!$Z$8:$Z$31,0)),A109&amp;B109))</f>
        <v/>
      </c>
    </row>
    <row r="110">
      <c r="A110" s="40" t="n">
        <v>6</v>
      </c>
      <c r="B110" s="40" t="inlineStr">
        <is>
          <t>月</t>
        </is>
      </c>
      <c r="C110" s="40" t="n">
        <v>18</v>
      </c>
      <c r="D110" s="41" t="inlineStr">
        <is>
          <t>加藤　奏太</t>
        </is>
      </c>
      <c r="E110" s="40" t="n"/>
      <c r="F110" s="45">
        <f>IF(D110="","",IF(E110&lt;&gt;"","手入力",IF(I110="","前年度名簿にいない",IF(OR(COUNTIF($H$2:$H$451,H110)&gt;1,COUNTIF(振り分け!$S$7:$S$456,H110)&gt;1),"同姓同名あり（手入力してください）","OK"))))</f>
        <v/>
      </c>
      <c r="G110" s="44">
        <f>IF(D110="","",IF(E110&lt;&gt;"",E110,IF(F110&lt;&gt;"OK","",IF(INDEX(振り分け!$L$7:$L$456,I110)="","未決定",INDEX(振り分け!$L$7:$L$456,I110)))))</f>
        <v/>
      </c>
      <c r="H110" s="8">
        <f>IF(D110="","",A110&amp;"|"&amp;SUBSTITUTE(SUBSTITUTE(D110," ",""),"　",""))</f>
        <v/>
      </c>
      <c r="I110" s="8">
        <f>IF(H110="","",IFERROR(MATCH(H110,振り分け!$S$7:$S$456,0),""))</f>
        <v/>
      </c>
      <c r="J110" s="8">
        <f>IF(D110="","",IFERROR(MATCH(A110&amp;"-"&amp;B110,設定!$Z$8:$Z$31,0),99)*1000+C110+ROW()/1000000)</f>
        <v/>
      </c>
      <c r="K110" s="8">
        <f>IF(D110="","",IFERROR(INDEX(設定!$L$8:$L$31,MATCH(A110&amp;"-"&amp;B110,設定!$Z$8:$Z$31,0)),A110&amp;B110))</f>
        <v/>
      </c>
    </row>
    <row r="111">
      <c r="A111" s="40" t="n">
        <v>6</v>
      </c>
      <c r="B111" s="40" t="inlineStr">
        <is>
          <t>月</t>
        </is>
      </c>
      <c r="C111" s="40" t="n">
        <v>19</v>
      </c>
      <c r="D111" s="41" t="inlineStr">
        <is>
          <t>阿部　樹</t>
        </is>
      </c>
      <c r="E111" s="40" t="n"/>
      <c r="F111" s="45">
        <f>IF(D111="","",IF(E111&lt;&gt;"","手入力",IF(I111="","前年度名簿にいない",IF(OR(COUNTIF($H$2:$H$451,H111)&gt;1,COUNTIF(振り分け!$S$7:$S$456,H111)&gt;1),"同姓同名あり（手入力してください）","OK"))))</f>
        <v/>
      </c>
      <c r="G111" s="44">
        <f>IF(D111="","",IF(E111&lt;&gt;"",E111,IF(F111&lt;&gt;"OK","",IF(INDEX(振り分け!$L$7:$L$456,I111)="","未決定",INDEX(振り分け!$L$7:$L$456,I111)))))</f>
        <v/>
      </c>
      <c r="H111" s="8">
        <f>IF(D111="","",A111&amp;"|"&amp;SUBSTITUTE(SUBSTITUTE(D111," ",""),"　",""))</f>
        <v/>
      </c>
      <c r="I111" s="8">
        <f>IF(H111="","",IFERROR(MATCH(H111,振り分け!$S$7:$S$456,0),""))</f>
        <v/>
      </c>
      <c r="J111" s="8">
        <f>IF(D111="","",IFERROR(MATCH(A111&amp;"-"&amp;B111,設定!$Z$8:$Z$31,0),99)*1000+C111+ROW()/1000000)</f>
        <v/>
      </c>
      <c r="K111" s="8">
        <f>IF(D111="","",IFERROR(INDEX(設定!$L$8:$L$31,MATCH(A111&amp;"-"&amp;B111,設定!$Z$8:$Z$31,0)),A111&amp;B111))</f>
        <v/>
      </c>
    </row>
    <row r="112">
      <c r="A112" s="40" t="n">
        <v>6</v>
      </c>
      <c r="B112" s="40" t="inlineStr">
        <is>
          <t>月</t>
        </is>
      </c>
      <c r="C112" s="40" t="n">
        <v>20</v>
      </c>
      <c r="D112" s="41" t="inlineStr">
        <is>
          <t>村上　悠真</t>
        </is>
      </c>
      <c r="E112" s="40" t="n"/>
      <c r="F112" s="45">
        <f>IF(D112="","",IF(E112&lt;&gt;"","手入力",IF(I112="","前年度名簿にいない",IF(OR(COUNTIF($H$2:$H$451,H112)&gt;1,COUNTIF(振り分け!$S$7:$S$456,H112)&gt;1),"同姓同名あり（手入力してください）","OK"))))</f>
        <v/>
      </c>
      <c r="G112" s="44">
        <f>IF(D112="","",IF(E112&lt;&gt;"",E112,IF(F112&lt;&gt;"OK","",IF(INDEX(振り分け!$L$7:$L$456,I112)="","未決定",INDEX(振り分け!$L$7:$L$456,I112)))))</f>
        <v/>
      </c>
      <c r="H112" s="8">
        <f>IF(D112="","",A112&amp;"|"&amp;SUBSTITUTE(SUBSTITUTE(D112," ",""),"　",""))</f>
        <v/>
      </c>
      <c r="I112" s="8">
        <f>IF(H112="","",IFERROR(MATCH(H112,振り分け!$S$7:$S$456,0),""))</f>
        <v/>
      </c>
      <c r="J112" s="8">
        <f>IF(D112="","",IFERROR(MATCH(A112&amp;"-"&amp;B112,設定!$Z$8:$Z$31,0),99)*1000+C112+ROW()/1000000)</f>
        <v/>
      </c>
      <c r="K112" s="8">
        <f>IF(D112="","",IFERROR(INDEX(設定!$L$8:$L$31,MATCH(A112&amp;"-"&amp;B112,設定!$Z$8:$Z$31,0)),A112&amp;B112))</f>
        <v/>
      </c>
    </row>
    <row r="113">
      <c r="A113" s="40" t="n">
        <v>6</v>
      </c>
      <c r="B113" s="40" t="inlineStr">
        <is>
          <t>月</t>
        </is>
      </c>
      <c r="C113" s="40" t="n">
        <v>21</v>
      </c>
      <c r="D113" s="41" t="inlineStr">
        <is>
          <t>伊藤　健太</t>
        </is>
      </c>
      <c r="E113" s="40" t="n"/>
      <c r="F113" s="45">
        <f>IF(D113="","",IF(E113&lt;&gt;"","手入力",IF(I113="","前年度名簿にいない",IF(OR(COUNTIF($H$2:$H$451,H113)&gt;1,COUNTIF(振り分け!$S$7:$S$456,H113)&gt;1),"同姓同名あり（手入力してください）","OK"))))</f>
        <v/>
      </c>
      <c r="G113" s="44">
        <f>IF(D113="","",IF(E113&lt;&gt;"",E113,IF(F113&lt;&gt;"OK","",IF(INDEX(振り分け!$L$7:$L$456,I113)="","未決定",INDEX(振り分け!$L$7:$L$456,I113)))))</f>
        <v/>
      </c>
      <c r="H113" s="8">
        <f>IF(D113="","",A113&amp;"|"&amp;SUBSTITUTE(SUBSTITUTE(D113," ",""),"　",""))</f>
        <v/>
      </c>
      <c r="I113" s="8">
        <f>IF(H113="","",IFERROR(MATCH(H113,振り分け!$S$7:$S$456,0),""))</f>
        <v/>
      </c>
      <c r="J113" s="8">
        <f>IF(D113="","",IFERROR(MATCH(A113&amp;"-"&amp;B113,設定!$Z$8:$Z$31,0),99)*1000+C113+ROW()/1000000)</f>
        <v/>
      </c>
      <c r="K113" s="8">
        <f>IF(D113="","",IFERROR(INDEX(設定!$L$8:$L$31,MATCH(A113&amp;"-"&amp;B113,設定!$Z$8:$Z$31,0)),A113&amp;B113))</f>
        <v/>
      </c>
    </row>
    <row r="114">
      <c r="A114" s="40" t="n">
        <v>6</v>
      </c>
      <c r="B114" s="40" t="inlineStr">
        <is>
          <t>月</t>
        </is>
      </c>
      <c r="C114" s="40" t="n">
        <v>22</v>
      </c>
      <c r="D114" s="41" t="inlineStr">
        <is>
          <t>橋本　朝陽</t>
        </is>
      </c>
      <c r="E114" s="40" t="n"/>
      <c r="F114" s="45">
        <f>IF(D114="","",IF(E114&lt;&gt;"","手入力",IF(I114="","前年度名簿にいない",IF(OR(COUNTIF($H$2:$H$451,H114)&gt;1,COUNTIF(振り分け!$S$7:$S$456,H114)&gt;1),"同姓同名あり（手入力してください）","OK"))))</f>
        <v/>
      </c>
      <c r="G114" s="44">
        <f>IF(D114="","",IF(E114&lt;&gt;"",E114,IF(F114&lt;&gt;"OK","",IF(INDEX(振り分け!$L$7:$L$456,I114)="","未決定",INDEX(振り分け!$L$7:$L$456,I114)))))</f>
        <v/>
      </c>
      <c r="H114" s="8">
        <f>IF(D114="","",A114&amp;"|"&amp;SUBSTITUTE(SUBSTITUTE(D114," ",""),"　",""))</f>
        <v/>
      </c>
      <c r="I114" s="8">
        <f>IF(H114="","",IFERROR(MATCH(H114,振り分け!$S$7:$S$456,0),""))</f>
        <v/>
      </c>
      <c r="J114" s="8">
        <f>IF(D114="","",IFERROR(MATCH(A114&amp;"-"&amp;B114,設定!$Z$8:$Z$31,0),99)*1000+C114+ROW()/1000000)</f>
        <v/>
      </c>
      <c r="K114" s="8">
        <f>IF(D114="","",IFERROR(INDEX(設定!$L$8:$L$31,MATCH(A114&amp;"-"&amp;B114,設定!$Z$8:$Z$31,0)),A114&amp;B114))</f>
        <v/>
      </c>
    </row>
    <row r="115">
      <c r="A115" s="40" t="n">
        <v>6</v>
      </c>
      <c r="B115" s="40" t="inlineStr">
        <is>
          <t>月</t>
        </is>
      </c>
      <c r="C115" s="40" t="n">
        <v>23</v>
      </c>
      <c r="D115" s="41" t="inlineStr">
        <is>
          <t>太田　晴</t>
        </is>
      </c>
      <c r="E115" s="40" t="n"/>
      <c r="F115" s="45">
        <f>IF(D115="","",IF(E115&lt;&gt;"","手入力",IF(I115="","前年度名簿にいない",IF(OR(COUNTIF($H$2:$H$451,H115)&gt;1,COUNTIF(振り分け!$S$7:$S$456,H115)&gt;1),"同姓同名あり（手入力してください）","OK"))))</f>
        <v/>
      </c>
      <c r="G115" s="44">
        <f>IF(D115="","",IF(E115&lt;&gt;"",E115,IF(F115&lt;&gt;"OK","",IF(INDEX(振り分け!$L$7:$L$456,I115)="","未決定",INDEX(振り分け!$L$7:$L$456,I115)))))</f>
        <v/>
      </c>
      <c r="H115" s="8">
        <f>IF(D115="","",A115&amp;"|"&amp;SUBSTITUTE(SUBSTITUTE(D115," ",""),"　",""))</f>
        <v/>
      </c>
      <c r="I115" s="8">
        <f>IF(H115="","",IFERROR(MATCH(H115,振り分け!$S$7:$S$456,0),""))</f>
        <v/>
      </c>
      <c r="J115" s="8">
        <f>IF(D115="","",IFERROR(MATCH(A115&amp;"-"&amp;B115,設定!$Z$8:$Z$31,0),99)*1000+C115+ROW()/1000000)</f>
        <v/>
      </c>
      <c r="K115" s="8">
        <f>IF(D115="","",IFERROR(INDEX(設定!$L$8:$L$31,MATCH(A115&amp;"-"&amp;B115,設定!$Z$8:$Z$31,0)),A115&amp;B115))</f>
        <v/>
      </c>
    </row>
    <row r="116">
      <c r="A116" s="40" t="n">
        <v>6</v>
      </c>
      <c r="B116" s="40" t="inlineStr">
        <is>
          <t>月</t>
        </is>
      </c>
      <c r="C116" s="40" t="n">
        <v>24</v>
      </c>
      <c r="D116" s="41" t="inlineStr">
        <is>
          <t>福田　陸</t>
        </is>
      </c>
      <c r="E116" s="40" t="n"/>
      <c r="F116" s="45">
        <f>IF(D116="","",IF(E116&lt;&gt;"","手入力",IF(I116="","前年度名簿にいない",IF(OR(COUNTIF($H$2:$H$451,H116)&gt;1,COUNTIF(振り分け!$S$7:$S$456,H116)&gt;1),"同姓同名あり（手入力してください）","OK"))))</f>
        <v/>
      </c>
      <c r="G116" s="44">
        <f>IF(D116="","",IF(E116&lt;&gt;"",E116,IF(F116&lt;&gt;"OK","",IF(INDEX(振り分け!$L$7:$L$456,I116)="","未決定",INDEX(振り分け!$L$7:$L$456,I116)))))</f>
        <v/>
      </c>
      <c r="H116" s="8">
        <f>IF(D116="","",A116&amp;"|"&amp;SUBSTITUTE(SUBSTITUTE(D116," ",""),"　",""))</f>
        <v/>
      </c>
      <c r="I116" s="8">
        <f>IF(H116="","",IFERROR(MATCH(H116,振り分け!$S$7:$S$456,0),""))</f>
        <v/>
      </c>
      <c r="J116" s="8">
        <f>IF(D116="","",IFERROR(MATCH(A116&amp;"-"&amp;B116,設定!$Z$8:$Z$31,0),99)*1000+C116+ROW()/1000000)</f>
        <v/>
      </c>
      <c r="K116" s="8">
        <f>IF(D116="","",IFERROR(INDEX(設定!$L$8:$L$31,MATCH(A116&amp;"-"&amp;B116,設定!$Z$8:$Z$31,0)),A116&amp;B116))</f>
        <v/>
      </c>
    </row>
    <row r="117">
      <c r="A117" s="40" t="n">
        <v>6</v>
      </c>
      <c r="B117" s="40" t="inlineStr">
        <is>
          <t>月</t>
        </is>
      </c>
      <c r="C117" s="40" t="n">
        <v>25</v>
      </c>
      <c r="D117" s="41" t="inlineStr">
        <is>
          <t>田中　悠真</t>
        </is>
      </c>
      <c r="E117" s="40" t="n"/>
      <c r="F117" s="45">
        <f>IF(D117="","",IF(E117&lt;&gt;"","手入力",IF(I117="","前年度名簿にいない",IF(OR(COUNTIF($H$2:$H$451,H117)&gt;1,COUNTIF(振り分け!$S$7:$S$456,H117)&gt;1),"同姓同名あり（手入力してください）","OK"))))</f>
        <v/>
      </c>
      <c r="G117" s="44">
        <f>IF(D117="","",IF(E117&lt;&gt;"",E117,IF(F117&lt;&gt;"OK","",IF(INDEX(振り分け!$L$7:$L$456,I117)="","未決定",INDEX(振り分け!$L$7:$L$456,I117)))))</f>
        <v/>
      </c>
      <c r="H117" s="8">
        <f>IF(D117="","",A117&amp;"|"&amp;SUBSTITUTE(SUBSTITUTE(D117," ",""),"　",""))</f>
        <v/>
      </c>
      <c r="I117" s="8">
        <f>IF(H117="","",IFERROR(MATCH(H117,振り分け!$S$7:$S$456,0),""))</f>
        <v/>
      </c>
      <c r="J117" s="8">
        <f>IF(D117="","",IFERROR(MATCH(A117&amp;"-"&amp;B117,設定!$Z$8:$Z$31,0),99)*1000+C117+ROW()/1000000)</f>
        <v/>
      </c>
      <c r="K117" s="8">
        <f>IF(D117="","",IFERROR(INDEX(設定!$L$8:$L$31,MATCH(A117&amp;"-"&amp;B117,設定!$Z$8:$Z$31,0)),A117&amp;B117))</f>
        <v/>
      </c>
    </row>
    <row r="118">
      <c r="A118" s="40" t="n">
        <v>6</v>
      </c>
      <c r="B118" s="40" t="inlineStr">
        <is>
          <t>月</t>
        </is>
      </c>
      <c r="C118" s="40" t="n">
        <v>26</v>
      </c>
      <c r="D118" s="41" t="inlineStr">
        <is>
          <t>山本　湊</t>
        </is>
      </c>
      <c r="E118" s="40" t="n"/>
      <c r="F118" s="45">
        <f>IF(D118="","",IF(E118&lt;&gt;"","手入力",IF(I118="","前年度名簿にいない",IF(OR(COUNTIF($H$2:$H$451,H118)&gt;1,COUNTIF(振り分け!$S$7:$S$456,H118)&gt;1),"同姓同名あり（手入力してください）","OK"))))</f>
        <v/>
      </c>
      <c r="G118" s="44">
        <f>IF(D118="","",IF(E118&lt;&gt;"",E118,IF(F118&lt;&gt;"OK","",IF(INDEX(振り分け!$L$7:$L$456,I118)="","未決定",INDEX(振り分け!$L$7:$L$456,I118)))))</f>
        <v/>
      </c>
      <c r="H118" s="8">
        <f>IF(D118="","",A118&amp;"|"&amp;SUBSTITUTE(SUBSTITUTE(D118," ",""),"　",""))</f>
        <v/>
      </c>
      <c r="I118" s="8">
        <f>IF(H118="","",IFERROR(MATCH(H118,振り分け!$S$7:$S$456,0),""))</f>
        <v/>
      </c>
      <c r="J118" s="8">
        <f>IF(D118="","",IFERROR(MATCH(A118&amp;"-"&amp;B118,設定!$Z$8:$Z$31,0),99)*1000+C118+ROW()/1000000)</f>
        <v/>
      </c>
      <c r="K118" s="8">
        <f>IF(D118="","",IFERROR(INDEX(設定!$L$8:$L$31,MATCH(A118&amp;"-"&amp;B118,設定!$Z$8:$Z$31,0)),A118&amp;B118))</f>
        <v/>
      </c>
    </row>
    <row r="119">
      <c r="A119" s="40" t="n">
        <v>6</v>
      </c>
      <c r="B119" s="40" t="inlineStr">
        <is>
          <t>月</t>
        </is>
      </c>
      <c r="C119" s="40" t="n">
        <v>27</v>
      </c>
      <c r="D119" s="41" t="inlineStr">
        <is>
          <t>福田　拓海</t>
        </is>
      </c>
      <c r="E119" s="40" t="n"/>
      <c r="F119" s="45">
        <f>IF(D119="","",IF(E119&lt;&gt;"","手入力",IF(I119="","前年度名簿にいない",IF(OR(COUNTIF($H$2:$H$451,H119)&gt;1,COUNTIF(振り分け!$S$7:$S$456,H119)&gt;1),"同姓同名あり（手入力してください）","OK"))))</f>
        <v/>
      </c>
      <c r="G119" s="44">
        <f>IF(D119="","",IF(E119&lt;&gt;"",E119,IF(F119&lt;&gt;"OK","",IF(INDEX(振り分け!$L$7:$L$456,I119)="","未決定",INDEX(振り分け!$L$7:$L$456,I119)))))</f>
        <v/>
      </c>
      <c r="H119" s="8">
        <f>IF(D119="","",A119&amp;"|"&amp;SUBSTITUTE(SUBSTITUTE(D119," ",""),"　",""))</f>
        <v/>
      </c>
      <c r="I119" s="8">
        <f>IF(H119="","",IFERROR(MATCH(H119,振り分け!$S$7:$S$456,0),""))</f>
        <v/>
      </c>
      <c r="J119" s="8">
        <f>IF(D119="","",IFERROR(MATCH(A119&amp;"-"&amp;B119,設定!$Z$8:$Z$31,0),99)*1000+C119+ROW()/1000000)</f>
        <v/>
      </c>
      <c r="K119" s="8">
        <f>IF(D119="","",IFERROR(INDEX(設定!$L$8:$L$31,MATCH(A119&amp;"-"&amp;B119,設定!$Z$8:$Z$31,0)),A119&amp;B119))</f>
        <v/>
      </c>
    </row>
    <row r="120">
      <c r="A120" s="40" t="n">
        <v>6</v>
      </c>
      <c r="B120" s="40" t="inlineStr">
        <is>
          <t>月</t>
        </is>
      </c>
      <c r="C120" s="40" t="n">
        <v>28</v>
      </c>
      <c r="D120" s="41" t="inlineStr">
        <is>
          <t>林　澪</t>
        </is>
      </c>
      <c r="E120" s="40" t="n"/>
      <c r="F120" s="45">
        <f>IF(D120="","",IF(E120&lt;&gt;"","手入力",IF(I120="","前年度名簿にいない",IF(OR(COUNTIF($H$2:$H$451,H120)&gt;1,COUNTIF(振り分け!$S$7:$S$456,H120)&gt;1),"同姓同名あり（手入力してください）","OK"))))</f>
        <v/>
      </c>
      <c r="G120" s="44">
        <f>IF(D120="","",IF(E120&lt;&gt;"",E120,IF(F120&lt;&gt;"OK","",IF(INDEX(振り分け!$L$7:$L$456,I120)="","未決定",INDEX(振り分け!$L$7:$L$456,I120)))))</f>
        <v/>
      </c>
      <c r="H120" s="8">
        <f>IF(D120="","",A120&amp;"|"&amp;SUBSTITUTE(SUBSTITUTE(D120," ",""),"　",""))</f>
        <v/>
      </c>
      <c r="I120" s="8">
        <f>IF(H120="","",IFERROR(MATCH(H120,振り分け!$S$7:$S$456,0),""))</f>
        <v/>
      </c>
      <c r="J120" s="8">
        <f>IF(D120="","",IFERROR(MATCH(A120&amp;"-"&amp;B120,設定!$Z$8:$Z$31,0),99)*1000+C120+ROW()/1000000)</f>
        <v/>
      </c>
      <c r="K120" s="8">
        <f>IF(D120="","",IFERROR(INDEX(設定!$L$8:$L$31,MATCH(A120&amp;"-"&amp;B120,設定!$Z$8:$Z$31,0)),A120&amp;B120))</f>
        <v/>
      </c>
    </row>
    <row r="121">
      <c r="A121" s="40" t="n">
        <v>6</v>
      </c>
      <c r="B121" s="40" t="inlineStr">
        <is>
          <t>月</t>
        </is>
      </c>
      <c r="C121" s="40" t="n">
        <v>29</v>
      </c>
      <c r="D121" s="41" t="inlineStr">
        <is>
          <t>石川　悠真</t>
        </is>
      </c>
      <c r="E121" s="40" t="n"/>
      <c r="F121" s="45">
        <f>IF(D121="","",IF(E121&lt;&gt;"","手入力",IF(I121="","前年度名簿にいない",IF(OR(COUNTIF($H$2:$H$451,H121)&gt;1,COUNTIF(振り分け!$S$7:$S$456,H121)&gt;1),"同姓同名あり（手入力してください）","OK"))))</f>
        <v/>
      </c>
      <c r="G121" s="44">
        <f>IF(D121="","",IF(E121&lt;&gt;"",E121,IF(F121&lt;&gt;"OK","",IF(INDEX(振り分け!$L$7:$L$456,I121)="","未決定",INDEX(振り分け!$L$7:$L$456,I121)))))</f>
        <v/>
      </c>
      <c r="H121" s="8">
        <f>IF(D121="","",A121&amp;"|"&amp;SUBSTITUTE(SUBSTITUTE(D121," ",""),"　",""))</f>
        <v/>
      </c>
      <c r="I121" s="8">
        <f>IF(H121="","",IFERROR(MATCH(H121,振り分け!$S$7:$S$456,0),""))</f>
        <v/>
      </c>
      <c r="J121" s="8">
        <f>IF(D121="","",IFERROR(MATCH(A121&amp;"-"&amp;B121,設定!$Z$8:$Z$31,0),99)*1000+C121+ROW()/1000000)</f>
        <v/>
      </c>
      <c r="K121" s="8">
        <f>IF(D121="","",IFERROR(INDEX(設定!$L$8:$L$31,MATCH(A121&amp;"-"&amp;B121,設定!$Z$8:$Z$31,0)),A121&amp;B121))</f>
        <v/>
      </c>
    </row>
    <row r="122">
      <c r="A122" s="40" t="n">
        <v>6</v>
      </c>
      <c r="B122" s="40" t="inlineStr">
        <is>
          <t>月</t>
        </is>
      </c>
      <c r="C122" s="40" t="n">
        <v>30</v>
      </c>
      <c r="D122" s="41" t="inlineStr">
        <is>
          <t>鈴木　心春</t>
        </is>
      </c>
      <c r="E122" s="40" t="n"/>
      <c r="F122" s="45">
        <f>IF(D122="","",IF(E122&lt;&gt;"","手入力",IF(I122="","前年度名簿にいない",IF(OR(COUNTIF($H$2:$H$451,H122)&gt;1,COUNTIF(振り分け!$S$7:$S$456,H122)&gt;1),"同姓同名あり（手入力してください）","OK"))))</f>
        <v/>
      </c>
      <c r="G122" s="44">
        <f>IF(D122="","",IF(E122&lt;&gt;"",E122,IF(F122&lt;&gt;"OK","",IF(INDEX(振り分け!$L$7:$L$456,I122)="","未決定",INDEX(振り分け!$L$7:$L$456,I122)))))</f>
        <v/>
      </c>
      <c r="H122" s="8">
        <f>IF(D122="","",A122&amp;"|"&amp;SUBSTITUTE(SUBSTITUTE(D122," ",""),"　",""))</f>
        <v/>
      </c>
      <c r="I122" s="8">
        <f>IF(H122="","",IFERROR(MATCH(H122,振り分け!$S$7:$S$456,0),""))</f>
        <v/>
      </c>
      <c r="J122" s="8">
        <f>IF(D122="","",IFERROR(MATCH(A122&amp;"-"&amp;B122,設定!$Z$8:$Z$31,0),99)*1000+C122+ROW()/1000000)</f>
        <v/>
      </c>
      <c r="K122" s="8">
        <f>IF(D122="","",IFERROR(INDEX(設定!$L$8:$L$31,MATCH(A122&amp;"-"&amp;B122,設定!$Z$8:$Z$31,0)),A122&amp;B122))</f>
        <v/>
      </c>
    </row>
    <row r="123">
      <c r="A123" s="40" t="n">
        <v>5</v>
      </c>
      <c r="B123" s="40" t="inlineStr">
        <is>
          <t>松</t>
        </is>
      </c>
      <c r="C123" s="40" t="n">
        <v>1</v>
      </c>
      <c r="D123" s="41" t="inlineStr">
        <is>
          <t>中野　陽翔</t>
        </is>
      </c>
      <c r="E123" s="40" t="n"/>
      <c r="F123" s="45">
        <f>IF(D123="","",IF(E123&lt;&gt;"","手入力",IF(I123="","前年度名簿にいない",IF(OR(COUNTIF($H$2:$H$451,H123)&gt;1,COUNTIF(振り分け!$S$7:$S$456,H123)&gt;1),"同姓同名あり（手入力してください）","OK"))))</f>
        <v/>
      </c>
      <c r="G123" s="44">
        <f>IF(D123="","",IF(E123&lt;&gt;"",E123,IF(F123&lt;&gt;"OK","",IF(INDEX(振り分け!$L$7:$L$456,I123)="","未決定",INDEX(振り分け!$L$7:$L$456,I123)))))</f>
        <v/>
      </c>
      <c r="H123" s="8">
        <f>IF(D123="","",A123&amp;"|"&amp;SUBSTITUTE(SUBSTITUTE(D123," ",""),"　",""))</f>
        <v/>
      </c>
      <c r="I123" s="8">
        <f>IF(H123="","",IFERROR(MATCH(H123,振り分け!$S$7:$S$456,0),""))</f>
        <v/>
      </c>
      <c r="J123" s="8">
        <f>IF(D123="","",IFERROR(MATCH(A123&amp;"-"&amp;B123,設定!$Z$8:$Z$31,0),99)*1000+C123+ROW()/1000000)</f>
        <v/>
      </c>
      <c r="K123" s="8">
        <f>IF(D123="","",IFERROR(INDEX(設定!$L$8:$L$31,MATCH(A123&amp;"-"&amp;B123,設定!$Z$8:$Z$31,0)),A123&amp;B123))</f>
        <v/>
      </c>
    </row>
    <row r="124">
      <c r="A124" s="40" t="n">
        <v>5</v>
      </c>
      <c r="B124" s="40" t="inlineStr">
        <is>
          <t>松</t>
        </is>
      </c>
      <c r="C124" s="40" t="n">
        <v>2</v>
      </c>
      <c r="D124" s="41" t="inlineStr">
        <is>
          <t>藤井　美咲</t>
        </is>
      </c>
      <c r="E124" s="40" t="n"/>
      <c r="F124" s="45">
        <f>IF(D124="","",IF(E124&lt;&gt;"","手入力",IF(I124="","前年度名簿にいない",IF(OR(COUNTIF($H$2:$H$451,H124)&gt;1,COUNTIF(振り分け!$S$7:$S$456,H124)&gt;1),"同姓同名あり（手入力してください）","OK"))))</f>
        <v/>
      </c>
      <c r="G124" s="44">
        <f>IF(D124="","",IF(E124&lt;&gt;"",E124,IF(F124&lt;&gt;"OK","",IF(INDEX(振り分け!$L$7:$L$456,I124)="","未決定",INDEX(振り分け!$L$7:$L$456,I124)))))</f>
        <v/>
      </c>
      <c r="H124" s="8">
        <f>IF(D124="","",A124&amp;"|"&amp;SUBSTITUTE(SUBSTITUTE(D124," ",""),"　",""))</f>
        <v/>
      </c>
      <c r="I124" s="8">
        <f>IF(H124="","",IFERROR(MATCH(H124,振り分け!$S$7:$S$456,0),""))</f>
        <v/>
      </c>
      <c r="J124" s="8">
        <f>IF(D124="","",IFERROR(MATCH(A124&amp;"-"&amp;B124,設定!$Z$8:$Z$31,0),99)*1000+C124+ROW()/1000000)</f>
        <v/>
      </c>
      <c r="K124" s="8">
        <f>IF(D124="","",IFERROR(INDEX(設定!$L$8:$L$31,MATCH(A124&amp;"-"&amp;B124,設定!$Z$8:$Z$31,0)),A124&amp;B124))</f>
        <v/>
      </c>
    </row>
    <row r="125">
      <c r="A125" s="40" t="n">
        <v>5</v>
      </c>
      <c r="B125" s="40" t="inlineStr">
        <is>
          <t>松</t>
        </is>
      </c>
      <c r="C125" s="40" t="n">
        <v>3</v>
      </c>
      <c r="D125" s="41" t="inlineStr">
        <is>
          <t>福田　彩花</t>
        </is>
      </c>
      <c r="E125" s="40" t="n"/>
      <c r="F125" s="45">
        <f>IF(D125="","",IF(E125&lt;&gt;"","手入力",IF(I125="","前年度名簿にいない",IF(OR(COUNTIF($H$2:$H$451,H125)&gt;1,COUNTIF(振り分け!$S$7:$S$456,H125)&gt;1),"同姓同名あり（手入力してください）","OK"))))</f>
        <v/>
      </c>
      <c r="G125" s="44">
        <f>IF(D125="","",IF(E125&lt;&gt;"",E125,IF(F125&lt;&gt;"OK","",IF(INDEX(振り分け!$L$7:$L$456,I125)="","未決定",INDEX(振り分け!$L$7:$L$456,I125)))))</f>
        <v/>
      </c>
      <c r="H125" s="8">
        <f>IF(D125="","",A125&amp;"|"&amp;SUBSTITUTE(SUBSTITUTE(D125," ",""),"　",""))</f>
        <v/>
      </c>
      <c r="I125" s="8">
        <f>IF(H125="","",IFERROR(MATCH(H125,振り分け!$S$7:$S$456,0),""))</f>
        <v/>
      </c>
      <c r="J125" s="8">
        <f>IF(D125="","",IFERROR(MATCH(A125&amp;"-"&amp;B125,設定!$Z$8:$Z$31,0),99)*1000+C125+ROW()/1000000)</f>
        <v/>
      </c>
      <c r="K125" s="8">
        <f>IF(D125="","",IFERROR(INDEX(設定!$L$8:$L$31,MATCH(A125&amp;"-"&amp;B125,設定!$Z$8:$Z$31,0)),A125&amp;B125))</f>
        <v/>
      </c>
    </row>
    <row r="126">
      <c r="A126" s="40" t="n">
        <v>5</v>
      </c>
      <c r="B126" s="40" t="inlineStr">
        <is>
          <t>松</t>
        </is>
      </c>
      <c r="C126" s="40" t="n">
        <v>4</v>
      </c>
      <c r="D126" s="41" t="inlineStr">
        <is>
          <t>前田　樹</t>
        </is>
      </c>
      <c r="E126" s="40" t="n"/>
      <c r="F126" s="45">
        <f>IF(D126="","",IF(E126&lt;&gt;"","手入力",IF(I126="","前年度名簿にいない",IF(OR(COUNTIF($H$2:$H$451,H126)&gt;1,COUNTIF(振り分け!$S$7:$S$456,H126)&gt;1),"同姓同名あり（手入力してください）","OK"))))</f>
        <v/>
      </c>
      <c r="G126" s="44">
        <f>IF(D126="","",IF(E126&lt;&gt;"",E126,IF(F126&lt;&gt;"OK","",IF(INDEX(振り分け!$L$7:$L$456,I126)="","未決定",INDEX(振り分け!$L$7:$L$456,I126)))))</f>
        <v/>
      </c>
      <c r="H126" s="8">
        <f>IF(D126="","",A126&amp;"|"&amp;SUBSTITUTE(SUBSTITUTE(D126," ",""),"　",""))</f>
        <v/>
      </c>
      <c r="I126" s="8">
        <f>IF(H126="","",IFERROR(MATCH(H126,振り分け!$S$7:$S$456,0),""))</f>
        <v/>
      </c>
      <c r="J126" s="8">
        <f>IF(D126="","",IFERROR(MATCH(A126&amp;"-"&amp;B126,設定!$Z$8:$Z$31,0),99)*1000+C126+ROW()/1000000)</f>
        <v/>
      </c>
      <c r="K126" s="8">
        <f>IF(D126="","",IFERROR(INDEX(設定!$L$8:$L$31,MATCH(A126&amp;"-"&amp;B126,設定!$Z$8:$Z$31,0)),A126&amp;B126))</f>
        <v/>
      </c>
    </row>
    <row r="127">
      <c r="A127" s="40" t="n">
        <v>5</v>
      </c>
      <c r="B127" s="40" t="inlineStr">
        <is>
          <t>松</t>
        </is>
      </c>
      <c r="C127" s="40" t="n">
        <v>5</v>
      </c>
      <c r="D127" s="41" t="inlineStr">
        <is>
          <t>後藤　琴音</t>
        </is>
      </c>
      <c r="E127" s="40" t="n"/>
      <c r="F127" s="45">
        <f>IF(D127="","",IF(E127&lt;&gt;"","手入力",IF(I127="","前年度名簿にいない",IF(OR(COUNTIF($H$2:$H$451,H127)&gt;1,COUNTIF(振り分け!$S$7:$S$456,H127)&gt;1),"同姓同名あり（手入力してください）","OK"))))</f>
        <v/>
      </c>
      <c r="G127" s="44">
        <f>IF(D127="","",IF(E127&lt;&gt;"",E127,IF(F127&lt;&gt;"OK","",IF(INDEX(振り分け!$L$7:$L$456,I127)="","未決定",INDEX(振り分け!$L$7:$L$456,I127)))))</f>
        <v/>
      </c>
      <c r="H127" s="8">
        <f>IF(D127="","",A127&amp;"|"&amp;SUBSTITUTE(SUBSTITUTE(D127," ",""),"　",""))</f>
        <v/>
      </c>
      <c r="I127" s="8">
        <f>IF(H127="","",IFERROR(MATCH(H127,振り分け!$S$7:$S$456,0),""))</f>
        <v/>
      </c>
      <c r="J127" s="8">
        <f>IF(D127="","",IFERROR(MATCH(A127&amp;"-"&amp;B127,設定!$Z$8:$Z$31,0),99)*1000+C127+ROW()/1000000)</f>
        <v/>
      </c>
      <c r="K127" s="8">
        <f>IF(D127="","",IFERROR(INDEX(設定!$L$8:$L$31,MATCH(A127&amp;"-"&amp;B127,設定!$Z$8:$Z$31,0)),A127&amp;B127))</f>
        <v/>
      </c>
    </row>
    <row r="128">
      <c r="A128" s="40" t="n">
        <v>5</v>
      </c>
      <c r="B128" s="40" t="inlineStr">
        <is>
          <t>松</t>
        </is>
      </c>
      <c r="C128" s="40" t="n">
        <v>6</v>
      </c>
      <c r="D128" s="41" t="inlineStr">
        <is>
          <t>石井　心春</t>
        </is>
      </c>
      <c r="E128" s="40" t="n"/>
      <c r="F128" s="45">
        <f>IF(D128="","",IF(E128&lt;&gt;"","手入力",IF(I128="","前年度名簿にいない",IF(OR(COUNTIF($H$2:$H$451,H128)&gt;1,COUNTIF(振り分け!$S$7:$S$456,H128)&gt;1),"同姓同名あり（手入力してください）","OK"))))</f>
        <v/>
      </c>
      <c r="G128" s="44">
        <f>IF(D128="","",IF(E128&lt;&gt;"",E128,IF(F128&lt;&gt;"OK","",IF(INDEX(振り分け!$L$7:$L$456,I128)="","未決定",INDEX(振り分け!$L$7:$L$456,I128)))))</f>
        <v/>
      </c>
      <c r="H128" s="8">
        <f>IF(D128="","",A128&amp;"|"&amp;SUBSTITUTE(SUBSTITUTE(D128," ",""),"　",""))</f>
        <v/>
      </c>
      <c r="I128" s="8">
        <f>IF(H128="","",IFERROR(MATCH(H128,振り分け!$S$7:$S$456,0),""))</f>
        <v/>
      </c>
      <c r="J128" s="8">
        <f>IF(D128="","",IFERROR(MATCH(A128&amp;"-"&amp;B128,設定!$Z$8:$Z$31,0),99)*1000+C128+ROW()/1000000)</f>
        <v/>
      </c>
      <c r="K128" s="8">
        <f>IF(D128="","",IFERROR(INDEX(設定!$L$8:$L$31,MATCH(A128&amp;"-"&amp;B128,設定!$Z$8:$Z$31,0)),A128&amp;B128))</f>
        <v/>
      </c>
    </row>
    <row r="129">
      <c r="A129" s="40" t="n">
        <v>5</v>
      </c>
      <c r="B129" s="40" t="inlineStr">
        <is>
          <t>松</t>
        </is>
      </c>
      <c r="C129" s="40" t="n">
        <v>7</v>
      </c>
      <c r="D129" s="41" t="inlineStr">
        <is>
          <t>高橋　健太</t>
        </is>
      </c>
      <c r="E129" s="40" t="n"/>
      <c r="F129" s="45">
        <f>IF(D129="","",IF(E129&lt;&gt;"","手入力",IF(I129="","前年度名簿にいない",IF(OR(COUNTIF($H$2:$H$451,H129)&gt;1,COUNTIF(振り分け!$S$7:$S$456,H129)&gt;1),"同姓同名あり（手入力してください）","OK"))))</f>
        <v/>
      </c>
      <c r="G129" s="44">
        <f>IF(D129="","",IF(E129&lt;&gt;"",E129,IF(F129&lt;&gt;"OK","",IF(INDEX(振り分け!$L$7:$L$456,I129)="","未決定",INDEX(振り分け!$L$7:$L$456,I129)))))</f>
        <v/>
      </c>
      <c r="H129" s="8">
        <f>IF(D129="","",A129&amp;"|"&amp;SUBSTITUTE(SUBSTITUTE(D129," ",""),"　",""))</f>
        <v/>
      </c>
      <c r="I129" s="8">
        <f>IF(H129="","",IFERROR(MATCH(H129,振り分け!$S$7:$S$456,0),""))</f>
        <v/>
      </c>
      <c r="J129" s="8">
        <f>IF(D129="","",IFERROR(MATCH(A129&amp;"-"&amp;B129,設定!$Z$8:$Z$31,0),99)*1000+C129+ROW()/1000000)</f>
        <v/>
      </c>
      <c r="K129" s="8">
        <f>IF(D129="","",IFERROR(INDEX(設定!$L$8:$L$31,MATCH(A129&amp;"-"&amp;B129,設定!$Z$8:$Z$31,0)),A129&amp;B129))</f>
        <v/>
      </c>
    </row>
    <row r="130">
      <c r="A130" s="40" t="n">
        <v>5</v>
      </c>
      <c r="B130" s="40" t="inlineStr">
        <is>
          <t>松</t>
        </is>
      </c>
      <c r="C130" s="40" t="n">
        <v>8</v>
      </c>
      <c r="D130" s="41" t="inlineStr">
        <is>
          <t>山崎　奏太</t>
        </is>
      </c>
      <c r="E130" s="40" t="n"/>
      <c r="F130" s="45">
        <f>IF(D130="","",IF(E130&lt;&gt;"","手入力",IF(I130="","前年度名簿にいない",IF(OR(COUNTIF($H$2:$H$451,H130)&gt;1,COUNTIF(振り分け!$S$7:$S$456,H130)&gt;1),"同姓同名あり（手入力してください）","OK"))))</f>
        <v/>
      </c>
      <c r="G130" s="44">
        <f>IF(D130="","",IF(E130&lt;&gt;"",E130,IF(F130&lt;&gt;"OK","",IF(INDEX(振り分け!$L$7:$L$456,I130)="","未決定",INDEX(振り分け!$L$7:$L$456,I130)))))</f>
        <v/>
      </c>
      <c r="H130" s="8">
        <f>IF(D130="","",A130&amp;"|"&amp;SUBSTITUTE(SUBSTITUTE(D130," ",""),"　",""))</f>
        <v/>
      </c>
      <c r="I130" s="8">
        <f>IF(H130="","",IFERROR(MATCH(H130,振り分け!$S$7:$S$456,0),""))</f>
        <v/>
      </c>
      <c r="J130" s="8">
        <f>IF(D130="","",IFERROR(MATCH(A130&amp;"-"&amp;B130,設定!$Z$8:$Z$31,0),99)*1000+C130+ROW()/1000000)</f>
        <v/>
      </c>
      <c r="K130" s="8">
        <f>IF(D130="","",IFERROR(INDEX(設定!$L$8:$L$31,MATCH(A130&amp;"-"&amp;B130,設定!$Z$8:$Z$31,0)),A130&amp;B130))</f>
        <v/>
      </c>
    </row>
    <row r="131">
      <c r="A131" s="40" t="n">
        <v>5</v>
      </c>
      <c r="B131" s="40" t="inlineStr">
        <is>
          <t>松</t>
        </is>
      </c>
      <c r="C131" s="40" t="n">
        <v>9</v>
      </c>
      <c r="D131" s="41" t="inlineStr">
        <is>
          <t>渡辺　大和</t>
        </is>
      </c>
      <c r="E131" s="40" t="n"/>
      <c r="F131" s="45">
        <f>IF(D131="","",IF(E131&lt;&gt;"","手入力",IF(I131="","前年度名簿にいない",IF(OR(COUNTIF($H$2:$H$451,H131)&gt;1,COUNTIF(振り分け!$S$7:$S$456,H131)&gt;1),"同姓同名あり（手入力してください）","OK"))))</f>
        <v/>
      </c>
      <c r="G131" s="44">
        <f>IF(D131="","",IF(E131&lt;&gt;"",E131,IF(F131&lt;&gt;"OK","",IF(INDEX(振り分け!$L$7:$L$456,I131)="","未決定",INDEX(振り分け!$L$7:$L$456,I131)))))</f>
        <v/>
      </c>
      <c r="H131" s="8">
        <f>IF(D131="","",A131&amp;"|"&amp;SUBSTITUTE(SUBSTITUTE(D131," ",""),"　",""))</f>
        <v/>
      </c>
      <c r="I131" s="8">
        <f>IF(H131="","",IFERROR(MATCH(H131,振り分け!$S$7:$S$456,0),""))</f>
        <v/>
      </c>
      <c r="J131" s="8">
        <f>IF(D131="","",IFERROR(MATCH(A131&amp;"-"&amp;B131,設定!$Z$8:$Z$31,0),99)*1000+C131+ROW()/1000000)</f>
        <v/>
      </c>
      <c r="K131" s="8">
        <f>IF(D131="","",IFERROR(INDEX(設定!$L$8:$L$31,MATCH(A131&amp;"-"&amp;B131,設定!$Z$8:$Z$31,0)),A131&amp;B131))</f>
        <v/>
      </c>
    </row>
    <row r="132">
      <c r="A132" s="40" t="n">
        <v>5</v>
      </c>
      <c r="B132" s="40" t="inlineStr">
        <is>
          <t>松</t>
        </is>
      </c>
      <c r="C132" s="40" t="n">
        <v>10</v>
      </c>
      <c r="D132" s="41" t="inlineStr">
        <is>
          <t>林　千尋</t>
        </is>
      </c>
      <c r="E132" s="40" t="n"/>
      <c r="F132" s="45">
        <f>IF(D132="","",IF(E132&lt;&gt;"","手入力",IF(I132="","前年度名簿にいない",IF(OR(COUNTIF($H$2:$H$451,H132)&gt;1,COUNTIF(振り分け!$S$7:$S$456,H132)&gt;1),"同姓同名あり（手入力してください）","OK"))))</f>
        <v/>
      </c>
      <c r="G132" s="44">
        <f>IF(D132="","",IF(E132&lt;&gt;"",E132,IF(F132&lt;&gt;"OK","",IF(INDEX(振り分け!$L$7:$L$456,I132)="","未決定",INDEX(振り分け!$L$7:$L$456,I132)))))</f>
        <v/>
      </c>
      <c r="H132" s="8">
        <f>IF(D132="","",A132&amp;"|"&amp;SUBSTITUTE(SUBSTITUTE(D132," ",""),"　",""))</f>
        <v/>
      </c>
      <c r="I132" s="8">
        <f>IF(H132="","",IFERROR(MATCH(H132,振り分け!$S$7:$S$456,0),""))</f>
        <v/>
      </c>
      <c r="J132" s="8">
        <f>IF(D132="","",IFERROR(MATCH(A132&amp;"-"&amp;B132,設定!$Z$8:$Z$31,0),99)*1000+C132+ROW()/1000000)</f>
        <v/>
      </c>
      <c r="K132" s="8">
        <f>IF(D132="","",IFERROR(INDEX(設定!$L$8:$L$31,MATCH(A132&amp;"-"&amp;B132,設定!$Z$8:$Z$31,0)),A132&amp;B132))</f>
        <v/>
      </c>
    </row>
    <row r="133">
      <c r="A133" s="40" t="n">
        <v>5</v>
      </c>
      <c r="B133" s="40" t="inlineStr">
        <is>
          <t>松</t>
        </is>
      </c>
      <c r="C133" s="40" t="n">
        <v>11</v>
      </c>
      <c r="D133" s="41" t="inlineStr">
        <is>
          <t>山崎　樹</t>
        </is>
      </c>
      <c r="E133" s="40" t="n"/>
      <c r="F133" s="45">
        <f>IF(D133="","",IF(E133&lt;&gt;"","手入力",IF(I133="","前年度名簿にいない",IF(OR(COUNTIF($H$2:$H$451,H133)&gt;1,COUNTIF(振り分け!$S$7:$S$456,H133)&gt;1),"同姓同名あり（手入力してください）","OK"))))</f>
        <v/>
      </c>
      <c r="G133" s="44">
        <f>IF(D133="","",IF(E133&lt;&gt;"",E133,IF(F133&lt;&gt;"OK","",IF(INDEX(振り分け!$L$7:$L$456,I133)="","未決定",INDEX(振り分け!$L$7:$L$456,I133)))))</f>
        <v/>
      </c>
      <c r="H133" s="8">
        <f>IF(D133="","",A133&amp;"|"&amp;SUBSTITUTE(SUBSTITUTE(D133," ",""),"　",""))</f>
        <v/>
      </c>
      <c r="I133" s="8">
        <f>IF(H133="","",IFERROR(MATCH(H133,振り分け!$S$7:$S$456,0),""))</f>
        <v/>
      </c>
      <c r="J133" s="8">
        <f>IF(D133="","",IFERROR(MATCH(A133&amp;"-"&amp;B133,設定!$Z$8:$Z$31,0),99)*1000+C133+ROW()/1000000)</f>
        <v/>
      </c>
      <c r="K133" s="8">
        <f>IF(D133="","",IFERROR(INDEX(設定!$L$8:$L$31,MATCH(A133&amp;"-"&amp;B133,設定!$Z$8:$Z$31,0)),A133&amp;B133))</f>
        <v/>
      </c>
    </row>
    <row r="134">
      <c r="A134" s="40" t="n">
        <v>5</v>
      </c>
      <c r="B134" s="40" t="inlineStr">
        <is>
          <t>松</t>
        </is>
      </c>
      <c r="C134" s="40" t="n">
        <v>12</v>
      </c>
      <c r="D134" s="41" t="inlineStr">
        <is>
          <t>後藤　悠人</t>
        </is>
      </c>
      <c r="E134" s="40" t="n"/>
      <c r="F134" s="45">
        <f>IF(D134="","",IF(E134&lt;&gt;"","手入力",IF(I134="","前年度名簿にいない",IF(OR(COUNTIF($H$2:$H$451,H134)&gt;1,COUNTIF(振り分け!$S$7:$S$456,H134)&gt;1),"同姓同名あり（手入力してください）","OK"))))</f>
        <v/>
      </c>
      <c r="G134" s="44">
        <f>IF(D134="","",IF(E134&lt;&gt;"",E134,IF(F134&lt;&gt;"OK","",IF(INDEX(振り分け!$L$7:$L$456,I134)="","未決定",INDEX(振り分け!$L$7:$L$456,I134)))))</f>
        <v/>
      </c>
      <c r="H134" s="8">
        <f>IF(D134="","",A134&amp;"|"&amp;SUBSTITUTE(SUBSTITUTE(D134," ",""),"　",""))</f>
        <v/>
      </c>
      <c r="I134" s="8">
        <f>IF(H134="","",IFERROR(MATCH(H134,振り分け!$S$7:$S$456,0),""))</f>
        <v/>
      </c>
      <c r="J134" s="8">
        <f>IF(D134="","",IFERROR(MATCH(A134&amp;"-"&amp;B134,設定!$Z$8:$Z$31,0),99)*1000+C134+ROW()/1000000)</f>
        <v/>
      </c>
      <c r="K134" s="8">
        <f>IF(D134="","",IFERROR(INDEX(設定!$L$8:$L$31,MATCH(A134&amp;"-"&amp;B134,設定!$Z$8:$Z$31,0)),A134&amp;B134))</f>
        <v/>
      </c>
    </row>
    <row r="135">
      <c r="A135" s="40" t="n">
        <v>5</v>
      </c>
      <c r="B135" s="40" t="inlineStr">
        <is>
          <t>松</t>
        </is>
      </c>
      <c r="C135" s="40" t="n">
        <v>13</v>
      </c>
      <c r="D135" s="41" t="inlineStr">
        <is>
          <t>岡田　結菜</t>
        </is>
      </c>
      <c r="E135" s="40" t="n"/>
      <c r="F135" s="45">
        <f>IF(D135="","",IF(E135&lt;&gt;"","手入力",IF(I135="","前年度名簿にいない",IF(OR(COUNTIF($H$2:$H$451,H135)&gt;1,COUNTIF(振り分け!$S$7:$S$456,H135)&gt;1),"同姓同名あり（手入力してください）","OK"))))</f>
        <v/>
      </c>
      <c r="G135" s="44">
        <f>IF(D135="","",IF(E135&lt;&gt;"",E135,IF(F135&lt;&gt;"OK","",IF(INDEX(振り分け!$L$7:$L$456,I135)="","未決定",INDEX(振り分け!$L$7:$L$456,I135)))))</f>
        <v/>
      </c>
      <c r="H135" s="8">
        <f>IF(D135="","",A135&amp;"|"&amp;SUBSTITUTE(SUBSTITUTE(D135," ",""),"　",""))</f>
        <v/>
      </c>
      <c r="I135" s="8">
        <f>IF(H135="","",IFERROR(MATCH(H135,振り分け!$S$7:$S$456,0),""))</f>
        <v/>
      </c>
      <c r="J135" s="8">
        <f>IF(D135="","",IFERROR(MATCH(A135&amp;"-"&amp;B135,設定!$Z$8:$Z$31,0),99)*1000+C135+ROW()/1000000)</f>
        <v/>
      </c>
      <c r="K135" s="8">
        <f>IF(D135="","",IFERROR(INDEX(設定!$L$8:$L$31,MATCH(A135&amp;"-"&amp;B135,設定!$Z$8:$Z$31,0)),A135&amp;B135))</f>
        <v/>
      </c>
    </row>
    <row r="136">
      <c r="A136" s="40" t="n">
        <v>5</v>
      </c>
      <c r="B136" s="40" t="inlineStr">
        <is>
          <t>松</t>
        </is>
      </c>
      <c r="C136" s="40" t="n">
        <v>14</v>
      </c>
      <c r="D136" s="41" t="inlineStr">
        <is>
          <t>池田　莉子</t>
        </is>
      </c>
      <c r="E136" s="40" t="n"/>
      <c r="F136" s="45">
        <f>IF(D136="","",IF(E136&lt;&gt;"","手入力",IF(I136="","前年度名簿にいない",IF(OR(COUNTIF($H$2:$H$451,H136)&gt;1,COUNTIF(振り分け!$S$7:$S$456,H136)&gt;1),"同姓同名あり（手入力してください）","OK"))))</f>
        <v/>
      </c>
      <c r="G136" s="44">
        <f>IF(D136="","",IF(E136&lt;&gt;"",E136,IF(F136&lt;&gt;"OK","",IF(INDEX(振り分け!$L$7:$L$456,I136)="","未決定",INDEX(振り分け!$L$7:$L$456,I136)))))</f>
        <v/>
      </c>
      <c r="H136" s="8">
        <f>IF(D136="","",A136&amp;"|"&amp;SUBSTITUTE(SUBSTITUTE(D136," ",""),"　",""))</f>
        <v/>
      </c>
      <c r="I136" s="8">
        <f>IF(H136="","",IFERROR(MATCH(H136,振り分け!$S$7:$S$456,0),""))</f>
        <v/>
      </c>
      <c r="J136" s="8">
        <f>IF(D136="","",IFERROR(MATCH(A136&amp;"-"&amp;B136,設定!$Z$8:$Z$31,0),99)*1000+C136+ROW()/1000000)</f>
        <v/>
      </c>
      <c r="K136" s="8">
        <f>IF(D136="","",IFERROR(INDEX(設定!$L$8:$L$31,MATCH(A136&amp;"-"&amp;B136,設定!$Z$8:$Z$31,0)),A136&amp;B136))</f>
        <v/>
      </c>
    </row>
    <row r="137">
      <c r="A137" s="40" t="n">
        <v>5</v>
      </c>
      <c r="B137" s="40" t="inlineStr">
        <is>
          <t>松</t>
        </is>
      </c>
      <c r="C137" s="40" t="n">
        <v>15</v>
      </c>
      <c r="D137" s="41" t="inlineStr">
        <is>
          <t>藤井　琴音</t>
        </is>
      </c>
      <c r="E137" s="40" t="n"/>
      <c r="F137" s="45">
        <f>IF(D137="","",IF(E137&lt;&gt;"","手入力",IF(I137="","前年度名簿にいない",IF(OR(COUNTIF($H$2:$H$451,H137)&gt;1,COUNTIF(振り分け!$S$7:$S$456,H137)&gt;1),"同姓同名あり（手入力してください）","OK"))))</f>
        <v/>
      </c>
      <c r="G137" s="44">
        <f>IF(D137="","",IF(E137&lt;&gt;"",E137,IF(F137&lt;&gt;"OK","",IF(INDEX(振り分け!$L$7:$L$456,I137)="","未決定",INDEX(振り分け!$L$7:$L$456,I137)))))</f>
        <v/>
      </c>
      <c r="H137" s="8">
        <f>IF(D137="","",A137&amp;"|"&amp;SUBSTITUTE(SUBSTITUTE(D137," ",""),"　",""))</f>
        <v/>
      </c>
      <c r="I137" s="8">
        <f>IF(H137="","",IFERROR(MATCH(H137,振り分け!$S$7:$S$456,0),""))</f>
        <v/>
      </c>
      <c r="J137" s="8">
        <f>IF(D137="","",IFERROR(MATCH(A137&amp;"-"&amp;B137,設定!$Z$8:$Z$31,0),99)*1000+C137+ROW()/1000000)</f>
        <v/>
      </c>
      <c r="K137" s="8">
        <f>IF(D137="","",IFERROR(INDEX(設定!$L$8:$L$31,MATCH(A137&amp;"-"&amp;B137,設定!$Z$8:$Z$31,0)),A137&amp;B137))</f>
        <v/>
      </c>
    </row>
    <row r="138">
      <c r="A138" s="40" t="n">
        <v>5</v>
      </c>
      <c r="B138" s="40" t="inlineStr">
        <is>
          <t>松</t>
        </is>
      </c>
      <c r="C138" s="40" t="n">
        <v>16</v>
      </c>
      <c r="D138" s="41" t="inlineStr">
        <is>
          <t>中島　湊</t>
        </is>
      </c>
      <c r="E138" s="40" t="n"/>
      <c r="F138" s="45">
        <f>IF(D138="","",IF(E138&lt;&gt;"","手入力",IF(I138="","前年度名簿にいない",IF(OR(COUNTIF($H$2:$H$451,H138)&gt;1,COUNTIF(振り分け!$S$7:$S$456,H138)&gt;1),"同姓同名あり（手入力してください）","OK"))))</f>
        <v/>
      </c>
      <c r="G138" s="44">
        <f>IF(D138="","",IF(E138&lt;&gt;"",E138,IF(F138&lt;&gt;"OK","",IF(INDEX(振り分け!$L$7:$L$456,I138)="","未決定",INDEX(振り分け!$L$7:$L$456,I138)))))</f>
        <v/>
      </c>
      <c r="H138" s="8">
        <f>IF(D138="","",A138&amp;"|"&amp;SUBSTITUTE(SUBSTITUTE(D138," ",""),"　",""))</f>
        <v/>
      </c>
      <c r="I138" s="8">
        <f>IF(H138="","",IFERROR(MATCH(H138,振り分け!$S$7:$S$456,0),""))</f>
        <v/>
      </c>
      <c r="J138" s="8">
        <f>IF(D138="","",IFERROR(MATCH(A138&amp;"-"&amp;B138,設定!$Z$8:$Z$31,0),99)*1000+C138+ROW()/1000000)</f>
        <v/>
      </c>
      <c r="K138" s="8">
        <f>IF(D138="","",IFERROR(INDEX(設定!$L$8:$L$31,MATCH(A138&amp;"-"&amp;B138,設定!$Z$8:$Z$31,0)),A138&amp;B138))</f>
        <v/>
      </c>
    </row>
    <row r="139">
      <c r="A139" s="40" t="n">
        <v>5</v>
      </c>
      <c r="B139" s="40" t="inlineStr">
        <is>
          <t>松</t>
        </is>
      </c>
      <c r="C139" s="40" t="n">
        <v>17</v>
      </c>
      <c r="D139" s="41" t="inlineStr">
        <is>
          <t>後藤　美咲</t>
        </is>
      </c>
      <c r="E139" s="40" t="n"/>
      <c r="F139" s="45">
        <f>IF(D139="","",IF(E139&lt;&gt;"","手入力",IF(I139="","前年度名簿にいない",IF(OR(COUNTIF($H$2:$H$451,H139)&gt;1,COUNTIF(振り分け!$S$7:$S$456,H139)&gt;1),"同姓同名あり（手入力してください）","OK"))))</f>
        <v/>
      </c>
      <c r="G139" s="44">
        <f>IF(D139="","",IF(E139&lt;&gt;"",E139,IF(F139&lt;&gt;"OK","",IF(INDEX(振り分け!$L$7:$L$456,I139)="","未決定",INDEX(振り分け!$L$7:$L$456,I139)))))</f>
        <v/>
      </c>
      <c r="H139" s="8">
        <f>IF(D139="","",A139&amp;"|"&amp;SUBSTITUTE(SUBSTITUTE(D139," ",""),"　",""))</f>
        <v/>
      </c>
      <c r="I139" s="8">
        <f>IF(H139="","",IFERROR(MATCH(H139,振り分け!$S$7:$S$456,0),""))</f>
        <v/>
      </c>
      <c r="J139" s="8">
        <f>IF(D139="","",IFERROR(MATCH(A139&amp;"-"&amp;B139,設定!$Z$8:$Z$31,0),99)*1000+C139+ROW()/1000000)</f>
        <v/>
      </c>
      <c r="K139" s="8">
        <f>IF(D139="","",IFERROR(INDEX(設定!$L$8:$L$31,MATCH(A139&amp;"-"&amp;B139,設定!$Z$8:$Z$31,0)),A139&amp;B139))</f>
        <v/>
      </c>
    </row>
    <row r="140">
      <c r="A140" s="40" t="n">
        <v>5</v>
      </c>
      <c r="B140" s="40" t="inlineStr">
        <is>
          <t>松</t>
        </is>
      </c>
      <c r="C140" s="40" t="n">
        <v>18</v>
      </c>
      <c r="D140" s="41" t="inlineStr">
        <is>
          <t>伊藤　樹</t>
        </is>
      </c>
      <c r="E140" s="40" t="n"/>
      <c r="F140" s="45">
        <f>IF(D140="","",IF(E140&lt;&gt;"","手入力",IF(I140="","前年度名簿にいない",IF(OR(COUNTIF($H$2:$H$451,H140)&gt;1,COUNTIF(振り分け!$S$7:$S$456,H140)&gt;1),"同姓同名あり（手入力してください）","OK"))))</f>
        <v/>
      </c>
      <c r="G140" s="44">
        <f>IF(D140="","",IF(E140&lt;&gt;"",E140,IF(F140&lt;&gt;"OK","",IF(INDEX(振り分け!$L$7:$L$456,I140)="","未決定",INDEX(振り分け!$L$7:$L$456,I140)))))</f>
        <v/>
      </c>
      <c r="H140" s="8">
        <f>IF(D140="","",A140&amp;"|"&amp;SUBSTITUTE(SUBSTITUTE(D140," ",""),"　",""))</f>
        <v/>
      </c>
      <c r="I140" s="8">
        <f>IF(H140="","",IFERROR(MATCH(H140,振り分け!$S$7:$S$456,0),""))</f>
        <v/>
      </c>
      <c r="J140" s="8">
        <f>IF(D140="","",IFERROR(MATCH(A140&amp;"-"&amp;B140,設定!$Z$8:$Z$31,0),99)*1000+C140+ROW()/1000000)</f>
        <v/>
      </c>
      <c r="K140" s="8">
        <f>IF(D140="","",IFERROR(INDEX(設定!$L$8:$L$31,MATCH(A140&amp;"-"&amp;B140,設定!$Z$8:$Z$31,0)),A140&amp;B140))</f>
        <v/>
      </c>
    </row>
    <row r="141">
      <c r="A141" s="40" t="n">
        <v>5</v>
      </c>
      <c r="B141" s="40" t="inlineStr">
        <is>
          <t>松</t>
        </is>
      </c>
      <c r="C141" s="40" t="n">
        <v>19</v>
      </c>
      <c r="D141" s="41" t="inlineStr">
        <is>
          <t>原田　航</t>
        </is>
      </c>
      <c r="E141" s="40" t="n"/>
      <c r="F141" s="45">
        <f>IF(D141="","",IF(E141&lt;&gt;"","手入力",IF(I141="","前年度名簿にいない",IF(OR(COUNTIF($H$2:$H$451,H141)&gt;1,COUNTIF(振り分け!$S$7:$S$456,H141)&gt;1),"同姓同名あり（手入力してください）","OK"))))</f>
        <v/>
      </c>
      <c r="G141" s="44">
        <f>IF(D141="","",IF(E141&lt;&gt;"",E141,IF(F141&lt;&gt;"OK","",IF(INDEX(振り分け!$L$7:$L$456,I141)="","未決定",INDEX(振り分け!$L$7:$L$456,I141)))))</f>
        <v/>
      </c>
      <c r="H141" s="8">
        <f>IF(D141="","",A141&amp;"|"&amp;SUBSTITUTE(SUBSTITUTE(D141," ",""),"　",""))</f>
        <v/>
      </c>
      <c r="I141" s="8">
        <f>IF(H141="","",IFERROR(MATCH(H141,振り分け!$S$7:$S$456,0),""))</f>
        <v/>
      </c>
      <c r="J141" s="8">
        <f>IF(D141="","",IFERROR(MATCH(A141&amp;"-"&amp;B141,設定!$Z$8:$Z$31,0),99)*1000+C141+ROW()/1000000)</f>
        <v/>
      </c>
      <c r="K141" s="8">
        <f>IF(D141="","",IFERROR(INDEX(設定!$L$8:$L$31,MATCH(A141&amp;"-"&amp;B141,設定!$Z$8:$Z$31,0)),A141&amp;B141))</f>
        <v/>
      </c>
    </row>
    <row r="142">
      <c r="A142" s="40" t="n">
        <v>5</v>
      </c>
      <c r="B142" s="40" t="inlineStr">
        <is>
          <t>松</t>
        </is>
      </c>
      <c r="C142" s="40" t="n">
        <v>20</v>
      </c>
      <c r="D142" s="41" t="inlineStr">
        <is>
          <t>石井　美月</t>
        </is>
      </c>
      <c r="E142" s="40" t="n"/>
      <c r="F142" s="45">
        <f>IF(D142="","",IF(E142&lt;&gt;"","手入力",IF(I142="","前年度名簿にいない",IF(OR(COUNTIF($H$2:$H$451,H142)&gt;1,COUNTIF(振り分け!$S$7:$S$456,H142)&gt;1),"同姓同名あり（手入力してください）","OK"))))</f>
        <v/>
      </c>
      <c r="G142" s="44">
        <f>IF(D142="","",IF(E142&lt;&gt;"",E142,IF(F142&lt;&gt;"OK","",IF(INDEX(振り分け!$L$7:$L$456,I142)="","未決定",INDEX(振り分け!$L$7:$L$456,I142)))))</f>
        <v/>
      </c>
      <c r="H142" s="8">
        <f>IF(D142="","",A142&amp;"|"&amp;SUBSTITUTE(SUBSTITUTE(D142," ",""),"　",""))</f>
        <v/>
      </c>
      <c r="I142" s="8">
        <f>IF(H142="","",IFERROR(MATCH(H142,振り分け!$S$7:$S$456,0),""))</f>
        <v/>
      </c>
      <c r="J142" s="8">
        <f>IF(D142="","",IFERROR(MATCH(A142&amp;"-"&amp;B142,設定!$Z$8:$Z$31,0),99)*1000+C142+ROW()/1000000)</f>
        <v/>
      </c>
      <c r="K142" s="8">
        <f>IF(D142="","",IFERROR(INDEX(設定!$L$8:$L$31,MATCH(A142&amp;"-"&amp;B142,設定!$Z$8:$Z$31,0)),A142&amp;B142))</f>
        <v/>
      </c>
    </row>
    <row r="143">
      <c r="A143" s="40" t="n">
        <v>5</v>
      </c>
      <c r="B143" s="40" t="inlineStr">
        <is>
          <t>松</t>
        </is>
      </c>
      <c r="C143" s="40" t="n">
        <v>21</v>
      </c>
      <c r="D143" s="41" t="inlineStr">
        <is>
          <t>渡辺　湊</t>
        </is>
      </c>
      <c r="E143" s="40" t="n"/>
      <c r="F143" s="45">
        <f>IF(D143="","",IF(E143&lt;&gt;"","手入力",IF(I143="","前年度名簿にいない",IF(OR(COUNTIF($H$2:$H$451,H143)&gt;1,COUNTIF(振り分け!$S$7:$S$456,H143)&gt;1),"同姓同名あり（手入力してください）","OK"))))</f>
        <v/>
      </c>
      <c r="G143" s="44">
        <f>IF(D143="","",IF(E143&lt;&gt;"",E143,IF(F143&lt;&gt;"OK","",IF(INDEX(振り分け!$L$7:$L$456,I143)="","未決定",INDEX(振り分け!$L$7:$L$456,I143)))))</f>
        <v/>
      </c>
      <c r="H143" s="8">
        <f>IF(D143="","",A143&amp;"|"&amp;SUBSTITUTE(SUBSTITUTE(D143," ",""),"　",""))</f>
        <v/>
      </c>
      <c r="I143" s="8">
        <f>IF(H143="","",IFERROR(MATCH(H143,振り分け!$S$7:$S$456,0),""))</f>
        <v/>
      </c>
      <c r="J143" s="8">
        <f>IF(D143="","",IFERROR(MATCH(A143&amp;"-"&amp;B143,設定!$Z$8:$Z$31,0),99)*1000+C143+ROW()/1000000)</f>
        <v/>
      </c>
      <c r="K143" s="8">
        <f>IF(D143="","",IFERROR(INDEX(設定!$L$8:$L$31,MATCH(A143&amp;"-"&amp;B143,設定!$Z$8:$Z$31,0)),A143&amp;B143))</f>
        <v/>
      </c>
    </row>
    <row r="144">
      <c r="A144" s="40" t="n">
        <v>5</v>
      </c>
      <c r="B144" s="40" t="inlineStr">
        <is>
          <t>松</t>
        </is>
      </c>
      <c r="C144" s="40" t="n">
        <v>22</v>
      </c>
      <c r="D144" s="41" t="inlineStr">
        <is>
          <t>山本　大翔</t>
        </is>
      </c>
      <c r="E144" s="40" t="n"/>
      <c r="F144" s="45">
        <f>IF(D144="","",IF(E144&lt;&gt;"","手入力",IF(I144="","前年度名簿にいない",IF(OR(COUNTIF($H$2:$H$451,H144)&gt;1,COUNTIF(振り分け!$S$7:$S$456,H144)&gt;1),"同姓同名あり（手入力してください）","OK"))))</f>
        <v/>
      </c>
      <c r="G144" s="44">
        <f>IF(D144="","",IF(E144&lt;&gt;"",E144,IF(F144&lt;&gt;"OK","",IF(INDEX(振り分け!$L$7:$L$456,I144)="","未決定",INDEX(振り分け!$L$7:$L$456,I144)))))</f>
        <v/>
      </c>
      <c r="H144" s="8">
        <f>IF(D144="","",A144&amp;"|"&amp;SUBSTITUTE(SUBSTITUTE(D144," ",""),"　",""))</f>
        <v/>
      </c>
      <c r="I144" s="8">
        <f>IF(H144="","",IFERROR(MATCH(H144,振り分け!$S$7:$S$456,0),""))</f>
        <v/>
      </c>
      <c r="J144" s="8">
        <f>IF(D144="","",IFERROR(MATCH(A144&amp;"-"&amp;B144,設定!$Z$8:$Z$31,0),99)*1000+C144+ROW()/1000000)</f>
        <v/>
      </c>
      <c r="K144" s="8">
        <f>IF(D144="","",IFERROR(INDEX(設定!$L$8:$L$31,MATCH(A144&amp;"-"&amp;B144,設定!$Z$8:$Z$31,0)),A144&amp;B144))</f>
        <v/>
      </c>
    </row>
    <row r="145">
      <c r="A145" s="40" t="n">
        <v>5</v>
      </c>
      <c r="B145" s="40" t="inlineStr">
        <is>
          <t>松</t>
        </is>
      </c>
      <c r="C145" s="40" t="n">
        <v>23</v>
      </c>
      <c r="D145" s="41" t="inlineStr">
        <is>
          <t>山口　葵</t>
        </is>
      </c>
      <c r="E145" s="40" t="n"/>
      <c r="F145" s="45">
        <f>IF(D145="","",IF(E145&lt;&gt;"","手入力",IF(I145="","前年度名簿にいない",IF(OR(COUNTIF($H$2:$H$451,H145)&gt;1,COUNTIF(振り分け!$S$7:$S$456,H145)&gt;1),"同姓同名あり（手入力してください）","OK"))))</f>
        <v/>
      </c>
      <c r="G145" s="44">
        <f>IF(D145="","",IF(E145&lt;&gt;"",E145,IF(F145&lt;&gt;"OK","",IF(INDEX(振り分け!$L$7:$L$456,I145)="","未決定",INDEX(振り分け!$L$7:$L$456,I145)))))</f>
        <v/>
      </c>
      <c r="H145" s="8">
        <f>IF(D145="","",A145&amp;"|"&amp;SUBSTITUTE(SUBSTITUTE(D145," ",""),"　",""))</f>
        <v/>
      </c>
      <c r="I145" s="8">
        <f>IF(H145="","",IFERROR(MATCH(H145,振り分け!$S$7:$S$456,0),""))</f>
        <v/>
      </c>
      <c r="J145" s="8">
        <f>IF(D145="","",IFERROR(MATCH(A145&amp;"-"&amp;B145,設定!$Z$8:$Z$31,0),99)*1000+C145+ROW()/1000000)</f>
        <v/>
      </c>
      <c r="K145" s="8">
        <f>IF(D145="","",IFERROR(INDEX(設定!$L$8:$L$31,MATCH(A145&amp;"-"&amp;B145,設定!$Z$8:$Z$31,0)),A145&amp;B145))</f>
        <v/>
      </c>
    </row>
    <row r="146">
      <c r="A146" s="40" t="n">
        <v>5</v>
      </c>
      <c r="B146" s="40" t="inlineStr">
        <is>
          <t>松</t>
        </is>
      </c>
      <c r="C146" s="40" t="n">
        <v>24</v>
      </c>
      <c r="D146" s="41" t="inlineStr">
        <is>
          <t>池田　航</t>
        </is>
      </c>
      <c r="E146" s="40" t="n"/>
      <c r="F146" s="45">
        <f>IF(D146="","",IF(E146&lt;&gt;"","手入力",IF(I146="","前年度名簿にいない",IF(OR(COUNTIF($H$2:$H$451,H146)&gt;1,COUNTIF(振り分け!$S$7:$S$456,H146)&gt;1),"同姓同名あり（手入力してください）","OK"))))</f>
        <v/>
      </c>
      <c r="G146" s="44">
        <f>IF(D146="","",IF(E146&lt;&gt;"",E146,IF(F146&lt;&gt;"OK","",IF(INDEX(振り分け!$L$7:$L$456,I146)="","未決定",INDEX(振り分け!$L$7:$L$456,I146)))))</f>
        <v/>
      </c>
      <c r="H146" s="8">
        <f>IF(D146="","",A146&amp;"|"&amp;SUBSTITUTE(SUBSTITUTE(D146," ",""),"　",""))</f>
        <v/>
      </c>
      <c r="I146" s="8">
        <f>IF(H146="","",IFERROR(MATCH(H146,振り分け!$S$7:$S$456,0),""))</f>
        <v/>
      </c>
      <c r="J146" s="8">
        <f>IF(D146="","",IFERROR(MATCH(A146&amp;"-"&amp;B146,設定!$Z$8:$Z$31,0),99)*1000+C146+ROW()/1000000)</f>
        <v/>
      </c>
      <c r="K146" s="8">
        <f>IF(D146="","",IFERROR(INDEX(設定!$L$8:$L$31,MATCH(A146&amp;"-"&amp;B146,設定!$Z$8:$Z$31,0)),A146&amp;B146))</f>
        <v/>
      </c>
    </row>
    <row r="147">
      <c r="A147" s="40" t="n">
        <v>5</v>
      </c>
      <c r="B147" s="40" t="inlineStr">
        <is>
          <t>松</t>
        </is>
      </c>
      <c r="C147" s="40" t="n">
        <v>25</v>
      </c>
      <c r="D147" s="41" t="inlineStr">
        <is>
          <t>遠藤　蓮</t>
        </is>
      </c>
      <c r="E147" s="40" t="n"/>
      <c r="F147" s="45">
        <f>IF(D147="","",IF(E147&lt;&gt;"","手入力",IF(I147="","前年度名簿にいない",IF(OR(COUNTIF($H$2:$H$451,H147)&gt;1,COUNTIF(振り分け!$S$7:$S$456,H147)&gt;1),"同姓同名あり（手入力してください）","OK"))))</f>
        <v/>
      </c>
      <c r="G147" s="44">
        <f>IF(D147="","",IF(E147&lt;&gt;"",E147,IF(F147&lt;&gt;"OK","",IF(INDEX(振り分け!$L$7:$L$456,I147)="","未決定",INDEX(振り分け!$L$7:$L$456,I147)))))</f>
        <v/>
      </c>
      <c r="H147" s="8">
        <f>IF(D147="","",A147&amp;"|"&amp;SUBSTITUTE(SUBSTITUTE(D147," ",""),"　",""))</f>
        <v/>
      </c>
      <c r="I147" s="8">
        <f>IF(H147="","",IFERROR(MATCH(H147,振り分け!$S$7:$S$456,0),""))</f>
        <v/>
      </c>
      <c r="J147" s="8">
        <f>IF(D147="","",IFERROR(MATCH(A147&amp;"-"&amp;B147,設定!$Z$8:$Z$31,0),99)*1000+C147+ROW()/1000000)</f>
        <v/>
      </c>
      <c r="K147" s="8">
        <f>IF(D147="","",IFERROR(INDEX(設定!$L$8:$L$31,MATCH(A147&amp;"-"&amp;B147,設定!$Z$8:$Z$31,0)),A147&amp;B147))</f>
        <v/>
      </c>
    </row>
    <row r="148">
      <c r="A148" s="40" t="n">
        <v>5</v>
      </c>
      <c r="B148" s="40" t="inlineStr">
        <is>
          <t>松</t>
        </is>
      </c>
      <c r="C148" s="40" t="n">
        <v>26</v>
      </c>
      <c r="D148" s="41" t="inlineStr">
        <is>
          <t>遠藤　琴音</t>
        </is>
      </c>
      <c r="E148" s="40" t="n"/>
      <c r="F148" s="45">
        <f>IF(D148="","",IF(E148&lt;&gt;"","手入力",IF(I148="","前年度名簿にいない",IF(OR(COUNTIF($H$2:$H$451,H148)&gt;1,COUNTIF(振り分け!$S$7:$S$456,H148)&gt;1),"同姓同名あり（手入力してください）","OK"))))</f>
        <v/>
      </c>
      <c r="G148" s="44">
        <f>IF(D148="","",IF(E148&lt;&gt;"",E148,IF(F148&lt;&gt;"OK","",IF(INDEX(振り分け!$L$7:$L$456,I148)="","未決定",INDEX(振り分け!$L$7:$L$456,I148)))))</f>
        <v/>
      </c>
      <c r="H148" s="8">
        <f>IF(D148="","",A148&amp;"|"&amp;SUBSTITUTE(SUBSTITUTE(D148," ",""),"　",""))</f>
        <v/>
      </c>
      <c r="I148" s="8">
        <f>IF(H148="","",IFERROR(MATCH(H148,振り分け!$S$7:$S$456,0),""))</f>
        <v/>
      </c>
      <c r="J148" s="8">
        <f>IF(D148="","",IFERROR(MATCH(A148&amp;"-"&amp;B148,設定!$Z$8:$Z$31,0),99)*1000+C148+ROW()/1000000)</f>
        <v/>
      </c>
      <c r="K148" s="8">
        <f>IF(D148="","",IFERROR(INDEX(設定!$L$8:$L$31,MATCH(A148&amp;"-"&amp;B148,設定!$Z$8:$Z$31,0)),A148&amp;B148))</f>
        <v/>
      </c>
    </row>
    <row r="149">
      <c r="A149" s="40" t="n">
        <v>5</v>
      </c>
      <c r="B149" s="40" t="inlineStr">
        <is>
          <t>松</t>
        </is>
      </c>
      <c r="C149" s="40" t="n">
        <v>27</v>
      </c>
      <c r="D149" s="41" t="inlineStr">
        <is>
          <t>山田　花音</t>
        </is>
      </c>
      <c r="E149" s="40" t="n"/>
      <c r="F149" s="45">
        <f>IF(D149="","",IF(E149&lt;&gt;"","手入力",IF(I149="","前年度名簿にいない",IF(OR(COUNTIF($H$2:$H$451,H149)&gt;1,COUNTIF(振り分け!$S$7:$S$456,H149)&gt;1),"同姓同名あり（手入力してください）","OK"))))</f>
        <v/>
      </c>
      <c r="G149" s="44">
        <f>IF(D149="","",IF(E149&lt;&gt;"",E149,IF(F149&lt;&gt;"OK","",IF(INDEX(振り分け!$L$7:$L$456,I149)="","未決定",INDEX(振り分け!$L$7:$L$456,I149)))))</f>
        <v/>
      </c>
      <c r="H149" s="8">
        <f>IF(D149="","",A149&amp;"|"&amp;SUBSTITUTE(SUBSTITUTE(D149," ",""),"　",""))</f>
        <v/>
      </c>
      <c r="I149" s="8">
        <f>IF(H149="","",IFERROR(MATCH(H149,振り分け!$S$7:$S$456,0),""))</f>
        <v/>
      </c>
      <c r="J149" s="8">
        <f>IF(D149="","",IFERROR(MATCH(A149&amp;"-"&amp;B149,設定!$Z$8:$Z$31,0),99)*1000+C149+ROW()/1000000)</f>
        <v/>
      </c>
      <c r="K149" s="8">
        <f>IF(D149="","",IFERROR(INDEX(設定!$L$8:$L$31,MATCH(A149&amp;"-"&amp;B149,設定!$Z$8:$Z$31,0)),A149&amp;B149))</f>
        <v/>
      </c>
    </row>
    <row r="150">
      <c r="A150" s="40" t="n">
        <v>5</v>
      </c>
      <c r="B150" s="40" t="inlineStr">
        <is>
          <t>松</t>
        </is>
      </c>
      <c r="C150" s="40" t="n">
        <v>28</v>
      </c>
      <c r="D150" s="41" t="inlineStr">
        <is>
          <t>西村　杏</t>
        </is>
      </c>
      <c r="E150" s="40" t="n"/>
      <c r="F150" s="45">
        <f>IF(D150="","",IF(E150&lt;&gt;"","手入力",IF(I150="","前年度名簿にいない",IF(OR(COUNTIF($H$2:$H$451,H150)&gt;1,COUNTIF(振り分け!$S$7:$S$456,H150)&gt;1),"同姓同名あり（手入力してください）","OK"))))</f>
        <v/>
      </c>
      <c r="G150" s="44">
        <f>IF(D150="","",IF(E150&lt;&gt;"",E150,IF(F150&lt;&gt;"OK","",IF(INDEX(振り分け!$L$7:$L$456,I150)="","未決定",INDEX(振り分け!$L$7:$L$456,I150)))))</f>
        <v/>
      </c>
      <c r="H150" s="8">
        <f>IF(D150="","",A150&amp;"|"&amp;SUBSTITUTE(SUBSTITUTE(D150," ",""),"　",""))</f>
        <v/>
      </c>
      <c r="I150" s="8">
        <f>IF(H150="","",IFERROR(MATCH(H150,振り分け!$S$7:$S$456,0),""))</f>
        <v/>
      </c>
      <c r="J150" s="8">
        <f>IF(D150="","",IFERROR(MATCH(A150&amp;"-"&amp;B150,設定!$Z$8:$Z$31,0),99)*1000+C150+ROW()/1000000)</f>
        <v/>
      </c>
      <c r="K150" s="8">
        <f>IF(D150="","",IFERROR(INDEX(設定!$L$8:$L$31,MATCH(A150&amp;"-"&amp;B150,設定!$Z$8:$Z$31,0)),A150&amp;B150))</f>
        <v/>
      </c>
    </row>
    <row r="151">
      <c r="A151" s="40" t="n">
        <v>5</v>
      </c>
      <c r="B151" s="40" t="inlineStr">
        <is>
          <t>松</t>
        </is>
      </c>
      <c r="C151" s="40" t="n">
        <v>29</v>
      </c>
      <c r="D151" s="41" t="inlineStr">
        <is>
          <t>坂本　颯太</t>
        </is>
      </c>
      <c r="E151" s="40" t="n"/>
      <c r="F151" s="45">
        <f>IF(D151="","",IF(E151&lt;&gt;"","手入力",IF(I151="","前年度名簿にいない",IF(OR(COUNTIF($H$2:$H$451,H151)&gt;1,COUNTIF(振り分け!$S$7:$S$456,H151)&gt;1),"同姓同名あり（手入力してください）","OK"))))</f>
        <v/>
      </c>
      <c r="G151" s="44">
        <f>IF(D151="","",IF(E151&lt;&gt;"",E151,IF(F151&lt;&gt;"OK","",IF(INDEX(振り分け!$L$7:$L$456,I151)="","未決定",INDEX(振り分け!$L$7:$L$456,I151)))))</f>
        <v/>
      </c>
      <c r="H151" s="8">
        <f>IF(D151="","",A151&amp;"|"&amp;SUBSTITUTE(SUBSTITUTE(D151," ",""),"　",""))</f>
        <v/>
      </c>
      <c r="I151" s="8">
        <f>IF(H151="","",IFERROR(MATCH(H151,振り分け!$S$7:$S$456,0),""))</f>
        <v/>
      </c>
      <c r="J151" s="8">
        <f>IF(D151="","",IFERROR(MATCH(A151&amp;"-"&amp;B151,設定!$Z$8:$Z$31,0),99)*1000+C151+ROW()/1000000)</f>
        <v/>
      </c>
      <c r="K151" s="8">
        <f>IF(D151="","",IFERROR(INDEX(設定!$L$8:$L$31,MATCH(A151&amp;"-"&amp;B151,設定!$Z$8:$Z$31,0)),A151&amp;B151))</f>
        <v/>
      </c>
    </row>
    <row r="152">
      <c r="A152" s="40" t="n">
        <v>5</v>
      </c>
      <c r="B152" s="40" t="inlineStr">
        <is>
          <t>松</t>
        </is>
      </c>
      <c r="C152" s="40" t="n">
        <v>30</v>
      </c>
      <c r="D152" s="41" t="inlineStr">
        <is>
          <t>阿部　葵</t>
        </is>
      </c>
      <c r="E152" s="40" t="n"/>
      <c r="F152" s="45">
        <f>IF(D152="","",IF(E152&lt;&gt;"","手入力",IF(I152="","前年度名簿にいない",IF(OR(COUNTIF($H$2:$H$451,H152)&gt;1,COUNTIF(振り分け!$S$7:$S$456,H152)&gt;1),"同姓同名あり（手入力してください）","OK"))))</f>
        <v/>
      </c>
      <c r="G152" s="44">
        <f>IF(D152="","",IF(E152&lt;&gt;"",E152,IF(F152&lt;&gt;"OK","",IF(INDEX(振り分け!$L$7:$L$456,I152)="","未決定",INDEX(振り分け!$L$7:$L$456,I152)))))</f>
        <v/>
      </c>
      <c r="H152" s="8">
        <f>IF(D152="","",A152&amp;"|"&amp;SUBSTITUTE(SUBSTITUTE(D152," ",""),"　",""))</f>
        <v/>
      </c>
      <c r="I152" s="8">
        <f>IF(H152="","",IFERROR(MATCH(H152,振り分け!$S$7:$S$456,0),""))</f>
        <v/>
      </c>
      <c r="J152" s="8">
        <f>IF(D152="","",IFERROR(MATCH(A152&amp;"-"&amp;B152,設定!$Z$8:$Z$31,0),99)*1000+C152+ROW()/1000000)</f>
        <v/>
      </c>
      <c r="K152" s="8">
        <f>IF(D152="","",IFERROR(INDEX(設定!$L$8:$L$31,MATCH(A152&amp;"-"&amp;B152,設定!$Z$8:$Z$31,0)),A152&amp;B152))</f>
        <v/>
      </c>
    </row>
    <row r="153">
      <c r="A153" s="40" t="n">
        <v>5</v>
      </c>
      <c r="B153" s="40" t="inlineStr">
        <is>
          <t>竹</t>
        </is>
      </c>
      <c r="C153" s="40" t="n">
        <v>1</v>
      </c>
      <c r="D153" s="41" t="inlineStr">
        <is>
          <t>高橋　晴</t>
        </is>
      </c>
      <c r="E153" s="40" t="n"/>
      <c r="F153" s="45">
        <f>IF(D153="","",IF(E153&lt;&gt;"","手入力",IF(I153="","前年度名簿にいない",IF(OR(COUNTIF($H$2:$H$451,H153)&gt;1,COUNTIF(振り分け!$S$7:$S$456,H153)&gt;1),"同姓同名あり（手入力してください）","OK"))))</f>
        <v/>
      </c>
      <c r="G153" s="44">
        <f>IF(D153="","",IF(E153&lt;&gt;"",E153,IF(F153&lt;&gt;"OK","",IF(INDEX(振り分け!$L$7:$L$456,I153)="","未決定",INDEX(振り分け!$L$7:$L$456,I153)))))</f>
        <v/>
      </c>
      <c r="H153" s="8">
        <f>IF(D153="","",A153&amp;"|"&amp;SUBSTITUTE(SUBSTITUTE(D153," ",""),"　",""))</f>
        <v/>
      </c>
      <c r="I153" s="8">
        <f>IF(H153="","",IFERROR(MATCH(H153,振り分け!$S$7:$S$456,0),""))</f>
        <v/>
      </c>
      <c r="J153" s="8">
        <f>IF(D153="","",IFERROR(MATCH(A153&amp;"-"&amp;B153,設定!$Z$8:$Z$31,0),99)*1000+C153+ROW()/1000000)</f>
        <v/>
      </c>
      <c r="K153" s="8">
        <f>IF(D153="","",IFERROR(INDEX(設定!$L$8:$L$31,MATCH(A153&amp;"-"&amp;B153,設定!$Z$8:$Z$31,0)),A153&amp;B153))</f>
        <v/>
      </c>
    </row>
    <row r="154">
      <c r="A154" s="40" t="n">
        <v>5</v>
      </c>
      <c r="B154" s="40" t="inlineStr">
        <is>
          <t>竹</t>
        </is>
      </c>
      <c r="C154" s="40" t="n">
        <v>2</v>
      </c>
      <c r="D154" s="41" t="inlineStr">
        <is>
          <t>森　美月</t>
        </is>
      </c>
      <c r="E154" s="40" t="n"/>
      <c r="F154" s="45">
        <f>IF(D154="","",IF(E154&lt;&gt;"","手入力",IF(I154="","前年度名簿にいない",IF(OR(COUNTIF($H$2:$H$451,H154)&gt;1,COUNTIF(振り分け!$S$7:$S$456,H154)&gt;1),"同姓同名あり（手入力してください）","OK"))))</f>
        <v/>
      </c>
      <c r="G154" s="44">
        <f>IF(D154="","",IF(E154&lt;&gt;"",E154,IF(F154&lt;&gt;"OK","",IF(INDEX(振り分け!$L$7:$L$456,I154)="","未決定",INDEX(振り分け!$L$7:$L$456,I154)))))</f>
        <v/>
      </c>
      <c r="H154" s="8">
        <f>IF(D154="","",A154&amp;"|"&amp;SUBSTITUTE(SUBSTITUTE(D154," ",""),"　",""))</f>
        <v/>
      </c>
      <c r="I154" s="8">
        <f>IF(H154="","",IFERROR(MATCH(H154,振り分け!$S$7:$S$456,0),""))</f>
        <v/>
      </c>
      <c r="J154" s="8">
        <f>IF(D154="","",IFERROR(MATCH(A154&amp;"-"&amp;B154,設定!$Z$8:$Z$31,0),99)*1000+C154+ROW()/1000000)</f>
        <v/>
      </c>
      <c r="K154" s="8">
        <f>IF(D154="","",IFERROR(INDEX(設定!$L$8:$L$31,MATCH(A154&amp;"-"&amp;B154,設定!$Z$8:$Z$31,0)),A154&amp;B154))</f>
        <v/>
      </c>
    </row>
    <row r="155">
      <c r="A155" s="40" t="n">
        <v>5</v>
      </c>
      <c r="B155" s="40" t="inlineStr">
        <is>
          <t>竹</t>
        </is>
      </c>
      <c r="C155" s="40" t="n">
        <v>3</v>
      </c>
      <c r="D155" s="41" t="inlineStr">
        <is>
          <t>竹内　莉子</t>
        </is>
      </c>
      <c r="E155" s="40" t="n"/>
      <c r="F155" s="45">
        <f>IF(D155="","",IF(E155&lt;&gt;"","手入力",IF(I155="","前年度名簿にいない",IF(OR(COUNTIF($H$2:$H$451,H155)&gt;1,COUNTIF(振り分け!$S$7:$S$456,H155)&gt;1),"同姓同名あり（手入力してください）","OK"))))</f>
        <v/>
      </c>
      <c r="G155" s="44">
        <f>IF(D155="","",IF(E155&lt;&gt;"",E155,IF(F155&lt;&gt;"OK","",IF(INDEX(振り分け!$L$7:$L$456,I155)="","未決定",INDEX(振り分け!$L$7:$L$456,I155)))))</f>
        <v/>
      </c>
      <c r="H155" s="8">
        <f>IF(D155="","",A155&amp;"|"&amp;SUBSTITUTE(SUBSTITUTE(D155," ",""),"　",""))</f>
        <v/>
      </c>
      <c r="I155" s="8">
        <f>IF(H155="","",IFERROR(MATCH(H155,振り分け!$S$7:$S$456,0),""))</f>
        <v/>
      </c>
      <c r="J155" s="8">
        <f>IF(D155="","",IFERROR(MATCH(A155&amp;"-"&amp;B155,設定!$Z$8:$Z$31,0),99)*1000+C155+ROW()/1000000)</f>
        <v/>
      </c>
      <c r="K155" s="8">
        <f>IF(D155="","",IFERROR(INDEX(設定!$L$8:$L$31,MATCH(A155&amp;"-"&amp;B155,設定!$Z$8:$Z$31,0)),A155&amp;B155))</f>
        <v/>
      </c>
    </row>
    <row r="156">
      <c r="A156" s="40" t="n">
        <v>5</v>
      </c>
      <c r="B156" s="40" t="inlineStr">
        <is>
          <t>竹</t>
        </is>
      </c>
      <c r="C156" s="40" t="n">
        <v>4</v>
      </c>
      <c r="D156" s="41" t="inlineStr">
        <is>
          <t>鈴木　杏</t>
        </is>
      </c>
      <c r="E156" s="40" t="n"/>
      <c r="F156" s="45">
        <f>IF(D156="","",IF(E156&lt;&gt;"","手入力",IF(I156="","前年度名簿にいない",IF(OR(COUNTIF($H$2:$H$451,H156)&gt;1,COUNTIF(振り分け!$S$7:$S$456,H156)&gt;1),"同姓同名あり（手入力してください）","OK"))))</f>
        <v/>
      </c>
      <c r="G156" s="44">
        <f>IF(D156="","",IF(E156&lt;&gt;"",E156,IF(F156&lt;&gt;"OK","",IF(INDEX(振り分け!$L$7:$L$456,I156)="","未決定",INDEX(振り分け!$L$7:$L$456,I156)))))</f>
        <v/>
      </c>
      <c r="H156" s="8">
        <f>IF(D156="","",A156&amp;"|"&amp;SUBSTITUTE(SUBSTITUTE(D156," ",""),"　",""))</f>
        <v/>
      </c>
      <c r="I156" s="8">
        <f>IF(H156="","",IFERROR(MATCH(H156,振り分け!$S$7:$S$456,0),""))</f>
        <v/>
      </c>
      <c r="J156" s="8">
        <f>IF(D156="","",IFERROR(MATCH(A156&amp;"-"&amp;B156,設定!$Z$8:$Z$31,0),99)*1000+C156+ROW()/1000000)</f>
        <v/>
      </c>
      <c r="K156" s="8">
        <f>IF(D156="","",IFERROR(INDEX(設定!$L$8:$L$31,MATCH(A156&amp;"-"&amp;B156,設定!$Z$8:$Z$31,0)),A156&amp;B156))</f>
        <v/>
      </c>
    </row>
    <row r="157">
      <c r="A157" s="40" t="n">
        <v>5</v>
      </c>
      <c r="B157" s="40" t="inlineStr">
        <is>
          <t>竹</t>
        </is>
      </c>
      <c r="C157" s="40" t="n">
        <v>5</v>
      </c>
      <c r="D157" s="41" t="inlineStr">
        <is>
          <t>加藤　彩花</t>
        </is>
      </c>
      <c r="E157" s="40" t="n"/>
      <c r="F157" s="45">
        <f>IF(D157="","",IF(E157&lt;&gt;"","手入力",IF(I157="","前年度名簿にいない",IF(OR(COUNTIF($H$2:$H$451,H157)&gt;1,COUNTIF(振り分け!$S$7:$S$456,H157)&gt;1),"同姓同名あり（手入力してください）","OK"))))</f>
        <v/>
      </c>
      <c r="G157" s="44">
        <f>IF(D157="","",IF(E157&lt;&gt;"",E157,IF(F157&lt;&gt;"OK","",IF(INDEX(振り分け!$L$7:$L$456,I157)="","未決定",INDEX(振り分け!$L$7:$L$456,I157)))))</f>
        <v/>
      </c>
      <c r="H157" s="8">
        <f>IF(D157="","",A157&amp;"|"&amp;SUBSTITUTE(SUBSTITUTE(D157," ",""),"　",""))</f>
        <v/>
      </c>
      <c r="I157" s="8">
        <f>IF(H157="","",IFERROR(MATCH(H157,振り分け!$S$7:$S$456,0),""))</f>
        <v/>
      </c>
      <c r="J157" s="8">
        <f>IF(D157="","",IFERROR(MATCH(A157&amp;"-"&amp;B157,設定!$Z$8:$Z$31,0),99)*1000+C157+ROW()/1000000)</f>
        <v/>
      </c>
      <c r="K157" s="8">
        <f>IF(D157="","",IFERROR(INDEX(設定!$L$8:$L$31,MATCH(A157&amp;"-"&amp;B157,設定!$Z$8:$Z$31,0)),A157&amp;B157))</f>
        <v/>
      </c>
    </row>
    <row r="158">
      <c r="A158" s="40" t="n">
        <v>5</v>
      </c>
      <c r="B158" s="40" t="inlineStr">
        <is>
          <t>竹</t>
        </is>
      </c>
      <c r="C158" s="40" t="n">
        <v>6</v>
      </c>
      <c r="D158" s="41" t="inlineStr">
        <is>
          <t>山崎　美咲</t>
        </is>
      </c>
      <c r="E158" s="40" t="n"/>
      <c r="F158" s="45">
        <f>IF(D158="","",IF(E158&lt;&gt;"","手入力",IF(I158="","前年度名簿にいない",IF(OR(COUNTIF($H$2:$H$451,H158)&gt;1,COUNTIF(振り分け!$S$7:$S$456,H158)&gt;1),"同姓同名あり（手入力してください）","OK"))))</f>
        <v/>
      </c>
      <c r="G158" s="44">
        <f>IF(D158="","",IF(E158&lt;&gt;"",E158,IF(F158&lt;&gt;"OK","",IF(INDEX(振り分け!$L$7:$L$456,I158)="","未決定",INDEX(振り分け!$L$7:$L$456,I158)))))</f>
        <v/>
      </c>
      <c r="H158" s="8">
        <f>IF(D158="","",A158&amp;"|"&amp;SUBSTITUTE(SUBSTITUTE(D158," ",""),"　",""))</f>
        <v/>
      </c>
      <c r="I158" s="8">
        <f>IF(H158="","",IFERROR(MATCH(H158,振り分け!$S$7:$S$456,0),""))</f>
        <v/>
      </c>
      <c r="J158" s="8">
        <f>IF(D158="","",IFERROR(MATCH(A158&amp;"-"&amp;B158,設定!$Z$8:$Z$31,0),99)*1000+C158+ROW()/1000000)</f>
        <v/>
      </c>
      <c r="K158" s="8">
        <f>IF(D158="","",IFERROR(INDEX(設定!$L$8:$L$31,MATCH(A158&amp;"-"&amp;B158,設定!$Z$8:$Z$31,0)),A158&amp;B158))</f>
        <v/>
      </c>
    </row>
    <row r="159">
      <c r="A159" s="40" t="n">
        <v>5</v>
      </c>
      <c r="B159" s="40" t="inlineStr">
        <is>
          <t>竹</t>
        </is>
      </c>
      <c r="C159" s="40" t="n">
        <v>7</v>
      </c>
      <c r="D159" s="41" t="inlineStr">
        <is>
          <t>原田　悠人</t>
        </is>
      </c>
      <c r="E159" s="40" t="n"/>
      <c r="F159" s="45">
        <f>IF(D159="","",IF(E159&lt;&gt;"","手入力",IF(I159="","前年度名簿にいない",IF(OR(COUNTIF($H$2:$H$451,H159)&gt;1,COUNTIF(振り分け!$S$7:$S$456,H159)&gt;1),"同姓同名あり（手入力してください）","OK"))))</f>
        <v/>
      </c>
      <c r="G159" s="44">
        <f>IF(D159="","",IF(E159&lt;&gt;"",E159,IF(F159&lt;&gt;"OK","",IF(INDEX(振り分け!$L$7:$L$456,I159)="","未決定",INDEX(振り分け!$L$7:$L$456,I159)))))</f>
        <v/>
      </c>
      <c r="H159" s="8">
        <f>IF(D159="","",A159&amp;"|"&amp;SUBSTITUTE(SUBSTITUTE(D159," ",""),"　",""))</f>
        <v/>
      </c>
      <c r="I159" s="8">
        <f>IF(H159="","",IFERROR(MATCH(H159,振り分け!$S$7:$S$456,0),""))</f>
        <v/>
      </c>
      <c r="J159" s="8">
        <f>IF(D159="","",IFERROR(MATCH(A159&amp;"-"&amp;B159,設定!$Z$8:$Z$31,0),99)*1000+C159+ROW()/1000000)</f>
        <v/>
      </c>
      <c r="K159" s="8">
        <f>IF(D159="","",IFERROR(INDEX(設定!$L$8:$L$31,MATCH(A159&amp;"-"&amp;B159,設定!$Z$8:$Z$31,0)),A159&amp;B159))</f>
        <v/>
      </c>
    </row>
    <row r="160">
      <c r="A160" s="40" t="n">
        <v>5</v>
      </c>
      <c r="B160" s="40" t="inlineStr">
        <is>
          <t>竹</t>
        </is>
      </c>
      <c r="C160" s="40" t="n">
        <v>8</v>
      </c>
      <c r="D160" s="41" t="inlineStr">
        <is>
          <t>田中　大翔</t>
        </is>
      </c>
      <c r="E160" s="40" t="n"/>
      <c r="F160" s="45">
        <f>IF(D160="","",IF(E160&lt;&gt;"","手入力",IF(I160="","前年度名簿にいない",IF(OR(COUNTIF($H$2:$H$451,H160)&gt;1,COUNTIF(振り分け!$S$7:$S$456,H160)&gt;1),"同姓同名あり（手入力してください）","OK"))))</f>
        <v/>
      </c>
      <c r="G160" s="44">
        <f>IF(D160="","",IF(E160&lt;&gt;"",E160,IF(F160&lt;&gt;"OK","",IF(INDEX(振り分け!$L$7:$L$456,I160)="","未決定",INDEX(振り分け!$L$7:$L$456,I160)))))</f>
        <v/>
      </c>
      <c r="H160" s="8">
        <f>IF(D160="","",A160&amp;"|"&amp;SUBSTITUTE(SUBSTITUTE(D160," ",""),"　",""))</f>
        <v/>
      </c>
      <c r="I160" s="8">
        <f>IF(H160="","",IFERROR(MATCH(H160,振り分け!$S$7:$S$456,0),""))</f>
        <v/>
      </c>
      <c r="J160" s="8">
        <f>IF(D160="","",IFERROR(MATCH(A160&amp;"-"&amp;B160,設定!$Z$8:$Z$31,0),99)*1000+C160+ROW()/1000000)</f>
        <v/>
      </c>
      <c r="K160" s="8">
        <f>IF(D160="","",IFERROR(INDEX(設定!$L$8:$L$31,MATCH(A160&amp;"-"&amp;B160,設定!$Z$8:$Z$31,0)),A160&amp;B160))</f>
        <v/>
      </c>
    </row>
    <row r="161">
      <c r="A161" s="40" t="n">
        <v>5</v>
      </c>
      <c r="B161" s="40" t="inlineStr">
        <is>
          <t>竹</t>
        </is>
      </c>
      <c r="C161" s="40" t="n">
        <v>9</v>
      </c>
      <c r="D161" s="41" t="inlineStr">
        <is>
          <t>原田　凛</t>
        </is>
      </c>
      <c r="E161" s="40" t="n"/>
      <c r="F161" s="45">
        <f>IF(D161="","",IF(E161&lt;&gt;"","手入力",IF(I161="","前年度名簿にいない",IF(OR(COUNTIF($H$2:$H$451,H161)&gt;1,COUNTIF(振り分け!$S$7:$S$456,H161)&gt;1),"同姓同名あり（手入力してください）","OK"))))</f>
        <v/>
      </c>
      <c r="G161" s="44">
        <f>IF(D161="","",IF(E161&lt;&gt;"",E161,IF(F161&lt;&gt;"OK","",IF(INDEX(振り分け!$L$7:$L$456,I161)="","未決定",INDEX(振り分け!$L$7:$L$456,I161)))))</f>
        <v/>
      </c>
      <c r="H161" s="8">
        <f>IF(D161="","",A161&amp;"|"&amp;SUBSTITUTE(SUBSTITUTE(D161," ",""),"　",""))</f>
        <v/>
      </c>
      <c r="I161" s="8">
        <f>IF(H161="","",IFERROR(MATCH(H161,振り分け!$S$7:$S$456,0),""))</f>
        <v/>
      </c>
      <c r="J161" s="8">
        <f>IF(D161="","",IFERROR(MATCH(A161&amp;"-"&amp;B161,設定!$Z$8:$Z$31,0),99)*1000+C161+ROW()/1000000)</f>
        <v/>
      </c>
      <c r="K161" s="8">
        <f>IF(D161="","",IFERROR(INDEX(設定!$L$8:$L$31,MATCH(A161&amp;"-"&amp;B161,設定!$Z$8:$Z$31,0)),A161&amp;B161))</f>
        <v/>
      </c>
    </row>
    <row r="162">
      <c r="A162" s="40" t="n">
        <v>5</v>
      </c>
      <c r="B162" s="40" t="inlineStr">
        <is>
          <t>竹</t>
        </is>
      </c>
      <c r="C162" s="40" t="n">
        <v>10</v>
      </c>
      <c r="D162" s="41" t="inlineStr">
        <is>
          <t>森　一花</t>
        </is>
      </c>
      <c r="E162" s="40" t="n"/>
      <c r="F162" s="45">
        <f>IF(D162="","",IF(E162&lt;&gt;"","手入力",IF(I162="","前年度名簿にいない",IF(OR(COUNTIF($H$2:$H$451,H162)&gt;1,COUNTIF(振り分け!$S$7:$S$456,H162)&gt;1),"同姓同名あり（手入力してください）","OK"))))</f>
        <v/>
      </c>
      <c r="G162" s="44">
        <f>IF(D162="","",IF(E162&lt;&gt;"",E162,IF(F162&lt;&gt;"OK","",IF(INDEX(振り分け!$L$7:$L$456,I162)="","未決定",INDEX(振り分け!$L$7:$L$456,I162)))))</f>
        <v/>
      </c>
      <c r="H162" s="8">
        <f>IF(D162="","",A162&amp;"|"&amp;SUBSTITUTE(SUBSTITUTE(D162," ",""),"　",""))</f>
        <v/>
      </c>
      <c r="I162" s="8">
        <f>IF(H162="","",IFERROR(MATCH(H162,振り分け!$S$7:$S$456,0),""))</f>
        <v/>
      </c>
      <c r="J162" s="8">
        <f>IF(D162="","",IFERROR(MATCH(A162&amp;"-"&amp;B162,設定!$Z$8:$Z$31,0),99)*1000+C162+ROW()/1000000)</f>
        <v/>
      </c>
      <c r="K162" s="8">
        <f>IF(D162="","",IFERROR(INDEX(設定!$L$8:$L$31,MATCH(A162&amp;"-"&amp;B162,設定!$Z$8:$Z$31,0)),A162&amp;B162))</f>
        <v/>
      </c>
    </row>
    <row r="163">
      <c r="A163" s="40" t="n">
        <v>5</v>
      </c>
      <c r="B163" s="40" t="inlineStr">
        <is>
          <t>竹</t>
        </is>
      </c>
      <c r="C163" s="40" t="n">
        <v>11</v>
      </c>
      <c r="D163" s="41" t="inlineStr">
        <is>
          <t>高橋　美咲</t>
        </is>
      </c>
      <c r="E163" s="40" t="n"/>
      <c r="F163" s="45">
        <f>IF(D163="","",IF(E163&lt;&gt;"","手入力",IF(I163="","前年度名簿にいない",IF(OR(COUNTIF($H$2:$H$451,H163)&gt;1,COUNTIF(振り分け!$S$7:$S$456,H163)&gt;1),"同姓同名あり（手入力してください）","OK"))))</f>
        <v/>
      </c>
      <c r="G163" s="44">
        <f>IF(D163="","",IF(E163&lt;&gt;"",E163,IF(F163&lt;&gt;"OK","",IF(INDEX(振り分け!$L$7:$L$456,I163)="","未決定",INDEX(振り分け!$L$7:$L$456,I163)))))</f>
        <v/>
      </c>
      <c r="H163" s="8">
        <f>IF(D163="","",A163&amp;"|"&amp;SUBSTITUTE(SUBSTITUTE(D163," ",""),"　",""))</f>
        <v/>
      </c>
      <c r="I163" s="8">
        <f>IF(H163="","",IFERROR(MATCH(H163,振り分け!$S$7:$S$456,0),""))</f>
        <v/>
      </c>
      <c r="J163" s="8">
        <f>IF(D163="","",IFERROR(MATCH(A163&amp;"-"&amp;B163,設定!$Z$8:$Z$31,0),99)*1000+C163+ROW()/1000000)</f>
        <v/>
      </c>
      <c r="K163" s="8">
        <f>IF(D163="","",IFERROR(INDEX(設定!$L$8:$L$31,MATCH(A163&amp;"-"&amp;B163,設定!$Z$8:$Z$31,0)),A163&amp;B163))</f>
        <v/>
      </c>
    </row>
    <row r="164">
      <c r="A164" s="40" t="n">
        <v>5</v>
      </c>
      <c r="B164" s="40" t="inlineStr">
        <is>
          <t>竹</t>
        </is>
      </c>
      <c r="C164" s="40" t="n">
        <v>12</v>
      </c>
      <c r="D164" s="41" t="inlineStr">
        <is>
          <t>阿部　大和</t>
        </is>
      </c>
      <c r="E164" s="40" t="n"/>
      <c r="F164" s="45">
        <f>IF(D164="","",IF(E164&lt;&gt;"","手入力",IF(I164="","前年度名簿にいない",IF(OR(COUNTIF($H$2:$H$451,H164)&gt;1,COUNTIF(振り分け!$S$7:$S$456,H164)&gt;1),"同姓同名あり（手入力してください）","OK"))))</f>
        <v/>
      </c>
      <c r="G164" s="44">
        <f>IF(D164="","",IF(E164&lt;&gt;"",E164,IF(F164&lt;&gt;"OK","",IF(INDEX(振り分け!$L$7:$L$456,I164)="","未決定",INDEX(振り分け!$L$7:$L$456,I164)))))</f>
        <v/>
      </c>
      <c r="H164" s="8">
        <f>IF(D164="","",A164&amp;"|"&amp;SUBSTITUTE(SUBSTITUTE(D164," ",""),"　",""))</f>
        <v/>
      </c>
      <c r="I164" s="8">
        <f>IF(H164="","",IFERROR(MATCH(H164,振り分け!$S$7:$S$456,0),""))</f>
        <v/>
      </c>
      <c r="J164" s="8">
        <f>IF(D164="","",IFERROR(MATCH(A164&amp;"-"&amp;B164,設定!$Z$8:$Z$31,0),99)*1000+C164+ROW()/1000000)</f>
        <v/>
      </c>
      <c r="K164" s="8">
        <f>IF(D164="","",IFERROR(INDEX(設定!$L$8:$L$31,MATCH(A164&amp;"-"&amp;B164,設定!$Z$8:$Z$31,0)),A164&amp;B164))</f>
        <v/>
      </c>
    </row>
    <row r="165">
      <c r="A165" s="40" t="n">
        <v>5</v>
      </c>
      <c r="B165" s="40" t="inlineStr">
        <is>
          <t>竹</t>
        </is>
      </c>
      <c r="C165" s="40" t="n">
        <v>13</v>
      </c>
      <c r="D165" s="41" t="inlineStr">
        <is>
          <t>阿部　晴</t>
        </is>
      </c>
      <c r="E165" s="40" t="n"/>
      <c r="F165" s="45">
        <f>IF(D165="","",IF(E165&lt;&gt;"","手入力",IF(I165="","前年度名簿にいない",IF(OR(COUNTIF($H$2:$H$451,H165)&gt;1,COUNTIF(振り分け!$S$7:$S$456,H165)&gt;1),"同姓同名あり（手入力してください）","OK"))))</f>
        <v/>
      </c>
      <c r="G165" s="44">
        <f>IF(D165="","",IF(E165&lt;&gt;"",E165,IF(F165&lt;&gt;"OK","",IF(INDEX(振り分け!$L$7:$L$456,I165)="","未決定",INDEX(振り分け!$L$7:$L$456,I165)))))</f>
        <v/>
      </c>
      <c r="H165" s="8">
        <f>IF(D165="","",A165&amp;"|"&amp;SUBSTITUTE(SUBSTITUTE(D165," ",""),"　",""))</f>
        <v/>
      </c>
      <c r="I165" s="8">
        <f>IF(H165="","",IFERROR(MATCH(H165,振り分け!$S$7:$S$456,0),""))</f>
        <v/>
      </c>
      <c r="J165" s="8">
        <f>IF(D165="","",IFERROR(MATCH(A165&amp;"-"&amp;B165,設定!$Z$8:$Z$31,0),99)*1000+C165+ROW()/1000000)</f>
        <v/>
      </c>
      <c r="K165" s="8">
        <f>IF(D165="","",IFERROR(INDEX(設定!$L$8:$L$31,MATCH(A165&amp;"-"&amp;B165,設定!$Z$8:$Z$31,0)),A165&amp;B165))</f>
        <v/>
      </c>
    </row>
    <row r="166">
      <c r="A166" s="40" t="n">
        <v>5</v>
      </c>
      <c r="B166" s="40" t="inlineStr">
        <is>
          <t>竹</t>
        </is>
      </c>
      <c r="C166" s="40" t="n">
        <v>14</v>
      </c>
      <c r="D166" s="41" t="inlineStr">
        <is>
          <t>阿部　朝陽</t>
        </is>
      </c>
      <c r="E166" s="40" t="n"/>
      <c r="F166" s="45">
        <f>IF(D166="","",IF(E166&lt;&gt;"","手入力",IF(I166="","前年度名簿にいない",IF(OR(COUNTIF($H$2:$H$451,H166)&gt;1,COUNTIF(振り分け!$S$7:$S$456,H166)&gt;1),"同姓同名あり（手入力してください）","OK"))))</f>
        <v/>
      </c>
      <c r="G166" s="44">
        <f>IF(D166="","",IF(E166&lt;&gt;"",E166,IF(F166&lt;&gt;"OK","",IF(INDEX(振り分け!$L$7:$L$456,I166)="","未決定",INDEX(振り分け!$L$7:$L$456,I166)))))</f>
        <v/>
      </c>
      <c r="H166" s="8">
        <f>IF(D166="","",A166&amp;"|"&amp;SUBSTITUTE(SUBSTITUTE(D166," ",""),"　",""))</f>
        <v/>
      </c>
      <c r="I166" s="8">
        <f>IF(H166="","",IFERROR(MATCH(H166,振り分け!$S$7:$S$456,0),""))</f>
        <v/>
      </c>
      <c r="J166" s="8">
        <f>IF(D166="","",IFERROR(MATCH(A166&amp;"-"&amp;B166,設定!$Z$8:$Z$31,0),99)*1000+C166+ROW()/1000000)</f>
        <v/>
      </c>
      <c r="K166" s="8">
        <f>IF(D166="","",IFERROR(INDEX(設定!$L$8:$L$31,MATCH(A166&amp;"-"&amp;B166,設定!$Z$8:$Z$31,0)),A166&amp;B166))</f>
        <v/>
      </c>
    </row>
    <row r="167">
      <c r="A167" s="40" t="n">
        <v>5</v>
      </c>
      <c r="B167" s="40" t="inlineStr">
        <is>
          <t>竹</t>
        </is>
      </c>
      <c r="C167" s="40" t="n">
        <v>15</v>
      </c>
      <c r="D167" s="41" t="inlineStr">
        <is>
          <t>山口　樹</t>
        </is>
      </c>
      <c r="E167" s="40" t="n"/>
      <c r="F167" s="45">
        <f>IF(D167="","",IF(E167&lt;&gt;"","手入力",IF(I167="","前年度名簿にいない",IF(OR(COUNTIF($H$2:$H$451,H167)&gt;1,COUNTIF(振り分け!$S$7:$S$456,H167)&gt;1),"同姓同名あり（手入力してください）","OK"))))</f>
        <v/>
      </c>
      <c r="G167" s="44">
        <f>IF(D167="","",IF(E167&lt;&gt;"",E167,IF(F167&lt;&gt;"OK","",IF(INDEX(振り分け!$L$7:$L$456,I167)="","未決定",INDEX(振り分け!$L$7:$L$456,I167)))))</f>
        <v/>
      </c>
      <c r="H167" s="8">
        <f>IF(D167="","",A167&amp;"|"&amp;SUBSTITUTE(SUBSTITUTE(D167," ",""),"　",""))</f>
        <v/>
      </c>
      <c r="I167" s="8">
        <f>IF(H167="","",IFERROR(MATCH(H167,振り分け!$S$7:$S$456,0),""))</f>
        <v/>
      </c>
      <c r="J167" s="8">
        <f>IF(D167="","",IFERROR(MATCH(A167&amp;"-"&amp;B167,設定!$Z$8:$Z$31,0),99)*1000+C167+ROW()/1000000)</f>
        <v/>
      </c>
      <c r="K167" s="8">
        <f>IF(D167="","",IFERROR(INDEX(設定!$L$8:$L$31,MATCH(A167&amp;"-"&amp;B167,設定!$Z$8:$Z$31,0)),A167&amp;B167))</f>
        <v/>
      </c>
    </row>
    <row r="168">
      <c r="A168" s="40" t="n">
        <v>5</v>
      </c>
      <c r="B168" s="40" t="inlineStr">
        <is>
          <t>竹</t>
        </is>
      </c>
      <c r="C168" s="40" t="n">
        <v>16</v>
      </c>
      <c r="D168" s="41" t="inlineStr">
        <is>
          <t>近藤　澪</t>
        </is>
      </c>
      <c r="E168" s="40" t="n"/>
      <c r="F168" s="45">
        <f>IF(D168="","",IF(E168&lt;&gt;"","手入力",IF(I168="","前年度名簿にいない",IF(OR(COUNTIF($H$2:$H$451,H168)&gt;1,COUNTIF(振り分け!$S$7:$S$456,H168)&gt;1),"同姓同名あり（手入力してください）","OK"))))</f>
        <v/>
      </c>
      <c r="G168" s="44">
        <f>IF(D168="","",IF(E168&lt;&gt;"",E168,IF(F168&lt;&gt;"OK","",IF(INDEX(振り分け!$L$7:$L$456,I168)="","未決定",INDEX(振り分け!$L$7:$L$456,I168)))))</f>
        <v/>
      </c>
      <c r="H168" s="8">
        <f>IF(D168="","",A168&amp;"|"&amp;SUBSTITUTE(SUBSTITUTE(D168," ",""),"　",""))</f>
        <v/>
      </c>
      <c r="I168" s="8">
        <f>IF(H168="","",IFERROR(MATCH(H168,振り分け!$S$7:$S$456,0),""))</f>
        <v/>
      </c>
      <c r="J168" s="8">
        <f>IF(D168="","",IFERROR(MATCH(A168&amp;"-"&amp;B168,設定!$Z$8:$Z$31,0),99)*1000+C168+ROW()/1000000)</f>
        <v/>
      </c>
      <c r="K168" s="8">
        <f>IF(D168="","",IFERROR(INDEX(設定!$L$8:$L$31,MATCH(A168&amp;"-"&amp;B168,設定!$Z$8:$Z$31,0)),A168&amp;B168))</f>
        <v/>
      </c>
    </row>
    <row r="169">
      <c r="A169" s="40" t="n">
        <v>5</v>
      </c>
      <c r="B169" s="40" t="inlineStr">
        <is>
          <t>竹</t>
        </is>
      </c>
      <c r="C169" s="40" t="n">
        <v>17</v>
      </c>
      <c r="D169" s="41" t="inlineStr">
        <is>
          <t>青木　大和</t>
        </is>
      </c>
      <c r="E169" s="40" t="n"/>
      <c r="F169" s="45">
        <f>IF(D169="","",IF(E169&lt;&gt;"","手入力",IF(I169="","前年度名簿にいない",IF(OR(COUNTIF($H$2:$H$451,H169)&gt;1,COUNTIF(振り分け!$S$7:$S$456,H169)&gt;1),"同姓同名あり（手入力してください）","OK"))))</f>
        <v/>
      </c>
      <c r="G169" s="44">
        <f>IF(D169="","",IF(E169&lt;&gt;"",E169,IF(F169&lt;&gt;"OK","",IF(INDEX(振り分け!$L$7:$L$456,I169)="","未決定",INDEX(振り分け!$L$7:$L$456,I169)))))</f>
        <v/>
      </c>
      <c r="H169" s="8">
        <f>IF(D169="","",A169&amp;"|"&amp;SUBSTITUTE(SUBSTITUTE(D169," ",""),"　",""))</f>
        <v/>
      </c>
      <c r="I169" s="8">
        <f>IF(H169="","",IFERROR(MATCH(H169,振り分け!$S$7:$S$456,0),""))</f>
        <v/>
      </c>
      <c r="J169" s="8">
        <f>IF(D169="","",IFERROR(MATCH(A169&amp;"-"&amp;B169,設定!$Z$8:$Z$31,0),99)*1000+C169+ROW()/1000000)</f>
        <v/>
      </c>
      <c r="K169" s="8">
        <f>IF(D169="","",IFERROR(INDEX(設定!$L$8:$L$31,MATCH(A169&amp;"-"&amp;B169,設定!$Z$8:$Z$31,0)),A169&amp;B169))</f>
        <v/>
      </c>
    </row>
    <row r="170">
      <c r="A170" s="40" t="n">
        <v>5</v>
      </c>
      <c r="B170" s="40" t="inlineStr">
        <is>
          <t>竹</t>
        </is>
      </c>
      <c r="C170" s="40" t="n">
        <v>18</v>
      </c>
      <c r="D170" s="41" t="inlineStr">
        <is>
          <t>山下　葵</t>
        </is>
      </c>
      <c r="E170" s="40" t="n"/>
      <c r="F170" s="45">
        <f>IF(D170="","",IF(E170&lt;&gt;"","手入力",IF(I170="","前年度名簿にいない",IF(OR(COUNTIF($H$2:$H$451,H170)&gt;1,COUNTIF(振り分け!$S$7:$S$456,H170)&gt;1),"同姓同名あり（手入力してください）","OK"))))</f>
        <v/>
      </c>
      <c r="G170" s="44">
        <f>IF(D170="","",IF(E170&lt;&gt;"",E170,IF(F170&lt;&gt;"OK","",IF(INDEX(振り分け!$L$7:$L$456,I170)="","未決定",INDEX(振り分け!$L$7:$L$456,I170)))))</f>
        <v/>
      </c>
      <c r="H170" s="8">
        <f>IF(D170="","",A170&amp;"|"&amp;SUBSTITUTE(SUBSTITUTE(D170," ",""),"　",""))</f>
        <v/>
      </c>
      <c r="I170" s="8">
        <f>IF(H170="","",IFERROR(MATCH(H170,振り分け!$S$7:$S$456,0),""))</f>
        <v/>
      </c>
      <c r="J170" s="8">
        <f>IF(D170="","",IFERROR(MATCH(A170&amp;"-"&amp;B170,設定!$Z$8:$Z$31,0),99)*1000+C170+ROW()/1000000)</f>
        <v/>
      </c>
      <c r="K170" s="8">
        <f>IF(D170="","",IFERROR(INDEX(設定!$L$8:$L$31,MATCH(A170&amp;"-"&amp;B170,設定!$Z$8:$Z$31,0)),A170&amp;B170))</f>
        <v/>
      </c>
    </row>
    <row r="171">
      <c r="A171" s="40" t="n">
        <v>5</v>
      </c>
      <c r="B171" s="40" t="inlineStr">
        <is>
          <t>竹</t>
        </is>
      </c>
      <c r="C171" s="40" t="n">
        <v>19</v>
      </c>
      <c r="D171" s="41" t="inlineStr">
        <is>
          <t>小野　美咲</t>
        </is>
      </c>
      <c r="E171" s="40" t="n"/>
      <c r="F171" s="45">
        <f>IF(D171="","",IF(E171&lt;&gt;"","手入力",IF(I171="","前年度名簿にいない",IF(OR(COUNTIF($H$2:$H$451,H171)&gt;1,COUNTIF(振り分け!$S$7:$S$456,H171)&gt;1),"同姓同名あり（手入力してください）","OK"))))</f>
        <v/>
      </c>
      <c r="G171" s="44">
        <f>IF(D171="","",IF(E171&lt;&gt;"",E171,IF(F171&lt;&gt;"OK","",IF(INDEX(振り分け!$L$7:$L$456,I171)="","未決定",INDEX(振り分け!$L$7:$L$456,I171)))))</f>
        <v/>
      </c>
      <c r="H171" s="8">
        <f>IF(D171="","",A171&amp;"|"&amp;SUBSTITUTE(SUBSTITUTE(D171," ",""),"　",""))</f>
        <v/>
      </c>
      <c r="I171" s="8">
        <f>IF(H171="","",IFERROR(MATCH(H171,振り分け!$S$7:$S$456,0),""))</f>
        <v/>
      </c>
      <c r="J171" s="8">
        <f>IF(D171="","",IFERROR(MATCH(A171&amp;"-"&amp;B171,設定!$Z$8:$Z$31,0),99)*1000+C171+ROW()/1000000)</f>
        <v/>
      </c>
      <c r="K171" s="8">
        <f>IF(D171="","",IFERROR(INDEX(設定!$L$8:$L$31,MATCH(A171&amp;"-"&amp;B171,設定!$Z$8:$Z$31,0)),A171&amp;B171))</f>
        <v/>
      </c>
    </row>
    <row r="172">
      <c r="A172" s="40" t="n">
        <v>5</v>
      </c>
      <c r="B172" s="40" t="inlineStr">
        <is>
          <t>竹</t>
        </is>
      </c>
      <c r="C172" s="40" t="n">
        <v>20</v>
      </c>
      <c r="D172" s="41" t="inlineStr">
        <is>
          <t>中村　杏</t>
        </is>
      </c>
      <c r="E172" s="40" t="n"/>
      <c r="F172" s="45">
        <f>IF(D172="","",IF(E172&lt;&gt;"","手入力",IF(I172="","前年度名簿にいない",IF(OR(COUNTIF($H$2:$H$451,H172)&gt;1,COUNTIF(振り分け!$S$7:$S$456,H172)&gt;1),"同姓同名あり（手入力してください）","OK"))))</f>
        <v/>
      </c>
      <c r="G172" s="44">
        <f>IF(D172="","",IF(E172&lt;&gt;"",E172,IF(F172&lt;&gt;"OK","",IF(INDEX(振り分け!$L$7:$L$456,I172)="","未決定",INDEX(振り分け!$L$7:$L$456,I172)))))</f>
        <v/>
      </c>
      <c r="H172" s="8">
        <f>IF(D172="","",A172&amp;"|"&amp;SUBSTITUTE(SUBSTITUTE(D172," ",""),"　",""))</f>
        <v/>
      </c>
      <c r="I172" s="8">
        <f>IF(H172="","",IFERROR(MATCH(H172,振り分け!$S$7:$S$456,0),""))</f>
        <v/>
      </c>
      <c r="J172" s="8">
        <f>IF(D172="","",IFERROR(MATCH(A172&amp;"-"&amp;B172,設定!$Z$8:$Z$31,0),99)*1000+C172+ROW()/1000000)</f>
        <v/>
      </c>
      <c r="K172" s="8">
        <f>IF(D172="","",IFERROR(INDEX(設定!$L$8:$L$31,MATCH(A172&amp;"-"&amp;B172,設定!$Z$8:$Z$31,0)),A172&amp;B172))</f>
        <v/>
      </c>
    </row>
    <row r="173">
      <c r="A173" s="40" t="n">
        <v>5</v>
      </c>
      <c r="B173" s="40" t="inlineStr">
        <is>
          <t>竹</t>
        </is>
      </c>
      <c r="C173" s="40" t="n">
        <v>21</v>
      </c>
      <c r="D173" s="41" t="inlineStr">
        <is>
          <t>金子　健太</t>
        </is>
      </c>
      <c r="E173" s="40" t="n"/>
      <c r="F173" s="45">
        <f>IF(D173="","",IF(E173&lt;&gt;"","手入力",IF(I173="","前年度名簿にいない",IF(OR(COUNTIF($H$2:$H$451,H173)&gt;1,COUNTIF(振り分け!$S$7:$S$456,H173)&gt;1),"同姓同名あり（手入力してください）","OK"))))</f>
        <v/>
      </c>
      <c r="G173" s="44">
        <f>IF(D173="","",IF(E173&lt;&gt;"",E173,IF(F173&lt;&gt;"OK","",IF(INDEX(振り分け!$L$7:$L$456,I173)="","未決定",INDEX(振り分け!$L$7:$L$456,I173)))))</f>
        <v/>
      </c>
      <c r="H173" s="8">
        <f>IF(D173="","",A173&amp;"|"&amp;SUBSTITUTE(SUBSTITUTE(D173," ",""),"　",""))</f>
        <v/>
      </c>
      <c r="I173" s="8">
        <f>IF(H173="","",IFERROR(MATCH(H173,振り分け!$S$7:$S$456,0),""))</f>
        <v/>
      </c>
      <c r="J173" s="8">
        <f>IF(D173="","",IFERROR(MATCH(A173&amp;"-"&amp;B173,設定!$Z$8:$Z$31,0),99)*1000+C173+ROW()/1000000)</f>
        <v/>
      </c>
      <c r="K173" s="8">
        <f>IF(D173="","",IFERROR(INDEX(設定!$L$8:$L$31,MATCH(A173&amp;"-"&amp;B173,設定!$Z$8:$Z$31,0)),A173&amp;B173))</f>
        <v/>
      </c>
    </row>
    <row r="174">
      <c r="A174" s="40" t="n">
        <v>5</v>
      </c>
      <c r="B174" s="40" t="inlineStr">
        <is>
          <t>竹</t>
        </is>
      </c>
      <c r="C174" s="40" t="n">
        <v>22</v>
      </c>
      <c r="D174" s="41" t="inlineStr">
        <is>
          <t>山田　美咲</t>
        </is>
      </c>
      <c r="E174" s="40" t="n"/>
      <c r="F174" s="45">
        <f>IF(D174="","",IF(E174&lt;&gt;"","手入力",IF(I174="","前年度名簿にいない",IF(OR(COUNTIF($H$2:$H$451,H174)&gt;1,COUNTIF(振り分け!$S$7:$S$456,H174)&gt;1),"同姓同名あり（手入力してください）","OK"))))</f>
        <v/>
      </c>
      <c r="G174" s="44">
        <f>IF(D174="","",IF(E174&lt;&gt;"",E174,IF(F174&lt;&gt;"OK","",IF(INDEX(振り分け!$L$7:$L$456,I174)="","未決定",INDEX(振り分け!$L$7:$L$456,I174)))))</f>
        <v/>
      </c>
      <c r="H174" s="8">
        <f>IF(D174="","",A174&amp;"|"&amp;SUBSTITUTE(SUBSTITUTE(D174," ",""),"　",""))</f>
        <v/>
      </c>
      <c r="I174" s="8">
        <f>IF(H174="","",IFERROR(MATCH(H174,振り分け!$S$7:$S$456,0),""))</f>
        <v/>
      </c>
      <c r="J174" s="8">
        <f>IF(D174="","",IFERROR(MATCH(A174&amp;"-"&amp;B174,設定!$Z$8:$Z$31,0),99)*1000+C174+ROW()/1000000)</f>
        <v/>
      </c>
      <c r="K174" s="8">
        <f>IF(D174="","",IFERROR(INDEX(設定!$L$8:$L$31,MATCH(A174&amp;"-"&amp;B174,設定!$Z$8:$Z$31,0)),A174&amp;B174))</f>
        <v/>
      </c>
    </row>
    <row r="175">
      <c r="A175" s="40" t="n">
        <v>5</v>
      </c>
      <c r="B175" s="40" t="inlineStr">
        <is>
          <t>竹</t>
        </is>
      </c>
      <c r="C175" s="40" t="n">
        <v>23</v>
      </c>
      <c r="D175" s="41" t="inlineStr">
        <is>
          <t>佐藤　心春</t>
        </is>
      </c>
      <c r="E175" s="40" t="n"/>
      <c r="F175" s="45">
        <f>IF(D175="","",IF(E175&lt;&gt;"","手入力",IF(I175="","前年度名簿にいない",IF(OR(COUNTIF($H$2:$H$451,H175)&gt;1,COUNTIF(振り分け!$S$7:$S$456,H175)&gt;1),"同姓同名あり（手入力してください）","OK"))))</f>
        <v/>
      </c>
      <c r="G175" s="44">
        <f>IF(D175="","",IF(E175&lt;&gt;"",E175,IF(F175&lt;&gt;"OK","",IF(INDEX(振り分け!$L$7:$L$456,I175)="","未決定",INDEX(振り分け!$L$7:$L$456,I175)))))</f>
        <v/>
      </c>
      <c r="H175" s="8">
        <f>IF(D175="","",A175&amp;"|"&amp;SUBSTITUTE(SUBSTITUTE(D175," ",""),"　",""))</f>
        <v/>
      </c>
      <c r="I175" s="8">
        <f>IF(H175="","",IFERROR(MATCH(H175,振り分け!$S$7:$S$456,0),""))</f>
        <v/>
      </c>
      <c r="J175" s="8">
        <f>IF(D175="","",IFERROR(MATCH(A175&amp;"-"&amp;B175,設定!$Z$8:$Z$31,0),99)*1000+C175+ROW()/1000000)</f>
        <v/>
      </c>
      <c r="K175" s="8">
        <f>IF(D175="","",IFERROR(INDEX(設定!$L$8:$L$31,MATCH(A175&amp;"-"&amp;B175,設定!$Z$8:$Z$31,0)),A175&amp;B175))</f>
        <v/>
      </c>
    </row>
    <row r="176">
      <c r="A176" s="40" t="n">
        <v>5</v>
      </c>
      <c r="B176" s="40" t="inlineStr">
        <is>
          <t>竹</t>
        </is>
      </c>
      <c r="C176" s="40" t="n">
        <v>24</v>
      </c>
      <c r="D176" s="41" t="inlineStr">
        <is>
          <t>坂本　碧</t>
        </is>
      </c>
      <c r="E176" s="40" t="n"/>
      <c r="F176" s="45">
        <f>IF(D176="","",IF(E176&lt;&gt;"","手入力",IF(I176="","前年度名簿にいない",IF(OR(COUNTIF($H$2:$H$451,H176)&gt;1,COUNTIF(振り分け!$S$7:$S$456,H176)&gt;1),"同姓同名あり（手入力してください）","OK"))))</f>
        <v/>
      </c>
      <c r="G176" s="44">
        <f>IF(D176="","",IF(E176&lt;&gt;"",E176,IF(F176&lt;&gt;"OK","",IF(INDEX(振り分け!$L$7:$L$456,I176)="","未決定",INDEX(振り分け!$L$7:$L$456,I176)))))</f>
        <v/>
      </c>
      <c r="H176" s="8">
        <f>IF(D176="","",A176&amp;"|"&amp;SUBSTITUTE(SUBSTITUTE(D176," ",""),"　",""))</f>
        <v/>
      </c>
      <c r="I176" s="8">
        <f>IF(H176="","",IFERROR(MATCH(H176,振り分け!$S$7:$S$456,0),""))</f>
        <v/>
      </c>
      <c r="J176" s="8">
        <f>IF(D176="","",IFERROR(MATCH(A176&amp;"-"&amp;B176,設定!$Z$8:$Z$31,0),99)*1000+C176+ROW()/1000000)</f>
        <v/>
      </c>
      <c r="K176" s="8">
        <f>IF(D176="","",IFERROR(INDEX(設定!$L$8:$L$31,MATCH(A176&amp;"-"&amp;B176,設定!$Z$8:$Z$31,0)),A176&amp;B176))</f>
        <v/>
      </c>
    </row>
    <row r="177">
      <c r="A177" s="40" t="n">
        <v>5</v>
      </c>
      <c r="B177" s="40" t="inlineStr">
        <is>
          <t>竹</t>
        </is>
      </c>
      <c r="C177" s="40" t="n">
        <v>25</v>
      </c>
      <c r="D177" s="41" t="inlineStr">
        <is>
          <t>太田　莉子</t>
        </is>
      </c>
      <c r="E177" s="40" t="n"/>
      <c r="F177" s="45">
        <f>IF(D177="","",IF(E177&lt;&gt;"","手入力",IF(I177="","前年度名簿にいない",IF(OR(COUNTIF($H$2:$H$451,H177)&gt;1,COUNTIF(振り分け!$S$7:$S$456,H177)&gt;1),"同姓同名あり（手入力してください）","OK"))))</f>
        <v/>
      </c>
      <c r="G177" s="44">
        <f>IF(D177="","",IF(E177&lt;&gt;"",E177,IF(F177&lt;&gt;"OK","",IF(INDEX(振り分け!$L$7:$L$456,I177)="","未決定",INDEX(振り分け!$L$7:$L$456,I177)))))</f>
        <v/>
      </c>
      <c r="H177" s="8">
        <f>IF(D177="","",A177&amp;"|"&amp;SUBSTITUTE(SUBSTITUTE(D177," ",""),"　",""))</f>
        <v/>
      </c>
      <c r="I177" s="8">
        <f>IF(H177="","",IFERROR(MATCH(H177,振り分け!$S$7:$S$456,0),""))</f>
        <v/>
      </c>
      <c r="J177" s="8">
        <f>IF(D177="","",IFERROR(MATCH(A177&amp;"-"&amp;B177,設定!$Z$8:$Z$31,0),99)*1000+C177+ROW()/1000000)</f>
        <v/>
      </c>
      <c r="K177" s="8">
        <f>IF(D177="","",IFERROR(INDEX(設定!$L$8:$L$31,MATCH(A177&amp;"-"&amp;B177,設定!$Z$8:$Z$31,0)),A177&amp;B177))</f>
        <v/>
      </c>
    </row>
    <row r="178">
      <c r="A178" s="40" t="n">
        <v>5</v>
      </c>
      <c r="B178" s="40" t="inlineStr">
        <is>
          <t>竹</t>
        </is>
      </c>
      <c r="C178" s="40" t="n">
        <v>26</v>
      </c>
      <c r="D178" s="41" t="inlineStr">
        <is>
          <t>山崎　悠人</t>
        </is>
      </c>
      <c r="E178" s="40" t="n"/>
      <c r="F178" s="45">
        <f>IF(D178="","",IF(E178&lt;&gt;"","手入力",IF(I178="","前年度名簿にいない",IF(OR(COUNTIF($H$2:$H$451,H178)&gt;1,COUNTIF(振り分け!$S$7:$S$456,H178)&gt;1),"同姓同名あり（手入力してください）","OK"))))</f>
        <v/>
      </c>
      <c r="G178" s="44">
        <f>IF(D178="","",IF(E178&lt;&gt;"",E178,IF(F178&lt;&gt;"OK","",IF(INDEX(振り分け!$L$7:$L$456,I178)="","未決定",INDEX(振り分け!$L$7:$L$456,I178)))))</f>
        <v/>
      </c>
      <c r="H178" s="8">
        <f>IF(D178="","",A178&amp;"|"&amp;SUBSTITUTE(SUBSTITUTE(D178," ",""),"　",""))</f>
        <v/>
      </c>
      <c r="I178" s="8">
        <f>IF(H178="","",IFERROR(MATCH(H178,振り分け!$S$7:$S$456,0),""))</f>
        <v/>
      </c>
      <c r="J178" s="8">
        <f>IF(D178="","",IFERROR(MATCH(A178&amp;"-"&amp;B178,設定!$Z$8:$Z$31,0),99)*1000+C178+ROW()/1000000)</f>
        <v/>
      </c>
      <c r="K178" s="8">
        <f>IF(D178="","",IFERROR(INDEX(設定!$L$8:$L$31,MATCH(A178&amp;"-"&amp;B178,設定!$Z$8:$Z$31,0)),A178&amp;B178))</f>
        <v/>
      </c>
    </row>
    <row r="179">
      <c r="A179" s="40" t="n">
        <v>5</v>
      </c>
      <c r="B179" s="40" t="inlineStr">
        <is>
          <t>竹</t>
        </is>
      </c>
      <c r="C179" s="40" t="n">
        <v>27</v>
      </c>
      <c r="D179" s="41" t="inlineStr">
        <is>
          <t>松本　大和</t>
        </is>
      </c>
      <c r="E179" s="40" t="n"/>
      <c r="F179" s="45">
        <f>IF(D179="","",IF(E179&lt;&gt;"","手入力",IF(I179="","前年度名簿にいない",IF(OR(COUNTIF($H$2:$H$451,H179)&gt;1,COUNTIF(振り分け!$S$7:$S$456,H179)&gt;1),"同姓同名あり（手入力してください）","OK"))))</f>
        <v/>
      </c>
      <c r="G179" s="44">
        <f>IF(D179="","",IF(E179&lt;&gt;"",E179,IF(F179&lt;&gt;"OK","",IF(INDEX(振り分け!$L$7:$L$456,I179)="","未決定",INDEX(振り分け!$L$7:$L$456,I179)))))</f>
        <v/>
      </c>
      <c r="H179" s="8">
        <f>IF(D179="","",A179&amp;"|"&amp;SUBSTITUTE(SUBSTITUTE(D179," ",""),"　",""))</f>
        <v/>
      </c>
      <c r="I179" s="8">
        <f>IF(H179="","",IFERROR(MATCH(H179,振り分け!$S$7:$S$456,0),""))</f>
        <v/>
      </c>
      <c r="J179" s="8">
        <f>IF(D179="","",IFERROR(MATCH(A179&amp;"-"&amp;B179,設定!$Z$8:$Z$31,0),99)*1000+C179+ROW()/1000000)</f>
        <v/>
      </c>
      <c r="K179" s="8">
        <f>IF(D179="","",IFERROR(INDEX(設定!$L$8:$L$31,MATCH(A179&amp;"-"&amp;B179,設定!$Z$8:$Z$31,0)),A179&amp;B179))</f>
        <v/>
      </c>
    </row>
    <row r="180">
      <c r="A180" s="40" t="n">
        <v>5</v>
      </c>
      <c r="B180" s="40" t="inlineStr">
        <is>
          <t>竹</t>
        </is>
      </c>
      <c r="C180" s="40" t="n">
        <v>28</v>
      </c>
      <c r="D180" s="41" t="inlineStr">
        <is>
          <t>佐々木　優斗</t>
        </is>
      </c>
      <c r="E180" s="40" t="n"/>
      <c r="F180" s="45">
        <f>IF(D180="","",IF(E180&lt;&gt;"","手入力",IF(I180="","前年度名簿にいない",IF(OR(COUNTIF($H$2:$H$451,H180)&gt;1,COUNTIF(振り分け!$S$7:$S$456,H180)&gt;1),"同姓同名あり（手入力してください）","OK"))))</f>
        <v/>
      </c>
      <c r="G180" s="44">
        <f>IF(D180="","",IF(E180&lt;&gt;"",E180,IF(F180&lt;&gt;"OK","",IF(INDEX(振り分け!$L$7:$L$456,I180)="","未決定",INDEX(振り分け!$L$7:$L$456,I180)))))</f>
        <v/>
      </c>
      <c r="H180" s="8">
        <f>IF(D180="","",A180&amp;"|"&amp;SUBSTITUTE(SUBSTITUTE(D180," ",""),"　",""))</f>
        <v/>
      </c>
      <c r="I180" s="8">
        <f>IF(H180="","",IFERROR(MATCH(H180,振り分け!$S$7:$S$456,0),""))</f>
        <v/>
      </c>
      <c r="J180" s="8">
        <f>IF(D180="","",IFERROR(MATCH(A180&amp;"-"&amp;B180,設定!$Z$8:$Z$31,0),99)*1000+C180+ROW()/1000000)</f>
        <v/>
      </c>
      <c r="K180" s="8">
        <f>IF(D180="","",IFERROR(INDEX(設定!$L$8:$L$31,MATCH(A180&amp;"-"&amp;B180,設定!$Z$8:$Z$31,0)),A180&amp;B180))</f>
        <v/>
      </c>
    </row>
    <row r="181">
      <c r="A181" s="40" t="n">
        <v>5</v>
      </c>
      <c r="B181" s="40" t="inlineStr">
        <is>
          <t>竹</t>
        </is>
      </c>
      <c r="C181" s="40" t="n">
        <v>29</v>
      </c>
      <c r="D181" s="41" t="inlineStr">
        <is>
          <t>青木　樹</t>
        </is>
      </c>
      <c r="E181" s="40" t="n"/>
      <c r="F181" s="45">
        <f>IF(D181="","",IF(E181&lt;&gt;"","手入力",IF(I181="","前年度名簿にいない",IF(OR(COUNTIF($H$2:$H$451,H181)&gt;1,COUNTIF(振り分け!$S$7:$S$456,H181)&gt;1),"同姓同名あり（手入力してください）","OK"))))</f>
        <v/>
      </c>
      <c r="G181" s="44">
        <f>IF(D181="","",IF(E181&lt;&gt;"",E181,IF(F181&lt;&gt;"OK","",IF(INDEX(振り分け!$L$7:$L$456,I181)="","未決定",INDEX(振り分け!$L$7:$L$456,I181)))))</f>
        <v/>
      </c>
      <c r="H181" s="8">
        <f>IF(D181="","",A181&amp;"|"&amp;SUBSTITUTE(SUBSTITUTE(D181," ",""),"　",""))</f>
        <v/>
      </c>
      <c r="I181" s="8">
        <f>IF(H181="","",IFERROR(MATCH(H181,振り分け!$S$7:$S$456,0),""))</f>
        <v/>
      </c>
      <c r="J181" s="8">
        <f>IF(D181="","",IFERROR(MATCH(A181&amp;"-"&amp;B181,設定!$Z$8:$Z$31,0),99)*1000+C181+ROW()/1000000)</f>
        <v/>
      </c>
      <c r="K181" s="8">
        <f>IF(D181="","",IFERROR(INDEX(設定!$L$8:$L$31,MATCH(A181&amp;"-"&amp;B181,設定!$Z$8:$Z$31,0)),A181&amp;B181))</f>
        <v/>
      </c>
    </row>
    <row r="182">
      <c r="A182" s="40" t="n">
        <v>5</v>
      </c>
      <c r="B182" s="40" t="inlineStr">
        <is>
          <t>竹</t>
        </is>
      </c>
      <c r="C182" s="40" t="n">
        <v>30</v>
      </c>
      <c r="D182" s="41" t="inlineStr">
        <is>
          <t>福田　陽太</t>
        </is>
      </c>
      <c r="E182" s="40" t="n"/>
      <c r="F182" s="45">
        <f>IF(D182="","",IF(E182&lt;&gt;"","手入力",IF(I182="","前年度名簿にいない",IF(OR(COUNTIF($H$2:$H$451,H182)&gt;1,COUNTIF(振り分け!$S$7:$S$456,H182)&gt;1),"同姓同名あり（手入力してください）","OK"))))</f>
        <v/>
      </c>
      <c r="G182" s="44">
        <f>IF(D182="","",IF(E182&lt;&gt;"",E182,IF(F182&lt;&gt;"OK","",IF(INDEX(振り分け!$L$7:$L$456,I182)="","未決定",INDEX(振り分け!$L$7:$L$456,I182)))))</f>
        <v/>
      </c>
      <c r="H182" s="8">
        <f>IF(D182="","",A182&amp;"|"&amp;SUBSTITUTE(SUBSTITUTE(D182," ",""),"　",""))</f>
        <v/>
      </c>
      <c r="I182" s="8">
        <f>IF(H182="","",IFERROR(MATCH(H182,振り分け!$S$7:$S$456,0),""))</f>
        <v/>
      </c>
      <c r="J182" s="8">
        <f>IF(D182="","",IFERROR(MATCH(A182&amp;"-"&amp;B182,設定!$Z$8:$Z$31,0),99)*1000+C182+ROW()/1000000)</f>
        <v/>
      </c>
      <c r="K182" s="8">
        <f>IF(D182="","",IFERROR(INDEX(設定!$L$8:$L$31,MATCH(A182&amp;"-"&amp;B182,設定!$Z$8:$Z$31,0)),A182&amp;B182))</f>
        <v/>
      </c>
    </row>
    <row r="183">
      <c r="A183" s="40" t="n">
        <v>5</v>
      </c>
      <c r="B183" s="40" t="inlineStr">
        <is>
          <t>梅</t>
        </is>
      </c>
      <c r="C183" s="40" t="n">
        <v>1</v>
      </c>
      <c r="D183" s="41" t="inlineStr">
        <is>
          <t>藤田　颯太</t>
        </is>
      </c>
      <c r="E183" s="40" t="n"/>
      <c r="F183" s="45">
        <f>IF(D183="","",IF(E183&lt;&gt;"","手入力",IF(I183="","前年度名簿にいない",IF(OR(COUNTIF($H$2:$H$451,H183)&gt;1,COUNTIF(振り分け!$S$7:$S$456,H183)&gt;1),"同姓同名あり（手入力してください）","OK"))))</f>
        <v/>
      </c>
      <c r="G183" s="44">
        <f>IF(D183="","",IF(E183&lt;&gt;"",E183,IF(F183&lt;&gt;"OK","",IF(INDEX(振り分け!$L$7:$L$456,I183)="","未決定",INDEX(振り分け!$L$7:$L$456,I183)))))</f>
        <v/>
      </c>
      <c r="H183" s="8">
        <f>IF(D183="","",A183&amp;"|"&amp;SUBSTITUTE(SUBSTITUTE(D183," ",""),"　",""))</f>
        <v/>
      </c>
      <c r="I183" s="8">
        <f>IF(H183="","",IFERROR(MATCH(H183,振り分け!$S$7:$S$456,0),""))</f>
        <v/>
      </c>
      <c r="J183" s="8">
        <f>IF(D183="","",IFERROR(MATCH(A183&amp;"-"&amp;B183,設定!$Z$8:$Z$31,0),99)*1000+C183+ROW()/1000000)</f>
        <v/>
      </c>
      <c r="K183" s="8">
        <f>IF(D183="","",IFERROR(INDEX(設定!$L$8:$L$31,MATCH(A183&amp;"-"&amp;B183,設定!$Z$8:$Z$31,0)),A183&amp;B183))</f>
        <v/>
      </c>
    </row>
    <row r="184">
      <c r="A184" s="40" t="n">
        <v>5</v>
      </c>
      <c r="B184" s="40" t="inlineStr">
        <is>
          <t>梅</t>
        </is>
      </c>
      <c r="C184" s="40" t="n">
        <v>2</v>
      </c>
      <c r="D184" s="41" t="inlineStr">
        <is>
          <t>吉田　陽太</t>
        </is>
      </c>
      <c r="E184" s="40" t="n"/>
      <c r="F184" s="45">
        <f>IF(D184="","",IF(E184&lt;&gt;"","手入力",IF(I184="","前年度名簿にいない",IF(OR(COUNTIF($H$2:$H$451,H184)&gt;1,COUNTIF(振り分け!$S$7:$S$456,H184)&gt;1),"同姓同名あり（手入力してください）","OK"))))</f>
        <v/>
      </c>
      <c r="G184" s="44">
        <f>IF(D184="","",IF(E184&lt;&gt;"",E184,IF(F184&lt;&gt;"OK","",IF(INDEX(振り分け!$L$7:$L$456,I184)="","未決定",INDEX(振り分け!$L$7:$L$456,I184)))))</f>
        <v/>
      </c>
      <c r="H184" s="8">
        <f>IF(D184="","",A184&amp;"|"&amp;SUBSTITUTE(SUBSTITUTE(D184," ",""),"　",""))</f>
        <v/>
      </c>
      <c r="I184" s="8">
        <f>IF(H184="","",IFERROR(MATCH(H184,振り分け!$S$7:$S$456,0),""))</f>
        <v/>
      </c>
      <c r="J184" s="8">
        <f>IF(D184="","",IFERROR(MATCH(A184&amp;"-"&amp;B184,設定!$Z$8:$Z$31,0),99)*1000+C184+ROW()/1000000)</f>
        <v/>
      </c>
      <c r="K184" s="8">
        <f>IF(D184="","",IFERROR(INDEX(設定!$L$8:$L$31,MATCH(A184&amp;"-"&amp;B184,設定!$Z$8:$Z$31,0)),A184&amp;B184))</f>
        <v/>
      </c>
    </row>
    <row r="185">
      <c r="A185" s="40" t="n">
        <v>5</v>
      </c>
      <c r="B185" s="40" t="inlineStr">
        <is>
          <t>梅</t>
        </is>
      </c>
      <c r="C185" s="40" t="n">
        <v>3</v>
      </c>
      <c r="D185" s="41" t="inlineStr">
        <is>
          <t>山下　翼</t>
        </is>
      </c>
      <c r="E185" s="40" t="n"/>
      <c r="F185" s="45">
        <f>IF(D185="","",IF(E185&lt;&gt;"","手入力",IF(I185="","前年度名簿にいない",IF(OR(COUNTIF($H$2:$H$451,H185)&gt;1,COUNTIF(振り分け!$S$7:$S$456,H185)&gt;1),"同姓同名あり（手入力してください）","OK"))))</f>
        <v/>
      </c>
      <c r="G185" s="44">
        <f>IF(D185="","",IF(E185&lt;&gt;"",E185,IF(F185&lt;&gt;"OK","",IF(INDEX(振り分け!$L$7:$L$456,I185)="","未決定",INDEX(振り分け!$L$7:$L$456,I185)))))</f>
        <v/>
      </c>
      <c r="H185" s="8">
        <f>IF(D185="","",A185&amp;"|"&amp;SUBSTITUTE(SUBSTITUTE(D185," ",""),"　",""))</f>
        <v/>
      </c>
      <c r="I185" s="8">
        <f>IF(H185="","",IFERROR(MATCH(H185,振り分け!$S$7:$S$456,0),""))</f>
        <v/>
      </c>
      <c r="J185" s="8">
        <f>IF(D185="","",IFERROR(MATCH(A185&amp;"-"&amp;B185,設定!$Z$8:$Z$31,0),99)*1000+C185+ROW()/1000000)</f>
        <v/>
      </c>
      <c r="K185" s="8">
        <f>IF(D185="","",IFERROR(INDEX(設定!$L$8:$L$31,MATCH(A185&amp;"-"&amp;B185,設定!$Z$8:$Z$31,0)),A185&amp;B185))</f>
        <v/>
      </c>
    </row>
    <row r="186">
      <c r="A186" s="40" t="n">
        <v>5</v>
      </c>
      <c r="B186" s="40" t="inlineStr">
        <is>
          <t>梅</t>
        </is>
      </c>
      <c r="C186" s="40" t="n">
        <v>4</v>
      </c>
      <c r="D186" s="41" t="inlineStr">
        <is>
          <t>前田　陽翔</t>
        </is>
      </c>
      <c r="E186" s="40" t="n"/>
      <c r="F186" s="45">
        <f>IF(D186="","",IF(E186&lt;&gt;"","手入力",IF(I186="","前年度名簿にいない",IF(OR(COUNTIF($H$2:$H$451,H186)&gt;1,COUNTIF(振り分け!$S$7:$S$456,H186)&gt;1),"同姓同名あり（手入力してください）","OK"))))</f>
        <v/>
      </c>
      <c r="G186" s="44">
        <f>IF(D186="","",IF(E186&lt;&gt;"",E186,IF(F186&lt;&gt;"OK","",IF(INDEX(振り分け!$L$7:$L$456,I186)="","未決定",INDEX(振り分け!$L$7:$L$456,I186)))))</f>
        <v/>
      </c>
      <c r="H186" s="8">
        <f>IF(D186="","",A186&amp;"|"&amp;SUBSTITUTE(SUBSTITUTE(D186," ",""),"　",""))</f>
        <v/>
      </c>
      <c r="I186" s="8">
        <f>IF(H186="","",IFERROR(MATCH(H186,振り分け!$S$7:$S$456,0),""))</f>
        <v/>
      </c>
      <c r="J186" s="8">
        <f>IF(D186="","",IFERROR(MATCH(A186&amp;"-"&amp;B186,設定!$Z$8:$Z$31,0),99)*1000+C186+ROW()/1000000)</f>
        <v/>
      </c>
      <c r="K186" s="8">
        <f>IF(D186="","",IFERROR(INDEX(設定!$L$8:$L$31,MATCH(A186&amp;"-"&amp;B186,設定!$Z$8:$Z$31,0)),A186&amp;B186))</f>
        <v/>
      </c>
    </row>
    <row r="187">
      <c r="A187" s="40" t="n">
        <v>5</v>
      </c>
      <c r="B187" s="40" t="inlineStr">
        <is>
          <t>梅</t>
        </is>
      </c>
      <c r="C187" s="40" t="n">
        <v>5</v>
      </c>
      <c r="D187" s="41" t="inlineStr">
        <is>
          <t>石井　杏</t>
        </is>
      </c>
      <c r="E187" s="40" t="n"/>
      <c r="F187" s="45">
        <f>IF(D187="","",IF(E187&lt;&gt;"","手入力",IF(I187="","前年度名簿にいない",IF(OR(COUNTIF($H$2:$H$451,H187)&gt;1,COUNTIF(振り分け!$S$7:$S$456,H187)&gt;1),"同姓同名あり（手入力してください）","OK"))))</f>
        <v/>
      </c>
      <c r="G187" s="44">
        <f>IF(D187="","",IF(E187&lt;&gt;"",E187,IF(F187&lt;&gt;"OK","",IF(INDEX(振り分け!$L$7:$L$456,I187)="","未決定",INDEX(振り分け!$L$7:$L$456,I187)))))</f>
        <v/>
      </c>
      <c r="H187" s="8">
        <f>IF(D187="","",A187&amp;"|"&amp;SUBSTITUTE(SUBSTITUTE(D187," ",""),"　",""))</f>
        <v/>
      </c>
      <c r="I187" s="8">
        <f>IF(H187="","",IFERROR(MATCH(H187,振り分け!$S$7:$S$456,0),""))</f>
        <v/>
      </c>
      <c r="J187" s="8">
        <f>IF(D187="","",IFERROR(MATCH(A187&amp;"-"&amp;B187,設定!$Z$8:$Z$31,0),99)*1000+C187+ROW()/1000000)</f>
        <v/>
      </c>
      <c r="K187" s="8">
        <f>IF(D187="","",IFERROR(INDEX(設定!$L$8:$L$31,MATCH(A187&amp;"-"&amp;B187,設定!$Z$8:$Z$31,0)),A187&amp;B187))</f>
        <v/>
      </c>
    </row>
    <row r="188">
      <c r="A188" s="40" t="n">
        <v>5</v>
      </c>
      <c r="B188" s="40" t="inlineStr">
        <is>
          <t>梅</t>
        </is>
      </c>
      <c r="C188" s="40" t="n">
        <v>6</v>
      </c>
      <c r="D188" s="41" t="inlineStr">
        <is>
          <t>山崎　海斗</t>
        </is>
      </c>
      <c r="E188" s="40" t="n"/>
      <c r="F188" s="45">
        <f>IF(D188="","",IF(E188&lt;&gt;"","手入力",IF(I188="","前年度名簿にいない",IF(OR(COUNTIF($H$2:$H$451,H188)&gt;1,COUNTIF(振り分け!$S$7:$S$456,H188)&gt;1),"同姓同名あり（手入力してください）","OK"))))</f>
        <v/>
      </c>
      <c r="G188" s="44">
        <f>IF(D188="","",IF(E188&lt;&gt;"",E188,IF(F188&lt;&gt;"OK","",IF(INDEX(振り分け!$L$7:$L$456,I188)="","未決定",INDEX(振り分け!$L$7:$L$456,I188)))))</f>
        <v/>
      </c>
      <c r="H188" s="8">
        <f>IF(D188="","",A188&amp;"|"&amp;SUBSTITUTE(SUBSTITUTE(D188," ",""),"　",""))</f>
        <v/>
      </c>
      <c r="I188" s="8">
        <f>IF(H188="","",IFERROR(MATCH(H188,振り分け!$S$7:$S$456,0),""))</f>
        <v/>
      </c>
      <c r="J188" s="8">
        <f>IF(D188="","",IFERROR(MATCH(A188&amp;"-"&amp;B188,設定!$Z$8:$Z$31,0),99)*1000+C188+ROW()/1000000)</f>
        <v/>
      </c>
      <c r="K188" s="8">
        <f>IF(D188="","",IFERROR(INDEX(設定!$L$8:$L$31,MATCH(A188&amp;"-"&amp;B188,設定!$Z$8:$Z$31,0)),A188&amp;B188))</f>
        <v/>
      </c>
    </row>
    <row r="189">
      <c r="A189" s="40" t="n">
        <v>5</v>
      </c>
      <c r="B189" s="40" t="inlineStr">
        <is>
          <t>梅</t>
        </is>
      </c>
      <c r="C189" s="40" t="n">
        <v>7</v>
      </c>
      <c r="D189" s="41" t="inlineStr">
        <is>
          <t>鈴木　健太</t>
        </is>
      </c>
      <c r="E189" s="40" t="n"/>
      <c r="F189" s="45">
        <f>IF(D189="","",IF(E189&lt;&gt;"","手入力",IF(I189="","前年度名簿にいない",IF(OR(COUNTIF($H$2:$H$451,H189)&gt;1,COUNTIF(振り分け!$S$7:$S$456,H189)&gt;1),"同姓同名あり（手入力してください）","OK"))))</f>
        <v/>
      </c>
      <c r="G189" s="44">
        <f>IF(D189="","",IF(E189&lt;&gt;"",E189,IF(F189&lt;&gt;"OK","",IF(INDEX(振り分け!$L$7:$L$456,I189)="","未決定",INDEX(振り分け!$L$7:$L$456,I189)))))</f>
        <v/>
      </c>
      <c r="H189" s="8">
        <f>IF(D189="","",A189&amp;"|"&amp;SUBSTITUTE(SUBSTITUTE(D189," ",""),"　",""))</f>
        <v/>
      </c>
      <c r="I189" s="8">
        <f>IF(H189="","",IFERROR(MATCH(H189,振り分け!$S$7:$S$456,0),""))</f>
        <v/>
      </c>
      <c r="J189" s="8">
        <f>IF(D189="","",IFERROR(MATCH(A189&amp;"-"&amp;B189,設定!$Z$8:$Z$31,0),99)*1000+C189+ROW()/1000000)</f>
        <v/>
      </c>
      <c r="K189" s="8">
        <f>IF(D189="","",IFERROR(INDEX(設定!$L$8:$L$31,MATCH(A189&amp;"-"&amp;B189,設定!$Z$8:$Z$31,0)),A189&amp;B189))</f>
        <v/>
      </c>
    </row>
    <row r="190">
      <c r="A190" s="40" t="n">
        <v>5</v>
      </c>
      <c r="B190" s="40" t="inlineStr">
        <is>
          <t>梅</t>
        </is>
      </c>
      <c r="C190" s="40" t="n">
        <v>8</v>
      </c>
      <c r="D190" s="41" t="inlineStr">
        <is>
          <t>岡田　陸</t>
        </is>
      </c>
      <c r="E190" s="40" t="n"/>
      <c r="F190" s="45">
        <f>IF(D190="","",IF(E190&lt;&gt;"","手入力",IF(I190="","前年度名簿にいない",IF(OR(COUNTIF($H$2:$H$451,H190)&gt;1,COUNTIF(振り分け!$S$7:$S$456,H190)&gt;1),"同姓同名あり（手入力してください）","OK"))))</f>
        <v/>
      </c>
      <c r="G190" s="44">
        <f>IF(D190="","",IF(E190&lt;&gt;"",E190,IF(F190&lt;&gt;"OK","",IF(INDEX(振り分け!$L$7:$L$456,I190)="","未決定",INDEX(振り分け!$L$7:$L$456,I190)))))</f>
        <v/>
      </c>
      <c r="H190" s="8">
        <f>IF(D190="","",A190&amp;"|"&amp;SUBSTITUTE(SUBSTITUTE(D190," ",""),"　",""))</f>
        <v/>
      </c>
      <c r="I190" s="8">
        <f>IF(H190="","",IFERROR(MATCH(H190,振り分け!$S$7:$S$456,0),""))</f>
        <v/>
      </c>
      <c r="J190" s="8">
        <f>IF(D190="","",IFERROR(MATCH(A190&amp;"-"&amp;B190,設定!$Z$8:$Z$31,0),99)*1000+C190+ROW()/1000000)</f>
        <v/>
      </c>
      <c r="K190" s="8">
        <f>IF(D190="","",IFERROR(INDEX(設定!$L$8:$L$31,MATCH(A190&amp;"-"&amp;B190,設定!$Z$8:$Z$31,0)),A190&amp;B190))</f>
        <v/>
      </c>
    </row>
    <row r="191">
      <c r="A191" s="40" t="n">
        <v>5</v>
      </c>
      <c r="B191" s="40" t="inlineStr">
        <is>
          <t>梅</t>
        </is>
      </c>
      <c r="C191" s="40" t="n">
        <v>9</v>
      </c>
      <c r="D191" s="41" t="inlineStr">
        <is>
          <t>加藤　一花</t>
        </is>
      </c>
      <c r="E191" s="40" t="n"/>
      <c r="F191" s="45">
        <f>IF(D191="","",IF(E191&lt;&gt;"","手入力",IF(I191="","前年度名簿にいない",IF(OR(COUNTIF($H$2:$H$451,H191)&gt;1,COUNTIF(振り分け!$S$7:$S$456,H191)&gt;1),"同姓同名あり（手入力してください）","OK"))))</f>
        <v/>
      </c>
      <c r="G191" s="44">
        <f>IF(D191="","",IF(E191&lt;&gt;"",E191,IF(F191&lt;&gt;"OK","",IF(INDEX(振り分け!$L$7:$L$456,I191)="","未決定",INDEX(振り分け!$L$7:$L$456,I191)))))</f>
        <v/>
      </c>
      <c r="H191" s="8">
        <f>IF(D191="","",A191&amp;"|"&amp;SUBSTITUTE(SUBSTITUTE(D191," ",""),"　",""))</f>
        <v/>
      </c>
      <c r="I191" s="8">
        <f>IF(H191="","",IFERROR(MATCH(H191,振り分け!$S$7:$S$456,0),""))</f>
        <v/>
      </c>
      <c r="J191" s="8">
        <f>IF(D191="","",IFERROR(MATCH(A191&amp;"-"&amp;B191,設定!$Z$8:$Z$31,0),99)*1000+C191+ROW()/1000000)</f>
        <v/>
      </c>
      <c r="K191" s="8">
        <f>IF(D191="","",IFERROR(INDEX(設定!$L$8:$L$31,MATCH(A191&amp;"-"&amp;B191,設定!$Z$8:$Z$31,0)),A191&amp;B191))</f>
        <v/>
      </c>
    </row>
    <row r="192">
      <c r="A192" s="40" t="n">
        <v>5</v>
      </c>
      <c r="B192" s="40" t="inlineStr">
        <is>
          <t>梅</t>
        </is>
      </c>
      <c r="C192" s="40" t="n">
        <v>10</v>
      </c>
      <c r="D192" s="41" t="inlineStr">
        <is>
          <t>山口　悠真</t>
        </is>
      </c>
      <c r="E192" s="40" t="n"/>
      <c r="F192" s="45">
        <f>IF(D192="","",IF(E192&lt;&gt;"","手入力",IF(I192="","前年度名簿にいない",IF(OR(COUNTIF($H$2:$H$451,H192)&gt;1,COUNTIF(振り分け!$S$7:$S$456,H192)&gt;1),"同姓同名あり（手入力してください）","OK"))))</f>
        <v/>
      </c>
      <c r="G192" s="44">
        <f>IF(D192="","",IF(E192&lt;&gt;"",E192,IF(F192&lt;&gt;"OK","",IF(INDEX(振り分け!$L$7:$L$456,I192)="","未決定",INDEX(振り分け!$L$7:$L$456,I192)))))</f>
        <v/>
      </c>
      <c r="H192" s="8">
        <f>IF(D192="","",A192&amp;"|"&amp;SUBSTITUTE(SUBSTITUTE(D192," ",""),"　",""))</f>
        <v/>
      </c>
      <c r="I192" s="8">
        <f>IF(H192="","",IFERROR(MATCH(H192,振り分け!$S$7:$S$456,0),""))</f>
        <v/>
      </c>
      <c r="J192" s="8">
        <f>IF(D192="","",IFERROR(MATCH(A192&amp;"-"&amp;B192,設定!$Z$8:$Z$31,0),99)*1000+C192+ROW()/1000000)</f>
        <v/>
      </c>
      <c r="K192" s="8">
        <f>IF(D192="","",IFERROR(INDEX(設定!$L$8:$L$31,MATCH(A192&amp;"-"&amp;B192,設定!$Z$8:$Z$31,0)),A192&amp;B192))</f>
        <v/>
      </c>
    </row>
    <row r="193">
      <c r="A193" s="40" t="n">
        <v>5</v>
      </c>
      <c r="B193" s="40" t="inlineStr">
        <is>
          <t>梅</t>
        </is>
      </c>
      <c r="C193" s="40" t="n">
        <v>11</v>
      </c>
      <c r="D193" s="41" t="inlineStr">
        <is>
          <t>佐藤　葵</t>
        </is>
      </c>
      <c r="E193" s="40" t="n"/>
      <c r="F193" s="45">
        <f>IF(D193="","",IF(E193&lt;&gt;"","手入力",IF(I193="","前年度名簿にいない",IF(OR(COUNTIF($H$2:$H$451,H193)&gt;1,COUNTIF(振り分け!$S$7:$S$456,H193)&gt;1),"同姓同名あり（手入力してください）","OK"))))</f>
        <v/>
      </c>
      <c r="G193" s="44">
        <f>IF(D193="","",IF(E193&lt;&gt;"",E193,IF(F193&lt;&gt;"OK","",IF(INDEX(振り分け!$L$7:$L$456,I193)="","未決定",INDEX(振り分け!$L$7:$L$456,I193)))))</f>
        <v/>
      </c>
      <c r="H193" s="8">
        <f>IF(D193="","",A193&amp;"|"&amp;SUBSTITUTE(SUBSTITUTE(D193," ",""),"　",""))</f>
        <v/>
      </c>
      <c r="I193" s="8">
        <f>IF(H193="","",IFERROR(MATCH(H193,振り分け!$S$7:$S$456,0),""))</f>
        <v/>
      </c>
      <c r="J193" s="8">
        <f>IF(D193="","",IFERROR(MATCH(A193&amp;"-"&amp;B193,設定!$Z$8:$Z$31,0),99)*1000+C193+ROW()/1000000)</f>
        <v/>
      </c>
      <c r="K193" s="8">
        <f>IF(D193="","",IFERROR(INDEX(設定!$L$8:$L$31,MATCH(A193&amp;"-"&amp;B193,設定!$Z$8:$Z$31,0)),A193&amp;B193))</f>
        <v/>
      </c>
    </row>
    <row r="194">
      <c r="A194" s="40" t="n">
        <v>5</v>
      </c>
      <c r="B194" s="40" t="inlineStr">
        <is>
          <t>梅</t>
        </is>
      </c>
      <c r="C194" s="40" t="n">
        <v>12</v>
      </c>
      <c r="D194" s="41" t="inlineStr">
        <is>
          <t>小林　凛</t>
        </is>
      </c>
      <c r="E194" s="40" t="n"/>
      <c r="F194" s="45">
        <f>IF(D194="","",IF(E194&lt;&gt;"","手入力",IF(I194="","前年度名簿にいない",IF(OR(COUNTIF($H$2:$H$451,H194)&gt;1,COUNTIF(振り分け!$S$7:$S$456,H194)&gt;1),"同姓同名あり（手入力してください）","OK"))))</f>
        <v/>
      </c>
      <c r="G194" s="44">
        <f>IF(D194="","",IF(E194&lt;&gt;"",E194,IF(F194&lt;&gt;"OK","",IF(INDEX(振り分け!$L$7:$L$456,I194)="","未決定",INDEX(振り分け!$L$7:$L$456,I194)))))</f>
        <v/>
      </c>
      <c r="H194" s="8">
        <f>IF(D194="","",A194&amp;"|"&amp;SUBSTITUTE(SUBSTITUTE(D194," ",""),"　",""))</f>
        <v/>
      </c>
      <c r="I194" s="8">
        <f>IF(H194="","",IFERROR(MATCH(H194,振り分け!$S$7:$S$456,0),""))</f>
        <v/>
      </c>
      <c r="J194" s="8">
        <f>IF(D194="","",IFERROR(MATCH(A194&amp;"-"&amp;B194,設定!$Z$8:$Z$31,0),99)*1000+C194+ROW()/1000000)</f>
        <v/>
      </c>
      <c r="K194" s="8">
        <f>IF(D194="","",IFERROR(INDEX(設定!$L$8:$L$31,MATCH(A194&amp;"-"&amp;B194,設定!$Z$8:$Z$31,0)),A194&amp;B194))</f>
        <v/>
      </c>
    </row>
    <row r="195">
      <c r="A195" s="40" t="n">
        <v>5</v>
      </c>
      <c r="B195" s="40" t="inlineStr">
        <is>
          <t>梅</t>
        </is>
      </c>
      <c r="C195" s="40" t="n">
        <v>13</v>
      </c>
      <c r="D195" s="41" t="inlineStr">
        <is>
          <t>小林　紬</t>
        </is>
      </c>
      <c r="E195" s="40" t="n"/>
      <c r="F195" s="45">
        <f>IF(D195="","",IF(E195&lt;&gt;"","手入力",IF(I195="","前年度名簿にいない",IF(OR(COUNTIF($H$2:$H$451,H195)&gt;1,COUNTIF(振り分け!$S$7:$S$456,H195)&gt;1),"同姓同名あり（手入力してください）","OK"))))</f>
        <v/>
      </c>
      <c r="G195" s="44">
        <f>IF(D195="","",IF(E195&lt;&gt;"",E195,IF(F195&lt;&gt;"OK","",IF(INDEX(振り分け!$L$7:$L$456,I195)="","未決定",INDEX(振り分け!$L$7:$L$456,I195)))))</f>
        <v/>
      </c>
      <c r="H195" s="8">
        <f>IF(D195="","",A195&amp;"|"&amp;SUBSTITUTE(SUBSTITUTE(D195," ",""),"　",""))</f>
        <v/>
      </c>
      <c r="I195" s="8">
        <f>IF(H195="","",IFERROR(MATCH(H195,振り分け!$S$7:$S$456,0),""))</f>
        <v/>
      </c>
      <c r="J195" s="8">
        <f>IF(D195="","",IFERROR(MATCH(A195&amp;"-"&amp;B195,設定!$Z$8:$Z$31,0),99)*1000+C195+ROW()/1000000)</f>
        <v/>
      </c>
      <c r="K195" s="8">
        <f>IF(D195="","",IFERROR(INDEX(設定!$L$8:$L$31,MATCH(A195&amp;"-"&amp;B195,設定!$Z$8:$Z$31,0)),A195&amp;B195))</f>
        <v/>
      </c>
    </row>
    <row r="196">
      <c r="A196" s="40" t="n">
        <v>5</v>
      </c>
      <c r="B196" s="40" t="inlineStr">
        <is>
          <t>梅</t>
        </is>
      </c>
      <c r="C196" s="40" t="n">
        <v>14</v>
      </c>
      <c r="D196" s="41" t="inlineStr">
        <is>
          <t>小川　咲良</t>
        </is>
      </c>
      <c r="E196" s="40" t="n"/>
      <c r="F196" s="45">
        <f>IF(D196="","",IF(E196&lt;&gt;"","手入力",IF(I196="","前年度名簿にいない",IF(OR(COUNTIF($H$2:$H$451,H196)&gt;1,COUNTIF(振り分け!$S$7:$S$456,H196)&gt;1),"同姓同名あり（手入力してください）","OK"))))</f>
        <v/>
      </c>
      <c r="G196" s="44">
        <f>IF(D196="","",IF(E196&lt;&gt;"",E196,IF(F196&lt;&gt;"OK","",IF(INDEX(振り分け!$L$7:$L$456,I196)="","未決定",INDEX(振り分け!$L$7:$L$456,I196)))))</f>
        <v/>
      </c>
      <c r="H196" s="8">
        <f>IF(D196="","",A196&amp;"|"&amp;SUBSTITUTE(SUBSTITUTE(D196," ",""),"　",""))</f>
        <v/>
      </c>
      <c r="I196" s="8">
        <f>IF(H196="","",IFERROR(MATCH(H196,振り分け!$S$7:$S$456,0),""))</f>
        <v/>
      </c>
      <c r="J196" s="8">
        <f>IF(D196="","",IFERROR(MATCH(A196&amp;"-"&amp;B196,設定!$Z$8:$Z$31,0),99)*1000+C196+ROW()/1000000)</f>
        <v/>
      </c>
      <c r="K196" s="8">
        <f>IF(D196="","",IFERROR(INDEX(設定!$L$8:$L$31,MATCH(A196&amp;"-"&amp;B196,設定!$Z$8:$Z$31,0)),A196&amp;B196))</f>
        <v/>
      </c>
    </row>
    <row r="197">
      <c r="A197" s="40" t="n">
        <v>5</v>
      </c>
      <c r="B197" s="40" t="inlineStr">
        <is>
          <t>梅</t>
        </is>
      </c>
      <c r="C197" s="40" t="n">
        <v>15</v>
      </c>
      <c r="D197" s="41" t="inlineStr">
        <is>
          <t>藤井　心春</t>
        </is>
      </c>
      <c r="E197" s="40" t="n"/>
      <c r="F197" s="45">
        <f>IF(D197="","",IF(E197&lt;&gt;"","手入力",IF(I197="","前年度名簿にいない",IF(OR(COUNTIF($H$2:$H$451,H197)&gt;1,COUNTIF(振り分け!$S$7:$S$456,H197)&gt;1),"同姓同名あり（手入力してください）","OK"))))</f>
        <v/>
      </c>
      <c r="G197" s="44">
        <f>IF(D197="","",IF(E197&lt;&gt;"",E197,IF(F197&lt;&gt;"OK","",IF(INDEX(振り分け!$L$7:$L$456,I197)="","未決定",INDEX(振り分け!$L$7:$L$456,I197)))))</f>
        <v/>
      </c>
      <c r="H197" s="8">
        <f>IF(D197="","",A197&amp;"|"&amp;SUBSTITUTE(SUBSTITUTE(D197," ",""),"　",""))</f>
        <v/>
      </c>
      <c r="I197" s="8">
        <f>IF(H197="","",IFERROR(MATCH(H197,振り分け!$S$7:$S$456,0),""))</f>
        <v/>
      </c>
      <c r="J197" s="8">
        <f>IF(D197="","",IFERROR(MATCH(A197&amp;"-"&amp;B197,設定!$Z$8:$Z$31,0),99)*1000+C197+ROW()/1000000)</f>
        <v/>
      </c>
      <c r="K197" s="8">
        <f>IF(D197="","",IFERROR(INDEX(設定!$L$8:$L$31,MATCH(A197&amp;"-"&amp;B197,設定!$Z$8:$Z$31,0)),A197&amp;B197))</f>
        <v/>
      </c>
    </row>
    <row r="198">
      <c r="A198" s="40" t="n">
        <v>5</v>
      </c>
      <c r="B198" s="40" t="inlineStr">
        <is>
          <t>梅</t>
        </is>
      </c>
      <c r="C198" s="40" t="n">
        <v>16</v>
      </c>
      <c r="D198" s="41" t="inlineStr">
        <is>
          <t>小林　朝陽</t>
        </is>
      </c>
      <c r="E198" s="40" t="n"/>
      <c r="F198" s="45">
        <f>IF(D198="","",IF(E198&lt;&gt;"","手入力",IF(I198="","前年度名簿にいない",IF(OR(COUNTIF($H$2:$H$451,H198)&gt;1,COUNTIF(振り分け!$S$7:$S$456,H198)&gt;1),"同姓同名あり（手入力してください）","OK"))))</f>
        <v/>
      </c>
      <c r="G198" s="44">
        <f>IF(D198="","",IF(E198&lt;&gt;"",E198,IF(F198&lt;&gt;"OK","",IF(INDEX(振り分け!$L$7:$L$456,I198)="","未決定",INDEX(振り分け!$L$7:$L$456,I198)))))</f>
        <v/>
      </c>
      <c r="H198" s="8">
        <f>IF(D198="","",A198&amp;"|"&amp;SUBSTITUTE(SUBSTITUTE(D198," ",""),"　",""))</f>
        <v/>
      </c>
      <c r="I198" s="8">
        <f>IF(H198="","",IFERROR(MATCH(H198,振り分け!$S$7:$S$456,0),""))</f>
        <v/>
      </c>
      <c r="J198" s="8">
        <f>IF(D198="","",IFERROR(MATCH(A198&amp;"-"&amp;B198,設定!$Z$8:$Z$31,0),99)*1000+C198+ROW()/1000000)</f>
        <v/>
      </c>
      <c r="K198" s="8">
        <f>IF(D198="","",IFERROR(INDEX(設定!$L$8:$L$31,MATCH(A198&amp;"-"&amp;B198,設定!$Z$8:$Z$31,0)),A198&amp;B198))</f>
        <v/>
      </c>
    </row>
    <row r="199">
      <c r="A199" s="40" t="n">
        <v>5</v>
      </c>
      <c r="B199" s="40" t="inlineStr">
        <is>
          <t>梅</t>
        </is>
      </c>
      <c r="C199" s="40" t="n">
        <v>17</v>
      </c>
      <c r="D199" s="41" t="inlineStr">
        <is>
          <t>村上　蓮</t>
        </is>
      </c>
      <c r="E199" s="40" t="n"/>
      <c r="F199" s="45">
        <f>IF(D199="","",IF(E199&lt;&gt;"","手入力",IF(I199="","前年度名簿にいない",IF(OR(COUNTIF($H$2:$H$451,H199)&gt;1,COUNTIF(振り分け!$S$7:$S$456,H199)&gt;1),"同姓同名あり（手入力してください）","OK"))))</f>
        <v/>
      </c>
      <c r="G199" s="44">
        <f>IF(D199="","",IF(E199&lt;&gt;"",E199,IF(F199&lt;&gt;"OK","",IF(INDEX(振り分け!$L$7:$L$456,I199)="","未決定",INDEX(振り分け!$L$7:$L$456,I199)))))</f>
        <v/>
      </c>
      <c r="H199" s="8">
        <f>IF(D199="","",A199&amp;"|"&amp;SUBSTITUTE(SUBSTITUTE(D199," ",""),"　",""))</f>
        <v/>
      </c>
      <c r="I199" s="8">
        <f>IF(H199="","",IFERROR(MATCH(H199,振り分け!$S$7:$S$456,0),""))</f>
        <v/>
      </c>
      <c r="J199" s="8">
        <f>IF(D199="","",IFERROR(MATCH(A199&amp;"-"&amp;B199,設定!$Z$8:$Z$31,0),99)*1000+C199+ROW()/1000000)</f>
        <v/>
      </c>
      <c r="K199" s="8">
        <f>IF(D199="","",IFERROR(INDEX(設定!$L$8:$L$31,MATCH(A199&amp;"-"&amp;B199,設定!$Z$8:$Z$31,0)),A199&amp;B199))</f>
        <v/>
      </c>
    </row>
    <row r="200">
      <c r="A200" s="40" t="n">
        <v>5</v>
      </c>
      <c r="B200" s="40" t="inlineStr">
        <is>
          <t>梅</t>
        </is>
      </c>
      <c r="C200" s="40" t="n">
        <v>18</v>
      </c>
      <c r="D200" s="41" t="inlineStr">
        <is>
          <t>岡田　陽翔</t>
        </is>
      </c>
      <c r="E200" s="40" t="n"/>
      <c r="F200" s="45">
        <f>IF(D200="","",IF(E200&lt;&gt;"","手入力",IF(I200="","前年度名簿にいない",IF(OR(COUNTIF($H$2:$H$451,H200)&gt;1,COUNTIF(振り分け!$S$7:$S$456,H200)&gt;1),"同姓同名あり（手入力してください）","OK"))))</f>
        <v/>
      </c>
      <c r="G200" s="44">
        <f>IF(D200="","",IF(E200&lt;&gt;"",E200,IF(F200&lt;&gt;"OK","",IF(INDEX(振り分け!$L$7:$L$456,I200)="","未決定",INDEX(振り分け!$L$7:$L$456,I200)))))</f>
        <v/>
      </c>
      <c r="H200" s="8">
        <f>IF(D200="","",A200&amp;"|"&amp;SUBSTITUTE(SUBSTITUTE(D200," ",""),"　",""))</f>
        <v/>
      </c>
      <c r="I200" s="8">
        <f>IF(H200="","",IFERROR(MATCH(H200,振り分け!$S$7:$S$456,0),""))</f>
        <v/>
      </c>
      <c r="J200" s="8">
        <f>IF(D200="","",IFERROR(MATCH(A200&amp;"-"&amp;B200,設定!$Z$8:$Z$31,0),99)*1000+C200+ROW()/1000000)</f>
        <v/>
      </c>
      <c r="K200" s="8">
        <f>IF(D200="","",IFERROR(INDEX(設定!$L$8:$L$31,MATCH(A200&amp;"-"&amp;B200,設定!$Z$8:$Z$31,0)),A200&amp;B200))</f>
        <v/>
      </c>
    </row>
    <row r="201">
      <c r="A201" s="40" t="n">
        <v>5</v>
      </c>
      <c r="B201" s="40" t="inlineStr">
        <is>
          <t>梅</t>
        </is>
      </c>
      <c r="C201" s="40" t="n">
        <v>19</v>
      </c>
      <c r="D201" s="41" t="inlineStr">
        <is>
          <t>橋本　晴</t>
        </is>
      </c>
      <c r="E201" s="40" t="n"/>
      <c r="F201" s="45">
        <f>IF(D201="","",IF(E201&lt;&gt;"","手入力",IF(I201="","前年度名簿にいない",IF(OR(COUNTIF($H$2:$H$451,H201)&gt;1,COUNTIF(振り分け!$S$7:$S$456,H201)&gt;1),"同姓同名あり（手入力してください）","OK"))))</f>
        <v/>
      </c>
      <c r="G201" s="44">
        <f>IF(D201="","",IF(E201&lt;&gt;"",E201,IF(F201&lt;&gt;"OK","",IF(INDEX(振り分け!$L$7:$L$456,I201)="","未決定",INDEX(振り分け!$L$7:$L$456,I201)))))</f>
        <v/>
      </c>
      <c r="H201" s="8">
        <f>IF(D201="","",A201&amp;"|"&amp;SUBSTITUTE(SUBSTITUTE(D201," ",""),"　",""))</f>
        <v/>
      </c>
      <c r="I201" s="8">
        <f>IF(H201="","",IFERROR(MATCH(H201,振り分け!$S$7:$S$456,0),""))</f>
        <v/>
      </c>
      <c r="J201" s="8">
        <f>IF(D201="","",IFERROR(MATCH(A201&amp;"-"&amp;B201,設定!$Z$8:$Z$31,0),99)*1000+C201+ROW()/1000000)</f>
        <v/>
      </c>
      <c r="K201" s="8">
        <f>IF(D201="","",IFERROR(INDEX(設定!$L$8:$L$31,MATCH(A201&amp;"-"&amp;B201,設定!$Z$8:$Z$31,0)),A201&amp;B201))</f>
        <v/>
      </c>
    </row>
    <row r="202">
      <c r="A202" s="40" t="n">
        <v>5</v>
      </c>
      <c r="B202" s="40" t="inlineStr">
        <is>
          <t>梅</t>
        </is>
      </c>
      <c r="C202" s="40" t="n">
        <v>20</v>
      </c>
      <c r="D202" s="41" t="inlineStr">
        <is>
          <t>金子　結菜</t>
        </is>
      </c>
      <c r="E202" s="40" t="n"/>
      <c r="F202" s="45">
        <f>IF(D202="","",IF(E202&lt;&gt;"","手入力",IF(I202="","前年度名簿にいない",IF(OR(COUNTIF($H$2:$H$451,H202)&gt;1,COUNTIF(振り分け!$S$7:$S$456,H202)&gt;1),"同姓同名あり（手入力してください）","OK"))))</f>
        <v/>
      </c>
      <c r="G202" s="44">
        <f>IF(D202="","",IF(E202&lt;&gt;"",E202,IF(F202&lt;&gt;"OK","",IF(INDEX(振り分け!$L$7:$L$456,I202)="","未決定",INDEX(振り分け!$L$7:$L$456,I202)))))</f>
        <v/>
      </c>
      <c r="H202" s="8">
        <f>IF(D202="","",A202&amp;"|"&amp;SUBSTITUTE(SUBSTITUTE(D202," ",""),"　",""))</f>
        <v/>
      </c>
      <c r="I202" s="8">
        <f>IF(H202="","",IFERROR(MATCH(H202,振り分け!$S$7:$S$456,0),""))</f>
        <v/>
      </c>
      <c r="J202" s="8">
        <f>IF(D202="","",IFERROR(MATCH(A202&amp;"-"&amp;B202,設定!$Z$8:$Z$31,0),99)*1000+C202+ROW()/1000000)</f>
        <v/>
      </c>
      <c r="K202" s="8">
        <f>IF(D202="","",IFERROR(INDEX(設定!$L$8:$L$31,MATCH(A202&amp;"-"&amp;B202,設定!$Z$8:$Z$31,0)),A202&amp;B202))</f>
        <v/>
      </c>
    </row>
    <row r="203">
      <c r="A203" s="40" t="n">
        <v>5</v>
      </c>
      <c r="B203" s="40" t="inlineStr">
        <is>
          <t>梅</t>
        </is>
      </c>
      <c r="C203" s="40" t="n">
        <v>21</v>
      </c>
      <c r="D203" s="41" t="inlineStr">
        <is>
          <t>小川　花音</t>
        </is>
      </c>
      <c r="E203" s="40" t="n"/>
      <c r="F203" s="45">
        <f>IF(D203="","",IF(E203&lt;&gt;"","手入力",IF(I203="","前年度名簿にいない",IF(OR(COUNTIF($H$2:$H$451,H203)&gt;1,COUNTIF(振り分け!$S$7:$S$456,H203)&gt;1),"同姓同名あり（手入力してください）","OK"))))</f>
        <v/>
      </c>
      <c r="G203" s="44">
        <f>IF(D203="","",IF(E203&lt;&gt;"",E203,IF(F203&lt;&gt;"OK","",IF(INDEX(振り分け!$L$7:$L$456,I203)="","未決定",INDEX(振り分け!$L$7:$L$456,I203)))))</f>
        <v/>
      </c>
      <c r="H203" s="8">
        <f>IF(D203="","",A203&amp;"|"&amp;SUBSTITUTE(SUBSTITUTE(D203," ",""),"　",""))</f>
        <v/>
      </c>
      <c r="I203" s="8">
        <f>IF(H203="","",IFERROR(MATCH(H203,振り分け!$S$7:$S$456,0),""))</f>
        <v/>
      </c>
      <c r="J203" s="8">
        <f>IF(D203="","",IFERROR(MATCH(A203&amp;"-"&amp;B203,設定!$Z$8:$Z$31,0),99)*1000+C203+ROW()/1000000)</f>
        <v/>
      </c>
      <c r="K203" s="8">
        <f>IF(D203="","",IFERROR(INDEX(設定!$L$8:$L$31,MATCH(A203&amp;"-"&amp;B203,設定!$Z$8:$Z$31,0)),A203&amp;B203))</f>
        <v/>
      </c>
    </row>
    <row r="204">
      <c r="A204" s="40" t="n">
        <v>5</v>
      </c>
      <c r="B204" s="40" t="inlineStr">
        <is>
          <t>梅</t>
        </is>
      </c>
      <c r="C204" s="40" t="n">
        <v>22</v>
      </c>
      <c r="D204" s="41" t="inlineStr">
        <is>
          <t>木村　蓮</t>
        </is>
      </c>
      <c r="E204" s="40" t="n"/>
      <c r="F204" s="45">
        <f>IF(D204="","",IF(E204&lt;&gt;"","手入力",IF(I204="","前年度名簿にいない",IF(OR(COUNTIF($H$2:$H$451,H204)&gt;1,COUNTIF(振り分け!$S$7:$S$456,H204)&gt;1),"同姓同名あり（手入力してください）","OK"))))</f>
        <v/>
      </c>
      <c r="G204" s="44">
        <f>IF(D204="","",IF(E204&lt;&gt;"",E204,IF(F204&lt;&gt;"OK","",IF(INDEX(振り分け!$L$7:$L$456,I204)="","未決定",INDEX(振り分け!$L$7:$L$456,I204)))))</f>
        <v/>
      </c>
      <c r="H204" s="8">
        <f>IF(D204="","",A204&amp;"|"&amp;SUBSTITUTE(SUBSTITUTE(D204," ",""),"　",""))</f>
        <v/>
      </c>
      <c r="I204" s="8">
        <f>IF(H204="","",IFERROR(MATCH(H204,振り分け!$S$7:$S$456,0),""))</f>
        <v/>
      </c>
      <c r="J204" s="8">
        <f>IF(D204="","",IFERROR(MATCH(A204&amp;"-"&amp;B204,設定!$Z$8:$Z$31,0),99)*1000+C204+ROW()/1000000)</f>
        <v/>
      </c>
      <c r="K204" s="8">
        <f>IF(D204="","",IFERROR(INDEX(設定!$L$8:$L$31,MATCH(A204&amp;"-"&amp;B204,設定!$Z$8:$Z$31,0)),A204&amp;B204))</f>
        <v/>
      </c>
    </row>
    <row r="205">
      <c r="A205" s="40" t="n">
        <v>5</v>
      </c>
      <c r="B205" s="40" t="inlineStr">
        <is>
          <t>梅</t>
        </is>
      </c>
      <c r="C205" s="40" t="n">
        <v>23</v>
      </c>
      <c r="D205" s="41" t="inlineStr">
        <is>
          <t>近藤　千尋</t>
        </is>
      </c>
      <c r="E205" s="40" t="n"/>
      <c r="F205" s="45">
        <f>IF(D205="","",IF(E205&lt;&gt;"","手入力",IF(I205="","前年度名簿にいない",IF(OR(COUNTIF($H$2:$H$451,H205)&gt;1,COUNTIF(振り分け!$S$7:$S$456,H205)&gt;1),"同姓同名あり（手入力してください）","OK"))))</f>
        <v/>
      </c>
      <c r="G205" s="44">
        <f>IF(D205="","",IF(E205&lt;&gt;"",E205,IF(F205&lt;&gt;"OK","",IF(INDEX(振り分け!$L$7:$L$456,I205)="","未決定",INDEX(振り分け!$L$7:$L$456,I205)))))</f>
        <v/>
      </c>
      <c r="H205" s="8">
        <f>IF(D205="","",A205&amp;"|"&amp;SUBSTITUTE(SUBSTITUTE(D205," ",""),"　",""))</f>
        <v/>
      </c>
      <c r="I205" s="8">
        <f>IF(H205="","",IFERROR(MATCH(H205,振り分け!$S$7:$S$456,0),""))</f>
        <v/>
      </c>
      <c r="J205" s="8">
        <f>IF(D205="","",IFERROR(MATCH(A205&amp;"-"&amp;B205,設定!$Z$8:$Z$31,0),99)*1000+C205+ROW()/1000000)</f>
        <v/>
      </c>
      <c r="K205" s="8">
        <f>IF(D205="","",IFERROR(INDEX(設定!$L$8:$L$31,MATCH(A205&amp;"-"&amp;B205,設定!$Z$8:$Z$31,0)),A205&amp;B205))</f>
        <v/>
      </c>
    </row>
    <row r="206">
      <c r="A206" s="40" t="n">
        <v>5</v>
      </c>
      <c r="B206" s="40" t="inlineStr">
        <is>
          <t>梅</t>
        </is>
      </c>
      <c r="C206" s="40" t="n">
        <v>24</v>
      </c>
      <c r="D206" s="41" t="inlineStr">
        <is>
          <t>青木　湊</t>
        </is>
      </c>
      <c r="E206" s="40" t="n"/>
      <c r="F206" s="45">
        <f>IF(D206="","",IF(E206&lt;&gt;"","手入力",IF(I206="","前年度名簿にいない",IF(OR(COUNTIF($H$2:$H$451,H206)&gt;1,COUNTIF(振り分け!$S$7:$S$456,H206)&gt;1),"同姓同名あり（手入力してください）","OK"))))</f>
        <v/>
      </c>
      <c r="G206" s="44">
        <f>IF(D206="","",IF(E206&lt;&gt;"",E206,IF(F206&lt;&gt;"OK","",IF(INDEX(振り分け!$L$7:$L$456,I206)="","未決定",INDEX(振り分け!$L$7:$L$456,I206)))))</f>
        <v/>
      </c>
      <c r="H206" s="8">
        <f>IF(D206="","",A206&amp;"|"&amp;SUBSTITUTE(SUBSTITUTE(D206," ",""),"　",""))</f>
        <v/>
      </c>
      <c r="I206" s="8">
        <f>IF(H206="","",IFERROR(MATCH(H206,振り分け!$S$7:$S$456,0),""))</f>
        <v/>
      </c>
      <c r="J206" s="8">
        <f>IF(D206="","",IFERROR(MATCH(A206&amp;"-"&amp;B206,設定!$Z$8:$Z$31,0),99)*1000+C206+ROW()/1000000)</f>
        <v/>
      </c>
      <c r="K206" s="8">
        <f>IF(D206="","",IFERROR(INDEX(設定!$L$8:$L$31,MATCH(A206&amp;"-"&amp;B206,設定!$Z$8:$Z$31,0)),A206&amp;B206))</f>
        <v/>
      </c>
    </row>
    <row r="207">
      <c r="A207" s="40" t="n">
        <v>5</v>
      </c>
      <c r="B207" s="40" t="inlineStr">
        <is>
          <t>梅</t>
        </is>
      </c>
      <c r="C207" s="40" t="n">
        <v>25</v>
      </c>
      <c r="D207" s="41" t="inlineStr">
        <is>
          <t>坂本　優斗</t>
        </is>
      </c>
      <c r="E207" s="40" t="n"/>
      <c r="F207" s="45">
        <f>IF(D207="","",IF(E207&lt;&gt;"","手入力",IF(I207="","前年度名簿にいない",IF(OR(COUNTIF($H$2:$H$451,H207)&gt;1,COUNTIF(振り分け!$S$7:$S$456,H207)&gt;1),"同姓同名あり（手入力してください）","OK"))))</f>
        <v/>
      </c>
      <c r="G207" s="44">
        <f>IF(D207="","",IF(E207&lt;&gt;"",E207,IF(F207&lt;&gt;"OK","",IF(INDEX(振り分け!$L$7:$L$456,I207)="","未決定",INDEX(振り分け!$L$7:$L$456,I207)))))</f>
        <v/>
      </c>
      <c r="H207" s="8">
        <f>IF(D207="","",A207&amp;"|"&amp;SUBSTITUTE(SUBSTITUTE(D207," ",""),"　",""))</f>
        <v/>
      </c>
      <c r="I207" s="8">
        <f>IF(H207="","",IFERROR(MATCH(H207,振り分け!$S$7:$S$456,0),""))</f>
        <v/>
      </c>
      <c r="J207" s="8">
        <f>IF(D207="","",IFERROR(MATCH(A207&amp;"-"&amp;B207,設定!$Z$8:$Z$31,0),99)*1000+C207+ROW()/1000000)</f>
        <v/>
      </c>
      <c r="K207" s="8">
        <f>IF(D207="","",IFERROR(INDEX(設定!$L$8:$L$31,MATCH(A207&amp;"-"&amp;B207,設定!$Z$8:$Z$31,0)),A207&amp;B207))</f>
        <v/>
      </c>
    </row>
    <row r="208">
      <c r="A208" s="40" t="n">
        <v>5</v>
      </c>
      <c r="B208" s="40" t="inlineStr">
        <is>
          <t>梅</t>
        </is>
      </c>
      <c r="C208" s="40" t="n">
        <v>26</v>
      </c>
      <c r="D208" s="41" t="inlineStr">
        <is>
          <t>山口　陸</t>
        </is>
      </c>
      <c r="E208" s="40" t="n"/>
      <c r="F208" s="45">
        <f>IF(D208="","",IF(E208&lt;&gt;"","手入力",IF(I208="","前年度名簿にいない",IF(OR(COUNTIF($H$2:$H$451,H208)&gt;1,COUNTIF(振り分け!$S$7:$S$456,H208)&gt;1),"同姓同名あり（手入力してください）","OK"))))</f>
        <v/>
      </c>
      <c r="G208" s="44">
        <f>IF(D208="","",IF(E208&lt;&gt;"",E208,IF(F208&lt;&gt;"OK","",IF(INDEX(振り分け!$L$7:$L$456,I208)="","未決定",INDEX(振り分け!$L$7:$L$456,I208)))))</f>
        <v/>
      </c>
      <c r="H208" s="8">
        <f>IF(D208="","",A208&amp;"|"&amp;SUBSTITUTE(SUBSTITUTE(D208," ",""),"　",""))</f>
        <v/>
      </c>
      <c r="I208" s="8">
        <f>IF(H208="","",IFERROR(MATCH(H208,振り分け!$S$7:$S$456,0),""))</f>
        <v/>
      </c>
      <c r="J208" s="8">
        <f>IF(D208="","",IFERROR(MATCH(A208&amp;"-"&amp;B208,設定!$Z$8:$Z$31,0),99)*1000+C208+ROW()/1000000)</f>
        <v/>
      </c>
      <c r="K208" s="8">
        <f>IF(D208="","",IFERROR(INDEX(設定!$L$8:$L$31,MATCH(A208&amp;"-"&amp;B208,設定!$Z$8:$Z$31,0)),A208&amp;B208))</f>
        <v/>
      </c>
    </row>
    <row r="209">
      <c r="A209" s="40" t="n">
        <v>5</v>
      </c>
      <c r="B209" s="40" t="inlineStr">
        <is>
          <t>梅</t>
        </is>
      </c>
      <c r="C209" s="40" t="n">
        <v>27</v>
      </c>
      <c r="D209" s="41" t="inlineStr">
        <is>
          <t>福田　芽依</t>
        </is>
      </c>
      <c r="E209" s="40" t="n"/>
      <c r="F209" s="45">
        <f>IF(D209="","",IF(E209&lt;&gt;"","手入力",IF(I209="","前年度名簿にいない",IF(OR(COUNTIF($H$2:$H$451,H209)&gt;1,COUNTIF(振り分け!$S$7:$S$456,H209)&gt;1),"同姓同名あり（手入力してください）","OK"))))</f>
        <v/>
      </c>
      <c r="G209" s="44">
        <f>IF(D209="","",IF(E209&lt;&gt;"",E209,IF(F209&lt;&gt;"OK","",IF(INDEX(振り分け!$L$7:$L$456,I209)="","未決定",INDEX(振り分け!$L$7:$L$456,I209)))))</f>
        <v/>
      </c>
      <c r="H209" s="8">
        <f>IF(D209="","",A209&amp;"|"&amp;SUBSTITUTE(SUBSTITUTE(D209," ",""),"　",""))</f>
        <v/>
      </c>
      <c r="I209" s="8">
        <f>IF(H209="","",IFERROR(MATCH(H209,振り分け!$S$7:$S$456,0),""))</f>
        <v/>
      </c>
      <c r="J209" s="8">
        <f>IF(D209="","",IFERROR(MATCH(A209&amp;"-"&amp;B209,設定!$Z$8:$Z$31,0),99)*1000+C209+ROW()/1000000)</f>
        <v/>
      </c>
      <c r="K209" s="8">
        <f>IF(D209="","",IFERROR(INDEX(設定!$L$8:$L$31,MATCH(A209&amp;"-"&amp;B209,設定!$Z$8:$Z$31,0)),A209&amp;B209))</f>
        <v/>
      </c>
    </row>
    <row r="210">
      <c r="A210" s="40" t="n">
        <v>5</v>
      </c>
      <c r="B210" s="40" t="inlineStr">
        <is>
          <t>梅</t>
        </is>
      </c>
      <c r="C210" s="40" t="n">
        <v>28</v>
      </c>
      <c r="D210" s="41" t="inlineStr">
        <is>
          <t>坂本　咲良</t>
        </is>
      </c>
      <c r="E210" s="40" t="n"/>
      <c r="F210" s="45">
        <f>IF(D210="","",IF(E210&lt;&gt;"","手入力",IF(I210="","前年度名簿にいない",IF(OR(COUNTIF($H$2:$H$451,H210)&gt;1,COUNTIF(振り分け!$S$7:$S$456,H210)&gt;1),"同姓同名あり（手入力してください）","OK"))))</f>
        <v/>
      </c>
      <c r="G210" s="44">
        <f>IF(D210="","",IF(E210&lt;&gt;"",E210,IF(F210&lt;&gt;"OK","",IF(INDEX(振り分け!$L$7:$L$456,I210)="","未決定",INDEX(振り分け!$L$7:$L$456,I210)))))</f>
        <v/>
      </c>
      <c r="H210" s="8">
        <f>IF(D210="","",A210&amp;"|"&amp;SUBSTITUTE(SUBSTITUTE(D210," ",""),"　",""))</f>
        <v/>
      </c>
      <c r="I210" s="8">
        <f>IF(H210="","",IFERROR(MATCH(H210,振り分け!$S$7:$S$456,0),""))</f>
        <v/>
      </c>
      <c r="J210" s="8">
        <f>IF(D210="","",IFERROR(MATCH(A210&amp;"-"&amp;B210,設定!$Z$8:$Z$31,0),99)*1000+C210+ROW()/1000000)</f>
        <v/>
      </c>
      <c r="K210" s="8">
        <f>IF(D210="","",IFERROR(INDEX(設定!$L$8:$L$31,MATCH(A210&amp;"-"&amp;B210,設定!$Z$8:$Z$31,0)),A210&amp;B210))</f>
        <v/>
      </c>
    </row>
    <row r="211">
      <c r="A211" s="40" t="n">
        <v>5</v>
      </c>
      <c r="B211" s="40" t="inlineStr">
        <is>
          <t>梅</t>
        </is>
      </c>
      <c r="C211" s="40" t="n">
        <v>29</v>
      </c>
      <c r="D211" s="41" t="inlineStr">
        <is>
          <t>岡田　一花</t>
        </is>
      </c>
      <c r="E211" s="40" t="n"/>
      <c r="F211" s="45">
        <f>IF(D211="","",IF(E211&lt;&gt;"","手入力",IF(I211="","前年度名簿にいない",IF(OR(COUNTIF($H$2:$H$451,H211)&gt;1,COUNTIF(振り分け!$S$7:$S$456,H211)&gt;1),"同姓同名あり（手入力してください）","OK"))))</f>
        <v/>
      </c>
      <c r="G211" s="44">
        <f>IF(D211="","",IF(E211&lt;&gt;"",E211,IF(F211&lt;&gt;"OK","",IF(INDEX(振り分け!$L$7:$L$456,I211)="","未決定",INDEX(振り分け!$L$7:$L$456,I211)))))</f>
        <v/>
      </c>
      <c r="H211" s="8">
        <f>IF(D211="","",A211&amp;"|"&amp;SUBSTITUTE(SUBSTITUTE(D211," ",""),"　",""))</f>
        <v/>
      </c>
      <c r="I211" s="8">
        <f>IF(H211="","",IFERROR(MATCH(H211,振り分け!$S$7:$S$456,0),""))</f>
        <v/>
      </c>
      <c r="J211" s="8">
        <f>IF(D211="","",IFERROR(MATCH(A211&amp;"-"&amp;B211,設定!$Z$8:$Z$31,0),99)*1000+C211+ROW()/1000000)</f>
        <v/>
      </c>
      <c r="K211" s="8">
        <f>IF(D211="","",IFERROR(INDEX(設定!$L$8:$L$31,MATCH(A211&amp;"-"&amp;B211,設定!$Z$8:$Z$31,0)),A211&amp;B211))</f>
        <v/>
      </c>
    </row>
    <row r="212">
      <c r="A212" s="40" t="n">
        <v>5</v>
      </c>
      <c r="B212" s="40" t="inlineStr">
        <is>
          <t>梅</t>
        </is>
      </c>
      <c r="C212" s="40" t="n">
        <v>30</v>
      </c>
      <c r="D212" s="41" t="inlineStr">
        <is>
          <t>小川　優斗</t>
        </is>
      </c>
      <c r="E212" s="40" t="n"/>
      <c r="F212" s="45">
        <f>IF(D212="","",IF(E212&lt;&gt;"","手入力",IF(I212="","前年度名簿にいない",IF(OR(COUNTIF($H$2:$H$451,H212)&gt;1,COUNTIF(振り分け!$S$7:$S$456,H212)&gt;1),"同姓同名あり（手入力してください）","OK"))))</f>
        <v/>
      </c>
      <c r="G212" s="44">
        <f>IF(D212="","",IF(E212&lt;&gt;"",E212,IF(F212&lt;&gt;"OK","",IF(INDEX(振り分け!$L$7:$L$456,I212)="","未決定",INDEX(振り分け!$L$7:$L$456,I212)))))</f>
        <v/>
      </c>
      <c r="H212" s="8">
        <f>IF(D212="","",A212&amp;"|"&amp;SUBSTITUTE(SUBSTITUTE(D212," ",""),"　",""))</f>
        <v/>
      </c>
      <c r="I212" s="8">
        <f>IF(H212="","",IFERROR(MATCH(H212,振り分け!$S$7:$S$456,0),""))</f>
        <v/>
      </c>
      <c r="J212" s="8">
        <f>IF(D212="","",IFERROR(MATCH(A212&amp;"-"&amp;B212,設定!$Z$8:$Z$31,0),99)*1000+C212+ROW()/1000000)</f>
        <v/>
      </c>
      <c r="K212" s="8">
        <f>IF(D212="","",IFERROR(INDEX(設定!$L$8:$L$31,MATCH(A212&amp;"-"&amp;B212,設定!$Z$8:$Z$31,0)),A212&amp;B212))</f>
        <v/>
      </c>
    </row>
    <row r="213">
      <c r="A213" s="40" t="n">
        <v>5</v>
      </c>
      <c r="B213" s="40" t="inlineStr">
        <is>
          <t>月</t>
        </is>
      </c>
      <c r="C213" s="40" t="n">
        <v>1</v>
      </c>
      <c r="D213" s="41" t="inlineStr">
        <is>
          <t>中島　優斗</t>
        </is>
      </c>
      <c r="E213" s="40" t="n"/>
      <c r="F213" s="45">
        <f>IF(D213="","",IF(E213&lt;&gt;"","手入力",IF(I213="","前年度名簿にいない",IF(OR(COUNTIF($H$2:$H$451,H213)&gt;1,COUNTIF(振り分け!$S$7:$S$456,H213)&gt;1),"同姓同名あり（手入力してください）","OK"))))</f>
        <v/>
      </c>
      <c r="G213" s="44">
        <f>IF(D213="","",IF(E213&lt;&gt;"",E213,IF(F213&lt;&gt;"OK","",IF(INDEX(振り分け!$L$7:$L$456,I213)="","未決定",INDEX(振り分け!$L$7:$L$456,I213)))))</f>
        <v/>
      </c>
      <c r="H213" s="8">
        <f>IF(D213="","",A213&amp;"|"&amp;SUBSTITUTE(SUBSTITUTE(D213," ",""),"　",""))</f>
        <v/>
      </c>
      <c r="I213" s="8">
        <f>IF(H213="","",IFERROR(MATCH(H213,振り分け!$S$7:$S$456,0),""))</f>
        <v/>
      </c>
      <c r="J213" s="8">
        <f>IF(D213="","",IFERROR(MATCH(A213&amp;"-"&amp;B213,設定!$Z$8:$Z$31,0),99)*1000+C213+ROW()/1000000)</f>
        <v/>
      </c>
      <c r="K213" s="8">
        <f>IF(D213="","",IFERROR(INDEX(設定!$L$8:$L$31,MATCH(A213&amp;"-"&amp;B213,設定!$Z$8:$Z$31,0)),A213&amp;B213))</f>
        <v/>
      </c>
    </row>
    <row r="214">
      <c r="A214" s="40" t="n">
        <v>5</v>
      </c>
      <c r="B214" s="40" t="inlineStr">
        <is>
          <t>月</t>
        </is>
      </c>
      <c r="C214" s="40" t="n">
        <v>2</v>
      </c>
      <c r="D214" s="41" t="inlineStr">
        <is>
          <t>中野　陽太</t>
        </is>
      </c>
      <c r="E214" s="40" t="n"/>
      <c r="F214" s="45">
        <f>IF(D214="","",IF(E214&lt;&gt;"","手入力",IF(I214="","前年度名簿にいない",IF(OR(COUNTIF($H$2:$H$451,H214)&gt;1,COUNTIF(振り分け!$S$7:$S$456,H214)&gt;1),"同姓同名あり（手入力してください）","OK"))))</f>
        <v/>
      </c>
      <c r="G214" s="44">
        <f>IF(D214="","",IF(E214&lt;&gt;"",E214,IF(F214&lt;&gt;"OK","",IF(INDEX(振り分け!$L$7:$L$456,I214)="","未決定",INDEX(振り分け!$L$7:$L$456,I214)))))</f>
        <v/>
      </c>
      <c r="H214" s="8">
        <f>IF(D214="","",A214&amp;"|"&amp;SUBSTITUTE(SUBSTITUTE(D214," ",""),"　",""))</f>
        <v/>
      </c>
      <c r="I214" s="8">
        <f>IF(H214="","",IFERROR(MATCH(H214,振り分け!$S$7:$S$456,0),""))</f>
        <v/>
      </c>
      <c r="J214" s="8">
        <f>IF(D214="","",IFERROR(MATCH(A214&amp;"-"&amp;B214,設定!$Z$8:$Z$31,0),99)*1000+C214+ROW()/1000000)</f>
        <v/>
      </c>
      <c r="K214" s="8">
        <f>IF(D214="","",IFERROR(INDEX(設定!$L$8:$L$31,MATCH(A214&amp;"-"&amp;B214,設定!$Z$8:$Z$31,0)),A214&amp;B214))</f>
        <v/>
      </c>
    </row>
    <row r="215">
      <c r="A215" s="40" t="n">
        <v>5</v>
      </c>
      <c r="B215" s="40" t="inlineStr">
        <is>
          <t>月</t>
        </is>
      </c>
      <c r="C215" s="40" t="n">
        <v>3</v>
      </c>
      <c r="D215" s="41" t="inlineStr">
        <is>
          <t>藤田　莉子</t>
        </is>
      </c>
      <c r="E215" s="40" t="n"/>
      <c r="F215" s="45">
        <f>IF(D215="","",IF(E215&lt;&gt;"","手入力",IF(I215="","前年度名簿にいない",IF(OR(COUNTIF($H$2:$H$451,H215)&gt;1,COUNTIF(振り分け!$S$7:$S$456,H215)&gt;1),"同姓同名あり（手入力してください）","OK"))))</f>
        <v/>
      </c>
      <c r="G215" s="44">
        <f>IF(D215="","",IF(E215&lt;&gt;"",E215,IF(F215&lt;&gt;"OK","",IF(INDEX(振り分け!$L$7:$L$456,I215)="","未決定",INDEX(振り分け!$L$7:$L$456,I215)))))</f>
        <v/>
      </c>
      <c r="H215" s="8">
        <f>IF(D215="","",A215&amp;"|"&amp;SUBSTITUTE(SUBSTITUTE(D215," ",""),"　",""))</f>
        <v/>
      </c>
      <c r="I215" s="8">
        <f>IF(H215="","",IFERROR(MATCH(H215,振り分け!$S$7:$S$456,0),""))</f>
        <v/>
      </c>
      <c r="J215" s="8">
        <f>IF(D215="","",IFERROR(MATCH(A215&amp;"-"&amp;B215,設定!$Z$8:$Z$31,0),99)*1000+C215+ROW()/1000000)</f>
        <v/>
      </c>
      <c r="K215" s="8">
        <f>IF(D215="","",IFERROR(INDEX(設定!$L$8:$L$31,MATCH(A215&amp;"-"&amp;B215,設定!$Z$8:$Z$31,0)),A215&amp;B215))</f>
        <v/>
      </c>
    </row>
    <row r="216">
      <c r="A216" s="40" t="n">
        <v>5</v>
      </c>
      <c r="B216" s="40" t="inlineStr">
        <is>
          <t>月</t>
        </is>
      </c>
      <c r="C216" s="40" t="n">
        <v>4</v>
      </c>
      <c r="D216" s="41" t="inlineStr">
        <is>
          <t>中村　咲良</t>
        </is>
      </c>
      <c r="E216" s="40" t="n"/>
      <c r="F216" s="45">
        <f>IF(D216="","",IF(E216&lt;&gt;"","手入力",IF(I216="","前年度名簿にいない",IF(OR(COUNTIF($H$2:$H$451,H216)&gt;1,COUNTIF(振り分け!$S$7:$S$456,H216)&gt;1),"同姓同名あり（手入力してください）","OK"))))</f>
        <v/>
      </c>
      <c r="G216" s="44">
        <f>IF(D216="","",IF(E216&lt;&gt;"",E216,IF(F216&lt;&gt;"OK","",IF(INDEX(振り分け!$L$7:$L$456,I216)="","未決定",INDEX(振り分け!$L$7:$L$456,I216)))))</f>
        <v/>
      </c>
      <c r="H216" s="8">
        <f>IF(D216="","",A216&amp;"|"&amp;SUBSTITUTE(SUBSTITUTE(D216," ",""),"　",""))</f>
        <v/>
      </c>
      <c r="I216" s="8">
        <f>IF(H216="","",IFERROR(MATCH(H216,振り分け!$S$7:$S$456,0),""))</f>
        <v/>
      </c>
      <c r="J216" s="8">
        <f>IF(D216="","",IFERROR(MATCH(A216&amp;"-"&amp;B216,設定!$Z$8:$Z$31,0),99)*1000+C216+ROW()/1000000)</f>
        <v/>
      </c>
      <c r="K216" s="8">
        <f>IF(D216="","",IFERROR(INDEX(設定!$L$8:$L$31,MATCH(A216&amp;"-"&amp;B216,設定!$Z$8:$Z$31,0)),A216&amp;B216))</f>
        <v/>
      </c>
    </row>
    <row r="217">
      <c r="A217" s="40" t="n">
        <v>5</v>
      </c>
      <c r="B217" s="40" t="inlineStr">
        <is>
          <t>月</t>
        </is>
      </c>
      <c r="C217" s="40" t="n">
        <v>5</v>
      </c>
      <c r="D217" s="41" t="inlineStr">
        <is>
          <t>山崎　紬</t>
        </is>
      </c>
      <c r="E217" s="40" t="n"/>
      <c r="F217" s="45">
        <f>IF(D217="","",IF(E217&lt;&gt;"","手入力",IF(I217="","前年度名簿にいない",IF(OR(COUNTIF($H$2:$H$451,H217)&gt;1,COUNTIF(振り分け!$S$7:$S$456,H217)&gt;1),"同姓同名あり（手入力してください）","OK"))))</f>
        <v/>
      </c>
      <c r="G217" s="44">
        <f>IF(D217="","",IF(E217&lt;&gt;"",E217,IF(F217&lt;&gt;"OK","",IF(INDEX(振り分け!$L$7:$L$456,I217)="","未決定",INDEX(振り分け!$L$7:$L$456,I217)))))</f>
        <v/>
      </c>
      <c r="H217" s="8">
        <f>IF(D217="","",A217&amp;"|"&amp;SUBSTITUTE(SUBSTITUTE(D217," ",""),"　",""))</f>
        <v/>
      </c>
      <c r="I217" s="8">
        <f>IF(H217="","",IFERROR(MATCH(H217,振り分け!$S$7:$S$456,0),""))</f>
        <v/>
      </c>
      <c r="J217" s="8">
        <f>IF(D217="","",IFERROR(MATCH(A217&amp;"-"&amp;B217,設定!$Z$8:$Z$31,0),99)*1000+C217+ROW()/1000000)</f>
        <v/>
      </c>
      <c r="K217" s="8">
        <f>IF(D217="","",IFERROR(INDEX(設定!$L$8:$L$31,MATCH(A217&amp;"-"&amp;B217,設定!$Z$8:$Z$31,0)),A217&amp;B217))</f>
        <v/>
      </c>
    </row>
    <row r="218">
      <c r="A218" s="40" t="n">
        <v>5</v>
      </c>
      <c r="B218" s="40" t="inlineStr">
        <is>
          <t>月</t>
        </is>
      </c>
      <c r="C218" s="40" t="n">
        <v>6</v>
      </c>
      <c r="D218" s="41" t="inlineStr">
        <is>
          <t>山崎　朝陽</t>
        </is>
      </c>
      <c r="E218" s="40" t="n"/>
      <c r="F218" s="45">
        <f>IF(D218="","",IF(E218&lt;&gt;"","手入力",IF(I218="","前年度名簿にいない",IF(OR(COUNTIF($H$2:$H$451,H218)&gt;1,COUNTIF(振り分け!$S$7:$S$456,H218)&gt;1),"同姓同名あり（手入力してください）","OK"))))</f>
        <v/>
      </c>
      <c r="G218" s="44">
        <f>IF(D218="","",IF(E218&lt;&gt;"",E218,IF(F218&lt;&gt;"OK","",IF(INDEX(振り分け!$L$7:$L$456,I218)="","未決定",INDEX(振り分け!$L$7:$L$456,I218)))))</f>
        <v/>
      </c>
      <c r="H218" s="8">
        <f>IF(D218="","",A218&amp;"|"&amp;SUBSTITUTE(SUBSTITUTE(D218," ",""),"　",""))</f>
        <v/>
      </c>
      <c r="I218" s="8">
        <f>IF(H218="","",IFERROR(MATCH(H218,振り分け!$S$7:$S$456,0),""))</f>
        <v/>
      </c>
      <c r="J218" s="8">
        <f>IF(D218="","",IFERROR(MATCH(A218&amp;"-"&amp;B218,設定!$Z$8:$Z$31,0),99)*1000+C218+ROW()/1000000)</f>
        <v/>
      </c>
      <c r="K218" s="8">
        <f>IF(D218="","",IFERROR(INDEX(設定!$L$8:$L$31,MATCH(A218&amp;"-"&amp;B218,設定!$Z$8:$Z$31,0)),A218&amp;B218))</f>
        <v/>
      </c>
    </row>
    <row r="219">
      <c r="A219" s="40" t="n">
        <v>5</v>
      </c>
      <c r="B219" s="40" t="inlineStr">
        <is>
          <t>月</t>
        </is>
      </c>
      <c r="C219" s="40" t="n">
        <v>7</v>
      </c>
      <c r="D219" s="41" t="inlineStr">
        <is>
          <t>金子　さくら</t>
        </is>
      </c>
      <c r="E219" s="40" t="n"/>
      <c r="F219" s="45">
        <f>IF(D219="","",IF(E219&lt;&gt;"","手入力",IF(I219="","前年度名簿にいない",IF(OR(COUNTIF($H$2:$H$451,H219)&gt;1,COUNTIF(振り分け!$S$7:$S$456,H219)&gt;1),"同姓同名あり（手入力してください）","OK"))))</f>
        <v/>
      </c>
      <c r="G219" s="44">
        <f>IF(D219="","",IF(E219&lt;&gt;"",E219,IF(F219&lt;&gt;"OK","",IF(INDEX(振り分け!$L$7:$L$456,I219)="","未決定",INDEX(振り分け!$L$7:$L$456,I219)))))</f>
        <v/>
      </c>
      <c r="H219" s="8">
        <f>IF(D219="","",A219&amp;"|"&amp;SUBSTITUTE(SUBSTITUTE(D219," ",""),"　",""))</f>
        <v/>
      </c>
      <c r="I219" s="8">
        <f>IF(H219="","",IFERROR(MATCH(H219,振り分け!$S$7:$S$456,0),""))</f>
        <v/>
      </c>
      <c r="J219" s="8">
        <f>IF(D219="","",IFERROR(MATCH(A219&amp;"-"&amp;B219,設定!$Z$8:$Z$31,0),99)*1000+C219+ROW()/1000000)</f>
        <v/>
      </c>
      <c r="K219" s="8">
        <f>IF(D219="","",IFERROR(INDEX(設定!$L$8:$L$31,MATCH(A219&amp;"-"&amp;B219,設定!$Z$8:$Z$31,0)),A219&amp;B219))</f>
        <v/>
      </c>
    </row>
    <row r="220">
      <c r="A220" s="40" t="n">
        <v>5</v>
      </c>
      <c r="B220" s="40" t="inlineStr">
        <is>
          <t>月</t>
        </is>
      </c>
      <c r="C220" s="40" t="n">
        <v>8</v>
      </c>
      <c r="D220" s="41" t="inlineStr">
        <is>
          <t>伊藤　澪</t>
        </is>
      </c>
      <c r="E220" s="40" t="n"/>
      <c r="F220" s="45">
        <f>IF(D220="","",IF(E220&lt;&gt;"","手入力",IF(I220="","前年度名簿にいない",IF(OR(COUNTIF($H$2:$H$451,H220)&gt;1,COUNTIF(振り分け!$S$7:$S$456,H220)&gt;1),"同姓同名あり（手入力してください）","OK"))))</f>
        <v/>
      </c>
      <c r="G220" s="44">
        <f>IF(D220="","",IF(E220&lt;&gt;"",E220,IF(F220&lt;&gt;"OK","",IF(INDEX(振り分け!$L$7:$L$456,I220)="","未決定",INDEX(振り分け!$L$7:$L$456,I220)))))</f>
        <v/>
      </c>
      <c r="H220" s="8">
        <f>IF(D220="","",A220&amp;"|"&amp;SUBSTITUTE(SUBSTITUTE(D220," ",""),"　",""))</f>
        <v/>
      </c>
      <c r="I220" s="8">
        <f>IF(H220="","",IFERROR(MATCH(H220,振り分け!$S$7:$S$456,0),""))</f>
        <v/>
      </c>
      <c r="J220" s="8">
        <f>IF(D220="","",IFERROR(MATCH(A220&amp;"-"&amp;B220,設定!$Z$8:$Z$31,0),99)*1000+C220+ROW()/1000000)</f>
        <v/>
      </c>
      <c r="K220" s="8">
        <f>IF(D220="","",IFERROR(INDEX(設定!$L$8:$L$31,MATCH(A220&amp;"-"&amp;B220,設定!$Z$8:$Z$31,0)),A220&amp;B220))</f>
        <v/>
      </c>
    </row>
    <row r="221">
      <c r="A221" s="40" t="n">
        <v>5</v>
      </c>
      <c r="B221" s="40" t="inlineStr">
        <is>
          <t>月</t>
        </is>
      </c>
      <c r="C221" s="40" t="n">
        <v>9</v>
      </c>
      <c r="D221" s="41" t="inlineStr">
        <is>
          <t>井上　律</t>
        </is>
      </c>
      <c r="E221" s="40" t="n"/>
      <c r="F221" s="45">
        <f>IF(D221="","",IF(E221&lt;&gt;"","手入力",IF(I221="","前年度名簿にいない",IF(OR(COUNTIF($H$2:$H$451,H221)&gt;1,COUNTIF(振り分け!$S$7:$S$456,H221)&gt;1),"同姓同名あり（手入力してください）","OK"))))</f>
        <v/>
      </c>
      <c r="G221" s="44">
        <f>IF(D221="","",IF(E221&lt;&gt;"",E221,IF(F221&lt;&gt;"OK","",IF(INDEX(振り分け!$L$7:$L$456,I221)="","未決定",INDEX(振り分け!$L$7:$L$456,I221)))))</f>
        <v/>
      </c>
      <c r="H221" s="8">
        <f>IF(D221="","",A221&amp;"|"&amp;SUBSTITUTE(SUBSTITUTE(D221," ",""),"　",""))</f>
        <v/>
      </c>
      <c r="I221" s="8">
        <f>IF(H221="","",IFERROR(MATCH(H221,振り分け!$S$7:$S$456,0),""))</f>
        <v/>
      </c>
      <c r="J221" s="8">
        <f>IF(D221="","",IFERROR(MATCH(A221&amp;"-"&amp;B221,設定!$Z$8:$Z$31,0),99)*1000+C221+ROW()/1000000)</f>
        <v/>
      </c>
      <c r="K221" s="8">
        <f>IF(D221="","",IFERROR(INDEX(設定!$L$8:$L$31,MATCH(A221&amp;"-"&amp;B221,設定!$Z$8:$Z$31,0)),A221&amp;B221))</f>
        <v/>
      </c>
    </row>
    <row r="222">
      <c r="A222" s="40" t="n">
        <v>5</v>
      </c>
      <c r="B222" s="40" t="inlineStr">
        <is>
          <t>月</t>
        </is>
      </c>
      <c r="C222" s="40" t="n">
        <v>10</v>
      </c>
      <c r="D222" s="41" t="inlineStr">
        <is>
          <t>鈴木　航</t>
        </is>
      </c>
      <c r="E222" s="40" t="n"/>
      <c r="F222" s="45">
        <f>IF(D222="","",IF(E222&lt;&gt;"","手入力",IF(I222="","前年度名簿にいない",IF(OR(COUNTIF($H$2:$H$451,H222)&gt;1,COUNTIF(振り分け!$S$7:$S$456,H222)&gt;1),"同姓同名あり（手入力してください）","OK"))))</f>
        <v/>
      </c>
      <c r="G222" s="44">
        <f>IF(D222="","",IF(E222&lt;&gt;"",E222,IF(F222&lt;&gt;"OK","",IF(INDEX(振り分け!$L$7:$L$456,I222)="","未決定",INDEX(振り分け!$L$7:$L$456,I222)))))</f>
        <v/>
      </c>
      <c r="H222" s="8">
        <f>IF(D222="","",A222&amp;"|"&amp;SUBSTITUTE(SUBSTITUTE(D222," ",""),"　",""))</f>
        <v/>
      </c>
      <c r="I222" s="8">
        <f>IF(H222="","",IFERROR(MATCH(H222,振り分け!$S$7:$S$456,0),""))</f>
        <v/>
      </c>
      <c r="J222" s="8">
        <f>IF(D222="","",IFERROR(MATCH(A222&amp;"-"&amp;B222,設定!$Z$8:$Z$31,0),99)*1000+C222+ROW()/1000000)</f>
        <v/>
      </c>
      <c r="K222" s="8">
        <f>IF(D222="","",IFERROR(INDEX(設定!$L$8:$L$31,MATCH(A222&amp;"-"&amp;B222,設定!$Z$8:$Z$31,0)),A222&amp;B222))</f>
        <v/>
      </c>
    </row>
    <row r="223">
      <c r="A223" s="40" t="n">
        <v>5</v>
      </c>
      <c r="B223" s="40" t="inlineStr">
        <is>
          <t>月</t>
        </is>
      </c>
      <c r="C223" s="40" t="n">
        <v>11</v>
      </c>
      <c r="D223" s="41" t="inlineStr">
        <is>
          <t>鈴木　悠人</t>
        </is>
      </c>
      <c r="E223" s="40" t="n"/>
      <c r="F223" s="45">
        <f>IF(D223="","",IF(E223&lt;&gt;"","手入力",IF(I223="","前年度名簿にいない",IF(OR(COUNTIF($H$2:$H$451,H223)&gt;1,COUNTIF(振り分け!$S$7:$S$456,H223)&gt;1),"同姓同名あり（手入力してください）","OK"))))</f>
        <v/>
      </c>
      <c r="G223" s="44">
        <f>IF(D223="","",IF(E223&lt;&gt;"",E223,IF(F223&lt;&gt;"OK","",IF(INDEX(振り分け!$L$7:$L$456,I223)="","未決定",INDEX(振り分け!$L$7:$L$456,I223)))))</f>
        <v/>
      </c>
      <c r="H223" s="8">
        <f>IF(D223="","",A223&amp;"|"&amp;SUBSTITUTE(SUBSTITUTE(D223," ",""),"　",""))</f>
        <v/>
      </c>
      <c r="I223" s="8">
        <f>IF(H223="","",IFERROR(MATCH(H223,振り分け!$S$7:$S$456,0),""))</f>
        <v/>
      </c>
      <c r="J223" s="8">
        <f>IF(D223="","",IFERROR(MATCH(A223&amp;"-"&amp;B223,設定!$Z$8:$Z$31,0),99)*1000+C223+ROW()/1000000)</f>
        <v/>
      </c>
      <c r="K223" s="8">
        <f>IF(D223="","",IFERROR(INDEX(設定!$L$8:$L$31,MATCH(A223&amp;"-"&amp;B223,設定!$Z$8:$Z$31,0)),A223&amp;B223))</f>
        <v/>
      </c>
    </row>
    <row r="224">
      <c r="A224" s="40" t="n">
        <v>5</v>
      </c>
      <c r="B224" s="40" t="inlineStr">
        <is>
          <t>月</t>
        </is>
      </c>
      <c r="C224" s="40" t="n">
        <v>12</v>
      </c>
      <c r="D224" s="41" t="inlineStr">
        <is>
          <t>前田　海斗</t>
        </is>
      </c>
      <c r="E224" s="40" t="n"/>
      <c r="F224" s="45">
        <f>IF(D224="","",IF(E224&lt;&gt;"","手入力",IF(I224="","前年度名簿にいない",IF(OR(COUNTIF($H$2:$H$451,H224)&gt;1,COUNTIF(振り分け!$S$7:$S$456,H224)&gt;1),"同姓同名あり（手入力してください）","OK"))))</f>
        <v/>
      </c>
      <c r="G224" s="44">
        <f>IF(D224="","",IF(E224&lt;&gt;"",E224,IF(F224&lt;&gt;"OK","",IF(INDEX(振り分け!$L$7:$L$456,I224)="","未決定",INDEX(振り分け!$L$7:$L$456,I224)))))</f>
        <v/>
      </c>
      <c r="H224" s="8">
        <f>IF(D224="","",A224&amp;"|"&amp;SUBSTITUTE(SUBSTITUTE(D224," ",""),"　",""))</f>
        <v/>
      </c>
      <c r="I224" s="8">
        <f>IF(H224="","",IFERROR(MATCH(H224,振り分け!$S$7:$S$456,0),""))</f>
        <v/>
      </c>
      <c r="J224" s="8">
        <f>IF(D224="","",IFERROR(MATCH(A224&amp;"-"&amp;B224,設定!$Z$8:$Z$31,0),99)*1000+C224+ROW()/1000000)</f>
        <v/>
      </c>
      <c r="K224" s="8">
        <f>IF(D224="","",IFERROR(INDEX(設定!$L$8:$L$31,MATCH(A224&amp;"-"&amp;B224,設定!$Z$8:$Z$31,0)),A224&amp;B224))</f>
        <v/>
      </c>
    </row>
    <row r="225">
      <c r="A225" s="40" t="n">
        <v>5</v>
      </c>
      <c r="B225" s="40" t="inlineStr">
        <is>
          <t>月</t>
        </is>
      </c>
      <c r="C225" s="40" t="n">
        <v>13</v>
      </c>
      <c r="D225" s="41" t="inlineStr">
        <is>
          <t>岡本　楓</t>
        </is>
      </c>
      <c r="E225" s="40" t="n"/>
      <c r="F225" s="45">
        <f>IF(D225="","",IF(E225&lt;&gt;"","手入力",IF(I225="","前年度名簿にいない",IF(OR(COUNTIF($H$2:$H$451,H225)&gt;1,COUNTIF(振り分け!$S$7:$S$456,H225)&gt;1),"同姓同名あり（手入力してください）","OK"))))</f>
        <v/>
      </c>
      <c r="G225" s="44">
        <f>IF(D225="","",IF(E225&lt;&gt;"",E225,IF(F225&lt;&gt;"OK","",IF(INDEX(振り分け!$L$7:$L$456,I225)="","未決定",INDEX(振り分け!$L$7:$L$456,I225)))))</f>
        <v/>
      </c>
      <c r="H225" s="8">
        <f>IF(D225="","",A225&amp;"|"&amp;SUBSTITUTE(SUBSTITUTE(D225," ",""),"　",""))</f>
        <v/>
      </c>
      <c r="I225" s="8">
        <f>IF(H225="","",IFERROR(MATCH(H225,振り分け!$S$7:$S$456,0),""))</f>
        <v/>
      </c>
      <c r="J225" s="8">
        <f>IF(D225="","",IFERROR(MATCH(A225&amp;"-"&amp;B225,設定!$Z$8:$Z$31,0),99)*1000+C225+ROW()/1000000)</f>
        <v/>
      </c>
      <c r="K225" s="8">
        <f>IF(D225="","",IFERROR(INDEX(設定!$L$8:$L$31,MATCH(A225&amp;"-"&amp;B225,設定!$Z$8:$Z$31,0)),A225&amp;B225))</f>
        <v/>
      </c>
    </row>
    <row r="226">
      <c r="A226" s="40" t="n">
        <v>5</v>
      </c>
      <c r="B226" s="40" t="inlineStr">
        <is>
          <t>月</t>
        </is>
      </c>
      <c r="C226" s="40" t="n">
        <v>14</v>
      </c>
      <c r="D226" s="41" t="inlineStr">
        <is>
          <t>西村　咲良</t>
        </is>
      </c>
      <c r="E226" s="40" t="n"/>
      <c r="F226" s="45">
        <f>IF(D226="","",IF(E226&lt;&gt;"","手入力",IF(I226="","前年度名簿にいない",IF(OR(COUNTIF($H$2:$H$451,H226)&gt;1,COUNTIF(振り分け!$S$7:$S$456,H226)&gt;1),"同姓同名あり（手入力してください）","OK"))))</f>
        <v/>
      </c>
      <c r="G226" s="44">
        <f>IF(D226="","",IF(E226&lt;&gt;"",E226,IF(F226&lt;&gt;"OK","",IF(INDEX(振り分け!$L$7:$L$456,I226)="","未決定",INDEX(振り分け!$L$7:$L$456,I226)))))</f>
        <v/>
      </c>
      <c r="H226" s="8">
        <f>IF(D226="","",A226&amp;"|"&amp;SUBSTITUTE(SUBSTITUTE(D226," ",""),"　",""))</f>
        <v/>
      </c>
      <c r="I226" s="8">
        <f>IF(H226="","",IFERROR(MATCH(H226,振り分け!$S$7:$S$456,0),""))</f>
        <v/>
      </c>
      <c r="J226" s="8">
        <f>IF(D226="","",IFERROR(MATCH(A226&amp;"-"&amp;B226,設定!$Z$8:$Z$31,0),99)*1000+C226+ROW()/1000000)</f>
        <v/>
      </c>
      <c r="K226" s="8">
        <f>IF(D226="","",IFERROR(INDEX(設定!$L$8:$L$31,MATCH(A226&amp;"-"&amp;B226,設定!$Z$8:$Z$31,0)),A226&amp;B226))</f>
        <v/>
      </c>
    </row>
    <row r="227">
      <c r="A227" s="40" t="n">
        <v>5</v>
      </c>
      <c r="B227" s="40" t="inlineStr">
        <is>
          <t>月</t>
        </is>
      </c>
      <c r="C227" s="40" t="n">
        <v>15</v>
      </c>
      <c r="D227" s="41" t="inlineStr">
        <is>
          <t>佐々木　大翔</t>
        </is>
      </c>
      <c r="E227" s="40" t="n"/>
      <c r="F227" s="45">
        <f>IF(D227="","",IF(E227&lt;&gt;"","手入力",IF(I227="","前年度名簿にいない",IF(OR(COUNTIF($H$2:$H$451,H227)&gt;1,COUNTIF(振り分け!$S$7:$S$456,H227)&gt;1),"同姓同名あり（手入力してください）","OK"))))</f>
        <v/>
      </c>
      <c r="G227" s="44">
        <f>IF(D227="","",IF(E227&lt;&gt;"",E227,IF(F227&lt;&gt;"OK","",IF(INDEX(振り分け!$L$7:$L$456,I227)="","未決定",INDEX(振り分け!$L$7:$L$456,I227)))))</f>
        <v/>
      </c>
      <c r="H227" s="8">
        <f>IF(D227="","",A227&amp;"|"&amp;SUBSTITUTE(SUBSTITUTE(D227," ",""),"　",""))</f>
        <v/>
      </c>
      <c r="I227" s="8">
        <f>IF(H227="","",IFERROR(MATCH(H227,振り分け!$S$7:$S$456,0),""))</f>
        <v/>
      </c>
      <c r="J227" s="8">
        <f>IF(D227="","",IFERROR(MATCH(A227&amp;"-"&amp;B227,設定!$Z$8:$Z$31,0),99)*1000+C227+ROW()/1000000)</f>
        <v/>
      </c>
      <c r="K227" s="8">
        <f>IF(D227="","",IFERROR(INDEX(設定!$L$8:$L$31,MATCH(A227&amp;"-"&amp;B227,設定!$Z$8:$Z$31,0)),A227&amp;B227))</f>
        <v/>
      </c>
    </row>
    <row r="228">
      <c r="A228" s="40" t="n">
        <v>5</v>
      </c>
      <c r="B228" s="40" t="inlineStr">
        <is>
          <t>月</t>
        </is>
      </c>
      <c r="C228" s="40" t="n">
        <v>16</v>
      </c>
      <c r="D228" s="41" t="inlineStr">
        <is>
          <t>池田　大和</t>
        </is>
      </c>
      <c r="E228" s="40" t="n"/>
      <c r="F228" s="45">
        <f>IF(D228="","",IF(E228&lt;&gt;"","手入力",IF(I228="","前年度名簿にいない",IF(OR(COUNTIF($H$2:$H$451,H228)&gt;1,COUNTIF(振り分け!$S$7:$S$456,H228)&gt;1),"同姓同名あり（手入力してください）","OK"))))</f>
        <v/>
      </c>
      <c r="G228" s="44">
        <f>IF(D228="","",IF(E228&lt;&gt;"",E228,IF(F228&lt;&gt;"OK","",IF(INDEX(振り分け!$L$7:$L$456,I228)="","未決定",INDEX(振り分け!$L$7:$L$456,I228)))))</f>
        <v/>
      </c>
      <c r="H228" s="8">
        <f>IF(D228="","",A228&amp;"|"&amp;SUBSTITUTE(SUBSTITUTE(D228," ",""),"　",""))</f>
        <v/>
      </c>
      <c r="I228" s="8">
        <f>IF(H228="","",IFERROR(MATCH(H228,振り分け!$S$7:$S$456,0),""))</f>
        <v/>
      </c>
      <c r="J228" s="8">
        <f>IF(D228="","",IFERROR(MATCH(A228&amp;"-"&amp;B228,設定!$Z$8:$Z$31,0),99)*1000+C228+ROW()/1000000)</f>
        <v/>
      </c>
      <c r="K228" s="8">
        <f>IF(D228="","",IFERROR(INDEX(設定!$L$8:$L$31,MATCH(A228&amp;"-"&amp;B228,設定!$Z$8:$Z$31,0)),A228&amp;B228))</f>
        <v/>
      </c>
    </row>
    <row r="229">
      <c r="A229" s="40" t="n">
        <v>5</v>
      </c>
      <c r="B229" s="40" t="inlineStr">
        <is>
          <t>月</t>
        </is>
      </c>
      <c r="C229" s="40" t="n">
        <v>17</v>
      </c>
      <c r="D229" s="41" t="inlineStr">
        <is>
          <t>石井　花音</t>
        </is>
      </c>
      <c r="E229" s="40" t="n"/>
      <c r="F229" s="45">
        <f>IF(D229="","",IF(E229&lt;&gt;"","手入力",IF(I229="","前年度名簿にいない",IF(OR(COUNTIF($H$2:$H$451,H229)&gt;1,COUNTIF(振り分け!$S$7:$S$456,H229)&gt;1),"同姓同名あり（手入力してください）","OK"))))</f>
        <v/>
      </c>
      <c r="G229" s="44">
        <f>IF(D229="","",IF(E229&lt;&gt;"",E229,IF(F229&lt;&gt;"OK","",IF(INDEX(振り分け!$L$7:$L$456,I229)="","未決定",INDEX(振り分け!$L$7:$L$456,I229)))))</f>
        <v/>
      </c>
      <c r="H229" s="8">
        <f>IF(D229="","",A229&amp;"|"&amp;SUBSTITUTE(SUBSTITUTE(D229," ",""),"　",""))</f>
        <v/>
      </c>
      <c r="I229" s="8">
        <f>IF(H229="","",IFERROR(MATCH(H229,振り分け!$S$7:$S$456,0),""))</f>
        <v/>
      </c>
      <c r="J229" s="8">
        <f>IF(D229="","",IFERROR(MATCH(A229&amp;"-"&amp;B229,設定!$Z$8:$Z$31,0),99)*1000+C229+ROW()/1000000)</f>
        <v/>
      </c>
      <c r="K229" s="8">
        <f>IF(D229="","",IFERROR(INDEX(設定!$L$8:$L$31,MATCH(A229&amp;"-"&amp;B229,設定!$Z$8:$Z$31,0)),A229&amp;B229))</f>
        <v/>
      </c>
    </row>
    <row r="230">
      <c r="A230" s="40" t="n">
        <v>5</v>
      </c>
      <c r="B230" s="40" t="inlineStr">
        <is>
          <t>月</t>
        </is>
      </c>
      <c r="C230" s="40" t="n">
        <v>18</v>
      </c>
      <c r="D230" s="41" t="inlineStr">
        <is>
          <t>石川　琴音</t>
        </is>
      </c>
      <c r="E230" s="40" t="n"/>
      <c r="F230" s="45">
        <f>IF(D230="","",IF(E230&lt;&gt;"","手入力",IF(I230="","前年度名簿にいない",IF(OR(COUNTIF($H$2:$H$451,H230)&gt;1,COUNTIF(振り分け!$S$7:$S$456,H230)&gt;1),"同姓同名あり（手入力してください）","OK"))))</f>
        <v/>
      </c>
      <c r="G230" s="44">
        <f>IF(D230="","",IF(E230&lt;&gt;"",E230,IF(F230&lt;&gt;"OK","",IF(INDEX(振り分け!$L$7:$L$456,I230)="","未決定",INDEX(振り分け!$L$7:$L$456,I230)))))</f>
        <v/>
      </c>
      <c r="H230" s="8">
        <f>IF(D230="","",A230&amp;"|"&amp;SUBSTITUTE(SUBSTITUTE(D230," ",""),"　",""))</f>
        <v/>
      </c>
      <c r="I230" s="8">
        <f>IF(H230="","",IFERROR(MATCH(H230,振り分け!$S$7:$S$456,0),""))</f>
        <v/>
      </c>
      <c r="J230" s="8">
        <f>IF(D230="","",IFERROR(MATCH(A230&amp;"-"&amp;B230,設定!$Z$8:$Z$31,0),99)*1000+C230+ROW()/1000000)</f>
        <v/>
      </c>
      <c r="K230" s="8">
        <f>IF(D230="","",IFERROR(INDEX(設定!$L$8:$L$31,MATCH(A230&amp;"-"&amp;B230,設定!$Z$8:$Z$31,0)),A230&amp;B230))</f>
        <v/>
      </c>
    </row>
    <row r="231">
      <c r="A231" s="40" t="n">
        <v>5</v>
      </c>
      <c r="B231" s="40" t="inlineStr">
        <is>
          <t>月</t>
        </is>
      </c>
      <c r="C231" s="40" t="n">
        <v>19</v>
      </c>
      <c r="D231" s="41" t="inlineStr">
        <is>
          <t>渡辺　彩花</t>
        </is>
      </c>
      <c r="E231" s="40" t="n"/>
      <c r="F231" s="45">
        <f>IF(D231="","",IF(E231&lt;&gt;"","手入力",IF(I231="","前年度名簿にいない",IF(OR(COUNTIF($H$2:$H$451,H231)&gt;1,COUNTIF(振り分け!$S$7:$S$456,H231)&gt;1),"同姓同名あり（手入力してください）","OK"))))</f>
        <v/>
      </c>
      <c r="G231" s="44">
        <f>IF(D231="","",IF(E231&lt;&gt;"",E231,IF(F231&lt;&gt;"OK","",IF(INDEX(振り分け!$L$7:$L$456,I231)="","未決定",INDEX(振り分け!$L$7:$L$456,I231)))))</f>
        <v/>
      </c>
      <c r="H231" s="8">
        <f>IF(D231="","",A231&amp;"|"&amp;SUBSTITUTE(SUBSTITUTE(D231," ",""),"　",""))</f>
        <v/>
      </c>
      <c r="I231" s="8">
        <f>IF(H231="","",IFERROR(MATCH(H231,振り分け!$S$7:$S$456,0),""))</f>
        <v/>
      </c>
      <c r="J231" s="8">
        <f>IF(D231="","",IFERROR(MATCH(A231&amp;"-"&amp;B231,設定!$Z$8:$Z$31,0),99)*1000+C231+ROW()/1000000)</f>
        <v/>
      </c>
      <c r="K231" s="8">
        <f>IF(D231="","",IFERROR(INDEX(設定!$L$8:$L$31,MATCH(A231&amp;"-"&amp;B231,設定!$Z$8:$Z$31,0)),A231&amp;B231))</f>
        <v/>
      </c>
    </row>
    <row r="232">
      <c r="A232" s="40" t="n">
        <v>5</v>
      </c>
      <c r="B232" s="40" t="inlineStr">
        <is>
          <t>月</t>
        </is>
      </c>
      <c r="C232" s="40" t="n">
        <v>20</v>
      </c>
      <c r="D232" s="41" t="inlineStr">
        <is>
          <t>清水　花音</t>
        </is>
      </c>
      <c r="E232" s="40" t="n"/>
      <c r="F232" s="45">
        <f>IF(D232="","",IF(E232&lt;&gt;"","手入力",IF(I232="","前年度名簿にいない",IF(OR(COUNTIF($H$2:$H$451,H232)&gt;1,COUNTIF(振り分け!$S$7:$S$456,H232)&gt;1),"同姓同名あり（手入力してください）","OK"))))</f>
        <v/>
      </c>
      <c r="G232" s="44">
        <f>IF(D232="","",IF(E232&lt;&gt;"",E232,IF(F232&lt;&gt;"OK","",IF(INDEX(振り分け!$L$7:$L$456,I232)="","未決定",INDEX(振り分け!$L$7:$L$456,I232)))))</f>
        <v/>
      </c>
      <c r="H232" s="8">
        <f>IF(D232="","",A232&amp;"|"&amp;SUBSTITUTE(SUBSTITUTE(D232," ",""),"　",""))</f>
        <v/>
      </c>
      <c r="I232" s="8">
        <f>IF(H232="","",IFERROR(MATCH(H232,振り分け!$S$7:$S$456,0),""))</f>
        <v/>
      </c>
      <c r="J232" s="8">
        <f>IF(D232="","",IFERROR(MATCH(A232&amp;"-"&amp;B232,設定!$Z$8:$Z$31,0),99)*1000+C232+ROW()/1000000)</f>
        <v/>
      </c>
      <c r="K232" s="8">
        <f>IF(D232="","",IFERROR(INDEX(設定!$L$8:$L$31,MATCH(A232&amp;"-"&amp;B232,設定!$Z$8:$Z$31,0)),A232&amp;B232))</f>
        <v/>
      </c>
    </row>
    <row r="233">
      <c r="A233" s="40" t="n">
        <v>5</v>
      </c>
      <c r="B233" s="40" t="inlineStr">
        <is>
          <t>月</t>
        </is>
      </c>
      <c r="C233" s="40" t="n">
        <v>21</v>
      </c>
      <c r="D233" s="41" t="inlineStr">
        <is>
          <t>伊藤　一花</t>
        </is>
      </c>
      <c r="E233" s="40" t="n"/>
      <c r="F233" s="45">
        <f>IF(D233="","",IF(E233&lt;&gt;"","手入力",IF(I233="","前年度名簿にいない",IF(OR(COUNTIF($H$2:$H$451,H233)&gt;1,COUNTIF(振り分け!$S$7:$S$456,H233)&gt;1),"同姓同名あり（手入力してください）","OK"))))</f>
        <v/>
      </c>
      <c r="G233" s="44">
        <f>IF(D233="","",IF(E233&lt;&gt;"",E233,IF(F233&lt;&gt;"OK","",IF(INDEX(振り分け!$L$7:$L$456,I233)="","未決定",INDEX(振り分け!$L$7:$L$456,I233)))))</f>
        <v/>
      </c>
      <c r="H233" s="8">
        <f>IF(D233="","",A233&amp;"|"&amp;SUBSTITUTE(SUBSTITUTE(D233," ",""),"　",""))</f>
        <v/>
      </c>
      <c r="I233" s="8">
        <f>IF(H233="","",IFERROR(MATCH(H233,振り分け!$S$7:$S$456,0),""))</f>
        <v/>
      </c>
      <c r="J233" s="8">
        <f>IF(D233="","",IFERROR(MATCH(A233&amp;"-"&amp;B233,設定!$Z$8:$Z$31,0),99)*1000+C233+ROW()/1000000)</f>
        <v/>
      </c>
      <c r="K233" s="8">
        <f>IF(D233="","",IFERROR(INDEX(設定!$L$8:$L$31,MATCH(A233&amp;"-"&amp;B233,設定!$Z$8:$Z$31,0)),A233&amp;B233))</f>
        <v/>
      </c>
    </row>
    <row r="234">
      <c r="A234" s="40" t="n">
        <v>5</v>
      </c>
      <c r="B234" s="40" t="inlineStr">
        <is>
          <t>月</t>
        </is>
      </c>
      <c r="C234" s="40" t="n">
        <v>22</v>
      </c>
      <c r="D234" s="41" t="inlineStr">
        <is>
          <t>橋本　航</t>
        </is>
      </c>
      <c r="E234" s="40" t="n"/>
      <c r="F234" s="45">
        <f>IF(D234="","",IF(E234&lt;&gt;"","手入力",IF(I234="","前年度名簿にいない",IF(OR(COUNTIF($H$2:$H$451,H234)&gt;1,COUNTIF(振り分け!$S$7:$S$456,H234)&gt;1),"同姓同名あり（手入力してください）","OK"))))</f>
        <v/>
      </c>
      <c r="G234" s="44">
        <f>IF(D234="","",IF(E234&lt;&gt;"",E234,IF(F234&lt;&gt;"OK","",IF(INDEX(振り分け!$L$7:$L$456,I234)="","未決定",INDEX(振り分け!$L$7:$L$456,I234)))))</f>
        <v/>
      </c>
      <c r="H234" s="8">
        <f>IF(D234="","",A234&amp;"|"&amp;SUBSTITUTE(SUBSTITUTE(D234," ",""),"　",""))</f>
        <v/>
      </c>
      <c r="I234" s="8">
        <f>IF(H234="","",IFERROR(MATCH(H234,振り分け!$S$7:$S$456,0),""))</f>
        <v/>
      </c>
      <c r="J234" s="8">
        <f>IF(D234="","",IFERROR(MATCH(A234&amp;"-"&amp;B234,設定!$Z$8:$Z$31,0),99)*1000+C234+ROW()/1000000)</f>
        <v/>
      </c>
      <c r="K234" s="8">
        <f>IF(D234="","",IFERROR(INDEX(設定!$L$8:$L$31,MATCH(A234&amp;"-"&amp;B234,設定!$Z$8:$Z$31,0)),A234&amp;B234))</f>
        <v/>
      </c>
    </row>
    <row r="235">
      <c r="A235" s="40" t="n">
        <v>5</v>
      </c>
      <c r="B235" s="40" t="inlineStr">
        <is>
          <t>月</t>
        </is>
      </c>
      <c r="C235" s="40" t="n">
        <v>23</v>
      </c>
      <c r="D235" s="41" t="inlineStr">
        <is>
          <t>竹内　凛</t>
        </is>
      </c>
      <c r="E235" s="40" t="n"/>
      <c r="F235" s="45">
        <f>IF(D235="","",IF(E235&lt;&gt;"","手入力",IF(I235="","前年度名簿にいない",IF(OR(COUNTIF($H$2:$H$451,H235)&gt;1,COUNTIF(振り分け!$S$7:$S$456,H235)&gt;1),"同姓同名あり（手入力してください）","OK"))))</f>
        <v/>
      </c>
      <c r="G235" s="44">
        <f>IF(D235="","",IF(E235&lt;&gt;"",E235,IF(F235&lt;&gt;"OK","",IF(INDEX(振り分け!$L$7:$L$456,I235)="","未決定",INDEX(振り分け!$L$7:$L$456,I235)))))</f>
        <v/>
      </c>
      <c r="H235" s="8">
        <f>IF(D235="","",A235&amp;"|"&amp;SUBSTITUTE(SUBSTITUTE(D235," ",""),"　",""))</f>
        <v/>
      </c>
      <c r="I235" s="8">
        <f>IF(H235="","",IFERROR(MATCH(H235,振り分け!$S$7:$S$456,0),""))</f>
        <v/>
      </c>
      <c r="J235" s="8">
        <f>IF(D235="","",IFERROR(MATCH(A235&amp;"-"&amp;B235,設定!$Z$8:$Z$31,0),99)*1000+C235+ROW()/1000000)</f>
        <v/>
      </c>
      <c r="K235" s="8">
        <f>IF(D235="","",IFERROR(INDEX(設定!$L$8:$L$31,MATCH(A235&amp;"-"&amp;B235,設定!$Z$8:$Z$31,0)),A235&amp;B235))</f>
        <v/>
      </c>
    </row>
    <row r="236">
      <c r="A236" s="40" t="n">
        <v>5</v>
      </c>
      <c r="B236" s="40" t="inlineStr">
        <is>
          <t>月</t>
        </is>
      </c>
      <c r="C236" s="40" t="n">
        <v>24</v>
      </c>
      <c r="D236" s="41" t="inlineStr">
        <is>
          <t>松本　琴音</t>
        </is>
      </c>
      <c r="E236" s="40" t="n"/>
      <c r="F236" s="45">
        <f>IF(D236="","",IF(E236&lt;&gt;"","手入力",IF(I236="","前年度名簿にいない",IF(OR(COUNTIF($H$2:$H$451,H236)&gt;1,COUNTIF(振り分け!$S$7:$S$456,H236)&gt;1),"同姓同名あり（手入力してください）","OK"))))</f>
        <v/>
      </c>
      <c r="G236" s="44">
        <f>IF(D236="","",IF(E236&lt;&gt;"",E236,IF(F236&lt;&gt;"OK","",IF(INDEX(振り分け!$L$7:$L$456,I236)="","未決定",INDEX(振り分け!$L$7:$L$456,I236)))))</f>
        <v/>
      </c>
      <c r="H236" s="8">
        <f>IF(D236="","",A236&amp;"|"&amp;SUBSTITUTE(SUBSTITUTE(D236," ",""),"　",""))</f>
        <v/>
      </c>
      <c r="I236" s="8">
        <f>IF(H236="","",IFERROR(MATCH(H236,振り分け!$S$7:$S$456,0),""))</f>
        <v/>
      </c>
      <c r="J236" s="8">
        <f>IF(D236="","",IFERROR(MATCH(A236&amp;"-"&amp;B236,設定!$Z$8:$Z$31,0),99)*1000+C236+ROW()/1000000)</f>
        <v/>
      </c>
      <c r="K236" s="8">
        <f>IF(D236="","",IFERROR(INDEX(設定!$L$8:$L$31,MATCH(A236&amp;"-"&amp;B236,設定!$Z$8:$Z$31,0)),A236&amp;B236))</f>
        <v/>
      </c>
    </row>
    <row r="237">
      <c r="A237" s="40" t="n">
        <v>5</v>
      </c>
      <c r="B237" s="40" t="inlineStr">
        <is>
          <t>月</t>
        </is>
      </c>
      <c r="C237" s="40" t="n">
        <v>25</v>
      </c>
      <c r="D237" s="41" t="inlineStr">
        <is>
          <t>小林　心春</t>
        </is>
      </c>
      <c r="E237" s="40" t="n"/>
      <c r="F237" s="45">
        <f>IF(D237="","",IF(E237&lt;&gt;"","手入力",IF(I237="","前年度名簿にいない",IF(OR(COUNTIF($H$2:$H$451,H237)&gt;1,COUNTIF(振り分け!$S$7:$S$456,H237)&gt;1),"同姓同名あり（手入力してください）","OK"))))</f>
        <v/>
      </c>
      <c r="G237" s="44">
        <f>IF(D237="","",IF(E237&lt;&gt;"",E237,IF(F237&lt;&gt;"OK","",IF(INDEX(振り分け!$L$7:$L$456,I237)="","未決定",INDEX(振り分け!$L$7:$L$456,I237)))))</f>
        <v/>
      </c>
      <c r="H237" s="8">
        <f>IF(D237="","",A237&amp;"|"&amp;SUBSTITUTE(SUBSTITUTE(D237," ",""),"　",""))</f>
        <v/>
      </c>
      <c r="I237" s="8">
        <f>IF(H237="","",IFERROR(MATCH(H237,振り分け!$S$7:$S$456,0),""))</f>
        <v/>
      </c>
      <c r="J237" s="8">
        <f>IF(D237="","",IFERROR(MATCH(A237&amp;"-"&amp;B237,設定!$Z$8:$Z$31,0),99)*1000+C237+ROW()/1000000)</f>
        <v/>
      </c>
      <c r="K237" s="8">
        <f>IF(D237="","",IFERROR(INDEX(設定!$L$8:$L$31,MATCH(A237&amp;"-"&amp;B237,設定!$Z$8:$Z$31,0)),A237&amp;B237))</f>
        <v/>
      </c>
    </row>
    <row r="238">
      <c r="A238" s="40" t="n">
        <v>5</v>
      </c>
      <c r="B238" s="40" t="inlineStr">
        <is>
          <t>月</t>
        </is>
      </c>
      <c r="C238" s="40" t="n">
        <v>26</v>
      </c>
      <c r="D238" s="41" t="inlineStr">
        <is>
          <t>原田　彩花</t>
        </is>
      </c>
      <c r="E238" s="40" t="n"/>
      <c r="F238" s="45">
        <f>IF(D238="","",IF(E238&lt;&gt;"","手入力",IF(I238="","前年度名簿にいない",IF(OR(COUNTIF($H$2:$H$451,H238)&gt;1,COUNTIF(振り分け!$S$7:$S$456,H238)&gt;1),"同姓同名あり（手入力してください）","OK"))))</f>
        <v/>
      </c>
      <c r="G238" s="44">
        <f>IF(D238="","",IF(E238&lt;&gt;"",E238,IF(F238&lt;&gt;"OK","",IF(INDEX(振り分け!$L$7:$L$456,I238)="","未決定",INDEX(振り分け!$L$7:$L$456,I238)))))</f>
        <v/>
      </c>
      <c r="H238" s="8">
        <f>IF(D238="","",A238&amp;"|"&amp;SUBSTITUTE(SUBSTITUTE(D238," ",""),"　",""))</f>
        <v/>
      </c>
      <c r="I238" s="8">
        <f>IF(H238="","",IFERROR(MATCH(H238,振り分け!$S$7:$S$456,0),""))</f>
        <v/>
      </c>
      <c r="J238" s="8">
        <f>IF(D238="","",IFERROR(MATCH(A238&amp;"-"&amp;B238,設定!$Z$8:$Z$31,0),99)*1000+C238+ROW()/1000000)</f>
        <v/>
      </c>
      <c r="K238" s="8">
        <f>IF(D238="","",IFERROR(INDEX(設定!$L$8:$L$31,MATCH(A238&amp;"-"&amp;B238,設定!$Z$8:$Z$31,0)),A238&amp;B238))</f>
        <v/>
      </c>
    </row>
    <row r="239">
      <c r="A239" s="40" t="n">
        <v>5</v>
      </c>
      <c r="B239" s="40" t="inlineStr">
        <is>
          <t>月</t>
        </is>
      </c>
      <c r="C239" s="40" t="n">
        <v>27</v>
      </c>
      <c r="D239" s="41" t="inlineStr">
        <is>
          <t>松本　健太</t>
        </is>
      </c>
      <c r="E239" s="40" t="n"/>
      <c r="F239" s="45">
        <f>IF(D239="","",IF(E239&lt;&gt;"","手入力",IF(I239="","前年度名簿にいない",IF(OR(COUNTIF($H$2:$H$451,H239)&gt;1,COUNTIF(振り分け!$S$7:$S$456,H239)&gt;1),"同姓同名あり（手入力してください）","OK"))))</f>
        <v/>
      </c>
      <c r="G239" s="44">
        <f>IF(D239="","",IF(E239&lt;&gt;"",E239,IF(F239&lt;&gt;"OK","",IF(INDEX(振り分け!$L$7:$L$456,I239)="","未決定",INDEX(振り分け!$L$7:$L$456,I239)))))</f>
        <v/>
      </c>
      <c r="H239" s="8">
        <f>IF(D239="","",A239&amp;"|"&amp;SUBSTITUTE(SUBSTITUTE(D239," ",""),"　",""))</f>
        <v/>
      </c>
      <c r="I239" s="8">
        <f>IF(H239="","",IFERROR(MATCH(H239,振り分け!$S$7:$S$456,0),""))</f>
        <v/>
      </c>
      <c r="J239" s="8">
        <f>IF(D239="","",IFERROR(MATCH(A239&amp;"-"&amp;B239,設定!$Z$8:$Z$31,0),99)*1000+C239+ROW()/1000000)</f>
        <v/>
      </c>
      <c r="K239" s="8">
        <f>IF(D239="","",IFERROR(INDEX(設定!$L$8:$L$31,MATCH(A239&amp;"-"&amp;B239,設定!$Z$8:$Z$31,0)),A239&amp;B239))</f>
        <v/>
      </c>
    </row>
    <row r="240">
      <c r="A240" s="40" t="n">
        <v>5</v>
      </c>
      <c r="B240" s="40" t="inlineStr">
        <is>
          <t>月</t>
        </is>
      </c>
      <c r="C240" s="40" t="n">
        <v>28</v>
      </c>
      <c r="D240" s="41" t="inlineStr">
        <is>
          <t>林　奏太</t>
        </is>
      </c>
      <c r="E240" s="40" t="n"/>
      <c r="F240" s="45">
        <f>IF(D240="","",IF(E240&lt;&gt;"","手入力",IF(I240="","前年度名簿にいない",IF(OR(COUNTIF($H$2:$H$451,H240)&gt;1,COUNTIF(振り分け!$S$7:$S$456,H240)&gt;1),"同姓同名あり（手入力してください）","OK"))))</f>
        <v/>
      </c>
      <c r="G240" s="44">
        <f>IF(D240="","",IF(E240&lt;&gt;"",E240,IF(F240&lt;&gt;"OK","",IF(INDEX(振り分け!$L$7:$L$456,I240)="","未決定",INDEX(振り分け!$L$7:$L$456,I240)))))</f>
        <v/>
      </c>
      <c r="H240" s="8">
        <f>IF(D240="","",A240&amp;"|"&amp;SUBSTITUTE(SUBSTITUTE(D240," ",""),"　",""))</f>
        <v/>
      </c>
      <c r="I240" s="8">
        <f>IF(H240="","",IFERROR(MATCH(H240,振り分け!$S$7:$S$456,0),""))</f>
        <v/>
      </c>
      <c r="J240" s="8">
        <f>IF(D240="","",IFERROR(MATCH(A240&amp;"-"&amp;B240,設定!$Z$8:$Z$31,0),99)*1000+C240+ROW()/1000000)</f>
        <v/>
      </c>
      <c r="K240" s="8">
        <f>IF(D240="","",IFERROR(INDEX(設定!$L$8:$L$31,MATCH(A240&amp;"-"&amp;B240,設定!$Z$8:$Z$31,0)),A240&amp;B240))</f>
        <v/>
      </c>
    </row>
    <row r="241">
      <c r="A241" s="40" t="n">
        <v>5</v>
      </c>
      <c r="B241" s="40" t="inlineStr">
        <is>
          <t>月</t>
        </is>
      </c>
      <c r="C241" s="40" t="n">
        <v>29</v>
      </c>
      <c r="D241" s="41" t="inlineStr">
        <is>
          <t>松本　楓</t>
        </is>
      </c>
      <c r="E241" s="40" t="n"/>
      <c r="F241" s="45">
        <f>IF(D241="","",IF(E241&lt;&gt;"","手入力",IF(I241="","前年度名簿にいない",IF(OR(COUNTIF($H$2:$H$451,H241)&gt;1,COUNTIF(振り分け!$S$7:$S$456,H241)&gt;1),"同姓同名あり（手入力してください）","OK"))))</f>
        <v/>
      </c>
      <c r="G241" s="44">
        <f>IF(D241="","",IF(E241&lt;&gt;"",E241,IF(F241&lt;&gt;"OK","",IF(INDEX(振り分け!$L$7:$L$456,I241)="","未決定",INDEX(振り分け!$L$7:$L$456,I241)))))</f>
        <v/>
      </c>
      <c r="H241" s="8">
        <f>IF(D241="","",A241&amp;"|"&amp;SUBSTITUTE(SUBSTITUTE(D241," ",""),"　",""))</f>
        <v/>
      </c>
      <c r="I241" s="8">
        <f>IF(H241="","",IFERROR(MATCH(H241,振り分け!$S$7:$S$456,0),""))</f>
        <v/>
      </c>
      <c r="J241" s="8">
        <f>IF(D241="","",IFERROR(MATCH(A241&amp;"-"&amp;B241,設定!$Z$8:$Z$31,0),99)*1000+C241+ROW()/1000000)</f>
        <v/>
      </c>
      <c r="K241" s="8">
        <f>IF(D241="","",IFERROR(INDEX(設定!$L$8:$L$31,MATCH(A241&amp;"-"&amp;B241,設定!$Z$8:$Z$31,0)),A241&amp;B241))</f>
        <v/>
      </c>
    </row>
    <row r="242">
      <c r="A242" s="40" t="n">
        <v>4</v>
      </c>
      <c r="B242" s="40" t="inlineStr">
        <is>
          <t>松</t>
        </is>
      </c>
      <c r="C242" s="40" t="n">
        <v>1</v>
      </c>
      <c r="D242" s="41" t="inlineStr">
        <is>
          <t>藤田　結衣</t>
        </is>
      </c>
      <c r="E242" s="40" t="n"/>
      <c r="F242" s="45">
        <f>IF(D242="","",IF(E242&lt;&gt;"","手入力",IF(I242="","前年度名簿にいない",IF(OR(COUNTIF($H$2:$H$451,H242)&gt;1,COUNTIF(振り分け!$S$7:$S$456,H242)&gt;1),"同姓同名あり（手入力してください）","OK"))))</f>
        <v/>
      </c>
      <c r="G242" s="44">
        <f>IF(D242="","",IF(E242&lt;&gt;"",E242,IF(F242&lt;&gt;"OK","",IF(INDEX(振り分け!$L$7:$L$456,I242)="","未決定",INDEX(振り分け!$L$7:$L$456,I242)))))</f>
        <v/>
      </c>
      <c r="H242" s="8">
        <f>IF(D242="","",A242&amp;"|"&amp;SUBSTITUTE(SUBSTITUTE(D242," ",""),"　",""))</f>
        <v/>
      </c>
      <c r="I242" s="8">
        <f>IF(H242="","",IFERROR(MATCH(H242,振り分け!$S$7:$S$456,0),""))</f>
        <v/>
      </c>
      <c r="J242" s="8">
        <f>IF(D242="","",IFERROR(MATCH(A242&amp;"-"&amp;B242,設定!$Z$8:$Z$31,0),99)*1000+C242+ROW()/1000000)</f>
        <v/>
      </c>
      <c r="K242" s="8">
        <f>IF(D242="","",IFERROR(INDEX(設定!$L$8:$L$31,MATCH(A242&amp;"-"&amp;B242,設定!$Z$8:$Z$31,0)),A242&amp;B242))</f>
        <v/>
      </c>
    </row>
    <row r="243">
      <c r="A243" s="40" t="n">
        <v>4</v>
      </c>
      <c r="B243" s="40" t="inlineStr">
        <is>
          <t>松</t>
        </is>
      </c>
      <c r="C243" s="40" t="n">
        <v>2</v>
      </c>
      <c r="D243" s="41" t="inlineStr">
        <is>
          <t>原田　大和</t>
        </is>
      </c>
      <c r="E243" s="40" t="n"/>
      <c r="F243" s="45">
        <f>IF(D243="","",IF(E243&lt;&gt;"","手入力",IF(I243="","前年度名簿にいない",IF(OR(COUNTIF($H$2:$H$451,H243)&gt;1,COUNTIF(振り分け!$S$7:$S$456,H243)&gt;1),"同姓同名あり（手入力してください）","OK"))))</f>
        <v/>
      </c>
      <c r="G243" s="44">
        <f>IF(D243="","",IF(E243&lt;&gt;"",E243,IF(F243&lt;&gt;"OK","",IF(INDEX(振り分け!$L$7:$L$456,I243)="","未決定",INDEX(振り分け!$L$7:$L$456,I243)))))</f>
        <v/>
      </c>
      <c r="H243" s="8">
        <f>IF(D243="","",A243&amp;"|"&amp;SUBSTITUTE(SUBSTITUTE(D243," ",""),"　",""))</f>
        <v/>
      </c>
      <c r="I243" s="8">
        <f>IF(H243="","",IFERROR(MATCH(H243,振り分け!$S$7:$S$456,0),""))</f>
        <v/>
      </c>
      <c r="J243" s="8">
        <f>IF(D243="","",IFERROR(MATCH(A243&amp;"-"&amp;B243,設定!$Z$8:$Z$31,0),99)*1000+C243+ROW()/1000000)</f>
        <v/>
      </c>
      <c r="K243" s="8">
        <f>IF(D243="","",IFERROR(INDEX(設定!$L$8:$L$31,MATCH(A243&amp;"-"&amp;B243,設定!$Z$8:$Z$31,0)),A243&amp;B243))</f>
        <v/>
      </c>
    </row>
    <row r="244">
      <c r="A244" s="40" t="n">
        <v>4</v>
      </c>
      <c r="B244" s="40" t="inlineStr">
        <is>
          <t>松</t>
        </is>
      </c>
      <c r="C244" s="40" t="n">
        <v>3</v>
      </c>
      <c r="D244" s="41" t="inlineStr">
        <is>
          <t>佐々木　結翔</t>
        </is>
      </c>
      <c r="E244" s="40" t="n"/>
      <c r="F244" s="45">
        <f>IF(D244="","",IF(E244&lt;&gt;"","手入力",IF(I244="","前年度名簿にいない",IF(OR(COUNTIF($H$2:$H$451,H244)&gt;1,COUNTIF(振り分け!$S$7:$S$456,H244)&gt;1),"同姓同名あり（手入力してください）","OK"))))</f>
        <v/>
      </c>
      <c r="G244" s="44">
        <f>IF(D244="","",IF(E244&lt;&gt;"",E244,IF(F244&lt;&gt;"OK","",IF(INDEX(振り分け!$L$7:$L$456,I244)="","未決定",INDEX(振り分け!$L$7:$L$456,I244)))))</f>
        <v/>
      </c>
      <c r="H244" s="8">
        <f>IF(D244="","",A244&amp;"|"&amp;SUBSTITUTE(SUBSTITUTE(D244," ",""),"　",""))</f>
        <v/>
      </c>
      <c r="I244" s="8">
        <f>IF(H244="","",IFERROR(MATCH(H244,振り分け!$S$7:$S$456,0),""))</f>
        <v/>
      </c>
      <c r="J244" s="8">
        <f>IF(D244="","",IFERROR(MATCH(A244&amp;"-"&amp;B244,設定!$Z$8:$Z$31,0),99)*1000+C244+ROW()/1000000)</f>
        <v/>
      </c>
      <c r="K244" s="8">
        <f>IF(D244="","",IFERROR(INDEX(設定!$L$8:$L$31,MATCH(A244&amp;"-"&amp;B244,設定!$Z$8:$Z$31,0)),A244&amp;B244))</f>
        <v/>
      </c>
    </row>
    <row r="245">
      <c r="A245" s="40" t="n">
        <v>4</v>
      </c>
      <c r="B245" s="40" t="inlineStr">
        <is>
          <t>松</t>
        </is>
      </c>
      <c r="C245" s="40" t="n">
        <v>4</v>
      </c>
      <c r="D245" s="41" t="inlineStr">
        <is>
          <t>吉田　花音</t>
        </is>
      </c>
      <c r="E245" s="40" t="n"/>
      <c r="F245" s="45">
        <f>IF(D245="","",IF(E245&lt;&gt;"","手入力",IF(I245="","前年度名簿にいない",IF(OR(COUNTIF($H$2:$H$451,H245)&gt;1,COUNTIF(振り分け!$S$7:$S$456,H245)&gt;1),"同姓同名あり（手入力してください）","OK"))))</f>
        <v/>
      </c>
      <c r="G245" s="44">
        <f>IF(D245="","",IF(E245&lt;&gt;"",E245,IF(F245&lt;&gt;"OK","",IF(INDEX(振り分け!$L$7:$L$456,I245)="","未決定",INDEX(振り分け!$L$7:$L$456,I245)))))</f>
        <v/>
      </c>
      <c r="H245" s="8">
        <f>IF(D245="","",A245&amp;"|"&amp;SUBSTITUTE(SUBSTITUTE(D245," ",""),"　",""))</f>
        <v/>
      </c>
      <c r="I245" s="8">
        <f>IF(H245="","",IFERROR(MATCH(H245,振り分け!$S$7:$S$456,0),""))</f>
        <v/>
      </c>
      <c r="J245" s="8">
        <f>IF(D245="","",IFERROR(MATCH(A245&amp;"-"&amp;B245,設定!$Z$8:$Z$31,0),99)*1000+C245+ROW()/1000000)</f>
        <v/>
      </c>
      <c r="K245" s="8">
        <f>IF(D245="","",IFERROR(INDEX(設定!$L$8:$L$31,MATCH(A245&amp;"-"&amp;B245,設定!$Z$8:$Z$31,0)),A245&amp;B245))</f>
        <v/>
      </c>
    </row>
    <row r="246">
      <c r="A246" s="40" t="n">
        <v>4</v>
      </c>
      <c r="B246" s="40" t="inlineStr">
        <is>
          <t>松</t>
        </is>
      </c>
      <c r="C246" s="40" t="n">
        <v>5</v>
      </c>
      <c r="D246" s="41" t="inlineStr">
        <is>
          <t>岡田　朝陽</t>
        </is>
      </c>
      <c r="E246" s="40" t="n"/>
      <c r="F246" s="45">
        <f>IF(D246="","",IF(E246&lt;&gt;"","手入力",IF(I246="","前年度名簿にいない",IF(OR(COUNTIF($H$2:$H$451,H246)&gt;1,COUNTIF(振り分け!$S$7:$S$456,H246)&gt;1),"同姓同名あり（手入力してください）","OK"))))</f>
        <v/>
      </c>
      <c r="G246" s="44">
        <f>IF(D246="","",IF(E246&lt;&gt;"",E246,IF(F246&lt;&gt;"OK","",IF(INDEX(振り分け!$L$7:$L$456,I246)="","未決定",INDEX(振り分け!$L$7:$L$456,I246)))))</f>
        <v/>
      </c>
      <c r="H246" s="8">
        <f>IF(D246="","",A246&amp;"|"&amp;SUBSTITUTE(SUBSTITUTE(D246," ",""),"　",""))</f>
        <v/>
      </c>
      <c r="I246" s="8">
        <f>IF(H246="","",IFERROR(MATCH(H246,振り分け!$S$7:$S$456,0),""))</f>
        <v/>
      </c>
      <c r="J246" s="8">
        <f>IF(D246="","",IFERROR(MATCH(A246&amp;"-"&amp;B246,設定!$Z$8:$Z$31,0),99)*1000+C246+ROW()/1000000)</f>
        <v/>
      </c>
      <c r="K246" s="8">
        <f>IF(D246="","",IFERROR(INDEX(設定!$L$8:$L$31,MATCH(A246&amp;"-"&amp;B246,設定!$Z$8:$Z$31,0)),A246&amp;B246))</f>
        <v/>
      </c>
    </row>
    <row r="247">
      <c r="A247" s="40" t="n">
        <v>4</v>
      </c>
      <c r="B247" s="40" t="inlineStr">
        <is>
          <t>松</t>
        </is>
      </c>
      <c r="C247" s="40" t="n">
        <v>6</v>
      </c>
      <c r="D247" s="41" t="inlineStr">
        <is>
          <t>佐々木　琴音</t>
        </is>
      </c>
      <c r="E247" s="40" t="n"/>
      <c r="F247" s="45">
        <f>IF(D247="","",IF(E247&lt;&gt;"","手入力",IF(I247="","前年度名簿にいない",IF(OR(COUNTIF($H$2:$H$451,H247)&gt;1,COUNTIF(振り分け!$S$7:$S$456,H247)&gt;1),"同姓同名あり（手入力してください）","OK"))))</f>
        <v/>
      </c>
      <c r="G247" s="44">
        <f>IF(D247="","",IF(E247&lt;&gt;"",E247,IF(F247&lt;&gt;"OK","",IF(INDEX(振り分け!$L$7:$L$456,I247)="","未決定",INDEX(振り分け!$L$7:$L$456,I247)))))</f>
        <v/>
      </c>
      <c r="H247" s="8">
        <f>IF(D247="","",A247&amp;"|"&amp;SUBSTITUTE(SUBSTITUTE(D247," ",""),"　",""))</f>
        <v/>
      </c>
      <c r="I247" s="8">
        <f>IF(H247="","",IFERROR(MATCH(H247,振り分け!$S$7:$S$456,0),""))</f>
        <v/>
      </c>
      <c r="J247" s="8">
        <f>IF(D247="","",IFERROR(MATCH(A247&amp;"-"&amp;B247,設定!$Z$8:$Z$31,0),99)*1000+C247+ROW()/1000000)</f>
        <v/>
      </c>
      <c r="K247" s="8">
        <f>IF(D247="","",IFERROR(INDEX(設定!$L$8:$L$31,MATCH(A247&amp;"-"&amp;B247,設定!$Z$8:$Z$31,0)),A247&amp;B247))</f>
        <v/>
      </c>
    </row>
    <row r="248">
      <c r="A248" s="40" t="n">
        <v>4</v>
      </c>
      <c r="B248" s="40" t="inlineStr">
        <is>
          <t>松</t>
        </is>
      </c>
      <c r="C248" s="40" t="n">
        <v>7</v>
      </c>
      <c r="D248" s="41" t="inlineStr">
        <is>
          <t>石川　朝陽</t>
        </is>
      </c>
      <c r="E248" s="40" t="n"/>
      <c r="F248" s="45">
        <f>IF(D248="","",IF(E248&lt;&gt;"","手入力",IF(I248="","前年度名簿にいない",IF(OR(COUNTIF($H$2:$H$451,H248)&gt;1,COUNTIF(振り分け!$S$7:$S$456,H248)&gt;1),"同姓同名あり（手入力してください）","OK"))))</f>
        <v/>
      </c>
      <c r="G248" s="44">
        <f>IF(D248="","",IF(E248&lt;&gt;"",E248,IF(F248&lt;&gt;"OK","",IF(INDEX(振り分け!$L$7:$L$456,I248)="","未決定",INDEX(振り分け!$L$7:$L$456,I248)))))</f>
        <v/>
      </c>
      <c r="H248" s="8">
        <f>IF(D248="","",A248&amp;"|"&amp;SUBSTITUTE(SUBSTITUTE(D248," ",""),"　",""))</f>
        <v/>
      </c>
      <c r="I248" s="8">
        <f>IF(H248="","",IFERROR(MATCH(H248,振り分け!$S$7:$S$456,0),""))</f>
        <v/>
      </c>
      <c r="J248" s="8">
        <f>IF(D248="","",IFERROR(MATCH(A248&amp;"-"&amp;B248,設定!$Z$8:$Z$31,0),99)*1000+C248+ROW()/1000000)</f>
        <v/>
      </c>
      <c r="K248" s="8">
        <f>IF(D248="","",IFERROR(INDEX(設定!$L$8:$L$31,MATCH(A248&amp;"-"&amp;B248,設定!$Z$8:$Z$31,0)),A248&amp;B248))</f>
        <v/>
      </c>
    </row>
    <row r="249">
      <c r="A249" s="40" t="n">
        <v>4</v>
      </c>
      <c r="B249" s="40" t="inlineStr">
        <is>
          <t>松</t>
        </is>
      </c>
      <c r="C249" s="40" t="n">
        <v>8</v>
      </c>
      <c r="D249" s="41" t="inlineStr">
        <is>
          <t>山口　花音</t>
        </is>
      </c>
      <c r="E249" s="40" t="n"/>
      <c r="F249" s="45">
        <f>IF(D249="","",IF(E249&lt;&gt;"","手入力",IF(I249="","前年度名簿にいない",IF(OR(COUNTIF($H$2:$H$451,H249)&gt;1,COUNTIF(振り分け!$S$7:$S$456,H249)&gt;1),"同姓同名あり（手入力してください）","OK"))))</f>
        <v/>
      </c>
      <c r="G249" s="44">
        <f>IF(D249="","",IF(E249&lt;&gt;"",E249,IF(F249&lt;&gt;"OK","",IF(INDEX(振り分け!$L$7:$L$456,I249)="","未決定",INDEX(振り分け!$L$7:$L$456,I249)))))</f>
        <v/>
      </c>
      <c r="H249" s="8">
        <f>IF(D249="","",A249&amp;"|"&amp;SUBSTITUTE(SUBSTITUTE(D249," ",""),"　",""))</f>
        <v/>
      </c>
      <c r="I249" s="8">
        <f>IF(H249="","",IFERROR(MATCH(H249,振り分け!$S$7:$S$456,0),""))</f>
        <v/>
      </c>
      <c r="J249" s="8">
        <f>IF(D249="","",IFERROR(MATCH(A249&amp;"-"&amp;B249,設定!$Z$8:$Z$31,0),99)*1000+C249+ROW()/1000000)</f>
        <v/>
      </c>
      <c r="K249" s="8">
        <f>IF(D249="","",IFERROR(INDEX(設定!$L$8:$L$31,MATCH(A249&amp;"-"&amp;B249,設定!$Z$8:$Z$31,0)),A249&amp;B249))</f>
        <v/>
      </c>
    </row>
    <row r="250">
      <c r="A250" s="40" t="n">
        <v>4</v>
      </c>
      <c r="B250" s="40" t="inlineStr">
        <is>
          <t>松</t>
        </is>
      </c>
      <c r="C250" s="40" t="n">
        <v>9</v>
      </c>
      <c r="D250" s="41" t="inlineStr">
        <is>
          <t>中島　奏太</t>
        </is>
      </c>
      <c r="E250" s="40" t="n"/>
      <c r="F250" s="45">
        <f>IF(D250="","",IF(E250&lt;&gt;"","手入力",IF(I250="","前年度名簿にいない",IF(OR(COUNTIF($H$2:$H$451,H250)&gt;1,COUNTIF(振り分け!$S$7:$S$456,H250)&gt;1),"同姓同名あり（手入力してください）","OK"))))</f>
        <v/>
      </c>
      <c r="G250" s="44">
        <f>IF(D250="","",IF(E250&lt;&gt;"",E250,IF(F250&lt;&gt;"OK","",IF(INDEX(振り分け!$L$7:$L$456,I250)="","未決定",INDEX(振り分け!$L$7:$L$456,I250)))))</f>
        <v/>
      </c>
      <c r="H250" s="8">
        <f>IF(D250="","",A250&amp;"|"&amp;SUBSTITUTE(SUBSTITUTE(D250," ",""),"　",""))</f>
        <v/>
      </c>
      <c r="I250" s="8">
        <f>IF(H250="","",IFERROR(MATCH(H250,振り分け!$S$7:$S$456,0),""))</f>
        <v/>
      </c>
      <c r="J250" s="8">
        <f>IF(D250="","",IFERROR(MATCH(A250&amp;"-"&amp;B250,設定!$Z$8:$Z$31,0),99)*1000+C250+ROW()/1000000)</f>
        <v/>
      </c>
      <c r="K250" s="8">
        <f>IF(D250="","",IFERROR(INDEX(設定!$L$8:$L$31,MATCH(A250&amp;"-"&amp;B250,設定!$Z$8:$Z$31,0)),A250&amp;B250))</f>
        <v/>
      </c>
    </row>
    <row r="251">
      <c r="A251" s="40" t="n">
        <v>4</v>
      </c>
      <c r="B251" s="40" t="inlineStr">
        <is>
          <t>松</t>
        </is>
      </c>
      <c r="C251" s="40" t="n">
        <v>10</v>
      </c>
      <c r="D251" s="41" t="inlineStr">
        <is>
          <t>吉田　悠真</t>
        </is>
      </c>
      <c r="E251" s="40" t="n"/>
      <c r="F251" s="45">
        <f>IF(D251="","",IF(E251&lt;&gt;"","手入力",IF(I251="","前年度名簿にいない",IF(OR(COUNTIF($H$2:$H$451,H251)&gt;1,COUNTIF(振り分け!$S$7:$S$456,H251)&gt;1),"同姓同名あり（手入力してください）","OK"))))</f>
        <v/>
      </c>
      <c r="G251" s="44">
        <f>IF(D251="","",IF(E251&lt;&gt;"",E251,IF(F251&lt;&gt;"OK","",IF(INDEX(振り分け!$L$7:$L$456,I251)="","未決定",INDEX(振り分け!$L$7:$L$456,I251)))))</f>
        <v/>
      </c>
      <c r="H251" s="8">
        <f>IF(D251="","",A251&amp;"|"&amp;SUBSTITUTE(SUBSTITUTE(D251," ",""),"　",""))</f>
        <v/>
      </c>
      <c r="I251" s="8">
        <f>IF(H251="","",IFERROR(MATCH(H251,振り分け!$S$7:$S$456,0),""))</f>
        <v/>
      </c>
      <c r="J251" s="8">
        <f>IF(D251="","",IFERROR(MATCH(A251&amp;"-"&amp;B251,設定!$Z$8:$Z$31,0),99)*1000+C251+ROW()/1000000)</f>
        <v/>
      </c>
      <c r="K251" s="8">
        <f>IF(D251="","",IFERROR(INDEX(設定!$L$8:$L$31,MATCH(A251&amp;"-"&amp;B251,設定!$Z$8:$Z$31,0)),A251&amp;B251))</f>
        <v/>
      </c>
    </row>
    <row r="252">
      <c r="A252" s="40" t="n">
        <v>4</v>
      </c>
      <c r="B252" s="40" t="inlineStr">
        <is>
          <t>松</t>
        </is>
      </c>
      <c r="C252" s="40" t="n">
        <v>11</v>
      </c>
      <c r="D252" s="41" t="inlineStr">
        <is>
          <t>山本　朝陽</t>
        </is>
      </c>
      <c r="E252" s="40" t="n"/>
      <c r="F252" s="45">
        <f>IF(D252="","",IF(E252&lt;&gt;"","手入力",IF(I252="","前年度名簿にいない",IF(OR(COUNTIF($H$2:$H$451,H252)&gt;1,COUNTIF(振り分け!$S$7:$S$456,H252)&gt;1),"同姓同名あり（手入力してください）","OK"))))</f>
        <v/>
      </c>
      <c r="G252" s="44">
        <f>IF(D252="","",IF(E252&lt;&gt;"",E252,IF(F252&lt;&gt;"OK","",IF(INDEX(振り分け!$L$7:$L$456,I252)="","未決定",INDEX(振り分け!$L$7:$L$456,I252)))))</f>
        <v/>
      </c>
      <c r="H252" s="8">
        <f>IF(D252="","",A252&amp;"|"&amp;SUBSTITUTE(SUBSTITUTE(D252," ",""),"　",""))</f>
        <v/>
      </c>
      <c r="I252" s="8">
        <f>IF(H252="","",IFERROR(MATCH(H252,振り分け!$S$7:$S$456,0),""))</f>
        <v/>
      </c>
      <c r="J252" s="8">
        <f>IF(D252="","",IFERROR(MATCH(A252&amp;"-"&amp;B252,設定!$Z$8:$Z$31,0),99)*1000+C252+ROW()/1000000)</f>
        <v/>
      </c>
      <c r="K252" s="8">
        <f>IF(D252="","",IFERROR(INDEX(設定!$L$8:$L$31,MATCH(A252&amp;"-"&amp;B252,設定!$Z$8:$Z$31,0)),A252&amp;B252))</f>
        <v/>
      </c>
    </row>
    <row r="253">
      <c r="A253" s="40" t="n">
        <v>4</v>
      </c>
      <c r="B253" s="40" t="inlineStr">
        <is>
          <t>松</t>
        </is>
      </c>
      <c r="C253" s="40" t="n">
        <v>12</v>
      </c>
      <c r="D253" s="41" t="inlineStr">
        <is>
          <t>石川　奏太</t>
        </is>
      </c>
      <c r="E253" s="40" t="n"/>
      <c r="F253" s="45">
        <f>IF(D253="","",IF(E253&lt;&gt;"","手入力",IF(I253="","前年度名簿にいない",IF(OR(COUNTIF($H$2:$H$451,H253)&gt;1,COUNTIF(振り分け!$S$7:$S$456,H253)&gt;1),"同姓同名あり（手入力してください）","OK"))))</f>
        <v/>
      </c>
      <c r="G253" s="44">
        <f>IF(D253="","",IF(E253&lt;&gt;"",E253,IF(F253&lt;&gt;"OK","",IF(INDEX(振り分け!$L$7:$L$456,I253)="","未決定",INDEX(振り分け!$L$7:$L$456,I253)))))</f>
        <v/>
      </c>
      <c r="H253" s="8">
        <f>IF(D253="","",A253&amp;"|"&amp;SUBSTITUTE(SUBSTITUTE(D253," ",""),"　",""))</f>
        <v/>
      </c>
      <c r="I253" s="8">
        <f>IF(H253="","",IFERROR(MATCH(H253,振り分け!$S$7:$S$456,0),""))</f>
        <v/>
      </c>
      <c r="J253" s="8">
        <f>IF(D253="","",IFERROR(MATCH(A253&amp;"-"&amp;B253,設定!$Z$8:$Z$31,0),99)*1000+C253+ROW()/1000000)</f>
        <v/>
      </c>
      <c r="K253" s="8">
        <f>IF(D253="","",IFERROR(INDEX(設定!$L$8:$L$31,MATCH(A253&amp;"-"&amp;B253,設定!$Z$8:$Z$31,0)),A253&amp;B253))</f>
        <v/>
      </c>
    </row>
    <row r="254">
      <c r="A254" s="40" t="n">
        <v>4</v>
      </c>
      <c r="B254" s="40" t="inlineStr">
        <is>
          <t>松</t>
        </is>
      </c>
      <c r="C254" s="40" t="n">
        <v>13</v>
      </c>
      <c r="D254" s="41" t="inlineStr">
        <is>
          <t>池田　結翔</t>
        </is>
      </c>
      <c r="E254" s="40" t="n"/>
      <c r="F254" s="45">
        <f>IF(D254="","",IF(E254&lt;&gt;"","手入力",IF(I254="","前年度名簿にいない",IF(OR(COUNTIF($H$2:$H$451,H254)&gt;1,COUNTIF(振り分け!$S$7:$S$456,H254)&gt;1),"同姓同名あり（手入力してください）","OK"))))</f>
        <v/>
      </c>
      <c r="G254" s="44">
        <f>IF(D254="","",IF(E254&lt;&gt;"",E254,IF(F254&lt;&gt;"OK","",IF(INDEX(振り分け!$L$7:$L$456,I254)="","未決定",INDEX(振り分け!$L$7:$L$456,I254)))))</f>
        <v/>
      </c>
      <c r="H254" s="8">
        <f>IF(D254="","",A254&amp;"|"&amp;SUBSTITUTE(SUBSTITUTE(D254," ",""),"　",""))</f>
        <v/>
      </c>
      <c r="I254" s="8">
        <f>IF(H254="","",IFERROR(MATCH(H254,振り分け!$S$7:$S$456,0),""))</f>
        <v/>
      </c>
      <c r="J254" s="8">
        <f>IF(D254="","",IFERROR(MATCH(A254&amp;"-"&amp;B254,設定!$Z$8:$Z$31,0),99)*1000+C254+ROW()/1000000)</f>
        <v/>
      </c>
      <c r="K254" s="8">
        <f>IF(D254="","",IFERROR(INDEX(設定!$L$8:$L$31,MATCH(A254&amp;"-"&amp;B254,設定!$Z$8:$Z$31,0)),A254&amp;B254))</f>
        <v/>
      </c>
    </row>
    <row r="255">
      <c r="A255" s="40" t="n">
        <v>4</v>
      </c>
      <c r="B255" s="40" t="inlineStr">
        <is>
          <t>松</t>
        </is>
      </c>
      <c r="C255" s="40" t="n">
        <v>14</v>
      </c>
      <c r="D255" s="41" t="inlineStr">
        <is>
          <t>石井　彩花</t>
        </is>
      </c>
      <c r="E255" s="40" t="n"/>
      <c r="F255" s="45">
        <f>IF(D255="","",IF(E255&lt;&gt;"","手入力",IF(I255="","前年度名簿にいない",IF(OR(COUNTIF($H$2:$H$451,H255)&gt;1,COUNTIF(振り分け!$S$7:$S$456,H255)&gt;1),"同姓同名あり（手入力してください）","OK"))))</f>
        <v/>
      </c>
      <c r="G255" s="44">
        <f>IF(D255="","",IF(E255&lt;&gt;"",E255,IF(F255&lt;&gt;"OK","",IF(INDEX(振り分け!$L$7:$L$456,I255)="","未決定",INDEX(振り分け!$L$7:$L$456,I255)))))</f>
        <v/>
      </c>
      <c r="H255" s="8">
        <f>IF(D255="","",A255&amp;"|"&amp;SUBSTITUTE(SUBSTITUTE(D255," ",""),"　",""))</f>
        <v/>
      </c>
      <c r="I255" s="8">
        <f>IF(H255="","",IFERROR(MATCH(H255,振り分け!$S$7:$S$456,0),""))</f>
        <v/>
      </c>
      <c r="J255" s="8">
        <f>IF(D255="","",IFERROR(MATCH(A255&amp;"-"&amp;B255,設定!$Z$8:$Z$31,0),99)*1000+C255+ROW()/1000000)</f>
        <v/>
      </c>
      <c r="K255" s="8">
        <f>IF(D255="","",IFERROR(INDEX(設定!$L$8:$L$31,MATCH(A255&amp;"-"&amp;B255,設定!$Z$8:$Z$31,0)),A255&amp;B255))</f>
        <v/>
      </c>
    </row>
    <row r="256">
      <c r="A256" s="40" t="n">
        <v>4</v>
      </c>
      <c r="B256" s="40" t="inlineStr">
        <is>
          <t>松</t>
        </is>
      </c>
      <c r="C256" s="40" t="n">
        <v>15</v>
      </c>
      <c r="D256" s="41" t="inlineStr">
        <is>
          <t>山本　蓮</t>
        </is>
      </c>
      <c r="E256" s="40" t="n"/>
      <c r="F256" s="45">
        <f>IF(D256="","",IF(E256&lt;&gt;"","手入力",IF(I256="","前年度名簿にいない",IF(OR(COUNTIF($H$2:$H$451,H256)&gt;1,COUNTIF(振り分け!$S$7:$S$456,H256)&gt;1),"同姓同名あり（手入力してください）","OK"))))</f>
        <v/>
      </c>
      <c r="G256" s="44">
        <f>IF(D256="","",IF(E256&lt;&gt;"",E256,IF(F256&lt;&gt;"OK","",IF(INDEX(振り分け!$L$7:$L$456,I256)="","未決定",INDEX(振り分け!$L$7:$L$456,I256)))))</f>
        <v/>
      </c>
      <c r="H256" s="8">
        <f>IF(D256="","",A256&amp;"|"&amp;SUBSTITUTE(SUBSTITUTE(D256," ",""),"　",""))</f>
        <v/>
      </c>
      <c r="I256" s="8">
        <f>IF(H256="","",IFERROR(MATCH(H256,振り分け!$S$7:$S$456,0),""))</f>
        <v/>
      </c>
      <c r="J256" s="8">
        <f>IF(D256="","",IFERROR(MATCH(A256&amp;"-"&amp;B256,設定!$Z$8:$Z$31,0),99)*1000+C256+ROW()/1000000)</f>
        <v/>
      </c>
      <c r="K256" s="8">
        <f>IF(D256="","",IFERROR(INDEX(設定!$L$8:$L$31,MATCH(A256&amp;"-"&amp;B256,設定!$Z$8:$Z$31,0)),A256&amp;B256))</f>
        <v/>
      </c>
    </row>
    <row r="257">
      <c r="A257" s="40" t="n">
        <v>4</v>
      </c>
      <c r="B257" s="40" t="inlineStr">
        <is>
          <t>松</t>
        </is>
      </c>
      <c r="C257" s="40" t="n">
        <v>16</v>
      </c>
      <c r="D257" s="41" t="inlineStr">
        <is>
          <t>近藤　海斗</t>
        </is>
      </c>
      <c r="E257" s="40" t="n"/>
      <c r="F257" s="45">
        <f>IF(D257="","",IF(E257&lt;&gt;"","手入力",IF(I257="","前年度名簿にいない",IF(OR(COUNTIF($H$2:$H$451,H257)&gt;1,COUNTIF(振り分け!$S$7:$S$456,H257)&gt;1),"同姓同名あり（手入力してください）","OK"))))</f>
        <v/>
      </c>
      <c r="G257" s="44">
        <f>IF(D257="","",IF(E257&lt;&gt;"",E257,IF(F257&lt;&gt;"OK","",IF(INDEX(振り分け!$L$7:$L$456,I257)="","未決定",INDEX(振り分け!$L$7:$L$456,I257)))))</f>
        <v/>
      </c>
      <c r="H257" s="8">
        <f>IF(D257="","",A257&amp;"|"&amp;SUBSTITUTE(SUBSTITUTE(D257," ",""),"　",""))</f>
        <v/>
      </c>
      <c r="I257" s="8">
        <f>IF(H257="","",IFERROR(MATCH(H257,振り分け!$S$7:$S$456,0),""))</f>
        <v/>
      </c>
      <c r="J257" s="8">
        <f>IF(D257="","",IFERROR(MATCH(A257&amp;"-"&amp;B257,設定!$Z$8:$Z$31,0),99)*1000+C257+ROW()/1000000)</f>
        <v/>
      </c>
      <c r="K257" s="8">
        <f>IF(D257="","",IFERROR(INDEX(設定!$L$8:$L$31,MATCH(A257&amp;"-"&amp;B257,設定!$Z$8:$Z$31,0)),A257&amp;B257))</f>
        <v/>
      </c>
    </row>
    <row r="258">
      <c r="A258" s="40" t="n">
        <v>4</v>
      </c>
      <c r="B258" s="40" t="inlineStr">
        <is>
          <t>松</t>
        </is>
      </c>
      <c r="C258" s="40" t="n">
        <v>17</v>
      </c>
      <c r="D258" s="41" t="inlineStr">
        <is>
          <t>山口　航</t>
        </is>
      </c>
      <c r="E258" s="40" t="n"/>
      <c r="F258" s="45">
        <f>IF(D258="","",IF(E258&lt;&gt;"","手入力",IF(I258="","前年度名簿にいない",IF(OR(COUNTIF($H$2:$H$451,H258)&gt;1,COUNTIF(振り分け!$S$7:$S$456,H258)&gt;1),"同姓同名あり（手入力してください）","OK"))))</f>
        <v/>
      </c>
      <c r="G258" s="44">
        <f>IF(D258="","",IF(E258&lt;&gt;"",E258,IF(F258&lt;&gt;"OK","",IF(INDEX(振り分け!$L$7:$L$456,I258)="","未決定",INDEX(振り分け!$L$7:$L$456,I258)))))</f>
        <v/>
      </c>
      <c r="H258" s="8">
        <f>IF(D258="","",A258&amp;"|"&amp;SUBSTITUTE(SUBSTITUTE(D258," ",""),"　",""))</f>
        <v/>
      </c>
      <c r="I258" s="8">
        <f>IF(H258="","",IFERROR(MATCH(H258,振り分け!$S$7:$S$456,0),""))</f>
        <v/>
      </c>
      <c r="J258" s="8">
        <f>IF(D258="","",IFERROR(MATCH(A258&amp;"-"&amp;B258,設定!$Z$8:$Z$31,0),99)*1000+C258+ROW()/1000000)</f>
        <v/>
      </c>
      <c r="K258" s="8">
        <f>IF(D258="","",IFERROR(INDEX(設定!$L$8:$L$31,MATCH(A258&amp;"-"&amp;B258,設定!$Z$8:$Z$31,0)),A258&amp;B258))</f>
        <v/>
      </c>
    </row>
    <row r="259">
      <c r="A259" s="40" t="n">
        <v>4</v>
      </c>
      <c r="B259" s="40" t="inlineStr">
        <is>
          <t>松</t>
        </is>
      </c>
      <c r="C259" s="40" t="n">
        <v>18</v>
      </c>
      <c r="D259" s="41" t="inlineStr">
        <is>
          <t>岡田　大和</t>
        </is>
      </c>
      <c r="E259" s="40" t="n"/>
      <c r="F259" s="45">
        <f>IF(D259="","",IF(E259&lt;&gt;"","手入力",IF(I259="","前年度名簿にいない",IF(OR(COUNTIF($H$2:$H$451,H259)&gt;1,COUNTIF(振り分け!$S$7:$S$456,H259)&gt;1),"同姓同名あり（手入力してください）","OK"))))</f>
        <v/>
      </c>
      <c r="G259" s="44">
        <f>IF(D259="","",IF(E259&lt;&gt;"",E259,IF(F259&lt;&gt;"OK","",IF(INDEX(振り分け!$L$7:$L$456,I259)="","未決定",INDEX(振り分け!$L$7:$L$456,I259)))))</f>
        <v/>
      </c>
      <c r="H259" s="8">
        <f>IF(D259="","",A259&amp;"|"&amp;SUBSTITUTE(SUBSTITUTE(D259," ",""),"　",""))</f>
        <v/>
      </c>
      <c r="I259" s="8">
        <f>IF(H259="","",IFERROR(MATCH(H259,振り分け!$S$7:$S$456,0),""))</f>
        <v/>
      </c>
      <c r="J259" s="8">
        <f>IF(D259="","",IFERROR(MATCH(A259&amp;"-"&amp;B259,設定!$Z$8:$Z$31,0),99)*1000+C259+ROW()/1000000)</f>
        <v/>
      </c>
      <c r="K259" s="8">
        <f>IF(D259="","",IFERROR(INDEX(設定!$L$8:$L$31,MATCH(A259&amp;"-"&amp;B259,設定!$Z$8:$Z$31,0)),A259&amp;B259))</f>
        <v/>
      </c>
    </row>
    <row r="260">
      <c r="A260" s="40" t="n">
        <v>4</v>
      </c>
      <c r="B260" s="40" t="inlineStr">
        <is>
          <t>松</t>
        </is>
      </c>
      <c r="C260" s="40" t="n">
        <v>19</v>
      </c>
      <c r="D260" s="41" t="inlineStr">
        <is>
          <t>山崎　大和</t>
        </is>
      </c>
      <c r="E260" s="40" t="n"/>
      <c r="F260" s="45">
        <f>IF(D260="","",IF(E260&lt;&gt;"","手入力",IF(I260="","前年度名簿にいない",IF(OR(COUNTIF($H$2:$H$451,H260)&gt;1,COUNTIF(振り分け!$S$7:$S$456,H260)&gt;1),"同姓同名あり（手入力してください）","OK"))))</f>
        <v/>
      </c>
      <c r="G260" s="44">
        <f>IF(D260="","",IF(E260&lt;&gt;"",E260,IF(F260&lt;&gt;"OK","",IF(INDEX(振り分け!$L$7:$L$456,I260)="","未決定",INDEX(振り分け!$L$7:$L$456,I260)))))</f>
        <v/>
      </c>
      <c r="H260" s="8">
        <f>IF(D260="","",A260&amp;"|"&amp;SUBSTITUTE(SUBSTITUTE(D260," ",""),"　",""))</f>
        <v/>
      </c>
      <c r="I260" s="8">
        <f>IF(H260="","",IFERROR(MATCH(H260,振り分け!$S$7:$S$456,0),""))</f>
        <v/>
      </c>
      <c r="J260" s="8">
        <f>IF(D260="","",IFERROR(MATCH(A260&amp;"-"&amp;B260,設定!$Z$8:$Z$31,0),99)*1000+C260+ROW()/1000000)</f>
        <v/>
      </c>
      <c r="K260" s="8">
        <f>IF(D260="","",IFERROR(INDEX(設定!$L$8:$L$31,MATCH(A260&amp;"-"&amp;B260,設定!$Z$8:$Z$31,0)),A260&amp;B260))</f>
        <v/>
      </c>
    </row>
    <row r="261">
      <c r="A261" s="40" t="n">
        <v>4</v>
      </c>
      <c r="B261" s="40" t="inlineStr">
        <is>
          <t>松</t>
        </is>
      </c>
      <c r="C261" s="40" t="n">
        <v>20</v>
      </c>
      <c r="D261" s="41" t="inlineStr">
        <is>
          <t>村上　杏</t>
        </is>
      </c>
      <c r="E261" s="40" t="n"/>
      <c r="F261" s="45">
        <f>IF(D261="","",IF(E261&lt;&gt;"","手入力",IF(I261="","前年度名簿にいない",IF(OR(COUNTIF($H$2:$H$451,H261)&gt;1,COUNTIF(振り分け!$S$7:$S$456,H261)&gt;1),"同姓同名あり（手入力してください）","OK"))))</f>
        <v/>
      </c>
      <c r="G261" s="44">
        <f>IF(D261="","",IF(E261&lt;&gt;"",E261,IF(F261&lt;&gt;"OK","",IF(INDEX(振り分け!$L$7:$L$456,I261)="","未決定",INDEX(振り分け!$L$7:$L$456,I261)))))</f>
        <v/>
      </c>
      <c r="H261" s="8">
        <f>IF(D261="","",A261&amp;"|"&amp;SUBSTITUTE(SUBSTITUTE(D261," ",""),"　",""))</f>
        <v/>
      </c>
      <c r="I261" s="8">
        <f>IF(H261="","",IFERROR(MATCH(H261,振り分け!$S$7:$S$456,0),""))</f>
        <v/>
      </c>
      <c r="J261" s="8">
        <f>IF(D261="","",IFERROR(MATCH(A261&amp;"-"&amp;B261,設定!$Z$8:$Z$31,0),99)*1000+C261+ROW()/1000000)</f>
        <v/>
      </c>
      <c r="K261" s="8">
        <f>IF(D261="","",IFERROR(INDEX(設定!$L$8:$L$31,MATCH(A261&amp;"-"&amp;B261,設定!$Z$8:$Z$31,0)),A261&amp;B261))</f>
        <v/>
      </c>
    </row>
    <row r="262">
      <c r="A262" s="40" t="n">
        <v>4</v>
      </c>
      <c r="B262" s="40" t="inlineStr">
        <is>
          <t>松</t>
        </is>
      </c>
      <c r="C262" s="40" t="n">
        <v>21</v>
      </c>
      <c r="D262" s="41" t="inlineStr">
        <is>
          <t>佐々木　樹</t>
        </is>
      </c>
      <c r="E262" s="40" t="n"/>
      <c r="F262" s="45">
        <f>IF(D262="","",IF(E262&lt;&gt;"","手入力",IF(I262="","前年度名簿にいない",IF(OR(COUNTIF($H$2:$H$451,H262)&gt;1,COUNTIF(振り分け!$S$7:$S$456,H262)&gt;1),"同姓同名あり（手入力してください）","OK"))))</f>
        <v/>
      </c>
      <c r="G262" s="44">
        <f>IF(D262="","",IF(E262&lt;&gt;"",E262,IF(F262&lt;&gt;"OK","",IF(INDEX(振り分け!$L$7:$L$456,I262)="","未決定",INDEX(振り分け!$L$7:$L$456,I262)))))</f>
        <v/>
      </c>
      <c r="H262" s="8">
        <f>IF(D262="","",A262&amp;"|"&amp;SUBSTITUTE(SUBSTITUTE(D262," ",""),"　",""))</f>
        <v/>
      </c>
      <c r="I262" s="8">
        <f>IF(H262="","",IFERROR(MATCH(H262,振り分け!$S$7:$S$456,0),""))</f>
        <v/>
      </c>
      <c r="J262" s="8">
        <f>IF(D262="","",IFERROR(MATCH(A262&amp;"-"&amp;B262,設定!$Z$8:$Z$31,0),99)*1000+C262+ROW()/1000000)</f>
        <v/>
      </c>
      <c r="K262" s="8">
        <f>IF(D262="","",IFERROR(INDEX(設定!$L$8:$L$31,MATCH(A262&amp;"-"&amp;B262,設定!$Z$8:$Z$31,0)),A262&amp;B262))</f>
        <v/>
      </c>
    </row>
    <row r="263">
      <c r="A263" s="40" t="n">
        <v>4</v>
      </c>
      <c r="B263" s="40" t="inlineStr">
        <is>
          <t>松</t>
        </is>
      </c>
      <c r="C263" s="40" t="n">
        <v>22</v>
      </c>
      <c r="D263" s="41" t="inlineStr">
        <is>
          <t>藤田　さくら</t>
        </is>
      </c>
      <c r="E263" s="40" t="n"/>
      <c r="F263" s="45">
        <f>IF(D263="","",IF(E263&lt;&gt;"","手入力",IF(I263="","前年度名簿にいない",IF(OR(COUNTIF($H$2:$H$451,H263)&gt;1,COUNTIF(振り分け!$S$7:$S$456,H263)&gt;1),"同姓同名あり（手入力してください）","OK"))))</f>
        <v/>
      </c>
      <c r="G263" s="44">
        <f>IF(D263="","",IF(E263&lt;&gt;"",E263,IF(F263&lt;&gt;"OK","",IF(INDEX(振り分け!$L$7:$L$456,I263)="","未決定",INDEX(振り分け!$L$7:$L$456,I263)))))</f>
        <v/>
      </c>
      <c r="H263" s="8">
        <f>IF(D263="","",A263&amp;"|"&amp;SUBSTITUTE(SUBSTITUTE(D263," ",""),"　",""))</f>
        <v/>
      </c>
      <c r="I263" s="8">
        <f>IF(H263="","",IFERROR(MATCH(H263,振り分け!$S$7:$S$456,0),""))</f>
        <v/>
      </c>
      <c r="J263" s="8">
        <f>IF(D263="","",IFERROR(MATCH(A263&amp;"-"&amp;B263,設定!$Z$8:$Z$31,0),99)*1000+C263+ROW()/1000000)</f>
        <v/>
      </c>
      <c r="K263" s="8">
        <f>IF(D263="","",IFERROR(INDEX(設定!$L$8:$L$31,MATCH(A263&amp;"-"&amp;B263,設定!$Z$8:$Z$31,0)),A263&amp;B263))</f>
        <v/>
      </c>
    </row>
    <row r="264">
      <c r="A264" s="40" t="n">
        <v>4</v>
      </c>
      <c r="B264" s="40" t="inlineStr">
        <is>
          <t>松</t>
        </is>
      </c>
      <c r="C264" s="40" t="n">
        <v>23</v>
      </c>
      <c r="D264" s="41" t="inlineStr">
        <is>
          <t>長谷川　一花</t>
        </is>
      </c>
      <c r="E264" s="40" t="n"/>
      <c r="F264" s="45">
        <f>IF(D264="","",IF(E264&lt;&gt;"","手入力",IF(I264="","前年度名簿にいない",IF(OR(COUNTIF($H$2:$H$451,H264)&gt;1,COUNTIF(振り分け!$S$7:$S$456,H264)&gt;1),"同姓同名あり（手入力してください）","OK"))))</f>
        <v/>
      </c>
      <c r="G264" s="44">
        <f>IF(D264="","",IF(E264&lt;&gt;"",E264,IF(F264&lt;&gt;"OK","",IF(INDEX(振り分け!$L$7:$L$456,I264)="","未決定",INDEX(振り分け!$L$7:$L$456,I264)))))</f>
        <v/>
      </c>
      <c r="H264" s="8">
        <f>IF(D264="","",A264&amp;"|"&amp;SUBSTITUTE(SUBSTITUTE(D264," ",""),"　",""))</f>
        <v/>
      </c>
      <c r="I264" s="8">
        <f>IF(H264="","",IFERROR(MATCH(H264,振り分け!$S$7:$S$456,0),""))</f>
        <v/>
      </c>
      <c r="J264" s="8">
        <f>IF(D264="","",IFERROR(MATCH(A264&amp;"-"&amp;B264,設定!$Z$8:$Z$31,0),99)*1000+C264+ROW()/1000000)</f>
        <v/>
      </c>
      <c r="K264" s="8">
        <f>IF(D264="","",IFERROR(INDEX(設定!$L$8:$L$31,MATCH(A264&amp;"-"&amp;B264,設定!$Z$8:$Z$31,0)),A264&amp;B264))</f>
        <v/>
      </c>
    </row>
    <row r="265">
      <c r="A265" s="40" t="n">
        <v>4</v>
      </c>
      <c r="B265" s="40" t="inlineStr">
        <is>
          <t>松</t>
        </is>
      </c>
      <c r="C265" s="40" t="n">
        <v>24</v>
      </c>
      <c r="D265" s="41" t="inlineStr">
        <is>
          <t>原田　柚葉</t>
        </is>
      </c>
      <c r="E265" s="40" t="n"/>
      <c r="F265" s="45">
        <f>IF(D265="","",IF(E265&lt;&gt;"","手入力",IF(I265="","前年度名簿にいない",IF(OR(COUNTIF($H$2:$H$451,H265)&gt;1,COUNTIF(振り分け!$S$7:$S$456,H265)&gt;1),"同姓同名あり（手入力してください）","OK"))))</f>
        <v/>
      </c>
      <c r="G265" s="44">
        <f>IF(D265="","",IF(E265&lt;&gt;"",E265,IF(F265&lt;&gt;"OK","",IF(INDEX(振り分け!$L$7:$L$456,I265)="","未決定",INDEX(振り分け!$L$7:$L$456,I265)))))</f>
        <v/>
      </c>
      <c r="H265" s="8">
        <f>IF(D265="","",A265&amp;"|"&amp;SUBSTITUTE(SUBSTITUTE(D265," ",""),"　",""))</f>
        <v/>
      </c>
      <c r="I265" s="8">
        <f>IF(H265="","",IFERROR(MATCH(H265,振り分け!$S$7:$S$456,0),""))</f>
        <v/>
      </c>
      <c r="J265" s="8">
        <f>IF(D265="","",IFERROR(MATCH(A265&amp;"-"&amp;B265,設定!$Z$8:$Z$31,0),99)*1000+C265+ROW()/1000000)</f>
        <v/>
      </c>
      <c r="K265" s="8">
        <f>IF(D265="","",IFERROR(INDEX(設定!$L$8:$L$31,MATCH(A265&amp;"-"&amp;B265,設定!$Z$8:$Z$31,0)),A265&amp;B265))</f>
        <v/>
      </c>
    </row>
    <row r="266">
      <c r="A266" s="40" t="n">
        <v>4</v>
      </c>
      <c r="B266" s="40" t="inlineStr">
        <is>
          <t>松</t>
        </is>
      </c>
      <c r="C266" s="40" t="n">
        <v>25</v>
      </c>
      <c r="D266" s="41" t="inlineStr">
        <is>
          <t>木村　朝陽</t>
        </is>
      </c>
      <c r="E266" s="40" t="n"/>
      <c r="F266" s="45">
        <f>IF(D266="","",IF(E266&lt;&gt;"","手入力",IF(I266="","前年度名簿にいない",IF(OR(COUNTIF($H$2:$H$451,H266)&gt;1,COUNTIF(振り分け!$S$7:$S$456,H266)&gt;1),"同姓同名あり（手入力してください）","OK"))))</f>
        <v/>
      </c>
      <c r="G266" s="44">
        <f>IF(D266="","",IF(E266&lt;&gt;"",E266,IF(F266&lt;&gt;"OK","",IF(INDEX(振り分け!$L$7:$L$456,I266)="","未決定",INDEX(振り分け!$L$7:$L$456,I266)))))</f>
        <v/>
      </c>
      <c r="H266" s="8">
        <f>IF(D266="","",A266&amp;"|"&amp;SUBSTITUTE(SUBSTITUTE(D266," ",""),"　",""))</f>
        <v/>
      </c>
      <c r="I266" s="8">
        <f>IF(H266="","",IFERROR(MATCH(H266,振り分け!$S$7:$S$456,0),""))</f>
        <v/>
      </c>
      <c r="J266" s="8">
        <f>IF(D266="","",IFERROR(MATCH(A266&amp;"-"&amp;B266,設定!$Z$8:$Z$31,0),99)*1000+C266+ROW()/1000000)</f>
        <v/>
      </c>
      <c r="K266" s="8">
        <f>IF(D266="","",IFERROR(INDEX(設定!$L$8:$L$31,MATCH(A266&amp;"-"&amp;B266,設定!$Z$8:$Z$31,0)),A266&amp;B266))</f>
        <v/>
      </c>
    </row>
    <row r="267">
      <c r="A267" s="40" t="n">
        <v>4</v>
      </c>
      <c r="B267" s="40" t="inlineStr">
        <is>
          <t>松</t>
        </is>
      </c>
      <c r="C267" s="40" t="n">
        <v>26</v>
      </c>
      <c r="D267" s="41" t="inlineStr">
        <is>
          <t>前田　彩花</t>
        </is>
      </c>
      <c r="E267" s="40" t="n"/>
      <c r="F267" s="45">
        <f>IF(D267="","",IF(E267&lt;&gt;"","手入力",IF(I267="","前年度名簿にいない",IF(OR(COUNTIF($H$2:$H$451,H267)&gt;1,COUNTIF(振り分け!$S$7:$S$456,H267)&gt;1),"同姓同名あり（手入力してください）","OK"))))</f>
        <v/>
      </c>
      <c r="G267" s="44">
        <f>IF(D267="","",IF(E267&lt;&gt;"",E267,IF(F267&lt;&gt;"OK","",IF(INDEX(振り分け!$L$7:$L$456,I267)="","未決定",INDEX(振り分け!$L$7:$L$456,I267)))))</f>
        <v/>
      </c>
      <c r="H267" s="8">
        <f>IF(D267="","",A267&amp;"|"&amp;SUBSTITUTE(SUBSTITUTE(D267," ",""),"　",""))</f>
        <v/>
      </c>
      <c r="I267" s="8">
        <f>IF(H267="","",IFERROR(MATCH(H267,振り分け!$S$7:$S$456,0),""))</f>
        <v/>
      </c>
      <c r="J267" s="8">
        <f>IF(D267="","",IFERROR(MATCH(A267&amp;"-"&amp;B267,設定!$Z$8:$Z$31,0),99)*1000+C267+ROW()/1000000)</f>
        <v/>
      </c>
      <c r="K267" s="8">
        <f>IF(D267="","",IFERROR(INDEX(設定!$L$8:$L$31,MATCH(A267&amp;"-"&amp;B267,設定!$Z$8:$Z$31,0)),A267&amp;B267))</f>
        <v/>
      </c>
    </row>
    <row r="268">
      <c r="A268" s="40" t="n">
        <v>4</v>
      </c>
      <c r="B268" s="40" t="inlineStr">
        <is>
          <t>松</t>
        </is>
      </c>
      <c r="C268" s="40" t="n">
        <v>27</v>
      </c>
      <c r="D268" s="41" t="inlineStr">
        <is>
          <t>石川　千尋</t>
        </is>
      </c>
      <c r="E268" s="40" t="n"/>
      <c r="F268" s="45">
        <f>IF(D268="","",IF(E268&lt;&gt;"","手入力",IF(I268="","前年度名簿にいない",IF(OR(COUNTIF($H$2:$H$451,H268)&gt;1,COUNTIF(振り分け!$S$7:$S$456,H268)&gt;1),"同姓同名あり（手入力してください）","OK"))))</f>
        <v/>
      </c>
      <c r="G268" s="44">
        <f>IF(D268="","",IF(E268&lt;&gt;"",E268,IF(F268&lt;&gt;"OK","",IF(INDEX(振り分け!$L$7:$L$456,I268)="","未決定",INDEX(振り分け!$L$7:$L$456,I268)))))</f>
        <v/>
      </c>
      <c r="H268" s="8">
        <f>IF(D268="","",A268&amp;"|"&amp;SUBSTITUTE(SUBSTITUTE(D268," ",""),"　",""))</f>
        <v/>
      </c>
      <c r="I268" s="8">
        <f>IF(H268="","",IFERROR(MATCH(H268,振り分け!$S$7:$S$456,0),""))</f>
        <v/>
      </c>
      <c r="J268" s="8">
        <f>IF(D268="","",IFERROR(MATCH(A268&amp;"-"&amp;B268,設定!$Z$8:$Z$31,0),99)*1000+C268+ROW()/1000000)</f>
        <v/>
      </c>
      <c r="K268" s="8">
        <f>IF(D268="","",IFERROR(INDEX(設定!$L$8:$L$31,MATCH(A268&amp;"-"&amp;B268,設定!$Z$8:$Z$31,0)),A268&amp;B268))</f>
        <v/>
      </c>
    </row>
    <row r="269">
      <c r="A269" s="40" t="n">
        <v>4</v>
      </c>
      <c r="B269" s="40" t="inlineStr">
        <is>
          <t>松</t>
        </is>
      </c>
      <c r="C269" s="40" t="n">
        <v>28</v>
      </c>
      <c r="D269" s="41" t="inlineStr">
        <is>
          <t>小川　樹</t>
        </is>
      </c>
      <c r="E269" s="40" t="n"/>
      <c r="F269" s="45">
        <f>IF(D269="","",IF(E269&lt;&gt;"","手入力",IF(I269="","前年度名簿にいない",IF(OR(COUNTIF($H$2:$H$451,H269)&gt;1,COUNTIF(振り分け!$S$7:$S$456,H269)&gt;1),"同姓同名あり（手入力してください）","OK"))))</f>
        <v/>
      </c>
      <c r="G269" s="44">
        <f>IF(D269="","",IF(E269&lt;&gt;"",E269,IF(F269&lt;&gt;"OK","",IF(INDEX(振り分け!$L$7:$L$456,I269)="","未決定",INDEX(振り分け!$L$7:$L$456,I269)))))</f>
        <v/>
      </c>
      <c r="H269" s="8">
        <f>IF(D269="","",A269&amp;"|"&amp;SUBSTITUTE(SUBSTITUTE(D269," ",""),"　",""))</f>
        <v/>
      </c>
      <c r="I269" s="8">
        <f>IF(H269="","",IFERROR(MATCH(H269,振り分け!$S$7:$S$456,0),""))</f>
        <v/>
      </c>
      <c r="J269" s="8">
        <f>IF(D269="","",IFERROR(MATCH(A269&amp;"-"&amp;B269,設定!$Z$8:$Z$31,0),99)*1000+C269+ROW()/1000000)</f>
        <v/>
      </c>
      <c r="K269" s="8">
        <f>IF(D269="","",IFERROR(INDEX(設定!$L$8:$L$31,MATCH(A269&amp;"-"&amp;B269,設定!$Z$8:$Z$31,0)),A269&amp;B269))</f>
        <v/>
      </c>
    </row>
    <row r="270">
      <c r="A270" s="40" t="n">
        <v>4</v>
      </c>
      <c r="B270" s="40" t="inlineStr">
        <is>
          <t>松</t>
        </is>
      </c>
      <c r="C270" s="40" t="n">
        <v>29</v>
      </c>
      <c r="D270" s="41" t="inlineStr">
        <is>
          <t>長谷川　結菜</t>
        </is>
      </c>
      <c r="E270" s="40" t="n"/>
      <c r="F270" s="45">
        <f>IF(D270="","",IF(E270&lt;&gt;"","手入力",IF(I270="","前年度名簿にいない",IF(OR(COUNTIF($H$2:$H$451,H270)&gt;1,COUNTIF(振り分け!$S$7:$S$456,H270)&gt;1),"同姓同名あり（手入力してください）","OK"))))</f>
        <v/>
      </c>
      <c r="G270" s="44">
        <f>IF(D270="","",IF(E270&lt;&gt;"",E270,IF(F270&lt;&gt;"OK","",IF(INDEX(振り分け!$L$7:$L$456,I270)="","未決定",INDEX(振り分け!$L$7:$L$456,I270)))))</f>
        <v/>
      </c>
      <c r="H270" s="8">
        <f>IF(D270="","",A270&amp;"|"&amp;SUBSTITUTE(SUBSTITUTE(D270," ",""),"　",""))</f>
        <v/>
      </c>
      <c r="I270" s="8">
        <f>IF(H270="","",IFERROR(MATCH(H270,振り分け!$S$7:$S$456,0),""))</f>
        <v/>
      </c>
      <c r="J270" s="8">
        <f>IF(D270="","",IFERROR(MATCH(A270&amp;"-"&amp;B270,設定!$Z$8:$Z$31,0),99)*1000+C270+ROW()/1000000)</f>
        <v/>
      </c>
      <c r="K270" s="8">
        <f>IF(D270="","",IFERROR(INDEX(設定!$L$8:$L$31,MATCH(A270&amp;"-"&amp;B270,設定!$Z$8:$Z$31,0)),A270&amp;B270))</f>
        <v/>
      </c>
    </row>
    <row r="271">
      <c r="A271" s="40" t="n">
        <v>4</v>
      </c>
      <c r="B271" s="40" t="inlineStr">
        <is>
          <t>松</t>
        </is>
      </c>
      <c r="C271" s="40" t="n">
        <v>30</v>
      </c>
      <c r="D271" s="41" t="inlineStr">
        <is>
          <t>長谷川　さくら</t>
        </is>
      </c>
      <c r="E271" s="40" t="n"/>
      <c r="F271" s="45">
        <f>IF(D271="","",IF(E271&lt;&gt;"","手入力",IF(I271="","前年度名簿にいない",IF(OR(COUNTIF($H$2:$H$451,H271)&gt;1,COUNTIF(振り分け!$S$7:$S$456,H271)&gt;1),"同姓同名あり（手入力してください）","OK"))))</f>
        <v/>
      </c>
      <c r="G271" s="44">
        <f>IF(D271="","",IF(E271&lt;&gt;"",E271,IF(F271&lt;&gt;"OK","",IF(INDEX(振り分け!$L$7:$L$456,I271)="","未決定",INDEX(振り分け!$L$7:$L$456,I271)))))</f>
        <v/>
      </c>
      <c r="H271" s="8">
        <f>IF(D271="","",A271&amp;"|"&amp;SUBSTITUTE(SUBSTITUTE(D271," ",""),"　",""))</f>
        <v/>
      </c>
      <c r="I271" s="8">
        <f>IF(H271="","",IFERROR(MATCH(H271,振り分け!$S$7:$S$456,0),""))</f>
        <v/>
      </c>
      <c r="J271" s="8">
        <f>IF(D271="","",IFERROR(MATCH(A271&amp;"-"&amp;B271,設定!$Z$8:$Z$31,0),99)*1000+C271+ROW()/1000000)</f>
        <v/>
      </c>
      <c r="K271" s="8">
        <f>IF(D271="","",IFERROR(INDEX(設定!$L$8:$L$31,MATCH(A271&amp;"-"&amp;B271,設定!$Z$8:$Z$31,0)),A271&amp;B271))</f>
        <v/>
      </c>
    </row>
    <row r="272">
      <c r="A272" s="40" t="n">
        <v>4</v>
      </c>
      <c r="B272" s="40" t="inlineStr">
        <is>
          <t>竹</t>
        </is>
      </c>
      <c r="C272" s="40" t="n">
        <v>1</v>
      </c>
      <c r="D272" s="41" t="inlineStr">
        <is>
          <t>岡本　陽翔</t>
        </is>
      </c>
      <c r="E272" s="40" t="n"/>
      <c r="F272" s="45">
        <f>IF(D272="","",IF(E272&lt;&gt;"","手入力",IF(I272="","前年度名簿にいない",IF(OR(COUNTIF($H$2:$H$451,H272)&gt;1,COUNTIF(振り分け!$S$7:$S$456,H272)&gt;1),"同姓同名あり（手入力してください）","OK"))))</f>
        <v/>
      </c>
      <c r="G272" s="44">
        <f>IF(D272="","",IF(E272&lt;&gt;"",E272,IF(F272&lt;&gt;"OK","",IF(INDEX(振り分け!$L$7:$L$456,I272)="","未決定",INDEX(振り分け!$L$7:$L$456,I272)))))</f>
        <v/>
      </c>
      <c r="H272" s="8">
        <f>IF(D272="","",A272&amp;"|"&amp;SUBSTITUTE(SUBSTITUTE(D272," ",""),"　",""))</f>
        <v/>
      </c>
      <c r="I272" s="8">
        <f>IF(H272="","",IFERROR(MATCH(H272,振り分け!$S$7:$S$456,0),""))</f>
        <v/>
      </c>
      <c r="J272" s="8">
        <f>IF(D272="","",IFERROR(MATCH(A272&amp;"-"&amp;B272,設定!$Z$8:$Z$31,0),99)*1000+C272+ROW()/1000000)</f>
        <v/>
      </c>
      <c r="K272" s="8">
        <f>IF(D272="","",IFERROR(INDEX(設定!$L$8:$L$31,MATCH(A272&amp;"-"&amp;B272,設定!$Z$8:$Z$31,0)),A272&amp;B272))</f>
        <v/>
      </c>
    </row>
    <row r="273">
      <c r="A273" s="40" t="n">
        <v>4</v>
      </c>
      <c r="B273" s="40" t="inlineStr">
        <is>
          <t>竹</t>
        </is>
      </c>
      <c r="C273" s="40" t="n">
        <v>2</v>
      </c>
      <c r="D273" s="41" t="inlineStr">
        <is>
          <t>池田　大翔</t>
        </is>
      </c>
      <c r="E273" s="40" t="n"/>
      <c r="F273" s="45">
        <f>IF(D273="","",IF(E273&lt;&gt;"","手入力",IF(I273="","前年度名簿にいない",IF(OR(COUNTIF($H$2:$H$451,H273)&gt;1,COUNTIF(振り分け!$S$7:$S$456,H273)&gt;1),"同姓同名あり（手入力してください）","OK"))))</f>
        <v/>
      </c>
      <c r="G273" s="44">
        <f>IF(D273="","",IF(E273&lt;&gt;"",E273,IF(F273&lt;&gt;"OK","",IF(INDEX(振り分け!$L$7:$L$456,I273)="","未決定",INDEX(振り分け!$L$7:$L$456,I273)))))</f>
        <v/>
      </c>
      <c r="H273" s="8">
        <f>IF(D273="","",A273&amp;"|"&amp;SUBSTITUTE(SUBSTITUTE(D273," ",""),"　",""))</f>
        <v/>
      </c>
      <c r="I273" s="8">
        <f>IF(H273="","",IFERROR(MATCH(H273,振り分け!$S$7:$S$456,0),""))</f>
        <v/>
      </c>
      <c r="J273" s="8">
        <f>IF(D273="","",IFERROR(MATCH(A273&amp;"-"&amp;B273,設定!$Z$8:$Z$31,0),99)*1000+C273+ROW()/1000000)</f>
        <v/>
      </c>
      <c r="K273" s="8">
        <f>IF(D273="","",IFERROR(INDEX(設定!$L$8:$L$31,MATCH(A273&amp;"-"&amp;B273,設定!$Z$8:$Z$31,0)),A273&amp;B273))</f>
        <v/>
      </c>
    </row>
    <row r="274">
      <c r="A274" s="40" t="n">
        <v>4</v>
      </c>
      <c r="B274" s="40" t="inlineStr">
        <is>
          <t>竹</t>
        </is>
      </c>
      <c r="C274" s="40" t="n">
        <v>3</v>
      </c>
      <c r="D274" s="41" t="inlineStr">
        <is>
          <t>清水　心春</t>
        </is>
      </c>
      <c r="E274" s="40" t="n"/>
      <c r="F274" s="45">
        <f>IF(D274="","",IF(E274&lt;&gt;"","手入力",IF(I274="","前年度名簿にいない",IF(OR(COUNTIF($H$2:$H$451,H274)&gt;1,COUNTIF(振り分け!$S$7:$S$456,H274)&gt;1),"同姓同名あり（手入力してください）","OK"))))</f>
        <v/>
      </c>
      <c r="G274" s="44">
        <f>IF(D274="","",IF(E274&lt;&gt;"",E274,IF(F274&lt;&gt;"OK","",IF(INDEX(振り分け!$L$7:$L$456,I274)="","未決定",INDEX(振り分け!$L$7:$L$456,I274)))))</f>
        <v/>
      </c>
      <c r="H274" s="8">
        <f>IF(D274="","",A274&amp;"|"&amp;SUBSTITUTE(SUBSTITUTE(D274," ",""),"　",""))</f>
        <v/>
      </c>
      <c r="I274" s="8">
        <f>IF(H274="","",IFERROR(MATCH(H274,振り分け!$S$7:$S$456,0),""))</f>
        <v/>
      </c>
      <c r="J274" s="8">
        <f>IF(D274="","",IFERROR(MATCH(A274&amp;"-"&amp;B274,設定!$Z$8:$Z$31,0),99)*1000+C274+ROW()/1000000)</f>
        <v/>
      </c>
      <c r="K274" s="8">
        <f>IF(D274="","",IFERROR(INDEX(設定!$L$8:$L$31,MATCH(A274&amp;"-"&amp;B274,設定!$Z$8:$Z$31,0)),A274&amp;B274))</f>
        <v/>
      </c>
    </row>
    <row r="275">
      <c r="A275" s="40" t="n">
        <v>4</v>
      </c>
      <c r="B275" s="40" t="inlineStr">
        <is>
          <t>竹</t>
        </is>
      </c>
      <c r="C275" s="40" t="n">
        <v>4</v>
      </c>
      <c r="D275" s="41" t="inlineStr">
        <is>
          <t>坂本　莉子</t>
        </is>
      </c>
      <c r="E275" s="40" t="n"/>
      <c r="F275" s="45">
        <f>IF(D275="","",IF(E275&lt;&gt;"","手入力",IF(I275="","前年度名簿にいない",IF(OR(COUNTIF($H$2:$H$451,H275)&gt;1,COUNTIF(振り分け!$S$7:$S$456,H275)&gt;1),"同姓同名あり（手入力してください）","OK"))))</f>
        <v/>
      </c>
      <c r="G275" s="44">
        <f>IF(D275="","",IF(E275&lt;&gt;"",E275,IF(F275&lt;&gt;"OK","",IF(INDEX(振り分け!$L$7:$L$456,I275)="","未決定",INDEX(振り分け!$L$7:$L$456,I275)))))</f>
        <v/>
      </c>
      <c r="H275" s="8">
        <f>IF(D275="","",A275&amp;"|"&amp;SUBSTITUTE(SUBSTITUTE(D275," ",""),"　",""))</f>
        <v/>
      </c>
      <c r="I275" s="8">
        <f>IF(H275="","",IFERROR(MATCH(H275,振り分け!$S$7:$S$456,0),""))</f>
        <v/>
      </c>
      <c r="J275" s="8">
        <f>IF(D275="","",IFERROR(MATCH(A275&amp;"-"&amp;B275,設定!$Z$8:$Z$31,0),99)*1000+C275+ROW()/1000000)</f>
        <v/>
      </c>
      <c r="K275" s="8">
        <f>IF(D275="","",IFERROR(INDEX(設定!$L$8:$L$31,MATCH(A275&amp;"-"&amp;B275,設定!$Z$8:$Z$31,0)),A275&amp;B275))</f>
        <v/>
      </c>
    </row>
    <row r="276">
      <c r="A276" s="40" t="n">
        <v>4</v>
      </c>
      <c r="B276" s="40" t="inlineStr">
        <is>
          <t>竹</t>
        </is>
      </c>
      <c r="C276" s="40" t="n">
        <v>5</v>
      </c>
      <c r="D276" s="41" t="inlineStr">
        <is>
          <t>鈴木　花音</t>
        </is>
      </c>
      <c r="E276" s="40" t="n"/>
      <c r="F276" s="45">
        <f>IF(D276="","",IF(E276&lt;&gt;"","手入力",IF(I276="","前年度名簿にいない",IF(OR(COUNTIF($H$2:$H$451,H276)&gt;1,COUNTIF(振り分け!$S$7:$S$456,H276)&gt;1),"同姓同名あり（手入力してください）","OK"))))</f>
        <v/>
      </c>
      <c r="G276" s="44">
        <f>IF(D276="","",IF(E276&lt;&gt;"",E276,IF(F276&lt;&gt;"OK","",IF(INDEX(振り分け!$L$7:$L$456,I276)="","未決定",INDEX(振り分け!$L$7:$L$456,I276)))))</f>
        <v/>
      </c>
      <c r="H276" s="8">
        <f>IF(D276="","",A276&amp;"|"&amp;SUBSTITUTE(SUBSTITUTE(D276," ",""),"　",""))</f>
        <v/>
      </c>
      <c r="I276" s="8">
        <f>IF(H276="","",IFERROR(MATCH(H276,振り分け!$S$7:$S$456,0),""))</f>
        <v/>
      </c>
      <c r="J276" s="8">
        <f>IF(D276="","",IFERROR(MATCH(A276&amp;"-"&amp;B276,設定!$Z$8:$Z$31,0),99)*1000+C276+ROW()/1000000)</f>
        <v/>
      </c>
      <c r="K276" s="8">
        <f>IF(D276="","",IFERROR(INDEX(設定!$L$8:$L$31,MATCH(A276&amp;"-"&amp;B276,設定!$Z$8:$Z$31,0)),A276&amp;B276))</f>
        <v/>
      </c>
    </row>
    <row r="277">
      <c r="A277" s="40" t="n">
        <v>4</v>
      </c>
      <c r="B277" s="40" t="inlineStr">
        <is>
          <t>竹</t>
        </is>
      </c>
      <c r="C277" s="40" t="n">
        <v>6</v>
      </c>
      <c r="D277" s="41" t="inlineStr">
        <is>
          <t>橋本　陽太</t>
        </is>
      </c>
      <c r="E277" s="40" t="n"/>
      <c r="F277" s="45">
        <f>IF(D277="","",IF(E277&lt;&gt;"","手入力",IF(I277="","前年度名簿にいない",IF(OR(COUNTIF($H$2:$H$451,H277)&gt;1,COUNTIF(振り分け!$S$7:$S$456,H277)&gt;1),"同姓同名あり（手入力してください）","OK"))))</f>
        <v/>
      </c>
      <c r="G277" s="44">
        <f>IF(D277="","",IF(E277&lt;&gt;"",E277,IF(F277&lt;&gt;"OK","",IF(INDEX(振り分け!$L$7:$L$456,I277)="","未決定",INDEX(振り分け!$L$7:$L$456,I277)))))</f>
        <v/>
      </c>
      <c r="H277" s="8">
        <f>IF(D277="","",A277&amp;"|"&amp;SUBSTITUTE(SUBSTITUTE(D277," ",""),"　",""))</f>
        <v/>
      </c>
      <c r="I277" s="8">
        <f>IF(H277="","",IFERROR(MATCH(H277,振り分け!$S$7:$S$456,0),""))</f>
        <v/>
      </c>
      <c r="J277" s="8">
        <f>IF(D277="","",IFERROR(MATCH(A277&amp;"-"&amp;B277,設定!$Z$8:$Z$31,0),99)*1000+C277+ROW()/1000000)</f>
        <v/>
      </c>
      <c r="K277" s="8">
        <f>IF(D277="","",IFERROR(INDEX(設定!$L$8:$L$31,MATCH(A277&amp;"-"&amp;B277,設定!$Z$8:$Z$31,0)),A277&amp;B277))</f>
        <v/>
      </c>
    </row>
    <row r="278">
      <c r="A278" s="40" t="n">
        <v>4</v>
      </c>
      <c r="B278" s="40" t="inlineStr">
        <is>
          <t>竹</t>
        </is>
      </c>
      <c r="C278" s="40" t="n">
        <v>7</v>
      </c>
      <c r="D278" s="41" t="inlineStr">
        <is>
          <t>小野　晴</t>
        </is>
      </c>
      <c r="E278" s="40" t="n"/>
      <c r="F278" s="45">
        <f>IF(D278="","",IF(E278&lt;&gt;"","手入力",IF(I278="","前年度名簿にいない",IF(OR(COUNTIF($H$2:$H$451,H278)&gt;1,COUNTIF(振り分け!$S$7:$S$456,H278)&gt;1),"同姓同名あり（手入力してください）","OK"))))</f>
        <v/>
      </c>
      <c r="G278" s="44">
        <f>IF(D278="","",IF(E278&lt;&gt;"",E278,IF(F278&lt;&gt;"OK","",IF(INDEX(振り分け!$L$7:$L$456,I278)="","未決定",INDEX(振り分け!$L$7:$L$456,I278)))))</f>
        <v/>
      </c>
      <c r="H278" s="8">
        <f>IF(D278="","",A278&amp;"|"&amp;SUBSTITUTE(SUBSTITUTE(D278," ",""),"　",""))</f>
        <v/>
      </c>
      <c r="I278" s="8">
        <f>IF(H278="","",IFERROR(MATCH(H278,振り分け!$S$7:$S$456,0),""))</f>
        <v/>
      </c>
      <c r="J278" s="8">
        <f>IF(D278="","",IFERROR(MATCH(A278&amp;"-"&amp;B278,設定!$Z$8:$Z$31,0),99)*1000+C278+ROW()/1000000)</f>
        <v/>
      </c>
      <c r="K278" s="8">
        <f>IF(D278="","",IFERROR(INDEX(設定!$L$8:$L$31,MATCH(A278&amp;"-"&amp;B278,設定!$Z$8:$Z$31,0)),A278&amp;B278))</f>
        <v/>
      </c>
    </row>
    <row r="279">
      <c r="A279" s="40" t="n">
        <v>4</v>
      </c>
      <c r="B279" s="40" t="inlineStr">
        <is>
          <t>竹</t>
        </is>
      </c>
      <c r="C279" s="40" t="n">
        <v>8</v>
      </c>
      <c r="D279" s="41" t="inlineStr">
        <is>
          <t>加藤　優斗</t>
        </is>
      </c>
      <c r="E279" s="40" t="n"/>
      <c r="F279" s="45">
        <f>IF(D279="","",IF(E279&lt;&gt;"","手入力",IF(I279="","前年度名簿にいない",IF(OR(COUNTIF($H$2:$H$451,H279)&gt;1,COUNTIF(振り分け!$S$7:$S$456,H279)&gt;1),"同姓同名あり（手入力してください）","OK"))))</f>
        <v/>
      </c>
      <c r="G279" s="44">
        <f>IF(D279="","",IF(E279&lt;&gt;"",E279,IF(F279&lt;&gt;"OK","",IF(INDEX(振り分け!$L$7:$L$456,I279)="","未決定",INDEX(振り分け!$L$7:$L$456,I279)))))</f>
        <v/>
      </c>
      <c r="H279" s="8">
        <f>IF(D279="","",A279&amp;"|"&amp;SUBSTITUTE(SUBSTITUTE(D279," ",""),"　",""))</f>
        <v/>
      </c>
      <c r="I279" s="8">
        <f>IF(H279="","",IFERROR(MATCH(H279,振り分け!$S$7:$S$456,0),""))</f>
        <v/>
      </c>
      <c r="J279" s="8">
        <f>IF(D279="","",IFERROR(MATCH(A279&amp;"-"&amp;B279,設定!$Z$8:$Z$31,0),99)*1000+C279+ROW()/1000000)</f>
        <v/>
      </c>
      <c r="K279" s="8">
        <f>IF(D279="","",IFERROR(INDEX(設定!$L$8:$L$31,MATCH(A279&amp;"-"&amp;B279,設定!$Z$8:$Z$31,0)),A279&amp;B279))</f>
        <v/>
      </c>
    </row>
    <row r="280">
      <c r="A280" s="40" t="n">
        <v>4</v>
      </c>
      <c r="B280" s="40" t="inlineStr">
        <is>
          <t>竹</t>
        </is>
      </c>
      <c r="C280" s="40" t="n">
        <v>9</v>
      </c>
      <c r="D280" s="41" t="inlineStr">
        <is>
          <t>木村　美咲</t>
        </is>
      </c>
      <c r="E280" s="40" t="n"/>
      <c r="F280" s="45">
        <f>IF(D280="","",IF(E280&lt;&gt;"","手入力",IF(I280="","前年度名簿にいない",IF(OR(COUNTIF($H$2:$H$451,H280)&gt;1,COUNTIF(振り分け!$S$7:$S$456,H280)&gt;1),"同姓同名あり（手入力してください）","OK"))))</f>
        <v/>
      </c>
      <c r="G280" s="44">
        <f>IF(D280="","",IF(E280&lt;&gt;"",E280,IF(F280&lt;&gt;"OK","",IF(INDEX(振り分け!$L$7:$L$456,I280)="","未決定",INDEX(振り分け!$L$7:$L$456,I280)))))</f>
        <v/>
      </c>
      <c r="H280" s="8">
        <f>IF(D280="","",A280&amp;"|"&amp;SUBSTITUTE(SUBSTITUTE(D280," ",""),"　",""))</f>
        <v/>
      </c>
      <c r="I280" s="8">
        <f>IF(H280="","",IFERROR(MATCH(H280,振り分け!$S$7:$S$456,0),""))</f>
        <v/>
      </c>
      <c r="J280" s="8">
        <f>IF(D280="","",IFERROR(MATCH(A280&amp;"-"&amp;B280,設定!$Z$8:$Z$31,0),99)*1000+C280+ROW()/1000000)</f>
        <v/>
      </c>
      <c r="K280" s="8">
        <f>IF(D280="","",IFERROR(INDEX(設定!$L$8:$L$31,MATCH(A280&amp;"-"&amp;B280,設定!$Z$8:$Z$31,0)),A280&amp;B280))</f>
        <v/>
      </c>
    </row>
    <row r="281">
      <c r="A281" s="40" t="n">
        <v>4</v>
      </c>
      <c r="B281" s="40" t="inlineStr">
        <is>
          <t>竹</t>
        </is>
      </c>
      <c r="C281" s="40" t="n">
        <v>10</v>
      </c>
      <c r="D281" s="41" t="inlineStr">
        <is>
          <t>鈴木　湊</t>
        </is>
      </c>
      <c r="E281" s="40" t="n"/>
      <c r="F281" s="45">
        <f>IF(D281="","",IF(E281&lt;&gt;"","手入力",IF(I281="","前年度名簿にいない",IF(OR(COUNTIF($H$2:$H$451,H281)&gt;1,COUNTIF(振り分け!$S$7:$S$456,H281)&gt;1),"同姓同名あり（手入力してください）","OK"))))</f>
        <v/>
      </c>
      <c r="G281" s="44">
        <f>IF(D281="","",IF(E281&lt;&gt;"",E281,IF(F281&lt;&gt;"OK","",IF(INDEX(振り分け!$L$7:$L$456,I281)="","未決定",INDEX(振り分け!$L$7:$L$456,I281)))))</f>
        <v/>
      </c>
      <c r="H281" s="8">
        <f>IF(D281="","",A281&amp;"|"&amp;SUBSTITUTE(SUBSTITUTE(D281," ",""),"　",""))</f>
        <v/>
      </c>
      <c r="I281" s="8">
        <f>IF(H281="","",IFERROR(MATCH(H281,振り分け!$S$7:$S$456,0),""))</f>
        <v/>
      </c>
      <c r="J281" s="8">
        <f>IF(D281="","",IFERROR(MATCH(A281&amp;"-"&amp;B281,設定!$Z$8:$Z$31,0),99)*1000+C281+ROW()/1000000)</f>
        <v/>
      </c>
      <c r="K281" s="8">
        <f>IF(D281="","",IFERROR(INDEX(設定!$L$8:$L$31,MATCH(A281&amp;"-"&amp;B281,設定!$Z$8:$Z$31,0)),A281&amp;B281))</f>
        <v/>
      </c>
    </row>
    <row r="282">
      <c r="A282" s="40" t="n">
        <v>4</v>
      </c>
      <c r="B282" s="40" t="inlineStr">
        <is>
          <t>竹</t>
        </is>
      </c>
      <c r="C282" s="40" t="n">
        <v>11</v>
      </c>
      <c r="D282" s="41" t="inlineStr">
        <is>
          <t>加藤　新</t>
        </is>
      </c>
      <c r="E282" s="40" t="n"/>
      <c r="F282" s="45">
        <f>IF(D282="","",IF(E282&lt;&gt;"","手入力",IF(I282="","前年度名簿にいない",IF(OR(COUNTIF($H$2:$H$451,H282)&gt;1,COUNTIF(振り分け!$S$7:$S$456,H282)&gt;1),"同姓同名あり（手入力してください）","OK"))))</f>
        <v/>
      </c>
      <c r="G282" s="44">
        <f>IF(D282="","",IF(E282&lt;&gt;"",E282,IF(F282&lt;&gt;"OK","",IF(INDEX(振り分け!$L$7:$L$456,I282)="","未決定",INDEX(振り分け!$L$7:$L$456,I282)))))</f>
        <v/>
      </c>
      <c r="H282" s="8">
        <f>IF(D282="","",A282&amp;"|"&amp;SUBSTITUTE(SUBSTITUTE(D282," ",""),"　",""))</f>
        <v/>
      </c>
      <c r="I282" s="8">
        <f>IF(H282="","",IFERROR(MATCH(H282,振り分け!$S$7:$S$456,0),""))</f>
        <v/>
      </c>
      <c r="J282" s="8">
        <f>IF(D282="","",IFERROR(MATCH(A282&amp;"-"&amp;B282,設定!$Z$8:$Z$31,0),99)*1000+C282+ROW()/1000000)</f>
        <v/>
      </c>
      <c r="K282" s="8">
        <f>IF(D282="","",IFERROR(INDEX(設定!$L$8:$L$31,MATCH(A282&amp;"-"&amp;B282,設定!$Z$8:$Z$31,0)),A282&amp;B282))</f>
        <v/>
      </c>
    </row>
    <row r="283">
      <c r="A283" s="40" t="n">
        <v>4</v>
      </c>
      <c r="B283" s="40" t="inlineStr">
        <is>
          <t>竹</t>
        </is>
      </c>
      <c r="C283" s="40" t="n">
        <v>12</v>
      </c>
      <c r="D283" s="41" t="inlineStr">
        <is>
          <t>森　結衣</t>
        </is>
      </c>
      <c r="E283" s="40" t="n"/>
      <c r="F283" s="45">
        <f>IF(D283="","",IF(E283&lt;&gt;"","手入力",IF(I283="","前年度名簿にいない",IF(OR(COUNTIF($H$2:$H$451,H283)&gt;1,COUNTIF(振り分け!$S$7:$S$456,H283)&gt;1),"同姓同名あり（手入力してください）","OK"))))</f>
        <v/>
      </c>
      <c r="G283" s="44">
        <f>IF(D283="","",IF(E283&lt;&gt;"",E283,IF(F283&lt;&gt;"OK","",IF(INDEX(振り分け!$L$7:$L$456,I283)="","未決定",INDEX(振り分け!$L$7:$L$456,I283)))))</f>
        <v/>
      </c>
      <c r="H283" s="8">
        <f>IF(D283="","",A283&amp;"|"&amp;SUBSTITUTE(SUBSTITUTE(D283," ",""),"　",""))</f>
        <v/>
      </c>
      <c r="I283" s="8">
        <f>IF(H283="","",IFERROR(MATCH(H283,振り分け!$S$7:$S$456,0),""))</f>
        <v/>
      </c>
      <c r="J283" s="8">
        <f>IF(D283="","",IFERROR(MATCH(A283&amp;"-"&amp;B283,設定!$Z$8:$Z$31,0),99)*1000+C283+ROW()/1000000)</f>
        <v/>
      </c>
      <c r="K283" s="8">
        <f>IF(D283="","",IFERROR(INDEX(設定!$L$8:$L$31,MATCH(A283&amp;"-"&amp;B283,設定!$Z$8:$Z$31,0)),A283&amp;B283))</f>
        <v/>
      </c>
    </row>
    <row r="284">
      <c r="A284" s="40" t="n">
        <v>4</v>
      </c>
      <c r="B284" s="40" t="inlineStr">
        <is>
          <t>竹</t>
        </is>
      </c>
      <c r="C284" s="40" t="n">
        <v>13</v>
      </c>
      <c r="D284" s="41" t="inlineStr">
        <is>
          <t>加藤　花音</t>
        </is>
      </c>
      <c r="E284" s="40" t="n"/>
      <c r="F284" s="45">
        <f>IF(D284="","",IF(E284&lt;&gt;"","手入力",IF(I284="","前年度名簿にいない",IF(OR(COUNTIF($H$2:$H$451,H284)&gt;1,COUNTIF(振り分け!$S$7:$S$456,H284)&gt;1),"同姓同名あり（手入力してください）","OK"))))</f>
        <v/>
      </c>
      <c r="G284" s="44">
        <f>IF(D284="","",IF(E284&lt;&gt;"",E284,IF(F284&lt;&gt;"OK","",IF(INDEX(振り分け!$L$7:$L$456,I284)="","未決定",INDEX(振り分け!$L$7:$L$456,I284)))))</f>
        <v/>
      </c>
      <c r="H284" s="8">
        <f>IF(D284="","",A284&amp;"|"&amp;SUBSTITUTE(SUBSTITUTE(D284," ",""),"　",""))</f>
        <v/>
      </c>
      <c r="I284" s="8">
        <f>IF(H284="","",IFERROR(MATCH(H284,振り分け!$S$7:$S$456,0),""))</f>
        <v/>
      </c>
      <c r="J284" s="8">
        <f>IF(D284="","",IFERROR(MATCH(A284&amp;"-"&amp;B284,設定!$Z$8:$Z$31,0),99)*1000+C284+ROW()/1000000)</f>
        <v/>
      </c>
      <c r="K284" s="8">
        <f>IF(D284="","",IFERROR(INDEX(設定!$L$8:$L$31,MATCH(A284&amp;"-"&amp;B284,設定!$Z$8:$Z$31,0)),A284&amp;B284))</f>
        <v/>
      </c>
    </row>
    <row r="285">
      <c r="A285" s="40" t="n">
        <v>4</v>
      </c>
      <c r="B285" s="40" t="inlineStr">
        <is>
          <t>竹</t>
        </is>
      </c>
      <c r="C285" s="40" t="n">
        <v>14</v>
      </c>
      <c r="D285" s="41" t="inlineStr">
        <is>
          <t>村上　心春</t>
        </is>
      </c>
      <c r="E285" s="40" t="n"/>
      <c r="F285" s="45">
        <f>IF(D285="","",IF(E285&lt;&gt;"","手入力",IF(I285="","前年度名簿にいない",IF(OR(COUNTIF($H$2:$H$451,H285)&gt;1,COUNTIF(振り分け!$S$7:$S$456,H285)&gt;1),"同姓同名あり（手入力してください）","OK"))))</f>
        <v/>
      </c>
      <c r="G285" s="44">
        <f>IF(D285="","",IF(E285&lt;&gt;"",E285,IF(F285&lt;&gt;"OK","",IF(INDEX(振り分け!$L$7:$L$456,I285)="","未決定",INDEX(振り分け!$L$7:$L$456,I285)))))</f>
        <v/>
      </c>
      <c r="H285" s="8">
        <f>IF(D285="","",A285&amp;"|"&amp;SUBSTITUTE(SUBSTITUTE(D285," ",""),"　",""))</f>
        <v/>
      </c>
      <c r="I285" s="8">
        <f>IF(H285="","",IFERROR(MATCH(H285,振り分け!$S$7:$S$456,0),""))</f>
        <v/>
      </c>
      <c r="J285" s="8">
        <f>IF(D285="","",IFERROR(MATCH(A285&amp;"-"&amp;B285,設定!$Z$8:$Z$31,0),99)*1000+C285+ROW()/1000000)</f>
        <v/>
      </c>
      <c r="K285" s="8">
        <f>IF(D285="","",IFERROR(INDEX(設定!$L$8:$L$31,MATCH(A285&amp;"-"&amp;B285,設定!$Z$8:$Z$31,0)),A285&amp;B285))</f>
        <v/>
      </c>
    </row>
    <row r="286">
      <c r="A286" s="40" t="n">
        <v>4</v>
      </c>
      <c r="B286" s="40" t="inlineStr">
        <is>
          <t>竹</t>
        </is>
      </c>
      <c r="C286" s="40" t="n">
        <v>15</v>
      </c>
      <c r="D286" s="41" t="inlineStr">
        <is>
          <t>高橋　彩花</t>
        </is>
      </c>
      <c r="E286" s="40" t="n"/>
      <c r="F286" s="45">
        <f>IF(D286="","",IF(E286&lt;&gt;"","手入力",IF(I286="","前年度名簿にいない",IF(OR(COUNTIF($H$2:$H$451,H286)&gt;1,COUNTIF(振り分け!$S$7:$S$456,H286)&gt;1),"同姓同名あり（手入力してください）","OK"))))</f>
        <v/>
      </c>
      <c r="G286" s="44">
        <f>IF(D286="","",IF(E286&lt;&gt;"",E286,IF(F286&lt;&gt;"OK","",IF(INDEX(振り分け!$L$7:$L$456,I286)="","未決定",INDEX(振り分け!$L$7:$L$456,I286)))))</f>
        <v/>
      </c>
      <c r="H286" s="8">
        <f>IF(D286="","",A286&amp;"|"&amp;SUBSTITUTE(SUBSTITUTE(D286," ",""),"　",""))</f>
        <v/>
      </c>
      <c r="I286" s="8">
        <f>IF(H286="","",IFERROR(MATCH(H286,振り分け!$S$7:$S$456,0),""))</f>
        <v/>
      </c>
      <c r="J286" s="8">
        <f>IF(D286="","",IFERROR(MATCH(A286&amp;"-"&amp;B286,設定!$Z$8:$Z$31,0),99)*1000+C286+ROW()/1000000)</f>
        <v/>
      </c>
      <c r="K286" s="8">
        <f>IF(D286="","",IFERROR(INDEX(設定!$L$8:$L$31,MATCH(A286&amp;"-"&amp;B286,設定!$Z$8:$Z$31,0)),A286&amp;B286))</f>
        <v/>
      </c>
    </row>
    <row r="287">
      <c r="A287" s="40" t="n">
        <v>4</v>
      </c>
      <c r="B287" s="40" t="inlineStr">
        <is>
          <t>竹</t>
        </is>
      </c>
      <c r="C287" s="40" t="n">
        <v>16</v>
      </c>
      <c r="D287" s="41" t="inlineStr">
        <is>
          <t>佐藤　一花</t>
        </is>
      </c>
      <c r="E287" s="40" t="n"/>
      <c r="F287" s="45">
        <f>IF(D287="","",IF(E287&lt;&gt;"","手入力",IF(I287="","前年度名簿にいない",IF(OR(COUNTIF($H$2:$H$451,H287)&gt;1,COUNTIF(振り分け!$S$7:$S$456,H287)&gt;1),"同姓同名あり（手入力してください）","OK"))))</f>
        <v/>
      </c>
      <c r="G287" s="44">
        <f>IF(D287="","",IF(E287&lt;&gt;"",E287,IF(F287&lt;&gt;"OK","",IF(INDEX(振り分け!$L$7:$L$456,I287)="","未決定",INDEX(振り分け!$L$7:$L$456,I287)))))</f>
        <v/>
      </c>
      <c r="H287" s="8">
        <f>IF(D287="","",A287&amp;"|"&amp;SUBSTITUTE(SUBSTITUTE(D287," ",""),"　",""))</f>
        <v/>
      </c>
      <c r="I287" s="8">
        <f>IF(H287="","",IFERROR(MATCH(H287,振り分け!$S$7:$S$456,0),""))</f>
        <v/>
      </c>
      <c r="J287" s="8">
        <f>IF(D287="","",IFERROR(MATCH(A287&amp;"-"&amp;B287,設定!$Z$8:$Z$31,0),99)*1000+C287+ROW()/1000000)</f>
        <v/>
      </c>
      <c r="K287" s="8">
        <f>IF(D287="","",IFERROR(INDEX(設定!$L$8:$L$31,MATCH(A287&amp;"-"&amp;B287,設定!$Z$8:$Z$31,0)),A287&amp;B287))</f>
        <v/>
      </c>
    </row>
    <row r="288">
      <c r="A288" s="40" t="n">
        <v>4</v>
      </c>
      <c r="B288" s="40" t="inlineStr">
        <is>
          <t>竹</t>
        </is>
      </c>
      <c r="C288" s="40" t="n">
        <v>17</v>
      </c>
      <c r="D288" s="41" t="inlineStr">
        <is>
          <t>小林　新</t>
        </is>
      </c>
      <c r="E288" s="40" t="n"/>
      <c r="F288" s="45">
        <f>IF(D288="","",IF(E288&lt;&gt;"","手入力",IF(I288="","前年度名簿にいない",IF(OR(COUNTIF($H$2:$H$451,H288)&gt;1,COUNTIF(振り分け!$S$7:$S$456,H288)&gt;1),"同姓同名あり（手入力してください）","OK"))))</f>
        <v/>
      </c>
      <c r="G288" s="44">
        <f>IF(D288="","",IF(E288&lt;&gt;"",E288,IF(F288&lt;&gt;"OK","",IF(INDEX(振り分け!$L$7:$L$456,I288)="","未決定",INDEX(振り分け!$L$7:$L$456,I288)))))</f>
        <v/>
      </c>
      <c r="H288" s="8">
        <f>IF(D288="","",A288&amp;"|"&amp;SUBSTITUTE(SUBSTITUTE(D288," ",""),"　",""))</f>
        <v/>
      </c>
      <c r="I288" s="8">
        <f>IF(H288="","",IFERROR(MATCH(H288,振り分け!$S$7:$S$456,0),""))</f>
        <v/>
      </c>
      <c r="J288" s="8">
        <f>IF(D288="","",IFERROR(MATCH(A288&amp;"-"&amp;B288,設定!$Z$8:$Z$31,0),99)*1000+C288+ROW()/1000000)</f>
        <v/>
      </c>
      <c r="K288" s="8">
        <f>IF(D288="","",IFERROR(INDEX(設定!$L$8:$L$31,MATCH(A288&amp;"-"&amp;B288,設定!$Z$8:$Z$31,0)),A288&amp;B288))</f>
        <v/>
      </c>
    </row>
    <row r="289">
      <c r="A289" s="40" t="n">
        <v>4</v>
      </c>
      <c r="B289" s="40" t="inlineStr">
        <is>
          <t>竹</t>
        </is>
      </c>
      <c r="C289" s="40" t="n">
        <v>18</v>
      </c>
      <c r="D289" s="41" t="inlineStr">
        <is>
          <t>山田　陽太</t>
        </is>
      </c>
      <c r="E289" s="40" t="n"/>
      <c r="F289" s="45">
        <f>IF(D289="","",IF(E289&lt;&gt;"","手入力",IF(I289="","前年度名簿にいない",IF(OR(COUNTIF($H$2:$H$451,H289)&gt;1,COUNTIF(振り分け!$S$7:$S$456,H289)&gt;1),"同姓同名あり（手入力してください）","OK"))))</f>
        <v/>
      </c>
      <c r="G289" s="44">
        <f>IF(D289="","",IF(E289&lt;&gt;"",E289,IF(F289&lt;&gt;"OK","",IF(INDEX(振り分け!$L$7:$L$456,I289)="","未決定",INDEX(振り分け!$L$7:$L$456,I289)))))</f>
        <v/>
      </c>
      <c r="H289" s="8">
        <f>IF(D289="","",A289&amp;"|"&amp;SUBSTITUTE(SUBSTITUTE(D289," ",""),"　",""))</f>
        <v/>
      </c>
      <c r="I289" s="8">
        <f>IF(H289="","",IFERROR(MATCH(H289,振り分け!$S$7:$S$456,0),""))</f>
        <v/>
      </c>
      <c r="J289" s="8">
        <f>IF(D289="","",IFERROR(MATCH(A289&amp;"-"&amp;B289,設定!$Z$8:$Z$31,0),99)*1000+C289+ROW()/1000000)</f>
        <v/>
      </c>
      <c r="K289" s="8">
        <f>IF(D289="","",IFERROR(INDEX(設定!$L$8:$L$31,MATCH(A289&amp;"-"&amp;B289,設定!$Z$8:$Z$31,0)),A289&amp;B289))</f>
        <v/>
      </c>
    </row>
    <row r="290">
      <c r="A290" s="40" t="n">
        <v>4</v>
      </c>
      <c r="B290" s="40" t="inlineStr">
        <is>
          <t>竹</t>
        </is>
      </c>
      <c r="C290" s="40" t="n">
        <v>19</v>
      </c>
      <c r="D290" s="41" t="inlineStr">
        <is>
          <t>近藤　拓海</t>
        </is>
      </c>
      <c r="E290" s="40" t="n"/>
      <c r="F290" s="45">
        <f>IF(D290="","",IF(E290&lt;&gt;"","手入力",IF(I290="","前年度名簿にいない",IF(OR(COUNTIF($H$2:$H$451,H290)&gt;1,COUNTIF(振り分け!$S$7:$S$456,H290)&gt;1),"同姓同名あり（手入力してください）","OK"))))</f>
        <v/>
      </c>
      <c r="G290" s="44">
        <f>IF(D290="","",IF(E290&lt;&gt;"",E290,IF(F290&lt;&gt;"OK","",IF(INDEX(振り分け!$L$7:$L$456,I290)="","未決定",INDEX(振り分け!$L$7:$L$456,I290)))))</f>
        <v/>
      </c>
      <c r="H290" s="8">
        <f>IF(D290="","",A290&amp;"|"&amp;SUBSTITUTE(SUBSTITUTE(D290," ",""),"　",""))</f>
        <v/>
      </c>
      <c r="I290" s="8">
        <f>IF(H290="","",IFERROR(MATCH(H290,振り分け!$S$7:$S$456,0),""))</f>
        <v/>
      </c>
      <c r="J290" s="8">
        <f>IF(D290="","",IFERROR(MATCH(A290&amp;"-"&amp;B290,設定!$Z$8:$Z$31,0),99)*1000+C290+ROW()/1000000)</f>
        <v/>
      </c>
      <c r="K290" s="8">
        <f>IF(D290="","",IFERROR(INDEX(設定!$L$8:$L$31,MATCH(A290&amp;"-"&amp;B290,設定!$Z$8:$Z$31,0)),A290&amp;B290))</f>
        <v/>
      </c>
    </row>
    <row r="291">
      <c r="A291" s="40" t="n">
        <v>4</v>
      </c>
      <c r="B291" s="40" t="inlineStr">
        <is>
          <t>竹</t>
        </is>
      </c>
      <c r="C291" s="40" t="n">
        <v>20</v>
      </c>
      <c r="D291" s="41" t="inlineStr">
        <is>
          <t>竹内　柚葉</t>
        </is>
      </c>
      <c r="E291" s="40" t="n"/>
      <c r="F291" s="45">
        <f>IF(D291="","",IF(E291&lt;&gt;"","手入力",IF(I291="","前年度名簿にいない",IF(OR(COUNTIF($H$2:$H$451,H291)&gt;1,COUNTIF(振り分け!$S$7:$S$456,H291)&gt;1),"同姓同名あり（手入力してください）","OK"))))</f>
        <v/>
      </c>
      <c r="G291" s="44">
        <f>IF(D291="","",IF(E291&lt;&gt;"",E291,IF(F291&lt;&gt;"OK","",IF(INDEX(振り分け!$L$7:$L$456,I291)="","未決定",INDEX(振り分け!$L$7:$L$456,I291)))))</f>
        <v/>
      </c>
      <c r="H291" s="8">
        <f>IF(D291="","",A291&amp;"|"&amp;SUBSTITUTE(SUBSTITUTE(D291," ",""),"　",""))</f>
        <v/>
      </c>
      <c r="I291" s="8">
        <f>IF(H291="","",IFERROR(MATCH(H291,振り分け!$S$7:$S$456,0),""))</f>
        <v/>
      </c>
      <c r="J291" s="8">
        <f>IF(D291="","",IFERROR(MATCH(A291&amp;"-"&amp;B291,設定!$Z$8:$Z$31,0),99)*1000+C291+ROW()/1000000)</f>
        <v/>
      </c>
      <c r="K291" s="8">
        <f>IF(D291="","",IFERROR(INDEX(設定!$L$8:$L$31,MATCH(A291&amp;"-"&amp;B291,設定!$Z$8:$Z$31,0)),A291&amp;B291))</f>
        <v/>
      </c>
    </row>
    <row r="292">
      <c r="A292" s="40" t="n">
        <v>4</v>
      </c>
      <c r="B292" s="40" t="inlineStr">
        <is>
          <t>竹</t>
        </is>
      </c>
      <c r="C292" s="40" t="n">
        <v>21</v>
      </c>
      <c r="D292" s="41" t="inlineStr">
        <is>
          <t>村上　陽太</t>
        </is>
      </c>
      <c r="E292" s="40" t="n"/>
      <c r="F292" s="45">
        <f>IF(D292="","",IF(E292&lt;&gt;"","手入力",IF(I292="","前年度名簿にいない",IF(OR(COUNTIF($H$2:$H$451,H292)&gt;1,COUNTIF(振り分け!$S$7:$S$456,H292)&gt;1),"同姓同名あり（手入力してください）","OK"))))</f>
        <v/>
      </c>
      <c r="G292" s="44">
        <f>IF(D292="","",IF(E292&lt;&gt;"",E292,IF(F292&lt;&gt;"OK","",IF(INDEX(振り分け!$L$7:$L$456,I292)="","未決定",INDEX(振り分け!$L$7:$L$456,I292)))))</f>
        <v/>
      </c>
      <c r="H292" s="8">
        <f>IF(D292="","",A292&amp;"|"&amp;SUBSTITUTE(SUBSTITUTE(D292," ",""),"　",""))</f>
        <v/>
      </c>
      <c r="I292" s="8">
        <f>IF(H292="","",IFERROR(MATCH(H292,振り分け!$S$7:$S$456,0),""))</f>
        <v/>
      </c>
      <c r="J292" s="8">
        <f>IF(D292="","",IFERROR(MATCH(A292&amp;"-"&amp;B292,設定!$Z$8:$Z$31,0),99)*1000+C292+ROW()/1000000)</f>
        <v/>
      </c>
      <c r="K292" s="8">
        <f>IF(D292="","",IFERROR(INDEX(設定!$L$8:$L$31,MATCH(A292&amp;"-"&amp;B292,設定!$Z$8:$Z$31,0)),A292&amp;B292))</f>
        <v/>
      </c>
    </row>
    <row r="293">
      <c r="A293" s="40" t="n">
        <v>4</v>
      </c>
      <c r="B293" s="40" t="inlineStr">
        <is>
          <t>竹</t>
        </is>
      </c>
      <c r="C293" s="40" t="n">
        <v>22</v>
      </c>
      <c r="D293" s="41" t="inlineStr">
        <is>
          <t>森　花音</t>
        </is>
      </c>
      <c r="E293" s="40" t="n"/>
      <c r="F293" s="45">
        <f>IF(D293="","",IF(E293&lt;&gt;"","手入力",IF(I293="","前年度名簿にいない",IF(OR(COUNTIF($H$2:$H$451,H293)&gt;1,COUNTIF(振り分け!$S$7:$S$456,H293)&gt;1),"同姓同名あり（手入力してください）","OK"))))</f>
        <v/>
      </c>
      <c r="G293" s="44">
        <f>IF(D293="","",IF(E293&lt;&gt;"",E293,IF(F293&lt;&gt;"OK","",IF(INDEX(振り分け!$L$7:$L$456,I293)="","未決定",INDEX(振り分け!$L$7:$L$456,I293)))))</f>
        <v/>
      </c>
      <c r="H293" s="8">
        <f>IF(D293="","",A293&amp;"|"&amp;SUBSTITUTE(SUBSTITUTE(D293," ",""),"　",""))</f>
        <v/>
      </c>
      <c r="I293" s="8">
        <f>IF(H293="","",IFERROR(MATCH(H293,振り分け!$S$7:$S$456,0),""))</f>
        <v/>
      </c>
      <c r="J293" s="8">
        <f>IF(D293="","",IFERROR(MATCH(A293&amp;"-"&amp;B293,設定!$Z$8:$Z$31,0),99)*1000+C293+ROW()/1000000)</f>
        <v/>
      </c>
      <c r="K293" s="8">
        <f>IF(D293="","",IFERROR(INDEX(設定!$L$8:$L$31,MATCH(A293&amp;"-"&amp;B293,設定!$Z$8:$Z$31,0)),A293&amp;B293))</f>
        <v/>
      </c>
    </row>
    <row r="294">
      <c r="A294" s="40" t="n">
        <v>4</v>
      </c>
      <c r="B294" s="40" t="inlineStr">
        <is>
          <t>竹</t>
        </is>
      </c>
      <c r="C294" s="40" t="n">
        <v>23</v>
      </c>
      <c r="D294" s="41" t="inlineStr">
        <is>
          <t>後藤　大翔</t>
        </is>
      </c>
      <c r="E294" s="40" t="n"/>
      <c r="F294" s="45">
        <f>IF(D294="","",IF(E294&lt;&gt;"","手入力",IF(I294="","前年度名簿にいない",IF(OR(COUNTIF($H$2:$H$451,H294)&gt;1,COUNTIF(振り分け!$S$7:$S$456,H294)&gt;1),"同姓同名あり（手入力してください）","OK"))))</f>
        <v/>
      </c>
      <c r="G294" s="44">
        <f>IF(D294="","",IF(E294&lt;&gt;"",E294,IF(F294&lt;&gt;"OK","",IF(INDEX(振り分け!$L$7:$L$456,I294)="","未決定",INDEX(振り分け!$L$7:$L$456,I294)))))</f>
        <v/>
      </c>
      <c r="H294" s="8">
        <f>IF(D294="","",A294&amp;"|"&amp;SUBSTITUTE(SUBSTITUTE(D294," ",""),"　",""))</f>
        <v/>
      </c>
      <c r="I294" s="8">
        <f>IF(H294="","",IFERROR(MATCH(H294,振り分け!$S$7:$S$456,0),""))</f>
        <v/>
      </c>
      <c r="J294" s="8">
        <f>IF(D294="","",IFERROR(MATCH(A294&amp;"-"&amp;B294,設定!$Z$8:$Z$31,0),99)*1000+C294+ROW()/1000000)</f>
        <v/>
      </c>
      <c r="K294" s="8">
        <f>IF(D294="","",IFERROR(INDEX(設定!$L$8:$L$31,MATCH(A294&amp;"-"&amp;B294,設定!$Z$8:$Z$31,0)),A294&amp;B294))</f>
        <v/>
      </c>
    </row>
    <row r="295">
      <c r="A295" s="40" t="n">
        <v>4</v>
      </c>
      <c r="B295" s="40" t="inlineStr">
        <is>
          <t>竹</t>
        </is>
      </c>
      <c r="C295" s="40" t="n">
        <v>24</v>
      </c>
      <c r="D295" s="41" t="inlineStr">
        <is>
          <t>岡本　湊</t>
        </is>
      </c>
      <c r="E295" s="40" t="n"/>
      <c r="F295" s="45">
        <f>IF(D295="","",IF(E295&lt;&gt;"","手入力",IF(I295="","前年度名簿にいない",IF(OR(COUNTIF($H$2:$H$451,H295)&gt;1,COUNTIF(振り分け!$S$7:$S$456,H295)&gt;1),"同姓同名あり（手入力してください）","OK"))))</f>
        <v/>
      </c>
      <c r="G295" s="44">
        <f>IF(D295="","",IF(E295&lt;&gt;"",E295,IF(F295&lt;&gt;"OK","",IF(INDEX(振り分け!$L$7:$L$456,I295)="","未決定",INDEX(振り分け!$L$7:$L$456,I295)))))</f>
        <v/>
      </c>
      <c r="H295" s="8">
        <f>IF(D295="","",A295&amp;"|"&amp;SUBSTITUTE(SUBSTITUTE(D295," ",""),"　",""))</f>
        <v/>
      </c>
      <c r="I295" s="8">
        <f>IF(H295="","",IFERROR(MATCH(H295,振り分け!$S$7:$S$456,0),""))</f>
        <v/>
      </c>
      <c r="J295" s="8">
        <f>IF(D295="","",IFERROR(MATCH(A295&amp;"-"&amp;B295,設定!$Z$8:$Z$31,0),99)*1000+C295+ROW()/1000000)</f>
        <v/>
      </c>
      <c r="K295" s="8">
        <f>IF(D295="","",IFERROR(INDEX(設定!$L$8:$L$31,MATCH(A295&amp;"-"&amp;B295,設定!$Z$8:$Z$31,0)),A295&amp;B295))</f>
        <v/>
      </c>
    </row>
    <row r="296">
      <c r="A296" s="40" t="n">
        <v>4</v>
      </c>
      <c r="B296" s="40" t="inlineStr">
        <is>
          <t>竹</t>
        </is>
      </c>
      <c r="C296" s="40" t="n">
        <v>25</v>
      </c>
      <c r="D296" s="41" t="inlineStr">
        <is>
          <t>佐々木　紬</t>
        </is>
      </c>
      <c r="E296" s="40" t="n"/>
      <c r="F296" s="45">
        <f>IF(D296="","",IF(E296&lt;&gt;"","手入力",IF(I296="","前年度名簿にいない",IF(OR(COUNTIF($H$2:$H$451,H296)&gt;1,COUNTIF(振り分け!$S$7:$S$456,H296)&gt;1),"同姓同名あり（手入力してください）","OK"))))</f>
        <v/>
      </c>
      <c r="G296" s="44">
        <f>IF(D296="","",IF(E296&lt;&gt;"",E296,IF(F296&lt;&gt;"OK","",IF(INDEX(振り分け!$L$7:$L$456,I296)="","未決定",INDEX(振り分け!$L$7:$L$456,I296)))))</f>
        <v/>
      </c>
      <c r="H296" s="8">
        <f>IF(D296="","",A296&amp;"|"&amp;SUBSTITUTE(SUBSTITUTE(D296," ",""),"　",""))</f>
        <v/>
      </c>
      <c r="I296" s="8">
        <f>IF(H296="","",IFERROR(MATCH(H296,振り分け!$S$7:$S$456,0),""))</f>
        <v/>
      </c>
      <c r="J296" s="8">
        <f>IF(D296="","",IFERROR(MATCH(A296&amp;"-"&amp;B296,設定!$Z$8:$Z$31,0),99)*1000+C296+ROW()/1000000)</f>
        <v/>
      </c>
      <c r="K296" s="8">
        <f>IF(D296="","",IFERROR(INDEX(設定!$L$8:$L$31,MATCH(A296&amp;"-"&amp;B296,設定!$Z$8:$Z$31,0)),A296&amp;B296))</f>
        <v/>
      </c>
    </row>
    <row r="297">
      <c r="A297" s="40" t="n">
        <v>4</v>
      </c>
      <c r="B297" s="40" t="inlineStr">
        <is>
          <t>竹</t>
        </is>
      </c>
      <c r="C297" s="40" t="n">
        <v>26</v>
      </c>
      <c r="D297" s="41" t="inlineStr">
        <is>
          <t>遠藤　陽太</t>
        </is>
      </c>
      <c r="E297" s="40" t="n"/>
      <c r="F297" s="45">
        <f>IF(D297="","",IF(E297&lt;&gt;"","手入力",IF(I297="","前年度名簿にいない",IF(OR(COUNTIF($H$2:$H$451,H297)&gt;1,COUNTIF(振り分け!$S$7:$S$456,H297)&gt;1),"同姓同名あり（手入力してください）","OK"))))</f>
        <v/>
      </c>
      <c r="G297" s="44">
        <f>IF(D297="","",IF(E297&lt;&gt;"",E297,IF(F297&lt;&gt;"OK","",IF(INDEX(振り分け!$L$7:$L$456,I297)="","未決定",INDEX(振り分け!$L$7:$L$456,I297)))))</f>
        <v/>
      </c>
      <c r="H297" s="8">
        <f>IF(D297="","",A297&amp;"|"&amp;SUBSTITUTE(SUBSTITUTE(D297," ",""),"　",""))</f>
        <v/>
      </c>
      <c r="I297" s="8">
        <f>IF(H297="","",IFERROR(MATCH(H297,振り分け!$S$7:$S$456,0),""))</f>
        <v/>
      </c>
      <c r="J297" s="8">
        <f>IF(D297="","",IFERROR(MATCH(A297&amp;"-"&amp;B297,設定!$Z$8:$Z$31,0),99)*1000+C297+ROW()/1000000)</f>
        <v/>
      </c>
      <c r="K297" s="8">
        <f>IF(D297="","",IFERROR(INDEX(設定!$L$8:$L$31,MATCH(A297&amp;"-"&amp;B297,設定!$Z$8:$Z$31,0)),A297&amp;B297))</f>
        <v/>
      </c>
    </row>
    <row r="298">
      <c r="A298" s="40" t="n">
        <v>4</v>
      </c>
      <c r="B298" s="40" t="inlineStr">
        <is>
          <t>竹</t>
        </is>
      </c>
      <c r="C298" s="40" t="n">
        <v>27</v>
      </c>
      <c r="D298" s="41" t="inlineStr">
        <is>
          <t>福田　一花</t>
        </is>
      </c>
      <c r="E298" s="40" t="n"/>
      <c r="F298" s="45">
        <f>IF(D298="","",IF(E298&lt;&gt;"","手入力",IF(I298="","前年度名簿にいない",IF(OR(COUNTIF($H$2:$H$451,H298)&gt;1,COUNTIF(振り分け!$S$7:$S$456,H298)&gt;1),"同姓同名あり（手入力してください）","OK"))))</f>
        <v/>
      </c>
      <c r="G298" s="44">
        <f>IF(D298="","",IF(E298&lt;&gt;"",E298,IF(F298&lt;&gt;"OK","",IF(INDEX(振り分け!$L$7:$L$456,I298)="","未決定",INDEX(振り分け!$L$7:$L$456,I298)))))</f>
        <v/>
      </c>
      <c r="H298" s="8">
        <f>IF(D298="","",A298&amp;"|"&amp;SUBSTITUTE(SUBSTITUTE(D298," ",""),"　",""))</f>
        <v/>
      </c>
      <c r="I298" s="8">
        <f>IF(H298="","",IFERROR(MATCH(H298,振り分け!$S$7:$S$456,0),""))</f>
        <v/>
      </c>
      <c r="J298" s="8">
        <f>IF(D298="","",IFERROR(MATCH(A298&amp;"-"&amp;B298,設定!$Z$8:$Z$31,0),99)*1000+C298+ROW()/1000000)</f>
        <v/>
      </c>
      <c r="K298" s="8">
        <f>IF(D298="","",IFERROR(INDEX(設定!$L$8:$L$31,MATCH(A298&amp;"-"&amp;B298,設定!$Z$8:$Z$31,0)),A298&amp;B298))</f>
        <v/>
      </c>
    </row>
    <row r="299">
      <c r="A299" s="40" t="n">
        <v>4</v>
      </c>
      <c r="B299" s="40" t="inlineStr">
        <is>
          <t>竹</t>
        </is>
      </c>
      <c r="C299" s="40" t="n">
        <v>28</v>
      </c>
      <c r="D299" s="41" t="inlineStr">
        <is>
          <t>前田　悠真</t>
        </is>
      </c>
      <c r="E299" s="40" t="n"/>
      <c r="F299" s="45">
        <f>IF(D299="","",IF(E299&lt;&gt;"","手入力",IF(I299="","前年度名簿にいない",IF(OR(COUNTIF($H$2:$H$451,H299)&gt;1,COUNTIF(振り分け!$S$7:$S$456,H299)&gt;1),"同姓同名あり（手入力してください）","OK"))))</f>
        <v/>
      </c>
      <c r="G299" s="44">
        <f>IF(D299="","",IF(E299&lt;&gt;"",E299,IF(F299&lt;&gt;"OK","",IF(INDEX(振り分け!$L$7:$L$456,I299)="","未決定",INDEX(振り分け!$L$7:$L$456,I299)))))</f>
        <v/>
      </c>
      <c r="H299" s="8">
        <f>IF(D299="","",A299&amp;"|"&amp;SUBSTITUTE(SUBSTITUTE(D299," ",""),"　",""))</f>
        <v/>
      </c>
      <c r="I299" s="8">
        <f>IF(H299="","",IFERROR(MATCH(H299,振り分け!$S$7:$S$456,0),""))</f>
        <v/>
      </c>
      <c r="J299" s="8">
        <f>IF(D299="","",IFERROR(MATCH(A299&amp;"-"&amp;B299,設定!$Z$8:$Z$31,0),99)*1000+C299+ROW()/1000000)</f>
        <v/>
      </c>
      <c r="K299" s="8">
        <f>IF(D299="","",IFERROR(INDEX(設定!$L$8:$L$31,MATCH(A299&amp;"-"&amp;B299,設定!$Z$8:$Z$31,0)),A299&amp;B299))</f>
        <v/>
      </c>
    </row>
    <row r="300">
      <c r="A300" s="40" t="n">
        <v>4</v>
      </c>
      <c r="B300" s="40" t="inlineStr">
        <is>
          <t>竹</t>
        </is>
      </c>
      <c r="C300" s="40" t="n">
        <v>29</v>
      </c>
      <c r="D300" s="41" t="inlineStr">
        <is>
          <t>伊藤　凛</t>
        </is>
      </c>
      <c r="E300" s="40" t="n"/>
      <c r="F300" s="45">
        <f>IF(D300="","",IF(E300&lt;&gt;"","手入力",IF(I300="","前年度名簿にいない",IF(OR(COUNTIF($H$2:$H$451,H300)&gt;1,COUNTIF(振り分け!$S$7:$S$456,H300)&gt;1),"同姓同名あり（手入力してください）","OK"))))</f>
        <v/>
      </c>
      <c r="G300" s="44">
        <f>IF(D300="","",IF(E300&lt;&gt;"",E300,IF(F300&lt;&gt;"OK","",IF(INDEX(振り分け!$L$7:$L$456,I300)="","未決定",INDEX(振り分け!$L$7:$L$456,I300)))))</f>
        <v/>
      </c>
      <c r="H300" s="8">
        <f>IF(D300="","",A300&amp;"|"&amp;SUBSTITUTE(SUBSTITUTE(D300," ",""),"　",""))</f>
        <v/>
      </c>
      <c r="I300" s="8">
        <f>IF(H300="","",IFERROR(MATCH(H300,振り分け!$S$7:$S$456,0),""))</f>
        <v/>
      </c>
      <c r="J300" s="8">
        <f>IF(D300="","",IFERROR(MATCH(A300&amp;"-"&amp;B300,設定!$Z$8:$Z$31,0),99)*1000+C300+ROW()/1000000)</f>
        <v/>
      </c>
      <c r="K300" s="8">
        <f>IF(D300="","",IFERROR(INDEX(設定!$L$8:$L$31,MATCH(A300&amp;"-"&amp;B300,設定!$Z$8:$Z$31,0)),A300&amp;B300))</f>
        <v/>
      </c>
    </row>
    <row r="301">
      <c r="A301" s="40" t="n">
        <v>4</v>
      </c>
      <c r="B301" s="40" t="inlineStr">
        <is>
          <t>竹</t>
        </is>
      </c>
      <c r="C301" s="40" t="n">
        <v>30</v>
      </c>
      <c r="D301" s="41" t="inlineStr">
        <is>
          <t>青木　芽依</t>
        </is>
      </c>
      <c r="E301" s="40" t="n"/>
      <c r="F301" s="45">
        <f>IF(D301="","",IF(E301&lt;&gt;"","手入力",IF(I301="","前年度名簿にいない",IF(OR(COUNTIF($H$2:$H$451,H301)&gt;1,COUNTIF(振り分け!$S$7:$S$456,H301)&gt;1),"同姓同名あり（手入力してください）","OK"))))</f>
        <v/>
      </c>
      <c r="G301" s="44">
        <f>IF(D301="","",IF(E301&lt;&gt;"",E301,IF(F301&lt;&gt;"OK","",IF(INDEX(振り分け!$L$7:$L$456,I301)="","未決定",INDEX(振り分け!$L$7:$L$456,I301)))))</f>
        <v/>
      </c>
      <c r="H301" s="8">
        <f>IF(D301="","",A301&amp;"|"&amp;SUBSTITUTE(SUBSTITUTE(D301," ",""),"　",""))</f>
        <v/>
      </c>
      <c r="I301" s="8">
        <f>IF(H301="","",IFERROR(MATCH(H301,振り分け!$S$7:$S$456,0),""))</f>
        <v/>
      </c>
      <c r="J301" s="8">
        <f>IF(D301="","",IFERROR(MATCH(A301&amp;"-"&amp;B301,設定!$Z$8:$Z$31,0),99)*1000+C301+ROW()/1000000)</f>
        <v/>
      </c>
      <c r="K301" s="8">
        <f>IF(D301="","",IFERROR(INDEX(設定!$L$8:$L$31,MATCH(A301&amp;"-"&amp;B301,設定!$Z$8:$Z$31,0)),A301&amp;B301))</f>
        <v/>
      </c>
    </row>
    <row r="302">
      <c r="A302" s="40" t="n">
        <v>4</v>
      </c>
      <c r="B302" s="40" t="inlineStr">
        <is>
          <t>梅</t>
        </is>
      </c>
      <c r="C302" s="40" t="n">
        <v>1</v>
      </c>
      <c r="D302" s="41" t="inlineStr">
        <is>
          <t>吉田　拓海</t>
        </is>
      </c>
      <c r="E302" s="40" t="n"/>
      <c r="F302" s="45">
        <f>IF(D302="","",IF(E302&lt;&gt;"","手入力",IF(I302="","前年度名簿にいない",IF(OR(COUNTIF($H$2:$H$451,H302)&gt;1,COUNTIF(振り分け!$S$7:$S$456,H302)&gt;1),"同姓同名あり（手入力してください）","OK"))))</f>
        <v/>
      </c>
      <c r="G302" s="44">
        <f>IF(D302="","",IF(E302&lt;&gt;"",E302,IF(F302&lt;&gt;"OK","",IF(INDEX(振り分け!$L$7:$L$456,I302)="","未決定",INDEX(振り分け!$L$7:$L$456,I302)))))</f>
        <v/>
      </c>
      <c r="H302" s="8">
        <f>IF(D302="","",A302&amp;"|"&amp;SUBSTITUTE(SUBSTITUTE(D302," ",""),"　",""))</f>
        <v/>
      </c>
      <c r="I302" s="8">
        <f>IF(H302="","",IFERROR(MATCH(H302,振り分け!$S$7:$S$456,0),""))</f>
        <v/>
      </c>
      <c r="J302" s="8">
        <f>IF(D302="","",IFERROR(MATCH(A302&amp;"-"&amp;B302,設定!$Z$8:$Z$31,0),99)*1000+C302+ROW()/1000000)</f>
        <v/>
      </c>
      <c r="K302" s="8">
        <f>IF(D302="","",IFERROR(INDEX(設定!$L$8:$L$31,MATCH(A302&amp;"-"&amp;B302,設定!$Z$8:$Z$31,0)),A302&amp;B302))</f>
        <v/>
      </c>
    </row>
    <row r="303">
      <c r="A303" s="40" t="n">
        <v>4</v>
      </c>
      <c r="B303" s="40" t="inlineStr">
        <is>
          <t>梅</t>
        </is>
      </c>
      <c r="C303" s="40" t="n">
        <v>2</v>
      </c>
      <c r="D303" s="41" t="inlineStr">
        <is>
          <t>坂本　楓</t>
        </is>
      </c>
      <c r="E303" s="40" t="n"/>
      <c r="F303" s="45">
        <f>IF(D303="","",IF(E303&lt;&gt;"","手入力",IF(I303="","前年度名簿にいない",IF(OR(COUNTIF($H$2:$H$451,H303)&gt;1,COUNTIF(振り分け!$S$7:$S$456,H303)&gt;1),"同姓同名あり（手入力してください）","OK"))))</f>
        <v/>
      </c>
      <c r="G303" s="44">
        <f>IF(D303="","",IF(E303&lt;&gt;"",E303,IF(F303&lt;&gt;"OK","",IF(INDEX(振り分け!$L$7:$L$456,I303)="","未決定",INDEX(振り分け!$L$7:$L$456,I303)))))</f>
        <v/>
      </c>
      <c r="H303" s="8">
        <f>IF(D303="","",A303&amp;"|"&amp;SUBSTITUTE(SUBSTITUTE(D303," ",""),"　",""))</f>
        <v/>
      </c>
      <c r="I303" s="8">
        <f>IF(H303="","",IFERROR(MATCH(H303,振り分け!$S$7:$S$456,0),""))</f>
        <v/>
      </c>
      <c r="J303" s="8">
        <f>IF(D303="","",IFERROR(MATCH(A303&amp;"-"&amp;B303,設定!$Z$8:$Z$31,0),99)*1000+C303+ROW()/1000000)</f>
        <v/>
      </c>
      <c r="K303" s="8">
        <f>IF(D303="","",IFERROR(INDEX(設定!$L$8:$L$31,MATCH(A303&amp;"-"&amp;B303,設定!$Z$8:$Z$31,0)),A303&amp;B303))</f>
        <v/>
      </c>
    </row>
    <row r="304">
      <c r="A304" s="40" t="n">
        <v>4</v>
      </c>
      <c r="B304" s="40" t="inlineStr">
        <is>
          <t>梅</t>
        </is>
      </c>
      <c r="C304" s="40" t="n">
        <v>3</v>
      </c>
      <c r="D304" s="41" t="inlineStr">
        <is>
          <t>岡田　悠真</t>
        </is>
      </c>
      <c r="E304" s="40" t="n"/>
      <c r="F304" s="45">
        <f>IF(D304="","",IF(E304&lt;&gt;"","手入力",IF(I304="","前年度名簿にいない",IF(OR(COUNTIF($H$2:$H$451,H304)&gt;1,COUNTIF(振り分け!$S$7:$S$456,H304)&gt;1),"同姓同名あり（手入力してください）","OK"))))</f>
        <v/>
      </c>
      <c r="G304" s="44">
        <f>IF(D304="","",IF(E304&lt;&gt;"",E304,IF(F304&lt;&gt;"OK","",IF(INDEX(振り分け!$L$7:$L$456,I304)="","未決定",INDEX(振り分け!$L$7:$L$456,I304)))))</f>
        <v/>
      </c>
      <c r="H304" s="8">
        <f>IF(D304="","",A304&amp;"|"&amp;SUBSTITUTE(SUBSTITUTE(D304," ",""),"　",""))</f>
        <v/>
      </c>
      <c r="I304" s="8">
        <f>IF(H304="","",IFERROR(MATCH(H304,振り分け!$S$7:$S$456,0),""))</f>
        <v/>
      </c>
      <c r="J304" s="8">
        <f>IF(D304="","",IFERROR(MATCH(A304&amp;"-"&amp;B304,設定!$Z$8:$Z$31,0),99)*1000+C304+ROW()/1000000)</f>
        <v/>
      </c>
      <c r="K304" s="8">
        <f>IF(D304="","",IFERROR(INDEX(設定!$L$8:$L$31,MATCH(A304&amp;"-"&amp;B304,設定!$Z$8:$Z$31,0)),A304&amp;B304))</f>
        <v/>
      </c>
    </row>
    <row r="305">
      <c r="A305" s="40" t="n">
        <v>4</v>
      </c>
      <c r="B305" s="40" t="inlineStr">
        <is>
          <t>梅</t>
        </is>
      </c>
      <c r="C305" s="40" t="n">
        <v>4</v>
      </c>
      <c r="D305" s="41" t="inlineStr">
        <is>
          <t>坂本　陽翔</t>
        </is>
      </c>
      <c r="E305" s="40" t="n"/>
      <c r="F305" s="45">
        <f>IF(D305="","",IF(E305&lt;&gt;"","手入力",IF(I305="","前年度名簿にいない",IF(OR(COUNTIF($H$2:$H$451,H305)&gt;1,COUNTIF(振り分け!$S$7:$S$456,H305)&gt;1),"同姓同名あり（手入力してください）","OK"))))</f>
        <v/>
      </c>
      <c r="G305" s="44">
        <f>IF(D305="","",IF(E305&lt;&gt;"",E305,IF(F305&lt;&gt;"OK","",IF(INDEX(振り分け!$L$7:$L$456,I305)="","未決定",INDEX(振り分け!$L$7:$L$456,I305)))))</f>
        <v/>
      </c>
      <c r="H305" s="8">
        <f>IF(D305="","",A305&amp;"|"&amp;SUBSTITUTE(SUBSTITUTE(D305," ",""),"　",""))</f>
        <v/>
      </c>
      <c r="I305" s="8">
        <f>IF(H305="","",IFERROR(MATCH(H305,振り分け!$S$7:$S$456,0),""))</f>
        <v/>
      </c>
      <c r="J305" s="8">
        <f>IF(D305="","",IFERROR(MATCH(A305&amp;"-"&amp;B305,設定!$Z$8:$Z$31,0),99)*1000+C305+ROW()/1000000)</f>
        <v/>
      </c>
      <c r="K305" s="8">
        <f>IF(D305="","",IFERROR(INDEX(設定!$L$8:$L$31,MATCH(A305&amp;"-"&amp;B305,設定!$Z$8:$Z$31,0)),A305&amp;B305))</f>
        <v/>
      </c>
    </row>
    <row r="306">
      <c r="A306" s="40" t="n">
        <v>4</v>
      </c>
      <c r="B306" s="40" t="inlineStr">
        <is>
          <t>梅</t>
        </is>
      </c>
      <c r="C306" s="40" t="n">
        <v>5</v>
      </c>
      <c r="D306" s="41" t="inlineStr">
        <is>
          <t>小川　澪</t>
        </is>
      </c>
      <c r="E306" s="40" t="n"/>
      <c r="F306" s="45">
        <f>IF(D306="","",IF(E306&lt;&gt;"","手入力",IF(I306="","前年度名簿にいない",IF(OR(COUNTIF($H$2:$H$451,H306)&gt;1,COUNTIF(振り分け!$S$7:$S$456,H306)&gt;1),"同姓同名あり（手入力してください）","OK"))))</f>
        <v/>
      </c>
      <c r="G306" s="44">
        <f>IF(D306="","",IF(E306&lt;&gt;"",E306,IF(F306&lt;&gt;"OK","",IF(INDEX(振り分け!$L$7:$L$456,I306)="","未決定",INDEX(振り分け!$L$7:$L$456,I306)))))</f>
        <v/>
      </c>
      <c r="H306" s="8">
        <f>IF(D306="","",A306&amp;"|"&amp;SUBSTITUTE(SUBSTITUTE(D306," ",""),"　",""))</f>
        <v/>
      </c>
      <c r="I306" s="8">
        <f>IF(H306="","",IFERROR(MATCH(H306,振り分け!$S$7:$S$456,0),""))</f>
        <v/>
      </c>
      <c r="J306" s="8">
        <f>IF(D306="","",IFERROR(MATCH(A306&amp;"-"&amp;B306,設定!$Z$8:$Z$31,0),99)*1000+C306+ROW()/1000000)</f>
        <v/>
      </c>
      <c r="K306" s="8">
        <f>IF(D306="","",IFERROR(INDEX(設定!$L$8:$L$31,MATCH(A306&amp;"-"&amp;B306,設定!$Z$8:$Z$31,0)),A306&amp;B306))</f>
        <v/>
      </c>
    </row>
    <row r="307">
      <c r="A307" s="40" t="n">
        <v>4</v>
      </c>
      <c r="B307" s="40" t="inlineStr">
        <is>
          <t>梅</t>
        </is>
      </c>
      <c r="C307" s="40" t="n">
        <v>6</v>
      </c>
      <c r="D307" s="41" t="inlineStr">
        <is>
          <t>佐々木　澪</t>
        </is>
      </c>
      <c r="E307" s="40" t="n"/>
      <c r="F307" s="45">
        <f>IF(D307="","",IF(E307&lt;&gt;"","手入力",IF(I307="","前年度名簿にいない",IF(OR(COUNTIF($H$2:$H$451,H307)&gt;1,COUNTIF(振り分け!$S$7:$S$456,H307)&gt;1),"同姓同名あり（手入力してください）","OK"))))</f>
        <v/>
      </c>
      <c r="G307" s="44">
        <f>IF(D307="","",IF(E307&lt;&gt;"",E307,IF(F307&lt;&gt;"OK","",IF(INDEX(振り分け!$L$7:$L$456,I307)="","未決定",INDEX(振り分け!$L$7:$L$456,I307)))))</f>
        <v/>
      </c>
      <c r="H307" s="8">
        <f>IF(D307="","",A307&amp;"|"&amp;SUBSTITUTE(SUBSTITUTE(D307," ",""),"　",""))</f>
        <v/>
      </c>
      <c r="I307" s="8">
        <f>IF(H307="","",IFERROR(MATCH(H307,振り分け!$S$7:$S$456,0),""))</f>
        <v/>
      </c>
      <c r="J307" s="8">
        <f>IF(D307="","",IFERROR(MATCH(A307&amp;"-"&amp;B307,設定!$Z$8:$Z$31,0),99)*1000+C307+ROW()/1000000)</f>
        <v/>
      </c>
      <c r="K307" s="8">
        <f>IF(D307="","",IFERROR(INDEX(設定!$L$8:$L$31,MATCH(A307&amp;"-"&amp;B307,設定!$Z$8:$Z$31,0)),A307&amp;B307))</f>
        <v/>
      </c>
    </row>
    <row r="308">
      <c r="A308" s="40" t="n">
        <v>4</v>
      </c>
      <c r="B308" s="40" t="inlineStr">
        <is>
          <t>梅</t>
        </is>
      </c>
      <c r="C308" s="40" t="n">
        <v>7</v>
      </c>
      <c r="D308" s="41" t="inlineStr">
        <is>
          <t>金子　結衣</t>
        </is>
      </c>
      <c r="E308" s="40" t="n"/>
      <c r="F308" s="45">
        <f>IF(D308="","",IF(E308&lt;&gt;"","手入力",IF(I308="","前年度名簿にいない",IF(OR(COUNTIF($H$2:$H$451,H308)&gt;1,COUNTIF(振り分け!$S$7:$S$456,H308)&gt;1),"同姓同名あり（手入力してください）","OK"))))</f>
        <v/>
      </c>
      <c r="G308" s="44">
        <f>IF(D308="","",IF(E308&lt;&gt;"",E308,IF(F308&lt;&gt;"OK","",IF(INDEX(振り分け!$L$7:$L$456,I308)="","未決定",INDEX(振り分け!$L$7:$L$456,I308)))))</f>
        <v/>
      </c>
      <c r="H308" s="8">
        <f>IF(D308="","",A308&amp;"|"&amp;SUBSTITUTE(SUBSTITUTE(D308," ",""),"　",""))</f>
        <v/>
      </c>
      <c r="I308" s="8">
        <f>IF(H308="","",IFERROR(MATCH(H308,振り分け!$S$7:$S$456,0),""))</f>
        <v/>
      </c>
      <c r="J308" s="8">
        <f>IF(D308="","",IFERROR(MATCH(A308&amp;"-"&amp;B308,設定!$Z$8:$Z$31,0),99)*1000+C308+ROW()/1000000)</f>
        <v/>
      </c>
      <c r="K308" s="8">
        <f>IF(D308="","",IFERROR(INDEX(設定!$L$8:$L$31,MATCH(A308&amp;"-"&amp;B308,設定!$Z$8:$Z$31,0)),A308&amp;B308))</f>
        <v/>
      </c>
    </row>
    <row r="309">
      <c r="A309" s="40" t="n">
        <v>4</v>
      </c>
      <c r="B309" s="40" t="inlineStr">
        <is>
          <t>梅</t>
        </is>
      </c>
      <c r="C309" s="40" t="n">
        <v>8</v>
      </c>
      <c r="D309" s="41" t="inlineStr">
        <is>
          <t>森　海斗</t>
        </is>
      </c>
      <c r="E309" s="40" t="n"/>
      <c r="F309" s="45">
        <f>IF(D309="","",IF(E309&lt;&gt;"","手入力",IF(I309="","前年度名簿にいない",IF(OR(COUNTIF($H$2:$H$451,H309)&gt;1,COUNTIF(振り分け!$S$7:$S$456,H309)&gt;1),"同姓同名あり（手入力してください）","OK"))))</f>
        <v/>
      </c>
      <c r="G309" s="44">
        <f>IF(D309="","",IF(E309&lt;&gt;"",E309,IF(F309&lt;&gt;"OK","",IF(INDEX(振り分け!$L$7:$L$456,I309)="","未決定",INDEX(振り分け!$L$7:$L$456,I309)))))</f>
        <v/>
      </c>
      <c r="H309" s="8">
        <f>IF(D309="","",A309&amp;"|"&amp;SUBSTITUTE(SUBSTITUTE(D309," ",""),"　",""))</f>
        <v/>
      </c>
      <c r="I309" s="8">
        <f>IF(H309="","",IFERROR(MATCH(H309,振り分け!$S$7:$S$456,0),""))</f>
        <v/>
      </c>
      <c r="J309" s="8">
        <f>IF(D309="","",IFERROR(MATCH(A309&amp;"-"&amp;B309,設定!$Z$8:$Z$31,0),99)*1000+C309+ROW()/1000000)</f>
        <v/>
      </c>
      <c r="K309" s="8">
        <f>IF(D309="","",IFERROR(INDEX(設定!$L$8:$L$31,MATCH(A309&amp;"-"&amp;B309,設定!$Z$8:$Z$31,0)),A309&amp;B309))</f>
        <v/>
      </c>
    </row>
    <row r="310">
      <c r="A310" s="40" t="n">
        <v>4</v>
      </c>
      <c r="B310" s="40" t="inlineStr">
        <is>
          <t>梅</t>
        </is>
      </c>
      <c r="C310" s="40" t="n">
        <v>9</v>
      </c>
      <c r="D310" s="41" t="inlineStr">
        <is>
          <t>山下　花音</t>
        </is>
      </c>
      <c r="E310" s="40" t="n"/>
      <c r="F310" s="45">
        <f>IF(D310="","",IF(E310&lt;&gt;"","手入力",IF(I310="","前年度名簿にいない",IF(OR(COUNTIF($H$2:$H$451,H310)&gt;1,COUNTIF(振り分け!$S$7:$S$456,H310)&gt;1),"同姓同名あり（手入力してください）","OK"))))</f>
        <v/>
      </c>
      <c r="G310" s="44">
        <f>IF(D310="","",IF(E310&lt;&gt;"",E310,IF(F310&lt;&gt;"OK","",IF(INDEX(振り分け!$L$7:$L$456,I310)="","未決定",INDEX(振り分け!$L$7:$L$456,I310)))))</f>
        <v/>
      </c>
      <c r="H310" s="8">
        <f>IF(D310="","",A310&amp;"|"&amp;SUBSTITUTE(SUBSTITUTE(D310," ",""),"　",""))</f>
        <v/>
      </c>
      <c r="I310" s="8">
        <f>IF(H310="","",IFERROR(MATCH(H310,振り分け!$S$7:$S$456,0),""))</f>
        <v/>
      </c>
      <c r="J310" s="8">
        <f>IF(D310="","",IFERROR(MATCH(A310&amp;"-"&amp;B310,設定!$Z$8:$Z$31,0),99)*1000+C310+ROW()/1000000)</f>
        <v/>
      </c>
      <c r="K310" s="8">
        <f>IF(D310="","",IFERROR(INDEX(設定!$L$8:$L$31,MATCH(A310&amp;"-"&amp;B310,設定!$Z$8:$Z$31,0)),A310&amp;B310))</f>
        <v/>
      </c>
    </row>
    <row r="311">
      <c r="A311" s="40" t="n">
        <v>4</v>
      </c>
      <c r="B311" s="40" t="inlineStr">
        <is>
          <t>梅</t>
        </is>
      </c>
      <c r="C311" s="40" t="n">
        <v>10</v>
      </c>
      <c r="D311" s="41" t="inlineStr">
        <is>
          <t>井上　心春</t>
        </is>
      </c>
      <c r="E311" s="40" t="n"/>
      <c r="F311" s="45">
        <f>IF(D311="","",IF(E311&lt;&gt;"","手入力",IF(I311="","前年度名簿にいない",IF(OR(COUNTIF($H$2:$H$451,H311)&gt;1,COUNTIF(振り分け!$S$7:$S$456,H311)&gt;1),"同姓同名あり（手入力してください）","OK"))))</f>
        <v/>
      </c>
      <c r="G311" s="44">
        <f>IF(D311="","",IF(E311&lt;&gt;"",E311,IF(F311&lt;&gt;"OK","",IF(INDEX(振り分け!$L$7:$L$456,I311)="","未決定",INDEX(振り分け!$L$7:$L$456,I311)))))</f>
        <v/>
      </c>
      <c r="H311" s="8">
        <f>IF(D311="","",A311&amp;"|"&amp;SUBSTITUTE(SUBSTITUTE(D311," ",""),"　",""))</f>
        <v/>
      </c>
      <c r="I311" s="8">
        <f>IF(H311="","",IFERROR(MATCH(H311,振り分け!$S$7:$S$456,0),""))</f>
        <v/>
      </c>
      <c r="J311" s="8">
        <f>IF(D311="","",IFERROR(MATCH(A311&amp;"-"&amp;B311,設定!$Z$8:$Z$31,0),99)*1000+C311+ROW()/1000000)</f>
        <v/>
      </c>
      <c r="K311" s="8">
        <f>IF(D311="","",IFERROR(INDEX(設定!$L$8:$L$31,MATCH(A311&amp;"-"&amp;B311,設定!$Z$8:$Z$31,0)),A311&amp;B311))</f>
        <v/>
      </c>
    </row>
    <row r="312">
      <c r="A312" s="40" t="n">
        <v>4</v>
      </c>
      <c r="B312" s="40" t="inlineStr">
        <is>
          <t>梅</t>
        </is>
      </c>
      <c r="C312" s="40" t="n">
        <v>11</v>
      </c>
      <c r="D312" s="41" t="inlineStr">
        <is>
          <t>山下　美月</t>
        </is>
      </c>
      <c r="E312" s="40" t="n"/>
      <c r="F312" s="45">
        <f>IF(D312="","",IF(E312&lt;&gt;"","手入力",IF(I312="","前年度名簿にいない",IF(OR(COUNTIF($H$2:$H$451,H312)&gt;1,COUNTIF(振り分け!$S$7:$S$456,H312)&gt;1),"同姓同名あり（手入力してください）","OK"))))</f>
        <v/>
      </c>
      <c r="G312" s="44">
        <f>IF(D312="","",IF(E312&lt;&gt;"",E312,IF(F312&lt;&gt;"OK","",IF(INDEX(振り分け!$L$7:$L$456,I312)="","未決定",INDEX(振り分け!$L$7:$L$456,I312)))))</f>
        <v/>
      </c>
      <c r="H312" s="8">
        <f>IF(D312="","",A312&amp;"|"&amp;SUBSTITUTE(SUBSTITUTE(D312," ",""),"　",""))</f>
        <v/>
      </c>
      <c r="I312" s="8">
        <f>IF(H312="","",IFERROR(MATCH(H312,振り分け!$S$7:$S$456,0),""))</f>
        <v/>
      </c>
      <c r="J312" s="8">
        <f>IF(D312="","",IFERROR(MATCH(A312&amp;"-"&amp;B312,設定!$Z$8:$Z$31,0),99)*1000+C312+ROW()/1000000)</f>
        <v/>
      </c>
      <c r="K312" s="8">
        <f>IF(D312="","",IFERROR(INDEX(設定!$L$8:$L$31,MATCH(A312&amp;"-"&amp;B312,設定!$Z$8:$Z$31,0)),A312&amp;B312))</f>
        <v/>
      </c>
    </row>
    <row r="313">
      <c r="A313" s="40" t="n">
        <v>4</v>
      </c>
      <c r="B313" s="40" t="inlineStr">
        <is>
          <t>梅</t>
        </is>
      </c>
      <c r="C313" s="40" t="n">
        <v>12</v>
      </c>
      <c r="D313" s="41" t="inlineStr">
        <is>
          <t>木村　葵</t>
        </is>
      </c>
      <c r="E313" s="40" t="n"/>
      <c r="F313" s="45">
        <f>IF(D313="","",IF(E313&lt;&gt;"","手入力",IF(I313="","前年度名簿にいない",IF(OR(COUNTIF($H$2:$H$451,H313)&gt;1,COUNTIF(振り分け!$S$7:$S$456,H313)&gt;1),"同姓同名あり（手入力してください）","OK"))))</f>
        <v/>
      </c>
      <c r="G313" s="44">
        <f>IF(D313="","",IF(E313&lt;&gt;"",E313,IF(F313&lt;&gt;"OK","",IF(INDEX(振り分け!$L$7:$L$456,I313)="","未決定",INDEX(振り分け!$L$7:$L$456,I313)))))</f>
        <v/>
      </c>
      <c r="H313" s="8">
        <f>IF(D313="","",A313&amp;"|"&amp;SUBSTITUTE(SUBSTITUTE(D313," ",""),"　",""))</f>
        <v/>
      </c>
      <c r="I313" s="8">
        <f>IF(H313="","",IFERROR(MATCH(H313,振り分け!$S$7:$S$456,0),""))</f>
        <v/>
      </c>
      <c r="J313" s="8">
        <f>IF(D313="","",IFERROR(MATCH(A313&amp;"-"&amp;B313,設定!$Z$8:$Z$31,0),99)*1000+C313+ROW()/1000000)</f>
        <v/>
      </c>
      <c r="K313" s="8">
        <f>IF(D313="","",IFERROR(INDEX(設定!$L$8:$L$31,MATCH(A313&amp;"-"&amp;B313,設定!$Z$8:$Z$31,0)),A313&amp;B313))</f>
        <v/>
      </c>
    </row>
    <row r="314">
      <c r="A314" s="40" t="n">
        <v>4</v>
      </c>
      <c r="B314" s="40" t="inlineStr">
        <is>
          <t>梅</t>
        </is>
      </c>
      <c r="C314" s="40" t="n">
        <v>13</v>
      </c>
      <c r="D314" s="41" t="inlineStr">
        <is>
          <t>竹内　結翔</t>
        </is>
      </c>
      <c r="E314" s="40" t="n"/>
      <c r="F314" s="45">
        <f>IF(D314="","",IF(E314&lt;&gt;"","手入力",IF(I314="","前年度名簿にいない",IF(OR(COUNTIF($H$2:$H$451,H314)&gt;1,COUNTIF(振り分け!$S$7:$S$456,H314)&gt;1),"同姓同名あり（手入力してください）","OK"))))</f>
        <v/>
      </c>
      <c r="G314" s="44">
        <f>IF(D314="","",IF(E314&lt;&gt;"",E314,IF(F314&lt;&gt;"OK","",IF(INDEX(振り分け!$L$7:$L$456,I314)="","未決定",INDEX(振り分け!$L$7:$L$456,I314)))))</f>
        <v/>
      </c>
      <c r="H314" s="8">
        <f>IF(D314="","",A314&amp;"|"&amp;SUBSTITUTE(SUBSTITUTE(D314," ",""),"　",""))</f>
        <v/>
      </c>
      <c r="I314" s="8">
        <f>IF(H314="","",IFERROR(MATCH(H314,振り分け!$S$7:$S$456,0),""))</f>
        <v/>
      </c>
      <c r="J314" s="8">
        <f>IF(D314="","",IFERROR(MATCH(A314&amp;"-"&amp;B314,設定!$Z$8:$Z$31,0),99)*1000+C314+ROW()/1000000)</f>
        <v/>
      </c>
      <c r="K314" s="8">
        <f>IF(D314="","",IFERROR(INDEX(設定!$L$8:$L$31,MATCH(A314&amp;"-"&amp;B314,設定!$Z$8:$Z$31,0)),A314&amp;B314))</f>
        <v/>
      </c>
    </row>
    <row r="315">
      <c r="A315" s="40" t="n">
        <v>4</v>
      </c>
      <c r="B315" s="40" t="inlineStr">
        <is>
          <t>梅</t>
        </is>
      </c>
      <c r="C315" s="40" t="n">
        <v>14</v>
      </c>
      <c r="D315" s="41" t="inlineStr">
        <is>
          <t>鈴木　悠真</t>
        </is>
      </c>
      <c r="E315" s="40" t="n"/>
      <c r="F315" s="45">
        <f>IF(D315="","",IF(E315&lt;&gt;"","手入力",IF(I315="","前年度名簿にいない",IF(OR(COUNTIF($H$2:$H$451,H315)&gt;1,COUNTIF(振り分け!$S$7:$S$456,H315)&gt;1),"同姓同名あり（手入力してください）","OK"))))</f>
        <v/>
      </c>
      <c r="G315" s="44">
        <f>IF(D315="","",IF(E315&lt;&gt;"",E315,IF(F315&lt;&gt;"OK","",IF(INDEX(振り分け!$L$7:$L$456,I315)="","未決定",INDEX(振り分け!$L$7:$L$456,I315)))))</f>
        <v/>
      </c>
      <c r="H315" s="8">
        <f>IF(D315="","",A315&amp;"|"&amp;SUBSTITUTE(SUBSTITUTE(D315," ",""),"　",""))</f>
        <v/>
      </c>
      <c r="I315" s="8">
        <f>IF(H315="","",IFERROR(MATCH(H315,振り分け!$S$7:$S$456,0),""))</f>
        <v/>
      </c>
      <c r="J315" s="8">
        <f>IF(D315="","",IFERROR(MATCH(A315&amp;"-"&amp;B315,設定!$Z$8:$Z$31,0),99)*1000+C315+ROW()/1000000)</f>
        <v/>
      </c>
      <c r="K315" s="8">
        <f>IF(D315="","",IFERROR(INDEX(設定!$L$8:$L$31,MATCH(A315&amp;"-"&amp;B315,設定!$Z$8:$Z$31,0)),A315&amp;B315))</f>
        <v/>
      </c>
    </row>
    <row r="316">
      <c r="A316" s="40" t="n">
        <v>4</v>
      </c>
      <c r="B316" s="40" t="inlineStr">
        <is>
          <t>梅</t>
        </is>
      </c>
      <c r="C316" s="40" t="n">
        <v>15</v>
      </c>
      <c r="D316" s="41" t="inlineStr">
        <is>
          <t>井上　朝陽</t>
        </is>
      </c>
      <c r="E316" s="40" t="n"/>
      <c r="F316" s="45">
        <f>IF(D316="","",IF(E316&lt;&gt;"","手入力",IF(I316="","前年度名簿にいない",IF(OR(COUNTIF($H$2:$H$451,H316)&gt;1,COUNTIF(振り分け!$S$7:$S$456,H316)&gt;1),"同姓同名あり（手入力してください）","OK"))))</f>
        <v/>
      </c>
      <c r="G316" s="44">
        <f>IF(D316="","",IF(E316&lt;&gt;"",E316,IF(F316&lt;&gt;"OK","",IF(INDEX(振り分け!$L$7:$L$456,I316)="","未決定",INDEX(振り分け!$L$7:$L$456,I316)))))</f>
        <v/>
      </c>
      <c r="H316" s="8">
        <f>IF(D316="","",A316&amp;"|"&amp;SUBSTITUTE(SUBSTITUTE(D316," ",""),"　",""))</f>
        <v/>
      </c>
      <c r="I316" s="8">
        <f>IF(H316="","",IFERROR(MATCH(H316,振り分け!$S$7:$S$456,0),""))</f>
        <v/>
      </c>
      <c r="J316" s="8">
        <f>IF(D316="","",IFERROR(MATCH(A316&amp;"-"&amp;B316,設定!$Z$8:$Z$31,0),99)*1000+C316+ROW()/1000000)</f>
        <v/>
      </c>
      <c r="K316" s="8">
        <f>IF(D316="","",IFERROR(INDEX(設定!$L$8:$L$31,MATCH(A316&amp;"-"&amp;B316,設定!$Z$8:$Z$31,0)),A316&amp;B316))</f>
        <v/>
      </c>
    </row>
    <row r="317">
      <c r="A317" s="40" t="n">
        <v>4</v>
      </c>
      <c r="B317" s="40" t="inlineStr">
        <is>
          <t>梅</t>
        </is>
      </c>
      <c r="C317" s="40" t="n">
        <v>16</v>
      </c>
      <c r="D317" s="41" t="inlineStr">
        <is>
          <t>小川　結衣</t>
        </is>
      </c>
      <c r="E317" s="40" t="n"/>
      <c r="F317" s="45">
        <f>IF(D317="","",IF(E317&lt;&gt;"","手入力",IF(I317="","前年度名簿にいない",IF(OR(COUNTIF($H$2:$H$451,H317)&gt;1,COUNTIF(振り分け!$S$7:$S$456,H317)&gt;1),"同姓同名あり（手入力してください）","OK"))))</f>
        <v/>
      </c>
      <c r="G317" s="44">
        <f>IF(D317="","",IF(E317&lt;&gt;"",E317,IF(F317&lt;&gt;"OK","",IF(INDEX(振り分け!$L$7:$L$456,I317)="","未決定",INDEX(振り分け!$L$7:$L$456,I317)))))</f>
        <v/>
      </c>
      <c r="H317" s="8">
        <f>IF(D317="","",A317&amp;"|"&amp;SUBSTITUTE(SUBSTITUTE(D317," ",""),"　",""))</f>
        <v/>
      </c>
      <c r="I317" s="8">
        <f>IF(H317="","",IFERROR(MATCH(H317,振り分け!$S$7:$S$456,0),""))</f>
        <v/>
      </c>
      <c r="J317" s="8">
        <f>IF(D317="","",IFERROR(MATCH(A317&amp;"-"&amp;B317,設定!$Z$8:$Z$31,0),99)*1000+C317+ROW()/1000000)</f>
        <v/>
      </c>
      <c r="K317" s="8">
        <f>IF(D317="","",IFERROR(INDEX(設定!$L$8:$L$31,MATCH(A317&amp;"-"&amp;B317,設定!$Z$8:$Z$31,0)),A317&amp;B317))</f>
        <v/>
      </c>
    </row>
    <row r="318">
      <c r="A318" s="40" t="n">
        <v>4</v>
      </c>
      <c r="B318" s="40" t="inlineStr">
        <is>
          <t>梅</t>
        </is>
      </c>
      <c r="C318" s="40" t="n">
        <v>17</v>
      </c>
      <c r="D318" s="41" t="inlineStr">
        <is>
          <t>福田　凛</t>
        </is>
      </c>
      <c r="E318" s="40" t="n"/>
      <c r="F318" s="45">
        <f>IF(D318="","",IF(E318&lt;&gt;"","手入力",IF(I318="","前年度名簿にいない",IF(OR(COUNTIF($H$2:$H$451,H318)&gt;1,COUNTIF(振り分け!$S$7:$S$456,H318)&gt;1),"同姓同名あり（手入力してください）","OK"))))</f>
        <v/>
      </c>
      <c r="G318" s="44">
        <f>IF(D318="","",IF(E318&lt;&gt;"",E318,IF(F318&lt;&gt;"OK","",IF(INDEX(振り分け!$L$7:$L$456,I318)="","未決定",INDEX(振り分け!$L$7:$L$456,I318)))))</f>
        <v/>
      </c>
      <c r="H318" s="8">
        <f>IF(D318="","",A318&amp;"|"&amp;SUBSTITUTE(SUBSTITUTE(D318," ",""),"　",""))</f>
        <v/>
      </c>
      <c r="I318" s="8">
        <f>IF(H318="","",IFERROR(MATCH(H318,振り分け!$S$7:$S$456,0),""))</f>
        <v/>
      </c>
      <c r="J318" s="8">
        <f>IF(D318="","",IFERROR(MATCH(A318&amp;"-"&amp;B318,設定!$Z$8:$Z$31,0),99)*1000+C318+ROW()/1000000)</f>
        <v/>
      </c>
      <c r="K318" s="8">
        <f>IF(D318="","",IFERROR(INDEX(設定!$L$8:$L$31,MATCH(A318&amp;"-"&amp;B318,設定!$Z$8:$Z$31,0)),A318&amp;B318))</f>
        <v/>
      </c>
    </row>
    <row r="319">
      <c r="A319" s="40" t="n">
        <v>4</v>
      </c>
      <c r="B319" s="40" t="inlineStr">
        <is>
          <t>梅</t>
        </is>
      </c>
      <c r="C319" s="40" t="n">
        <v>18</v>
      </c>
      <c r="D319" s="41" t="inlineStr">
        <is>
          <t>阿部　さくら</t>
        </is>
      </c>
      <c r="E319" s="40" t="n"/>
      <c r="F319" s="45">
        <f>IF(D319="","",IF(E319&lt;&gt;"","手入力",IF(I319="","前年度名簿にいない",IF(OR(COUNTIF($H$2:$H$451,H319)&gt;1,COUNTIF(振り分け!$S$7:$S$456,H319)&gt;1),"同姓同名あり（手入力してください）","OK"))))</f>
        <v/>
      </c>
      <c r="G319" s="44">
        <f>IF(D319="","",IF(E319&lt;&gt;"",E319,IF(F319&lt;&gt;"OK","",IF(INDEX(振り分け!$L$7:$L$456,I319)="","未決定",INDEX(振り分け!$L$7:$L$456,I319)))))</f>
        <v/>
      </c>
      <c r="H319" s="8">
        <f>IF(D319="","",A319&amp;"|"&amp;SUBSTITUTE(SUBSTITUTE(D319," ",""),"　",""))</f>
        <v/>
      </c>
      <c r="I319" s="8">
        <f>IF(H319="","",IFERROR(MATCH(H319,振り分け!$S$7:$S$456,0),""))</f>
        <v/>
      </c>
      <c r="J319" s="8">
        <f>IF(D319="","",IFERROR(MATCH(A319&amp;"-"&amp;B319,設定!$Z$8:$Z$31,0),99)*1000+C319+ROW()/1000000)</f>
        <v/>
      </c>
      <c r="K319" s="8">
        <f>IF(D319="","",IFERROR(INDEX(設定!$L$8:$L$31,MATCH(A319&amp;"-"&amp;B319,設定!$Z$8:$Z$31,0)),A319&amp;B319))</f>
        <v/>
      </c>
    </row>
    <row r="320">
      <c r="A320" s="40" t="n">
        <v>4</v>
      </c>
      <c r="B320" s="40" t="inlineStr">
        <is>
          <t>梅</t>
        </is>
      </c>
      <c r="C320" s="40" t="n">
        <v>19</v>
      </c>
      <c r="D320" s="41" t="inlineStr">
        <is>
          <t>原田　結菜</t>
        </is>
      </c>
      <c r="E320" s="40" t="n"/>
      <c r="F320" s="45">
        <f>IF(D320="","",IF(E320&lt;&gt;"","手入力",IF(I320="","前年度名簿にいない",IF(OR(COUNTIF($H$2:$H$451,H320)&gt;1,COUNTIF(振り分け!$S$7:$S$456,H320)&gt;1),"同姓同名あり（手入力してください）","OK"))))</f>
        <v/>
      </c>
      <c r="G320" s="44">
        <f>IF(D320="","",IF(E320&lt;&gt;"",E320,IF(F320&lt;&gt;"OK","",IF(INDEX(振り分け!$L$7:$L$456,I320)="","未決定",INDEX(振り分け!$L$7:$L$456,I320)))))</f>
        <v/>
      </c>
      <c r="H320" s="8">
        <f>IF(D320="","",A320&amp;"|"&amp;SUBSTITUTE(SUBSTITUTE(D320," ",""),"　",""))</f>
        <v/>
      </c>
      <c r="I320" s="8">
        <f>IF(H320="","",IFERROR(MATCH(H320,振り分け!$S$7:$S$456,0),""))</f>
        <v/>
      </c>
      <c r="J320" s="8">
        <f>IF(D320="","",IFERROR(MATCH(A320&amp;"-"&amp;B320,設定!$Z$8:$Z$31,0),99)*1000+C320+ROW()/1000000)</f>
        <v/>
      </c>
      <c r="K320" s="8">
        <f>IF(D320="","",IFERROR(INDEX(設定!$L$8:$L$31,MATCH(A320&amp;"-"&amp;B320,設定!$Z$8:$Z$31,0)),A320&amp;B320))</f>
        <v/>
      </c>
    </row>
    <row r="321">
      <c r="A321" s="40" t="n">
        <v>4</v>
      </c>
      <c r="B321" s="40" t="inlineStr">
        <is>
          <t>梅</t>
        </is>
      </c>
      <c r="C321" s="40" t="n">
        <v>20</v>
      </c>
      <c r="D321" s="41" t="inlineStr">
        <is>
          <t>伊藤　花音</t>
        </is>
      </c>
      <c r="E321" s="40" t="n"/>
      <c r="F321" s="45">
        <f>IF(D321="","",IF(E321&lt;&gt;"","手入力",IF(I321="","前年度名簿にいない",IF(OR(COUNTIF($H$2:$H$451,H321)&gt;1,COUNTIF(振り分け!$S$7:$S$456,H321)&gt;1),"同姓同名あり（手入力してください）","OK"))))</f>
        <v/>
      </c>
      <c r="G321" s="44">
        <f>IF(D321="","",IF(E321&lt;&gt;"",E321,IF(F321&lt;&gt;"OK","",IF(INDEX(振り分け!$L$7:$L$456,I321)="","未決定",INDEX(振り分け!$L$7:$L$456,I321)))))</f>
        <v/>
      </c>
      <c r="H321" s="8">
        <f>IF(D321="","",A321&amp;"|"&amp;SUBSTITUTE(SUBSTITUTE(D321," ",""),"　",""))</f>
        <v/>
      </c>
      <c r="I321" s="8">
        <f>IF(H321="","",IFERROR(MATCH(H321,振り分け!$S$7:$S$456,0),""))</f>
        <v/>
      </c>
      <c r="J321" s="8">
        <f>IF(D321="","",IFERROR(MATCH(A321&amp;"-"&amp;B321,設定!$Z$8:$Z$31,0),99)*1000+C321+ROW()/1000000)</f>
        <v/>
      </c>
      <c r="K321" s="8">
        <f>IF(D321="","",IFERROR(INDEX(設定!$L$8:$L$31,MATCH(A321&amp;"-"&amp;B321,設定!$Z$8:$Z$31,0)),A321&amp;B321))</f>
        <v/>
      </c>
    </row>
    <row r="322">
      <c r="A322" s="40" t="n">
        <v>4</v>
      </c>
      <c r="B322" s="40" t="inlineStr">
        <is>
          <t>梅</t>
        </is>
      </c>
      <c r="C322" s="40" t="n">
        <v>21</v>
      </c>
      <c r="D322" s="41" t="inlineStr">
        <is>
          <t>佐々木　千尋</t>
        </is>
      </c>
      <c r="E322" s="40" t="n"/>
      <c r="F322" s="45">
        <f>IF(D322="","",IF(E322&lt;&gt;"","手入力",IF(I322="","前年度名簿にいない",IF(OR(COUNTIF($H$2:$H$451,H322)&gt;1,COUNTIF(振り分け!$S$7:$S$456,H322)&gt;1),"同姓同名あり（手入力してください）","OK"))))</f>
        <v/>
      </c>
      <c r="G322" s="44">
        <f>IF(D322="","",IF(E322&lt;&gt;"",E322,IF(F322&lt;&gt;"OK","",IF(INDEX(振り分け!$L$7:$L$456,I322)="","未決定",INDEX(振り分け!$L$7:$L$456,I322)))))</f>
        <v/>
      </c>
      <c r="H322" s="8">
        <f>IF(D322="","",A322&amp;"|"&amp;SUBSTITUTE(SUBSTITUTE(D322," ",""),"　",""))</f>
        <v/>
      </c>
      <c r="I322" s="8">
        <f>IF(H322="","",IFERROR(MATCH(H322,振り分け!$S$7:$S$456,0),""))</f>
        <v/>
      </c>
      <c r="J322" s="8">
        <f>IF(D322="","",IFERROR(MATCH(A322&amp;"-"&amp;B322,設定!$Z$8:$Z$31,0),99)*1000+C322+ROW()/1000000)</f>
        <v/>
      </c>
      <c r="K322" s="8">
        <f>IF(D322="","",IFERROR(INDEX(設定!$L$8:$L$31,MATCH(A322&amp;"-"&amp;B322,設定!$Z$8:$Z$31,0)),A322&amp;B322))</f>
        <v/>
      </c>
    </row>
    <row r="323">
      <c r="A323" s="40" t="n">
        <v>4</v>
      </c>
      <c r="B323" s="40" t="inlineStr">
        <is>
          <t>梅</t>
        </is>
      </c>
      <c r="C323" s="40" t="n">
        <v>22</v>
      </c>
      <c r="D323" s="41" t="inlineStr">
        <is>
          <t>石川　健太</t>
        </is>
      </c>
      <c r="E323" s="40" t="n"/>
      <c r="F323" s="45">
        <f>IF(D323="","",IF(E323&lt;&gt;"","手入力",IF(I323="","前年度名簿にいない",IF(OR(COUNTIF($H$2:$H$451,H323)&gt;1,COUNTIF(振り分け!$S$7:$S$456,H323)&gt;1),"同姓同名あり（手入力してください）","OK"))))</f>
        <v/>
      </c>
      <c r="G323" s="44">
        <f>IF(D323="","",IF(E323&lt;&gt;"",E323,IF(F323&lt;&gt;"OK","",IF(INDEX(振り分け!$L$7:$L$456,I323)="","未決定",INDEX(振り分け!$L$7:$L$456,I323)))))</f>
        <v/>
      </c>
      <c r="H323" s="8">
        <f>IF(D323="","",A323&amp;"|"&amp;SUBSTITUTE(SUBSTITUTE(D323," ",""),"　",""))</f>
        <v/>
      </c>
      <c r="I323" s="8">
        <f>IF(H323="","",IFERROR(MATCH(H323,振り分け!$S$7:$S$456,0),""))</f>
        <v/>
      </c>
      <c r="J323" s="8">
        <f>IF(D323="","",IFERROR(MATCH(A323&amp;"-"&amp;B323,設定!$Z$8:$Z$31,0),99)*1000+C323+ROW()/1000000)</f>
        <v/>
      </c>
      <c r="K323" s="8">
        <f>IF(D323="","",IFERROR(INDEX(設定!$L$8:$L$31,MATCH(A323&amp;"-"&amp;B323,設定!$Z$8:$Z$31,0)),A323&amp;B323))</f>
        <v/>
      </c>
    </row>
    <row r="324">
      <c r="A324" s="40" t="n">
        <v>4</v>
      </c>
      <c r="B324" s="40" t="inlineStr">
        <is>
          <t>梅</t>
        </is>
      </c>
      <c r="C324" s="40" t="n">
        <v>23</v>
      </c>
      <c r="D324" s="41" t="inlineStr">
        <is>
          <t>小林　一花</t>
        </is>
      </c>
      <c r="E324" s="40" t="n"/>
      <c r="F324" s="45">
        <f>IF(D324="","",IF(E324&lt;&gt;"","手入力",IF(I324="","前年度名簿にいない",IF(OR(COUNTIF($H$2:$H$451,H324)&gt;1,COUNTIF(振り分け!$S$7:$S$456,H324)&gt;1),"同姓同名あり（手入力してください）","OK"))))</f>
        <v/>
      </c>
      <c r="G324" s="44">
        <f>IF(D324="","",IF(E324&lt;&gt;"",E324,IF(F324&lt;&gt;"OK","",IF(INDEX(振り分け!$L$7:$L$456,I324)="","未決定",INDEX(振り分け!$L$7:$L$456,I324)))))</f>
        <v/>
      </c>
      <c r="H324" s="8">
        <f>IF(D324="","",A324&amp;"|"&amp;SUBSTITUTE(SUBSTITUTE(D324," ",""),"　",""))</f>
        <v/>
      </c>
      <c r="I324" s="8">
        <f>IF(H324="","",IFERROR(MATCH(H324,振り分け!$S$7:$S$456,0),""))</f>
        <v/>
      </c>
      <c r="J324" s="8">
        <f>IF(D324="","",IFERROR(MATCH(A324&amp;"-"&amp;B324,設定!$Z$8:$Z$31,0),99)*1000+C324+ROW()/1000000)</f>
        <v/>
      </c>
      <c r="K324" s="8">
        <f>IF(D324="","",IFERROR(INDEX(設定!$L$8:$L$31,MATCH(A324&amp;"-"&amp;B324,設定!$Z$8:$Z$31,0)),A324&amp;B324))</f>
        <v/>
      </c>
    </row>
    <row r="325">
      <c r="A325" s="40" t="n">
        <v>4</v>
      </c>
      <c r="B325" s="40" t="inlineStr">
        <is>
          <t>梅</t>
        </is>
      </c>
      <c r="C325" s="40" t="n">
        <v>24</v>
      </c>
      <c r="D325" s="41" t="inlineStr">
        <is>
          <t>原田　結翔</t>
        </is>
      </c>
      <c r="E325" s="40" t="n"/>
      <c r="F325" s="45">
        <f>IF(D325="","",IF(E325&lt;&gt;"","手入力",IF(I325="","前年度名簿にいない",IF(OR(COUNTIF($H$2:$H$451,H325)&gt;1,COUNTIF(振り分け!$S$7:$S$456,H325)&gt;1),"同姓同名あり（手入力してください）","OK"))))</f>
        <v/>
      </c>
      <c r="G325" s="44">
        <f>IF(D325="","",IF(E325&lt;&gt;"",E325,IF(F325&lt;&gt;"OK","",IF(INDEX(振り分け!$L$7:$L$456,I325)="","未決定",INDEX(振り分け!$L$7:$L$456,I325)))))</f>
        <v/>
      </c>
      <c r="H325" s="8">
        <f>IF(D325="","",A325&amp;"|"&amp;SUBSTITUTE(SUBSTITUTE(D325," ",""),"　",""))</f>
        <v/>
      </c>
      <c r="I325" s="8">
        <f>IF(H325="","",IFERROR(MATCH(H325,振り分け!$S$7:$S$456,0),""))</f>
        <v/>
      </c>
      <c r="J325" s="8">
        <f>IF(D325="","",IFERROR(MATCH(A325&amp;"-"&amp;B325,設定!$Z$8:$Z$31,0),99)*1000+C325+ROW()/1000000)</f>
        <v/>
      </c>
      <c r="K325" s="8">
        <f>IF(D325="","",IFERROR(INDEX(設定!$L$8:$L$31,MATCH(A325&amp;"-"&amp;B325,設定!$Z$8:$Z$31,0)),A325&amp;B325))</f>
        <v/>
      </c>
    </row>
    <row r="326">
      <c r="A326" s="40" t="n">
        <v>4</v>
      </c>
      <c r="B326" s="40" t="inlineStr">
        <is>
          <t>梅</t>
        </is>
      </c>
      <c r="C326" s="40" t="n">
        <v>25</v>
      </c>
      <c r="D326" s="41" t="inlineStr">
        <is>
          <t>佐藤　大翔</t>
        </is>
      </c>
      <c r="E326" s="40" t="n"/>
      <c r="F326" s="45">
        <f>IF(D326="","",IF(E326&lt;&gt;"","手入力",IF(I326="","前年度名簿にいない",IF(OR(COUNTIF($H$2:$H$451,H326)&gt;1,COUNTIF(振り分け!$S$7:$S$456,H326)&gt;1),"同姓同名あり（手入力してください）","OK"))))</f>
        <v/>
      </c>
      <c r="G326" s="44">
        <f>IF(D326="","",IF(E326&lt;&gt;"",E326,IF(F326&lt;&gt;"OK","",IF(INDEX(振り分け!$L$7:$L$456,I326)="","未決定",INDEX(振り分け!$L$7:$L$456,I326)))))</f>
        <v/>
      </c>
      <c r="H326" s="8">
        <f>IF(D326="","",A326&amp;"|"&amp;SUBSTITUTE(SUBSTITUTE(D326," ",""),"　",""))</f>
        <v/>
      </c>
      <c r="I326" s="8">
        <f>IF(H326="","",IFERROR(MATCH(H326,振り分け!$S$7:$S$456,0),""))</f>
        <v/>
      </c>
      <c r="J326" s="8">
        <f>IF(D326="","",IFERROR(MATCH(A326&amp;"-"&amp;B326,設定!$Z$8:$Z$31,0),99)*1000+C326+ROW()/1000000)</f>
        <v/>
      </c>
      <c r="K326" s="8">
        <f>IF(D326="","",IFERROR(INDEX(設定!$L$8:$L$31,MATCH(A326&amp;"-"&amp;B326,設定!$Z$8:$Z$31,0)),A326&amp;B326))</f>
        <v/>
      </c>
    </row>
    <row r="327">
      <c r="A327" s="40" t="n">
        <v>4</v>
      </c>
      <c r="B327" s="40" t="inlineStr">
        <is>
          <t>梅</t>
        </is>
      </c>
      <c r="C327" s="40" t="n">
        <v>26</v>
      </c>
      <c r="D327" s="41" t="inlineStr">
        <is>
          <t>山口　優斗</t>
        </is>
      </c>
      <c r="E327" s="40" t="n"/>
      <c r="F327" s="45">
        <f>IF(D327="","",IF(E327&lt;&gt;"","手入力",IF(I327="","前年度名簿にいない",IF(OR(COUNTIF($H$2:$H$451,H327)&gt;1,COUNTIF(振り分け!$S$7:$S$456,H327)&gt;1),"同姓同名あり（手入力してください）","OK"))))</f>
        <v/>
      </c>
      <c r="G327" s="44">
        <f>IF(D327="","",IF(E327&lt;&gt;"",E327,IF(F327&lt;&gt;"OK","",IF(INDEX(振り分け!$L$7:$L$456,I327)="","未決定",INDEX(振り分け!$L$7:$L$456,I327)))))</f>
        <v/>
      </c>
      <c r="H327" s="8">
        <f>IF(D327="","",A327&amp;"|"&amp;SUBSTITUTE(SUBSTITUTE(D327," ",""),"　",""))</f>
        <v/>
      </c>
      <c r="I327" s="8">
        <f>IF(H327="","",IFERROR(MATCH(H327,振り分け!$S$7:$S$456,0),""))</f>
        <v/>
      </c>
      <c r="J327" s="8">
        <f>IF(D327="","",IFERROR(MATCH(A327&amp;"-"&amp;B327,設定!$Z$8:$Z$31,0),99)*1000+C327+ROW()/1000000)</f>
        <v/>
      </c>
      <c r="K327" s="8">
        <f>IF(D327="","",IFERROR(INDEX(設定!$L$8:$L$31,MATCH(A327&amp;"-"&amp;B327,設定!$Z$8:$Z$31,0)),A327&amp;B327))</f>
        <v/>
      </c>
    </row>
    <row r="328">
      <c r="A328" s="40" t="n">
        <v>4</v>
      </c>
      <c r="B328" s="40" t="inlineStr">
        <is>
          <t>梅</t>
        </is>
      </c>
      <c r="C328" s="40" t="n">
        <v>27</v>
      </c>
      <c r="D328" s="41" t="inlineStr">
        <is>
          <t>岡本　芽依</t>
        </is>
      </c>
      <c r="E328" s="40" t="n"/>
      <c r="F328" s="45">
        <f>IF(D328="","",IF(E328&lt;&gt;"","手入力",IF(I328="","前年度名簿にいない",IF(OR(COUNTIF($H$2:$H$451,H328)&gt;1,COUNTIF(振り分け!$S$7:$S$456,H328)&gt;1),"同姓同名あり（手入力してください）","OK"))))</f>
        <v/>
      </c>
      <c r="G328" s="44">
        <f>IF(D328="","",IF(E328&lt;&gt;"",E328,IF(F328&lt;&gt;"OK","",IF(INDEX(振り分け!$L$7:$L$456,I328)="","未決定",INDEX(振り分け!$L$7:$L$456,I328)))))</f>
        <v/>
      </c>
      <c r="H328" s="8">
        <f>IF(D328="","",A328&amp;"|"&amp;SUBSTITUTE(SUBSTITUTE(D328," ",""),"　",""))</f>
        <v/>
      </c>
      <c r="I328" s="8">
        <f>IF(H328="","",IFERROR(MATCH(H328,振り分け!$S$7:$S$456,0),""))</f>
        <v/>
      </c>
      <c r="J328" s="8">
        <f>IF(D328="","",IFERROR(MATCH(A328&amp;"-"&amp;B328,設定!$Z$8:$Z$31,0),99)*1000+C328+ROW()/1000000)</f>
        <v/>
      </c>
      <c r="K328" s="8">
        <f>IF(D328="","",IFERROR(INDEX(設定!$L$8:$L$31,MATCH(A328&amp;"-"&amp;B328,設定!$Z$8:$Z$31,0)),A328&amp;B328))</f>
        <v/>
      </c>
    </row>
    <row r="329">
      <c r="A329" s="40" t="n">
        <v>4</v>
      </c>
      <c r="B329" s="40" t="inlineStr">
        <is>
          <t>梅</t>
        </is>
      </c>
      <c r="C329" s="40" t="n">
        <v>28</v>
      </c>
      <c r="D329" s="41" t="inlineStr">
        <is>
          <t>中野　莉子</t>
        </is>
      </c>
      <c r="E329" s="40" t="n"/>
      <c r="F329" s="45">
        <f>IF(D329="","",IF(E329&lt;&gt;"","手入力",IF(I329="","前年度名簿にいない",IF(OR(COUNTIF($H$2:$H$451,H329)&gt;1,COUNTIF(振り分け!$S$7:$S$456,H329)&gt;1),"同姓同名あり（手入力してください）","OK"))))</f>
        <v/>
      </c>
      <c r="G329" s="44">
        <f>IF(D329="","",IF(E329&lt;&gt;"",E329,IF(F329&lt;&gt;"OK","",IF(INDEX(振り分け!$L$7:$L$456,I329)="","未決定",INDEX(振り分け!$L$7:$L$456,I329)))))</f>
        <v/>
      </c>
      <c r="H329" s="8">
        <f>IF(D329="","",A329&amp;"|"&amp;SUBSTITUTE(SUBSTITUTE(D329," ",""),"　",""))</f>
        <v/>
      </c>
      <c r="I329" s="8">
        <f>IF(H329="","",IFERROR(MATCH(H329,振り分け!$S$7:$S$456,0),""))</f>
        <v/>
      </c>
      <c r="J329" s="8">
        <f>IF(D329="","",IFERROR(MATCH(A329&amp;"-"&amp;B329,設定!$Z$8:$Z$31,0),99)*1000+C329+ROW()/1000000)</f>
        <v/>
      </c>
      <c r="K329" s="8">
        <f>IF(D329="","",IFERROR(INDEX(設定!$L$8:$L$31,MATCH(A329&amp;"-"&amp;B329,設定!$Z$8:$Z$31,0)),A329&amp;B329))</f>
        <v/>
      </c>
    </row>
    <row r="330">
      <c r="A330" s="40" t="n">
        <v>4</v>
      </c>
      <c r="B330" s="40" t="inlineStr">
        <is>
          <t>梅</t>
        </is>
      </c>
      <c r="C330" s="40" t="n">
        <v>29</v>
      </c>
      <c r="D330" s="41" t="inlineStr">
        <is>
          <t>青木　葵</t>
        </is>
      </c>
      <c r="E330" s="40" t="n"/>
      <c r="F330" s="45">
        <f>IF(D330="","",IF(E330&lt;&gt;"","手入力",IF(I330="","前年度名簿にいない",IF(OR(COUNTIF($H$2:$H$451,H330)&gt;1,COUNTIF(振り分け!$S$7:$S$456,H330)&gt;1),"同姓同名あり（手入力してください）","OK"))))</f>
        <v/>
      </c>
      <c r="G330" s="44">
        <f>IF(D330="","",IF(E330&lt;&gt;"",E330,IF(F330&lt;&gt;"OK","",IF(INDEX(振り分け!$L$7:$L$456,I330)="","未決定",INDEX(振り分け!$L$7:$L$456,I330)))))</f>
        <v/>
      </c>
      <c r="H330" s="8">
        <f>IF(D330="","",A330&amp;"|"&amp;SUBSTITUTE(SUBSTITUTE(D330," ",""),"　",""))</f>
        <v/>
      </c>
      <c r="I330" s="8">
        <f>IF(H330="","",IFERROR(MATCH(H330,振り分け!$S$7:$S$456,0),""))</f>
        <v/>
      </c>
      <c r="J330" s="8">
        <f>IF(D330="","",IFERROR(MATCH(A330&amp;"-"&amp;B330,設定!$Z$8:$Z$31,0),99)*1000+C330+ROW()/1000000)</f>
        <v/>
      </c>
      <c r="K330" s="8">
        <f>IF(D330="","",IFERROR(INDEX(設定!$L$8:$L$31,MATCH(A330&amp;"-"&amp;B330,設定!$Z$8:$Z$31,0)),A330&amp;B330))</f>
        <v/>
      </c>
    </row>
    <row r="331">
      <c r="A331" s="40" t="n">
        <v>4</v>
      </c>
      <c r="B331" s="40" t="inlineStr">
        <is>
          <t>梅</t>
        </is>
      </c>
      <c r="C331" s="40" t="n">
        <v>30</v>
      </c>
      <c r="D331" s="41" t="inlineStr">
        <is>
          <t>藤井　悠真</t>
        </is>
      </c>
      <c r="E331" s="40" t="n"/>
      <c r="F331" s="45">
        <f>IF(D331="","",IF(E331&lt;&gt;"","手入力",IF(I331="","前年度名簿にいない",IF(OR(COUNTIF($H$2:$H$451,H331)&gt;1,COUNTIF(振り分け!$S$7:$S$456,H331)&gt;1),"同姓同名あり（手入力してください）","OK"))))</f>
        <v/>
      </c>
      <c r="G331" s="44">
        <f>IF(D331="","",IF(E331&lt;&gt;"",E331,IF(F331&lt;&gt;"OK","",IF(INDEX(振り分け!$L$7:$L$456,I331)="","未決定",INDEX(振り分け!$L$7:$L$456,I331)))))</f>
        <v/>
      </c>
      <c r="H331" s="8">
        <f>IF(D331="","",A331&amp;"|"&amp;SUBSTITUTE(SUBSTITUTE(D331," ",""),"　",""))</f>
        <v/>
      </c>
      <c r="I331" s="8">
        <f>IF(H331="","",IFERROR(MATCH(H331,振り分け!$S$7:$S$456,0),""))</f>
        <v/>
      </c>
      <c r="J331" s="8">
        <f>IF(D331="","",IFERROR(MATCH(A331&amp;"-"&amp;B331,設定!$Z$8:$Z$31,0),99)*1000+C331+ROW()/1000000)</f>
        <v/>
      </c>
      <c r="K331" s="8">
        <f>IF(D331="","",IFERROR(INDEX(設定!$L$8:$L$31,MATCH(A331&amp;"-"&amp;B331,設定!$Z$8:$Z$31,0)),A331&amp;B331))</f>
        <v/>
      </c>
    </row>
    <row r="332">
      <c r="A332" s="40" t="n">
        <v>4</v>
      </c>
      <c r="B332" s="40" t="inlineStr">
        <is>
          <t>月</t>
        </is>
      </c>
      <c r="C332" s="40" t="n">
        <v>1</v>
      </c>
      <c r="D332" s="41" t="inlineStr">
        <is>
          <t>藤井　結菜</t>
        </is>
      </c>
      <c r="E332" s="40" t="n"/>
      <c r="F332" s="45">
        <f>IF(D332="","",IF(E332&lt;&gt;"","手入力",IF(I332="","前年度名簿にいない",IF(OR(COUNTIF($H$2:$H$451,H332)&gt;1,COUNTIF(振り分け!$S$7:$S$456,H332)&gt;1),"同姓同名あり（手入力してください）","OK"))))</f>
        <v/>
      </c>
      <c r="G332" s="44">
        <f>IF(D332="","",IF(E332&lt;&gt;"",E332,IF(F332&lt;&gt;"OK","",IF(INDEX(振り分け!$L$7:$L$456,I332)="","未決定",INDEX(振り分け!$L$7:$L$456,I332)))))</f>
        <v/>
      </c>
      <c r="H332" s="8">
        <f>IF(D332="","",A332&amp;"|"&amp;SUBSTITUTE(SUBSTITUTE(D332," ",""),"　",""))</f>
        <v/>
      </c>
      <c r="I332" s="8">
        <f>IF(H332="","",IFERROR(MATCH(H332,振り分け!$S$7:$S$456,0),""))</f>
        <v/>
      </c>
      <c r="J332" s="8">
        <f>IF(D332="","",IFERROR(MATCH(A332&amp;"-"&amp;B332,設定!$Z$8:$Z$31,0),99)*1000+C332+ROW()/1000000)</f>
        <v/>
      </c>
      <c r="K332" s="8">
        <f>IF(D332="","",IFERROR(INDEX(設定!$L$8:$L$31,MATCH(A332&amp;"-"&amp;B332,設定!$Z$8:$Z$31,0)),A332&amp;B332))</f>
        <v/>
      </c>
    </row>
    <row r="333">
      <c r="A333" s="40" t="n">
        <v>4</v>
      </c>
      <c r="B333" s="40" t="inlineStr">
        <is>
          <t>月</t>
        </is>
      </c>
      <c r="C333" s="40" t="n">
        <v>2</v>
      </c>
      <c r="D333" s="41" t="inlineStr">
        <is>
          <t>山本　結衣</t>
        </is>
      </c>
      <c r="E333" s="40" t="n"/>
      <c r="F333" s="45">
        <f>IF(D333="","",IF(E333&lt;&gt;"","手入力",IF(I333="","前年度名簿にいない",IF(OR(COUNTIF($H$2:$H$451,H333)&gt;1,COUNTIF(振り分け!$S$7:$S$456,H333)&gt;1),"同姓同名あり（手入力してください）","OK"))))</f>
        <v/>
      </c>
      <c r="G333" s="44">
        <f>IF(D333="","",IF(E333&lt;&gt;"",E333,IF(F333&lt;&gt;"OK","",IF(INDEX(振り分け!$L$7:$L$456,I333)="","未決定",INDEX(振り分け!$L$7:$L$456,I333)))))</f>
        <v/>
      </c>
      <c r="H333" s="8">
        <f>IF(D333="","",A333&amp;"|"&amp;SUBSTITUTE(SUBSTITUTE(D333," ",""),"　",""))</f>
        <v/>
      </c>
      <c r="I333" s="8">
        <f>IF(H333="","",IFERROR(MATCH(H333,振り分け!$S$7:$S$456,0),""))</f>
        <v/>
      </c>
      <c r="J333" s="8">
        <f>IF(D333="","",IFERROR(MATCH(A333&amp;"-"&amp;B333,設定!$Z$8:$Z$31,0),99)*1000+C333+ROW()/1000000)</f>
        <v/>
      </c>
      <c r="K333" s="8">
        <f>IF(D333="","",IFERROR(INDEX(設定!$L$8:$L$31,MATCH(A333&amp;"-"&amp;B333,設定!$Z$8:$Z$31,0)),A333&amp;B333))</f>
        <v/>
      </c>
    </row>
    <row r="334">
      <c r="A334" s="40" t="n">
        <v>4</v>
      </c>
      <c r="B334" s="40" t="inlineStr">
        <is>
          <t>月</t>
        </is>
      </c>
      <c r="C334" s="40" t="n">
        <v>3</v>
      </c>
      <c r="D334" s="41" t="inlineStr">
        <is>
          <t>中野　朝陽</t>
        </is>
      </c>
      <c r="E334" s="40" t="n"/>
      <c r="F334" s="45">
        <f>IF(D334="","",IF(E334&lt;&gt;"","手入力",IF(I334="","前年度名簿にいない",IF(OR(COUNTIF($H$2:$H$451,H334)&gt;1,COUNTIF(振り分け!$S$7:$S$456,H334)&gt;1),"同姓同名あり（手入力してください）","OK"))))</f>
        <v/>
      </c>
      <c r="G334" s="44">
        <f>IF(D334="","",IF(E334&lt;&gt;"",E334,IF(F334&lt;&gt;"OK","",IF(INDEX(振り分け!$L$7:$L$456,I334)="","未決定",INDEX(振り分け!$L$7:$L$456,I334)))))</f>
        <v/>
      </c>
      <c r="H334" s="8">
        <f>IF(D334="","",A334&amp;"|"&amp;SUBSTITUTE(SUBSTITUTE(D334," ",""),"　",""))</f>
        <v/>
      </c>
      <c r="I334" s="8">
        <f>IF(H334="","",IFERROR(MATCH(H334,振り分け!$S$7:$S$456,0),""))</f>
        <v/>
      </c>
      <c r="J334" s="8">
        <f>IF(D334="","",IFERROR(MATCH(A334&amp;"-"&amp;B334,設定!$Z$8:$Z$31,0),99)*1000+C334+ROW()/1000000)</f>
        <v/>
      </c>
      <c r="K334" s="8">
        <f>IF(D334="","",IFERROR(INDEX(設定!$L$8:$L$31,MATCH(A334&amp;"-"&amp;B334,設定!$Z$8:$Z$31,0)),A334&amp;B334))</f>
        <v/>
      </c>
    </row>
    <row r="335">
      <c r="A335" s="40" t="n">
        <v>4</v>
      </c>
      <c r="B335" s="40" t="inlineStr">
        <is>
          <t>月</t>
        </is>
      </c>
      <c r="C335" s="40" t="n">
        <v>4</v>
      </c>
      <c r="D335" s="41" t="inlineStr">
        <is>
          <t>石川　花音</t>
        </is>
      </c>
      <c r="E335" s="40" t="n"/>
      <c r="F335" s="45">
        <f>IF(D335="","",IF(E335&lt;&gt;"","手入力",IF(I335="","前年度名簿にいない",IF(OR(COUNTIF($H$2:$H$451,H335)&gt;1,COUNTIF(振り分け!$S$7:$S$456,H335)&gt;1),"同姓同名あり（手入力してください）","OK"))))</f>
        <v/>
      </c>
      <c r="G335" s="44">
        <f>IF(D335="","",IF(E335&lt;&gt;"",E335,IF(F335&lt;&gt;"OK","",IF(INDEX(振り分け!$L$7:$L$456,I335)="","未決定",INDEX(振り分け!$L$7:$L$456,I335)))))</f>
        <v/>
      </c>
      <c r="H335" s="8">
        <f>IF(D335="","",A335&amp;"|"&amp;SUBSTITUTE(SUBSTITUTE(D335," ",""),"　",""))</f>
        <v/>
      </c>
      <c r="I335" s="8">
        <f>IF(H335="","",IFERROR(MATCH(H335,振り分け!$S$7:$S$456,0),""))</f>
        <v/>
      </c>
      <c r="J335" s="8">
        <f>IF(D335="","",IFERROR(MATCH(A335&amp;"-"&amp;B335,設定!$Z$8:$Z$31,0),99)*1000+C335+ROW()/1000000)</f>
        <v/>
      </c>
      <c r="K335" s="8">
        <f>IF(D335="","",IFERROR(INDEX(設定!$L$8:$L$31,MATCH(A335&amp;"-"&amp;B335,設定!$Z$8:$Z$31,0)),A335&amp;B335))</f>
        <v/>
      </c>
    </row>
    <row r="336">
      <c r="A336" s="40" t="n">
        <v>4</v>
      </c>
      <c r="B336" s="40" t="inlineStr">
        <is>
          <t>月</t>
        </is>
      </c>
      <c r="C336" s="40" t="n">
        <v>5</v>
      </c>
      <c r="D336" s="41" t="inlineStr">
        <is>
          <t>山崎　優斗</t>
        </is>
      </c>
      <c r="E336" s="40" t="n"/>
      <c r="F336" s="45">
        <f>IF(D336="","",IF(E336&lt;&gt;"","手入力",IF(I336="","前年度名簿にいない",IF(OR(COUNTIF($H$2:$H$451,H336)&gt;1,COUNTIF(振り分け!$S$7:$S$456,H336)&gt;1),"同姓同名あり（手入力してください）","OK"))))</f>
        <v/>
      </c>
      <c r="G336" s="44">
        <f>IF(D336="","",IF(E336&lt;&gt;"",E336,IF(F336&lt;&gt;"OK","",IF(INDEX(振り分け!$L$7:$L$456,I336)="","未決定",INDEX(振り分け!$L$7:$L$456,I336)))))</f>
        <v/>
      </c>
      <c r="H336" s="8">
        <f>IF(D336="","",A336&amp;"|"&amp;SUBSTITUTE(SUBSTITUTE(D336," ",""),"　",""))</f>
        <v/>
      </c>
      <c r="I336" s="8">
        <f>IF(H336="","",IFERROR(MATCH(H336,振り分け!$S$7:$S$456,0),""))</f>
        <v/>
      </c>
      <c r="J336" s="8">
        <f>IF(D336="","",IFERROR(MATCH(A336&amp;"-"&amp;B336,設定!$Z$8:$Z$31,0),99)*1000+C336+ROW()/1000000)</f>
        <v/>
      </c>
      <c r="K336" s="8">
        <f>IF(D336="","",IFERROR(INDEX(設定!$L$8:$L$31,MATCH(A336&amp;"-"&amp;B336,設定!$Z$8:$Z$31,0)),A336&amp;B336))</f>
        <v/>
      </c>
    </row>
    <row r="337">
      <c r="A337" s="40" t="n">
        <v>4</v>
      </c>
      <c r="B337" s="40" t="inlineStr">
        <is>
          <t>月</t>
        </is>
      </c>
      <c r="C337" s="40" t="n">
        <v>6</v>
      </c>
      <c r="D337" s="41" t="inlineStr">
        <is>
          <t>渡辺　新</t>
        </is>
      </c>
      <c r="E337" s="40" t="n"/>
      <c r="F337" s="45">
        <f>IF(D337="","",IF(E337&lt;&gt;"","手入力",IF(I337="","前年度名簿にいない",IF(OR(COUNTIF($H$2:$H$451,H337)&gt;1,COUNTIF(振り分け!$S$7:$S$456,H337)&gt;1),"同姓同名あり（手入力してください）","OK"))))</f>
        <v/>
      </c>
      <c r="G337" s="44">
        <f>IF(D337="","",IF(E337&lt;&gt;"",E337,IF(F337&lt;&gt;"OK","",IF(INDEX(振り分け!$L$7:$L$456,I337)="","未決定",INDEX(振り分け!$L$7:$L$456,I337)))))</f>
        <v/>
      </c>
      <c r="H337" s="8">
        <f>IF(D337="","",A337&amp;"|"&amp;SUBSTITUTE(SUBSTITUTE(D337," ",""),"　",""))</f>
        <v/>
      </c>
      <c r="I337" s="8">
        <f>IF(H337="","",IFERROR(MATCH(H337,振り分け!$S$7:$S$456,0),""))</f>
        <v/>
      </c>
      <c r="J337" s="8">
        <f>IF(D337="","",IFERROR(MATCH(A337&amp;"-"&amp;B337,設定!$Z$8:$Z$31,0),99)*1000+C337+ROW()/1000000)</f>
        <v/>
      </c>
      <c r="K337" s="8">
        <f>IF(D337="","",IFERROR(INDEX(設定!$L$8:$L$31,MATCH(A337&amp;"-"&amp;B337,設定!$Z$8:$Z$31,0)),A337&amp;B337))</f>
        <v/>
      </c>
    </row>
    <row r="338">
      <c r="A338" s="40" t="n">
        <v>4</v>
      </c>
      <c r="B338" s="40" t="inlineStr">
        <is>
          <t>月</t>
        </is>
      </c>
      <c r="C338" s="40" t="n">
        <v>7</v>
      </c>
      <c r="D338" s="41" t="inlineStr">
        <is>
          <t>後藤　陽太</t>
        </is>
      </c>
      <c r="E338" s="40" t="n"/>
      <c r="F338" s="45">
        <f>IF(D338="","",IF(E338&lt;&gt;"","手入力",IF(I338="","前年度名簿にいない",IF(OR(COUNTIF($H$2:$H$451,H338)&gt;1,COUNTIF(振り分け!$S$7:$S$456,H338)&gt;1),"同姓同名あり（手入力してください）","OK"))))</f>
        <v/>
      </c>
      <c r="G338" s="44">
        <f>IF(D338="","",IF(E338&lt;&gt;"",E338,IF(F338&lt;&gt;"OK","",IF(INDEX(振り分け!$L$7:$L$456,I338)="","未決定",INDEX(振り分け!$L$7:$L$456,I338)))))</f>
        <v/>
      </c>
      <c r="H338" s="8">
        <f>IF(D338="","",A338&amp;"|"&amp;SUBSTITUTE(SUBSTITUTE(D338," ",""),"　",""))</f>
        <v/>
      </c>
      <c r="I338" s="8">
        <f>IF(H338="","",IFERROR(MATCH(H338,振り分け!$S$7:$S$456,0),""))</f>
        <v/>
      </c>
      <c r="J338" s="8">
        <f>IF(D338="","",IFERROR(MATCH(A338&amp;"-"&amp;B338,設定!$Z$8:$Z$31,0),99)*1000+C338+ROW()/1000000)</f>
        <v/>
      </c>
      <c r="K338" s="8">
        <f>IF(D338="","",IFERROR(INDEX(設定!$L$8:$L$31,MATCH(A338&amp;"-"&amp;B338,設定!$Z$8:$Z$31,0)),A338&amp;B338))</f>
        <v/>
      </c>
    </row>
    <row r="339">
      <c r="A339" s="40" t="n">
        <v>4</v>
      </c>
      <c r="B339" s="40" t="inlineStr">
        <is>
          <t>月</t>
        </is>
      </c>
      <c r="C339" s="40" t="n">
        <v>8</v>
      </c>
      <c r="D339" s="41" t="inlineStr">
        <is>
          <t>福田　颯太</t>
        </is>
      </c>
      <c r="E339" s="40" t="n"/>
      <c r="F339" s="45">
        <f>IF(D339="","",IF(E339&lt;&gt;"","手入力",IF(I339="","前年度名簿にいない",IF(OR(COUNTIF($H$2:$H$451,H339)&gt;1,COUNTIF(振り分け!$S$7:$S$456,H339)&gt;1),"同姓同名あり（手入力してください）","OK"))))</f>
        <v/>
      </c>
      <c r="G339" s="44">
        <f>IF(D339="","",IF(E339&lt;&gt;"",E339,IF(F339&lt;&gt;"OK","",IF(INDEX(振り分け!$L$7:$L$456,I339)="","未決定",INDEX(振り分け!$L$7:$L$456,I339)))))</f>
        <v/>
      </c>
      <c r="H339" s="8">
        <f>IF(D339="","",A339&amp;"|"&amp;SUBSTITUTE(SUBSTITUTE(D339," ",""),"　",""))</f>
        <v/>
      </c>
      <c r="I339" s="8">
        <f>IF(H339="","",IFERROR(MATCH(H339,振り分け!$S$7:$S$456,0),""))</f>
        <v/>
      </c>
      <c r="J339" s="8">
        <f>IF(D339="","",IFERROR(MATCH(A339&amp;"-"&amp;B339,設定!$Z$8:$Z$31,0),99)*1000+C339+ROW()/1000000)</f>
        <v/>
      </c>
      <c r="K339" s="8">
        <f>IF(D339="","",IFERROR(INDEX(設定!$L$8:$L$31,MATCH(A339&amp;"-"&amp;B339,設定!$Z$8:$Z$31,0)),A339&amp;B339))</f>
        <v/>
      </c>
    </row>
    <row r="340">
      <c r="A340" s="40" t="n">
        <v>4</v>
      </c>
      <c r="B340" s="40" t="inlineStr">
        <is>
          <t>月</t>
        </is>
      </c>
      <c r="C340" s="40" t="n">
        <v>9</v>
      </c>
      <c r="D340" s="41" t="inlineStr">
        <is>
          <t>竹内　悠真</t>
        </is>
      </c>
      <c r="E340" s="40" t="n"/>
      <c r="F340" s="45">
        <f>IF(D340="","",IF(E340&lt;&gt;"","手入力",IF(I340="","前年度名簿にいない",IF(OR(COUNTIF($H$2:$H$451,H340)&gt;1,COUNTIF(振り分け!$S$7:$S$456,H340)&gt;1),"同姓同名あり（手入力してください）","OK"))))</f>
        <v/>
      </c>
      <c r="G340" s="44">
        <f>IF(D340="","",IF(E340&lt;&gt;"",E340,IF(F340&lt;&gt;"OK","",IF(INDEX(振り分け!$L$7:$L$456,I340)="","未決定",INDEX(振り分け!$L$7:$L$456,I340)))))</f>
        <v/>
      </c>
      <c r="H340" s="8">
        <f>IF(D340="","",A340&amp;"|"&amp;SUBSTITUTE(SUBSTITUTE(D340," ",""),"　",""))</f>
        <v/>
      </c>
      <c r="I340" s="8">
        <f>IF(H340="","",IFERROR(MATCH(H340,振り分け!$S$7:$S$456,0),""))</f>
        <v/>
      </c>
      <c r="J340" s="8">
        <f>IF(D340="","",IFERROR(MATCH(A340&amp;"-"&amp;B340,設定!$Z$8:$Z$31,0),99)*1000+C340+ROW()/1000000)</f>
        <v/>
      </c>
      <c r="K340" s="8">
        <f>IF(D340="","",IFERROR(INDEX(設定!$L$8:$L$31,MATCH(A340&amp;"-"&amp;B340,設定!$Z$8:$Z$31,0)),A340&amp;B340))</f>
        <v/>
      </c>
    </row>
    <row r="341">
      <c r="A341" s="40" t="n">
        <v>4</v>
      </c>
      <c r="B341" s="40" t="inlineStr">
        <is>
          <t>月</t>
        </is>
      </c>
      <c r="C341" s="40" t="n">
        <v>10</v>
      </c>
      <c r="D341" s="41" t="inlineStr">
        <is>
          <t>山崎　悠真</t>
        </is>
      </c>
      <c r="E341" s="40" t="n"/>
      <c r="F341" s="45">
        <f>IF(D341="","",IF(E341&lt;&gt;"","手入力",IF(I341="","前年度名簿にいない",IF(OR(COUNTIF($H$2:$H$451,H341)&gt;1,COUNTIF(振り分け!$S$7:$S$456,H341)&gt;1),"同姓同名あり（手入力してください）","OK"))))</f>
        <v/>
      </c>
      <c r="G341" s="44">
        <f>IF(D341="","",IF(E341&lt;&gt;"",E341,IF(F341&lt;&gt;"OK","",IF(INDEX(振り分け!$L$7:$L$456,I341)="","未決定",INDEX(振り分け!$L$7:$L$456,I341)))))</f>
        <v/>
      </c>
      <c r="H341" s="8">
        <f>IF(D341="","",A341&amp;"|"&amp;SUBSTITUTE(SUBSTITUTE(D341," ",""),"　",""))</f>
        <v/>
      </c>
      <c r="I341" s="8">
        <f>IF(H341="","",IFERROR(MATCH(H341,振り分け!$S$7:$S$456,0),""))</f>
        <v/>
      </c>
      <c r="J341" s="8">
        <f>IF(D341="","",IFERROR(MATCH(A341&amp;"-"&amp;B341,設定!$Z$8:$Z$31,0),99)*1000+C341+ROW()/1000000)</f>
        <v/>
      </c>
      <c r="K341" s="8">
        <f>IF(D341="","",IFERROR(INDEX(設定!$L$8:$L$31,MATCH(A341&amp;"-"&amp;B341,設定!$Z$8:$Z$31,0)),A341&amp;B341))</f>
        <v/>
      </c>
    </row>
    <row r="342">
      <c r="A342" s="40" t="n">
        <v>4</v>
      </c>
      <c r="B342" s="40" t="inlineStr">
        <is>
          <t>月</t>
        </is>
      </c>
      <c r="C342" s="40" t="n">
        <v>11</v>
      </c>
      <c r="D342" s="41" t="inlineStr">
        <is>
          <t>長谷川　蓮</t>
        </is>
      </c>
      <c r="E342" s="40" t="n"/>
      <c r="F342" s="45">
        <f>IF(D342="","",IF(E342&lt;&gt;"","手入力",IF(I342="","前年度名簿にいない",IF(OR(COUNTIF($H$2:$H$451,H342)&gt;1,COUNTIF(振り分け!$S$7:$S$456,H342)&gt;1),"同姓同名あり（手入力してください）","OK"))))</f>
        <v/>
      </c>
      <c r="G342" s="44">
        <f>IF(D342="","",IF(E342&lt;&gt;"",E342,IF(F342&lt;&gt;"OK","",IF(INDEX(振り分け!$L$7:$L$456,I342)="","未決定",INDEX(振り分け!$L$7:$L$456,I342)))))</f>
        <v/>
      </c>
      <c r="H342" s="8">
        <f>IF(D342="","",A342&amp;"|"&amp;SUBSTITUTE(SUBSTITUTE(D342," ",""),"　",""))</f>
        <v/>
      </c>
      <c r="I342" s="8">
        <f>IF(H342="","",IFERROR(MATCH(H342,振り分け!$S$7:$S$456,0),""))</f>
        <v/>
      </c>
      <c r="J342" s="8">
        <f>IF(D342="","",IFERROR(MATCH(A342&amp;"-"&amp;B342,設定!$Z$8:$Z$31,0),99)*1000+C342+ROW()/1000000)</f>
        <v/>
      </c>
      <c r="K342" s="8">
        <f>IF(D342="","",IFERROR(INDEX(設定!$L$8:$L$31,MATCH(A342&amp;"-"&amp;B342,設定!$Z$8:$Z$31,0)),A342&amp;B342))</f>
        <v/>
      </c>
    </row>
    <row r="343">
      <c r="A343" s="40" t="n">
        <v>4</v>
      </c>
      <c r="B343" s="40" t="inlineStr">
        <is>
          <t>月</t>
        </is>
      </c>
      <c r="C343" s="40" t="n">
        <v>12</v>
      </c>
      <c r="D343" s="41" t="inlineStr">
        <is>
          <t>林　陽太</t>
        </is>
      </c>
      <c r="E343" s="40" t="n"/>
      <c r="F343" s="45">
        <f>IF(D343="","",IF(E343&lt;&gt;"","手入力",IF(I343="","前年度名簿にいない",IF(OR(COUNTIF($H$2:$H$451,H343)&gt;1,COUNTIF(振り分け!$S$7:$S$456,H343)&gt;1),"同姓同名あり（手入力してください）","OK"))))</f>
        <v/>
      </c>
      <c r="G343" s="44">
        <f>IF(D343="","",IF(E343&lt;&gt;"",E343,IF(F343&lt;&gt;"OK","",IF(INDEX(振り分け!$L$7:$L$456,I343)="","未決定",INDEX(振り分け!$L$7:$L$456,I343)))))</f>
        <v/>
      </c>
      <c r="H343" s="8">
        <f>IF(D343="","",A343&amp;"|"&amp;SUBSTITUTE(SUBSTITUTE(D343," ",""),"　",""))</f>
        <v/>
      </c>
      <c r="I343" s="8">
        <f>IF(H343="","",IFERROR(MATCH(H343,振り分け!$S$7:$S$456,0),""))</f>
        <v/>
      </c>
      <c r="J343" s="8">
        <f>IF(D343="","",IFERROR(MATCH(A343&amp;"-"&amp;B343,設定!$Z$8:$Z$31,0),99)*1000+C343+ROW()/1000000)</f>
        <v/>
      </c>
      <c r="K343" s="8">
        <f>IF(D343="","",IFERROR(INDEX(設定!$L$8:$L$31,MATCH(A343&amp;"-"&amp;B343,設定!$Z$8:$Z$31,0)),A343&amp;B343))</f>
        <v/>
      </c>
    </row>
    <row r="344">
      <c r="A344" s="40" t="n">
        <v>4</v>
      </c>
      <c r="B344" s="40" t="inlineStr">
        <is>
          <t>月</t>
        </is>
      </c>
      <c r="C344" s="40" t="n">
        <v>13</v>
      </c>
      <c r="D344" s="41" t="inlineStr">
        <is>
          <t>中野　大翔</t>
        </is>
      </c>
      <c r="E344" s="40" t="n"/>
      <c r="F344" s="45">
        <f>IF(D344="","",IF(E344&lt;&gt;"","手入力",IF(I344="","前年度名簿にいない",IF(OR(COUNTIF($H$2:$H$451,H344)&gt;1,COUNTIF(振り分け!$S$7:$S$456,H344)&gt;1),"同姓同名あり（手入力してください）","OK"))))</f>
        <v/>
      </c>
      <c r="G344" s="44">
        <f>IF(D344="","",IF(E344&lt;&gt;"",E344,IF(F344&lt;&gt;"OK","",IF(INDEX(振り分け!$L$7:$L$456,I344)="","未決定",INDEX(振り分け!$L$7:$L$456,I344)))))</f>
        <v/>
      </c>
      <c r="H344" s="8">
        <f>IF(D344="","",A344&amp;"|"&amp;SUBSTITUTE(SUBSTITUTE(D344," ",""),"　",""))</f>
        <v/>
      </c>
      <c r="I344" s="8">
        <f>IF(H344="","",IFERROR(MATCH(H344,振り分け!$S$7:$S$456,0),""))</f>
        <v/>
      </c>
      <c r="J344" s="8">
        <f>IF(D344="","",IFERROR(MATCH(A344&amp;"-"&amp;B344,設定!$Z$8:$Z$31,0),99)*1000+C344+ROW()/1000000)</f>
        <v/>
      </c>
      <c r="K344" s="8">
        <f>IF(D344="","",IFERROR(INDEX(設定!$L$8:$L$31,MATCH(A344&amp;"-"&amp;B344,設定!$Z$8:$Z$31,0)),A344&amp;B344))</f>
        <v/>
      </c>
    </row>
    <row r="345">
      <c r="A345" s="40" t="n">
        <v>4</v>
      </c>
      <c r="B345" s="40" t="inlineStr">
        <is>
          <t>月</t>
        </is>
      </c>
      <c r="C345" s="40" t="n">
        <v>14</v>
      </c>
      <c r="D345" s="41" t="inlineStr">
        <is>
          <t>清水　碧</t>
        </is>
      </c>
      <c r="E345" s="40" t="n"/>
      <c r="F345" s="45">
        <f>IF(D345="","",IF(E345&lt;&gt;"","手入力",IF(I345="","前年度名簿にいない",IF(OR(COUNTIF($H$2:$H$451,H345)&gt;1,COUNTIF(振り分け!$S$7:$S$456,H345)&gt;1),"同姓同名あり（手入力してください）","OK"))))</f>
        <v/>
      </c>
      <c r="G345" s="44">
        <f>IF(D345="","",IF(E345&lt;&gt;"",E345,IF(F345&lt;&gt;"OK","",IF(INDEX(振り分け!$L$7:$L$456,I345)="","未決定",INDEX(振り分け!$L$7:$L$456,I345)))))</f>
        <v/>
      </c>
      <c r="H345" s="8">
        <f>IF(D345="","",A345&amp;"|"&amp;SUBSTITUTE(SUBSTITUTE(D345," ",""),"　",""))</f>
        <v/>
      </c>
      <c r="I345" s="8">
        <f>IF(H345="","",IFERROR(MATCH(H345,振り分け!$S$7:$S$456,0),""))</f>
        <v/>
      </c>
      <c r="J345" s="8">
        <f>IF(D345="","",IFERROR(MATCH(A345&amp;"-"&amp;B345,設定!$Z$8:$Z$31,0),99)*1000+C345+ROW()/1000000)</f>
        <v/>
      </c>
      <c r="K345" s="8">
        <f>IF(D345="","",IFERROR(INDEX(設定!$L$8:$L$31,MATCH(A345&amp;"-"&amp;B345,設定!$Z$8:$Z$31,0)),A345&amp;B345))</f>
        <v/>
      </c>
    </row>
    <row r="346">
      <c r="A346" s="40" t="n">
        <v>4</v>
      </c>
      <c r="B346" s="40" t="inlineStr">
        <is>
          <t>月</t>
        </is>
      </c>
      <c r="C346" s="40" t="n">
        <v>15</v>
      </c>
      <c r="D346" s="41" t="inlineStr">
        <is>
          <t>岡本　颯太</t>
        </is>
      </c>
      <c r="E346" s="40" t="n"/>
      <c r="F346" s="45">
        <f>IF(D346="","",IF(E346&lt;&gt;"","手入力",IF(I346="","前年度名簿にいない",IF(OR(COUNTIF($H$2:$H$451,H346)&gt;1,COUNTIF(振り分け!$S$7:$S$456,H346)&gt;1),"同姓同名あり（手入力してください）","OK"))))</f>
        <v/>
      </c>
      <c r="G346" s="44">
        <f>IF(D346="","",IF(E346&lt;&gt;"",E346,IF(F346&lt;&gt;"OK","",IF(INDEX(振り分け!$L$7:$L$456,I346)="","未決定",INDEX(振り分け!$L$7:$L$456,I346)))))</f>
        <v/>
      </c>
      <c r="H346" s="8">
        <f>IF(D346="","",A346&amp;"|"&amp;SUBSTITUTE(SUBSTITUTE(D346," ",""),"　",""))</f>
        <v/>
      </c>
      <c r="I346" s="8">
        <f>IF(H346="","",IFERROR(MATCH(H346,振り分け!$S$7:$S$456,0),""))</f>
        <v/>
      </c>
      <c r="J346" s="8">
        <f>IF(D346="","",IFERROR(MATCH(A346&amp;"-"&amp;B346,設定!$Z$8:$Z$31,0),99)*1000+C346+ROW()/1000000)</f>
        <v/>
      </c>
      <c r="K346" s="8">
        <f>IF(D346="","",IFERROR(INDEX(設定!$L$8:$L$31,MATCH(A346&amp;"-"&amp;B346,設定!$Z$8:$Z$31,0)),A346&amp;B346))</f>
        <v/>
      </c>
    </row>
    <row r="347">
      <c r="A347" s="40" t="n">
        <v>4</v>
      </c>
      <c r="B347" s="40" t="inlineStr">
        <is>
          <t>月</t>
        </is>
      </c>
      <c r="C347" s="40" t="n">
        <v>16</v>
      </c>
      <c r="D347" s="41" t="inlineStr">
        <is>
          <t>青木　優斗</t>
        </is>
      </c>
      <c r="E347" s="40" t="n"/>
      <c r="F347" s="45">
        <f>IF(D347="","",IF(E347&lt;&gt;"","手入力",IF(I347="","前年度名簿にいない",IF(OR(COUNTIF($H$2:$H$451,H347)&gt;1,COUNTIF(振り分け!$S$7:$S$456,H347)&gt;1),"同姓同名あり（手入力してください）","OK"))))</f>
        <v/>
      </c>
      <c r="G347" s="44">
        <f>IF(D347="","",IF(E347&lt;&gt;"",E347,IF(F347&lt;&gt;"OK","",IF(INDEX(振り分け!$L$7:$L$456,I347)="","未決定",INDEX(振り分け!$L$7:$L$456,I347)))))</f>
        <v/>
      </c>
      <c r="H347" s="8">
        <f>IF(D347="","",A347&amp;"|"&amp;SUBSTITUTE(SUBSTITUTE(D347," ",""),"　",""))</f>
        <v/>
      </c>
      <c r="I347" s="8">
        <f>IF(H347="","",IFERROR(MATCH(H347,振り分け!$S$7:$S$456,0),""))</f>
        <v/>
      </c>
      <c r="J347" s="8">
        <f>IF(D347="","",IFERROR(MATCH(A347&amp;"-"&amp;B347,設定!$Z$8:$Z$31,0),99)*1000+C347+ROW()/1000000)</f>
        <v/>
      </c>
      <c r="K347" s="8">
        <f>IF(D347="","",IFERROR(INDEX(設定!$L$8:$L$31,MATCH(A347&amp;"-"&amp;B347,設定!$Z$8:$Z$31,0)),A347&amp;B347))</f>
        <v/>
      </c>
    </row>
    <row r="348">
      <c r="A348" s="40" t="n">
        <v>4</v>
      </c>
      <c r="B348" s="40" t="inlineStr">
        <is>
          <t>月</t>
        </is>
      </c>
      <c r="C348" s="40" t="n">
        <v>17</v>
      </c>
      <c r="D348" s="41" t="inlineStr">
        <is>
          <t>井上　さくら</t>
        </is>
      </c>
      <c r="E348" s="40" t="n"/>
      <c r="F348" s="45">
        <f>IF(D348="","",IF(E348&lt;&gt;"","手入力",IF(I348="","前年度名簿にいない",IF(OR(COUNTIF($H$2:$H$451,H348)&gt;1,COUNTIF(振り分け!$S$7:$S$456,H348)&gt;1),"同姓同名あり（手入力してください）","OK"))))</f>
        <v/>
      </c>
      <c r="G348" s="44">
        <f>IF(D348="","",IF(E348&lt;&gt;"",E348,IF(F348&lt;&gt;"OK","",IF(INDEX(振り分け!$L$7:$L$456,I348)="","未決定",INDEX(振り分け!$L$7:$L$456,I348)))))</f>
        <v/>
      </c>
      <c r="H348" s="8">
        <f>IF(D348="","",A348&amp;"|"&amp;SUBSTITUTE(SUBSTITUTE(D348," ",""),"　",""))</f>
        <v/>
      </c>
      <c r="I348" s="8">
        <f>IF(H348="","",IFERROR(MATCH(H348,振り分け!$S$7:$S$456,0),""))</f>
        <v/>
      </c>
      <c r="J348" s="8">
        <f>IF(D348="","",IFERROR(MATCH(A348&amp;"-"&amp;B348,設定!$Z$8:$Z$31,0),99)*1000+C348+ROW()/1000000)</f>
        <v/>
      </c>
      <c r="K348" s="8">
        <f>IF(D348="","",IFERROR(INDEX(設定!$L$8:$L$31,MATCH(A348&amp;"-"&amp;B348,設定!$Z$8:$Z$31,0)),A348&amp;B348))</f>
        <v/>
      </c>
    </row>
    <row r="349">
      <c r="A349" s="40" t="n">
        <v>4</v>
      </c>
      <c r="B349" s="40" t="inlineStr">
        <is>
          <t>月</t>
        </is>
      </c>
      <c r="C349" s="40" t="n">
        <v>18</v>
      </c>
      <c r="D349" s="41" t="inlineStr">
        <is>
          <t>橋本　紬</t>
        </is>
      </c>
      <c r="E349" s="40" t="n"/>
      <c r="F349" s="45">
        <f>IF(D349="","",IF(E349&lt;&gt;"","手入力",IF(I349="","前年度名簿にいない",IF(OR(COUNTIF($H$2:$H$451,H349)&gt;1,COUNTIF(振り分け!$S$7:$S$456,H349)&gt;1),"同姓同名あり（手入力してください）","OK"))))</f>
        <v/>
      </c>
      <c r="G349" s="44">
        <f>IF(D349="","",IF(E349&lt;&gt;"",E349,IF(F349&lt;&gt;"OK","",IF(INDEX(振り分け!$L$7:$L$456,I349)="","未決定",INDEX(振り分け!$L$7:$L$456,I349)))))</f>
        <v/>
      </c>
      <c r="H349" s="8">
        <f>IF(D349="","",A349&amp;"|"&amp;SUBSTITUTE(SUBSTITUTE(D349," ",""),"　",""))</f>
        <v/>
      </c>
      <c r="I349" s="8">
        <f>IF(H349="","",IFERROR(MATCH(H349,振り分け!$S$7:$S$456,0),""))</f>
        <v/>
      </c>
      <c r="J349" s="8">
        <f>IF(D349="","",IFERROR(MATCH(A349&amp;"-"&amp;B349,設定!$Z$8:$Z$31,0),99)*1000+C349+ROW()/1000000)</f>
        <v/>
      </c>
      <c r="K349" s="8">
        <f>IF(D349="","",IFERROR(INDEX(設定!$L$8:$L$31,MATCH(A349&amp;"-"&amp;B349,設定!$Z$8:$Z$31,0)),A349&amp;B349))</f>
        <v/>
      </c>
    </row>
    <row r="350">
      <c r="A350" s="40" t="n">
        <v>4</v>
      </c>
      <c r="B350" s="40" t="inlineStr">
        <is>
          <t>月</t>
        </is>
      </c>
      <c r="C350" s="40" t="n">
        <v>19</v>
      </c>
      <c r="D350" s="41" t="inlineStr">
        <is>
          <t>長谷川　楓</t>
        </is>
      </c>
      <c r="E350" s="40" t="n"/>
      <c r="F350" s="45">
        <f>IF(D350="","",IF(E350&lt;&gt;"","手入力",IF(I350="","前年度名簿にいない",IF(OR(COUNTIF($H$2:$H$451,H350)&gt;1,COUNTIF(振り分け!$S$7:$S$456,H350)&gt;1),"同姓同名あり（手入力してください）","OK"))))</f>
        <v/>
      </c>
      <c r="G350" s="44">
        <f>IF(D350="","",IF(E350&lt;&gt;"",E350,IF(F350&lt;&gt;"OK","",IF(INDEX(振り分け!$L$7:$L$456,I350)="","未決定",INDEX(振り分け!$L$7:$L$456,I350)))))</f>
        <v/>
      </c>
      <c r="H350" s="8">
        <f>IF(D350="","",A350&amp;"|"&amp;SUBSTITUTE(SUBSTITUTE(D350," ",""),"　",""))</f>
        <v/>
      </c>
      <c r="I350" s="8">
        <f>IF(H350="","",IFERROR(MATCH(H350,振り分け!$S$7:$S$456,0),""))</f>
        <v/>
      </c>
      <c r="J350" s="8">
        <f>IF(D350="","",IFERROR(MATCH(A350&amp;"-"&amp;B350,設定!$Z$8:$Z$31,0),99)*1000+C350+ROW()/1000000)</f>
        <v/>
      </c>
      <c r="K350" s="8">
        <f>IF(D350="","",IFERROR(INDEX(設定!$L$8:$L$31,MATCH(A350&amp;"-"&amp;B350,設定!$Z$8:$Z$31,0)),A350&amp;B350))</f>
        <v/>
      </c>
    </row>
    <row r="351">
      <c r="A351" s="40" t="n">
        <v>4</v>
      </c>
      <c r="B351" s="40" t="inlineStr">
        <is>
          <t>月</t>
        </is>
      </c>
      <c r="C351" s="40" t="n">
        <v>20</v>
      </c>
      <c r="D351" s="41" t="inlineStr">
        <is>
          <t>遠藤　蒼</t>
        </is>
      </c>
      <c r="E351" s="40" t="n"/>
      <c r="F351" s="45">
        <f>IF(D351="","",IF(E351&lt;&gt;"","手入力",IF(I351="","前年度名簿にいない",IF(OR(COUNTIF($H$2:$H$451,H351)&gt;1,COUNTIF(振り分け!$S$7:$S$456,H351)&gt;1),"同姓同名あり（手入力してください）","OK"))))</f>
        <v/>
      </c>
      <c r="G351" s="44">
        <f>IF(D351="","",IF(E351&lt;&gt;"",E351,IF(F351&lt;&gt;"OK","",IF(INDEX(振り分け!$L$7:$L$456,I351)="","未決定",INDEX(振り分け!$L$7:$L$456,I351)))))</f>
        <v/>
      </c>
      <c r="H351" s="8">
        <f>IF(D351="","",A351&amp;"|"&amp;SUBSTITUTE(SUBSTITUTE(D351," ",""),"　",""))</f>
        <v/>
      </c>
      <c r="I351" s="8">
        <f>IF(H351="","",IFERROR(MATCH(H351,振り分け!$S$7:$S$456,0),""))</f>
        <v/>
      </c>
      <c r="J351" s="8">
        <f>IF(D351="","",IFERROR(MATCH(A351&amp;"-"&amp;B351,設定!$Z$8:$Z$31,0),99)*1000+C351+ROW()/1000000)</f>
        <v/>
      </c>
      <c r="K351" s="8">
        <f>IF(D351="","",IFERROR(INDEX(設定!$L$8:$L$31,MATCH(A351&amp;"-"&amp;B351,設定!$Z$8:$Z$31,0)),A351&amp;B351))</f>
        <v/>
      </c>
    </row>
    <row r="352">
      <c r="A352" s="40" t="n">
        <v>4</v>
      </c>
      <c r="B352" s="40" t="inlineStr">
        <is>
          <t>月</t>
        </is>
      </c>
      <c r="C352" s="40" t="n">
        <v>21</v>
      </c>
      <c r="D352" s="41" t="inlineStr">
        <is>
          <t>金子　颯太</t>
        </is>
      </c>
      <c r="E352" s="40" t="n"/>
      <c r="F352" s="45">
        <f>IF(D352="","",IF(E352&lt;&gt;"","手入力",IF(I352="","前年度名簿にいない",IF(OR(COUNTIF($H$2:$H$451,H352)&gt;1,COUNTIF(振り分け!$S$7:$S$456,H352)&gt;1),"同姓同名あり（手入力してください）","OK"))))</f>
        <v/>
      </c>
      <c r="G352" s="44">
        <f>IF(D352="","",IF(E352&lt;&gt;"",E352,IF(F352&lt;&gt;"OK","",IF(INDEX(振り分け!$L$7:$L$456,I352)="","未決定",INDEX(振り分け!$L$7:$L$456,I352)))))</f>
        <v/>
      </c>
      <c r="H352" s="8">
        <f>IF(D352="","",A352&amp;"|"&amp;SUBSTITUTE(SUBSTITUTE(D352," ",""),"　",""))</f>
        <v/>
      </c>
      <c r="I352" s="8">
        <f>IF(H352="","",IFERROR(MATCH(H352,振り分け!$S$7:$S$456,0),""))</f>
        <v/>
      </c>
      <c r="J352" s="8">
        <f>IF(D352="","",IFERROR(MATCH(A352&amp;"-"&amp;B352,設定!$Z$8:$Z$31,0),99)*1000+C352+ROW()/1000000)</f>
        <v/>
      </c>
      <c r="K352" s="8">
        <f>IF(D352="","",IFERROR(INDEX(設定!$L$8:$L$31,MATCH(A352&amp;"-"&amp;B352,設定!$Z$8:$Z$31,0)),A352&amp;B352))</f>
        <v/>
      </c>
    </row>
    <row r="353">
      <c r="A353" s="40" t="n">
        <v>4</v>
      </c>
      <c r="B353" s="40" t="inlineStr">
        <is>
          <t>月</t>
        </is>
      </c>
      <c r="C353" s="40" t="n">
        <v>22</v>
      </c>
      <c r="D353" s="41" t="inlineStr">
        <is>
          <t>山口　大翔</t>
        </is>
      </c>
      <c r="E353" s="40" t="n"/>
      <c r="F353" s="45">
        <f>IF(D353="","",IF(E353&lt;&gt;"","手入力",IF(I353="","前年度名簿にいない",IF(OR(COUNTIF($H$2:$H$451,H353)&gt;1,COUNTIF(振り分け!$S$7:$S$456,H353)&gt;1),"同姓同名あり（手入力してください）","OK"))))</f>
        <v/>
      </c>
      <c r="G353" s="44">
        <f>IF(D353="","",IF(E353&lt;&gt;"",E353,IF(F353&lt;&gt;"OK","",IF(INDEX(振り分け!$L$7:$L$456,I353)="","未決定",INDEX(振り分け!$L$7:$L$456,I353)))))</f>
        <v/>
      </c>
      <c r="H353" s="8">
        <f>IF(D353="","",A353&amp;"|"&amp;SUBSTITUTE(SUBSTITUTE(D353," ",""),"　",""))</f>
        <v/>
      </c>
      <c r="I353" s="8">
        <f>IF(H353="","",IFERROR(MATCH(H353,振り分け!$S$7:$S$456,0),""))</f>
        <v/>
      </c>
      <c r="J353" s="8">
        <f>IF(D353="","",IFERROR(MATCH(A353&amp;"-"&amp;B353,設定!$Z$8:$Z$31,0),99)*1000+C353+ROW()/1000000)</f>
        <v/>
      </c>
      <c r="K353" s="8">
        <f>IF(D353="","",IFERROR(INDEX(設定!$L$8:$L$31,MATCH(A353&amp;"-"&amp;B353,設定!$Z$8:$Z$31,0)),A353&amp;B353))</f>
        <v/>
      </c>
    </row>
    <row r="354">
      <c r="A354" s="40" t="n">
        <v>4</v>
      </c>
      <c r="B354" s="40" t="inlineStr">
        <is>
          <t>月</t>
        </is>
      </c>
      <c r="C354" s="40" t="n">
        <v>23</v>
      </c>
      <c r="D354" s="41" t="inlineStr">
        <is>
          <t>佐々木　真央</t>
        </is>
      </c>
      <c r="E354" s="40" t="n"/>
      <c r="F354" s="45">
        <f>IF(D354="","",IF(E354&lt;&gt;"","手入力",IF(I354="","前年度名簿にいない",IF(OR(COUNTIF($H$2:$H$451,H354)&gt;1,COUNTIF(振り分け!$S$7:$S$456,H354)&gt;1),"同姓同名あり（手入力してください）","OK"))))</f>
        <v/>
      </c>
      <c r="G354" s="44">
        <f>IF(D354="","",IF(E354&lt;&gt;"",E354,IF(F354&lt;&gt;"OK","",IF(INDEX(振り分け!$L$7:$L$456,I354)="","未決定",INDEX(振り分け!$L$7:$L$456,I354)))))</f>
        <v/>
      </c>
      <c r="H354" s="8">
        <f>IF(D354="","",A354&amp;"|"&amp;SUBSTITUTE(SUBSTITUTE(D354," ",""),"　",""))</f>
        <v/>
      </c>
      <c r="I354" s="8">
        <f>IF(H354="","",IFERROR(MATCH(H354,振り分け!$S$7:$S$456,0),""))</f>
        <v/>
      </c>
      <c r="J354" s="8">
        <f>IF(D354="","",IFERROR(MATCH(A354&amp;"-"&amp;B354,設定!$Z$8:$Z$31,0),99)*1000+C354+ROW()/1000000)</f>
        <v/>
      </c>
      <c r="K354" s="8">
        <f>IF(D354="","",IFERROR(INDEX(設定!$L$8:$L$31,MATCH(A354&amp;"-"&amp;B354,設定!$Z$8:$Z$31,0)),A354&amp;B354))</f>
        <v/>
      </c>
    </row>
    <row r="355">
      <c r="A355" s="40" t="n">
        <v>4</v>
      </c>
      <c r="B355" s="40" t="inlineStr">
        <is>
          <t>月</t>
        </is>
      </c>
      <c r="C355" s="40" t="n">
        <v>24</v>
      </c>
      <c r="D355" s="41" t="inlineStr">
        <is>
          <t>藤田　健太</t>
        </is>
      </c>
      <c r="E355" s="40" t="n"/>
      <c r="F355" s="45">
        <f>IF(D355="","",IF(E355&lt;&gt;"","手入力",IF(I355="","前年度名簿にいない",IF(OR(COUNTIF($H$2:$H$451,H355)&gt;1,COUNTIF(振り分け!$S$7:$S$456,H355)&gt;1),"同姓同名あり（手入力してください）","OK"))))</f>
        <v/>
      </c>
      <c r="G355" s="44">
        <f>IF(D355="","",IF(E355&lt;&gt;"",E355,IF(F355&lt;&gt;"OK","",IF(INDEX(振り分け!$L$7:$L$456,I355)="","未決定",INDEX(振り分け!$L$7:$L$456,I355)))))</f>
        <v/>
      </c>
      <c r="H355" s="8">
        <f>IF(D355="","",A355&amp;"|"&amp;SUBSTITUTE(SUBSTITUTE(D355," ",""),"　",""))</f>
        <v/>
      </c>
      <c r="I355" s="8">
        <f>IF(H355="","",IFERROR(MATCH(H355,振り分け!$S$7:$S$456,0),""))</f>
        <v/>
      </c>
      <c r="J355" s="8">
        <f>IF(D355="","",IFERROR(MATCH(A355&amp;"-"&amp;B355,設定!$Z$8:$Z$31,0),99)*1000+C355+ROW()/1000000)</f>
        <v/>
      </c>
      <c r="K355" s="8">
        <f>IF(D355="","",IFERROR(INDEX(設定!$L$8:$L$31,MATCH(A355&amp;"-"&amp;B355,設定!$Z$8:$Z$31,0)),A355&amp;B355))</f>
        <v/>
      </c>
    </row>
    <row r="356">
      <c r="A356" s="40" t="n">
        <v>4</v>
      </c>
      <c r="B356" s="40" t="inlineStr">
        <is>
          <t>月</t>
        </is>
      </c>
      <c r="C356" s="40" t="n">
        <v>25</v>
      </c>
      <c r="D356" s="41" t="inlineStr">
        <is>
          <t>山口　彩花</t>
        </is>
      </c>
      <c r="E356" s="40" t="n"/>
      <c r="F356" s="45">
        <f>IF(D356="","",IF(E356&lt;&gt;"","手入力",IF(I356="","前年度名簿にいない",IF(OR(COUNTIF($H$2:$H$451,H356)&gt;1,COUNTIF(振り分け!$S$7:$S$456,H356)&gt;1),"同姓同名あり（手入力してください）","OK"))))</f>
        <v/>
      </c>
      <c r="G356" s="44">
        <f>IF(D356="","",IF(E356&lt;&gt;"",E356,IF(F356&lt;&gt;"OK","",IF(INDEX(振り分け!$L$7:$L$456,I356)="","未決定",INDEX(振り分け!$L$7:$L$456,I356)))))</f>
        <v/>
      </c>
      <c r="H356" s="8">
        <f>IF(D356="","",A356&amp;"|"&amp;SUBSTITUTE(SUBSTITUTE(D356," ",""),"　",""))</f>
        <v/>
      </c>
      <c r="I356" s="8">
        <f>IF(H356="","",IFERROR(MATCH(H356,振り分け!$S$7:$S$456,0),""))</f>
        <v/>
      </c>
      <c r="J356" s="8">
        <f>IF(D356="","",IFERROR(MATCH(A356&amp;"-"&amp;B356,設定!$Z$8:$Z$31,0),99)*1000+C356+ROW()/1000000)</f>
        <v/>
      </c>
      <c r="K356" s="8">
        <f>IF(D356="","",IFERROR(INDEX(設定!$L$8:$L$31,MATCH(A356&amp;"-"&amp;B356,設定!$Z$8:$Z$31,0)),A356&amp;B356))</f>
        <v/>
      </c>
    </row>
    <row r="357">
      <c r="A357" s="40" t="n">
        <v>4</v>
      </c>
      <c r="B357" s="40" t="inlineStr">
        <is>
          <t>月</t>
        </is>
      </c>
      <c r="C357" s="40" t="n">
        <v>26</v>
      </c>
      <c r="D357" s="41" t="inlineStr">
        <is>
          <t>岡田　翼</t>
        </is>
      </c>
      <c r="E357" s="40" t="n"/>
      <c r="F357" s="45">
        <f>IF(D357="","",IF(E357&lt;&gt;"","手入力",IF(I357="","前年度名簿にいない",IF(OR(COUNTIF($H$2:$H$451,H357)&gt;1,COUNTIF(振り分け!$S$7:$S$456,H357)&gt;1),"同姓同名あり（手入力してください）","OK"))))</f>
        <v/>
      </c>
      <c r="G357" s="44">
        <f>IF(D357="","",IF(E357&lt;&gt;"",E357,IF(F357&lt;&gt;"OK","",IF(INDEX(振り分け!$L$7:$L$456,I357)="","未決定",INDEX(振り分け!$L$7:$L$456,I357)))))</f>
        <v/>
      </c>
      <c r="H357" s="8">
        <f>IF(D357="","",A357&amp;"|"&amp;SUBSTITUTE(SUBSTITUTE(D357," ",""),"　",""))</f>
        <v/>
      </c>
      <c r="I357" s="8">
        <f>IF(H357="","",IFERROR(MATCH(H357,振り分け!$S$7:$S$456,0),""))</f>
        <v/>
      </c>
      <c r="J357" s="8">
        <f>IF(D357="","",IFERROR(MATCH(A357&amp;"-"&amp;B357,設定!$Z$8:$Z$31,0),99)*1000+C357+ROW()/1000000)</f>
        <v/>
      </c>
      <c r="K357" s="8">
        <f>IF(D357="","",IFERROR(INDEX(設定!$L$8:$L$31,MATCH(A357&amp;"-"&amp;B357,設定!$Z$8:$Z$31,0)),A357&amp;B357))</f>
        <v/>
      </c>
    </row>
    <row r="358">
      <c r="A358" s="40" t="n">
        <v>4</v>
      </c>
      <c r="B358" s="40" t="inlineStr">
        <is>
          <t>月</t>
        </is>
      </c>
      <c r="C358" s="40" t="n">
        <v>27</v>
      </c>
      <c r="D358" s="41" t="inlineStr">
        <is>
          <t>斎藤　陽葵</t>
        </is>
      </c>
      <c r="E358" s="40" t="n"/>
      <c r="F358" s="45">
        <f>IF(D358="","",IF(E358&lt;&gt;"","手入力",IF(I358="","前年度名簿にいない",IF(OR(COUNTIF($H$2:$H$451,H358)&gt;1,COUNTIF(振り分け!$S$7:$S$456,H358)&gt;1),"同姓同名あり（手入力してください）","OK"))))</f>
        <v/>
      </c>
      <c r="G358" s="44">
        <f>IF(D358="","",IF(E358&lt;&gt;"",E358,IF(F358&lt;&gt;"OK","",IF(INDEX(振り分け!$L$7:$L$456,I358)="","未決定",INDEX(振り分け!$L$7:$L$456,I358)))))</f>
        <v/>
      </c>
      <c r="H358" s="8">
        <f>IF(D358="","",A358&amp;"|"&amp;SUBSTITUTE(SUBSTITUTE(D358," ",""),"　",""))</f>
        <v/>
      </c>
      <c r="I358" s="8">
        <f>IF(H358="","",IFERROR(MATCH(H358,振り分け!$S$7:$S$456,0),""))</f>
        <v/>
      </c>
      <c r="J358" s="8">
        <f>IF(D358="","",IFERROR(MATCH(A358&amp;"-"&amp;B358,設定!$Z$8:$Z$31,0),99)*1000+C358+ROW()/1000000)</f>
        <v/>
      </c>
      <c r="K358" s="8">
        <f>IF(D358="","",IFERROR(INDEX(設定!$L$8:$L$31,MATCH(A358&amp;"-"&amp;B358,設定!$Z$8:$Z$31,0)),A358&amp;B358))</f>
        <v/>
      </c>
    </row>
    <row r="359">
      <c r="A359" s="40" t="n">
        <v>4</v>
      </c>
      <c r="B359" s="40" t="inlineStr">
        <is>
          <t>月</t>
        </is>
      </c>
      <c r="C359" s="40" t="n">
        <v>28</v>
      </c>
      <c r="D359" s="41" t="inlineStr">
        <is>
          <t>山崎　真央</t>
        </is>
      </c>
      <c r="E359" s="40" t="n"/>
      <c r="F359" s="45">
        <f>IF(D359="","",IF(E359&lt;&gt;"","手入力",IF(I359="","前年度名簿にいない",IF(OR(COUNTIF($H$2:$H$451,H359)&gt;1,COUNTIF(振り分け!$S$7:$S$456,H359)&gt;1),"同姓同名あり（手入力してください）","OK"))))</f>
        <v/>
      </c>
      <c r="G359" s="44">
        <f>IF(D359="","",IF(E359&lt;&gt;"",E359,IF(F359&lt;&gt;"OK","",IF(INDEX(振り分け!$L$7:$L$456,I359)="","未決定",INDEX(振り分け!$L$7:$L$456,I359)))))</f>
        <v/>
      </c>
      <c r="H359" s="8">
        <f>IF(D359="","",A359&amp;"|"&amp;SUBSTITUTE(SUBSTITUTE(D359," ",""),"　",""))</f>
        <v/>
      </c>
      <c r="I359" s="8">
        <f>IF(H359="","",IFERROR(MATCH(H359,振り分け!$S$7:$S$456,0),""))</f>
        <v/>
      </c>
      <c r="J359" s="8">
        <f>IF(D359="","",IFERROR(MATCH(A359&amp;"-"&amp;B359,設定!$Z$8:$Z$31,0),99)*1000+C359+ROW()/1000000)</f>
        <v/>
      </c>
      <c r="K359" s="8">
        <f>IF(D359="","",IFERROR(INDEX(設定!$L$8:$L$31,MATCH(A359&amp;"-"&amp;B359,設定!$Z$8:$Z$31,0)),A359&amp;B359))</f>
        <v/>
      </c>
    </row>
    <row r="360">
      <c r="A360" s="40" t="n">
        <v>4</v>
      </c>
      <c r="B360" s="40" t="inlineStr">
        <is>
          <t>月</t>
        </is>
      </c>
      <c r="C360" s="40" t="n">
        <v>29</v>
      </c>
      <c r="D360" s="41" t="inlineStr">
        <is>
          <t>福田　澪</t>
        </is>
      </c>
      <c r="E360" s="40" t="n"/>
      <c r="F360" s="45">
        <f>IF(D360="","",IF(E360&lt;&gt;"","手入力",IF(I360="","前年度名簿にいない",IF(OR(COUNTIF($H$2:$H$451,H360)&gt;1,COUNTIF(振り分け!$S$7:$S$456,H360)&gt;1),"同姓同名あり（手入力してください）","OK"))))</f>
        <v/>
      </c>
      <c r="G360" s="44">
        <f>IF(D360="","",IF(E360&lt;&gt;"",E360,IF(F360&lt;&gt;"OK","",IF(INDEX(振り分け!$L$7:$L$456,I360)="","未決定",INDEX(振り分け!$L$7:$L$456,I360)))))</f>
        <v/>
      </c>
      <c r="H360" s="8">
        <f>IF(D360="","",A360&amp;"|"&amp;SUBSTITUTE(SUBSTITUTE(D360," ",""),"　",""))</f>
        <v/>
      </c>
      <c r="I360" s="8">
        <f>IF(H360="","",IFERROR(MATCH(H360,振り分け!$S$7:$S$456,0),""))</f>
        <v/>
      </c>
      <c r="J360" s="8">
        <f>IF(D360="","",IFERROR(MATCH(A360&amp;"-"&amp;B360,設定!$Z$8:$Z$31,0),99)*1000+C360+ROW()/1000000)</f>
        <v/>
      </c>
      <c r="K360" s="8">
        <f>IF(D360="","",IFERROR(INDEX(設定!$L$8:$L$31,MATCH(A360&amp;"-"&amp;B360,設定!$Z$8:$Z$31,0)),A360&amp;B360))</f>
        <v/>
      </c>
    </row>
    <row r="361">
      <c r="A361" s="40" t="n">
        <v>4</v>
      </c>
      <c r="B361" s="40" t="inlineStr">
        <is>
          <t>月</t>
        </is>
      </c>
      <c r="C361" s="40" t="n">
        <v>30</v>
      </c>
      <c r="D361" s="41" t="inlineStr">
        <is>
          <t>鈴木　葵</t>
        </is>
      </c>
      <c r="E361" s="40" t="n"/>
      <c r="F361" s="45">
        <f>IF(D361="","",IF(E361&lt;&gt;"","手入力",IF(I361="","前年度名簿にいない",IF(OR(COUNTIF($H$2:$H$451,H361)&gt;1,COUNTIF(振り分け!$S$7:$S$456,H361)&gt;1),"同姓同名あり（手入力してください）","OK"))))</f>
        <v/>
      </c>
      <c r="G361" s="44">
        <f>IF(D361="","",IF(E361&lt;&gt;"",E361,IF(F361&lt;&gt;"OK","",IF(INDEX(振り分け!$L$7:$L$456,I361)="","未決定",INDEX(振り分け!$L$7:$L$456,I361)))))</f>
        <v/>
      </c>
      <c r="H361" s="8">
        <f>IF(D361="","",A361&amp;"|"&amp;SUBSTITUTE(SUBSTITUTE(D361," ",""),"　",""))</f>
        <v/>
      </c>
      <c r="I361" s="8">
        <f>IF(H361="","",IFERROR(MATCH(H361,振り分け!$S$7:$S$456,0),""))</f>
        <v/>
      </c>
      <c r="J361" s="8">
        <f>IF(D361="","",IFERROR(MATCH(A361&amp;"-"&amp;B361,設定!$Z$8:$Z$31,0),99)*1000+C361+ROW()/1000000)</f>
        <v/>
      </c>
      <c r="K361" s="8">
        <f>IF(D361="","",IFERROR(INDEX(設定!$L$8:$L$31,MATCH(A361&amp;"-"&amp;B361,設定!$Z$8:$Z$31,0)),A361&amp;B361))</f>
        <v/>
      </c>
    </row>
    <row r="362">
      <c r="A362" s="40" t="n">
        <v>4</v>
      </c>
      <c r="B362" s="40" t="inlineStr">
        <is>
          <t>月</t>
        </is>
      </c>
      <c r="C362" s="40" t="n">
        <v>31</v>
      </c>
      <c r="D362" s="41" t="inlineStr">
        <is>
          <t>藤田　拓海</t>
        </is>
      </c>
      <c r="E362" s="40" t="n"/>
      <c r="F362" s="45">
        <f>IF(D362="","",IF(E362&lt;&gt;"","手入力",IF(I362="","前年度名簿にいない",IF(OR(COUNTIF($H$2:$H$451,H362)&gt;1,COUNTIF(振り分け!$S$7:$S$456,H362)&gt;1),"同姓同名あり（手入力してください）","OK"))))</f>
        <v/>
      </c>
      <c r="G362" s="44">
        <f>IF(D362="","",IF(E362&lt;&gt;"",E362,IF(F362&lt;&gt;"OK","",IF(INDEX(振り分け!$L$7:$L$456,I362)="","未決定",INDEX(振り分け!$L$7:$L$456,I362)))))</f>
        <v/>
      </c>
      <c r="H362" s="8">
        <f>IF(D362="","",A362&amp;"|"&amp;SUBSTITUTE(SUBSTITUTE(D362," ",""),"　",""))</f>
        <v/>
      </c>
      <c r="I362" s="8">
        <f>IF(H362="","",IFERROR(MATCH(H362,振り分け!$S$7:$S$456,0),""))</f>
        <v/>
      </c>
      <c r="J362" s="8">
        <f>IF(D362="","",IFERROR(MATCH(A362&amp;"-"&amp;B362,設定!$Z$8:$Z$31,0),99)*1000+C362+ROW()/1000000)</f>
        <v/>
      </c>
      <c r="K362" s="8">
        <f>IF(D362="","",IFERROR(INDEX(設定!$L$8:$L$31,MATCH(A362&amp;"-"&amp;B362,設定!$Z$8:$Z$31,0)),A362&amp;B362))</f>
        <v/>
      </c>
    </row>
    <row r="363">
      <c r="A363" s="40" t="n"/>
      <c r="B363" s="40" t="n"/>
      <c r="C363" s="40" t="n"/>
      <c r="D363" s="41" t="n"/>
      <c r="E363" s="40" t="n"/>
      <c r="F363" s="45">
        <f>IF(D363="","",IF(E363&lt;&gt;"","手入力",IF(I363="","前年度名簿にいない",IF(OR(COUNTIF($H$2:$H$451,H363)&gt;1,COUNTIF(振り分け!$S$7:$S$456,H363)&gt;1),"同姓同名あり（手入力してください）","OK"))))</f>
        <v/>
      </c>
      <c r="G363" s="44">
        <f>IF(D363="","",IF(E363&lt;&gt;"",E363,IF(F363&lt;&gt;"OK","",IF(INDEX(振り分け!$L$7:$L$456,I363)="","未決定",INDEX(振り分け!$L$7:$L$456,I363)))))</f>
        <v/>
      </c>
      <c r="H363" s="8">
        <f>IF(D363="","",A363&amp;"|"&amp;SUBSTITUTE(SUBSTITUTE(D363," ",""),"　",""))</f>
        <v/>
      </c>
      <c r="I363" s="8">
        <f>IF(H363="","",IFERROR(MATCH(H363,振り分け!$S$7:$S$456,0),""))</f>
        <v/>
      </c>
      <c r="J363" s="8">
        <f>IF(D363="","",IFERROR(MATCH(A363&amp;"-"&amp;B363,設定!$Z$8:$Z$31,0),99)*1000+C363+ROW()/1000000)</f>
        <v/>
      </c>
      <c r="K363" s="8">
        <f>IF(D363="","",IFERROR(INDEX(設定!$L$8:$L$31,MATCH(A363&amp;"-"&amp;B363,設定!$Z$8:$Z$31,0)),A363&amp;B363))</f>
        <v/>
      </c>
    </row>
    <row r="364">
      <c r="A364" s="40" t="n"/>
      <c r="B364" s="40" t="n"/>
      <c r="C364" s="40" t="n"/>
      <c r="D364" s="41" t="n"/>
      <c r="E364" s="40" t="n"/>
      <c r="F364" s="45">
        <f>IF(D364="","",IF(E364&lt;&gt;"","手入力",IF(I364="","前年度名簿にいない",IF(OR(COUNTIF($H$2:$H$451,H364)&gt;1,COUNTIF(振り分け!$S$7:$S$456,H364)&gt;1),"同姓同名あり（手入力してください）","OK"))))</f>
        <v/>
      </c>
      <c r="G364" s="44">
        <f>IF(D364="","",IF(E364&lt;&gt;"",E364,IF(F364&lt;&gt;"OK","",IF(INDEX(振り分け!$L$7:$L$456,I364)="","未決定",INDEX(振り分け!$L$7:$L$456,I364)))))</f>
        <v/>
      </c>
      <c r="H364" s="8">
        <f>IF(D364="","",A364&amp;"|"&amp;SUBSTITUTE(SUBSTITUTE(D364," ",""),"　",""))</f>
        <v/>
      </c>
      <c r="I364" s="8">
        <f>IF(H364="","",IFERROR(MATCH(H364,振り分け!$S$7:$S$456,0),""))</f>
        <v/>
      </c>
      <c r="J364" s="8">
        <f>IF(D364="","",IFERROR(MATCH(A364&amp;"-"&amp;B364,設定!$Z$8:$Z$31,0),99)*1000+C364+ROW()/1000000)</f>
        <v/>
      </c>
      <c r="K364" s="8">
        <f>IF(D364="","",IFERROR(INDEX(設定!$L$8:$L$31,MATCH(A364&amp;"-"&amp;B364,設定!$Z$8:$Z$31,0)),A364&amp;B364))</f>
        <v/>
      </c>
    </row>
    <row r="365">
      <c r="A365" s="40" t="n"/>
      <c r="B365" s="40" t="n"/>
      <c r="C365" s="40" t="n"/>
      <c r="D365" s="41" t="n"/>
      <c r="E365" s="40" t="n"/>
      <c r="F365" s="45">
        <f>IF(D365="","",IF(E365&lt;&gt;"","手入力",IF(I365="","前年度名簿にいない",IF(OR(COUNTIF($H$2:$H$451,H365)&gt;1,COUNTIF(振り分け!$S$7:$S$456,H365)&gt;1),"同姓同名あり（手入力してください）","OK"))))</f>
        <v/>
      </c>
      <c r="G365" s="44">
        <f>IF(D365="","",IF(E365&lt;&gt;"",E365,IF(F365&lt;&gt;"OK","",IF(INDEX(振り分け!$L$7:$L$456,I365)="","未決定",INDEX(振り分け!$L$7:$L$456,I365)))))</f>
        <v/>
      </c>
      <c r="H365" s="8">
        <f>IF(D365="","",A365&amp;"|"&amp;SUBSTITUTE(SUBSTITUTE(D365," ",""),"　",""))</f>
        <v/>
      </c>
      <c r="I365" s="8">
        <f>IF(H365="","",IFERROR(MATCH(H365,振り分け!$S$7:$S$456,0),""))</f>
        <v/>
      </c>
      <c r="J365" s="8">
        <f>IF(D365="","",IFERROR(MATCH(A365&amp;"-"&amp;B365,設定!$Z$8:$Z$31,0),99)*1000+C365+ROW()/1000000)</f>
        <v/>
      </c>
      <c r="K365" s="8">
        <f>IF(D365="","",IFERROR(INDEX(設定!$L$8:$L$31,MATCH(A365&amp;"-"&amp;B365,設定!$Z$8:$Z$31,0)),A365&amp;B365))</f>
        <v/>
      </c>
    </row>
    <row r="366">
      <c r="A366" s="40" t="n"/>
      <c r="B366" s="40" t="n"/>
      <c r="C366" s="40" t="n"/>
      <c r="D366" s="41" t="n"/>
      <c r="E366" s="40" t="n"/>
      <c r="F366" s="45">
        <f>IF(D366="","",IF(E366&lt;&gt;"","手入力",IF(I366="","前年度名簿にいない",IF(OR(COUNTIF($H$2:$H$451,H366)&gt;1,COUNTIF(振り分け!$S$7:$S$456,H366)&gt;1),"同姓同名あり（手入力してください）","OK"))))</f>
        <v/>
      </c>
      <c r="G366" s="44">
        <f>IF(D366="","",IF(E366&lt;&gt;"",E366,IF(F366&lt;&gt;"OK","",IF(INDEX(振り分け!$L$7:$L$456,I366)="","未決定",INDEX(振り分け!$L$7:$L$456,I366)))))</f>
        <v/>
      </c>
      <c r="H366" s="8">
        <f>IF(D366="","",A366&amp;"|"&amp;SUBSTITUTE(SUBSTITUTE(D366," ",""),"　",""))</f>
        <v/>
      </c>
      <c r="I366" s="8">
        <f>IF(H366="","",IFERROR(MATCH(H366,振り分け!$S$7:$S$456,0),""))</f>
        <v/>
      </c>
      <c r="J366" s="8">
        <f>IF(D366="","",IFERROR(MATCH(A366&amp;"-"&amp;B366,設定!$Z$8:$Z$31,0),99)*1000+C366+ROW()/1000000)</f>
        <v/>
      </c>
      <c r="K366" s="8">
        <f>IF(D366="","",IFERROR(INDEX(設定!$L$8:$L$31,MATCH(A366&amp;"-"&amp;B366,設定!$Z$8:$Z$31,0)),A366&amp;B366))</f>
        <v/>
      </c>
    </row>
    <row r="367">
      <c r="A367" s="40" t="n"/>
      <c r="B367" s="40" t="n"/>
      <c r="C367" s="40" t="n"/>
      <c r="D367" s="41" t="n"/>
      <c r="E367" s="40" t="n"/>
      <c r="F367" s="45">
        <f>IF(D367="","",IF(E367&lt;&gt;"","手入力",IF(I367="","前年度名簿にいない",IF(OR(COUNTIF($H$2:$H$451,H367)&gt;1,COUNTIF(振り分け!$S$7:$S$456,H367)&gt;1),"同姓同名あり（手入力してください）","OK"))))</f>
        <v/>
      </c>
      <c r="G367" s="44">
        <f>IF(D367="","",IF(E367&lt;&gt;"",E367,IF(F367&lt;&gt;"OK","",IF(INDEX(振り分け!$L$7:$L$456,I367)="","未決定",INDEX(振り分け!$L$7:$L$456,I367)))))</f>
        <v/>
      </c>
      <c r="H367" s="8">
        <f>IF(D367="","",A367&amp;"|"&amp;SUBSTITUTE(SUBSTITUTE(D367," ",""),"　",""))</f>
        <v/>
      </c>
      <c r="I367" s="8">
        <f>IF(H367="","",IFERROR(MATCH(H367,振り分け!$S$7:$S$456,0),""))</f>
        <v/>
      </c>
      <c r="J367" s="8">
        <f>IF(D367="","",IFERROR(MATCH(A367&amp;"-"&amp;B367,設定!$Z$8:$Z$31,0),99)*1000+C367+ROW()/1000000)</f>
        <v/>
      </c>
      <c r="K367" s="8">
        <f>IF(D367="","",IFERROR(INDEX(設定!$L$8:$L$31,MATCH(A367&amp;"-"&amp;B367,設定!$Z$8:$Z$31,0)),A367&amp;B367))</f>
        <v/>
      </c>
    </row>
    <row r="368">
      <c r="A368" s="40" t="n"/>
      <c r="B368" s="40" t="n"/>
      <c r="C368" s="40" t="n"/>
      <c r="D368" s="41" t="n"/>
      <c r="E368" s="40" t="n"/>
      <c r="F368" s="45">
        <f>IF(D368="","",IF(E368&lt;&gt;"","手入力",IF(I368="","前年度名簿にいない",IF(OR(COUNTIF($H$2:$H$451,H368)&gt;1,COUNTIF(振り分け!$S$7:$S$456,H368)&gt;1),"同姓同名あり（手入力してください）","OK"))))</f>
        <v/>
      </c>
      <c r="G368" s="44">
        <f>IF(D368="","",IF(E368&lt;&gt;"",E368,IF(F368&lt;&gt;"OK","",IF(INDEX(振り分け!$L$7:$L$456,I368)="","未決定",INDEX(振り分け!$L$7:$L$456,I368)))))</f>
        <v/>
      </c>
      <c r="H368" s="8">
        <f>IF(D368="","",A368&amp;"|"&amp;SUBSTITUTE(SUBSTITUTE(D368," ",""),"　",""))</f>
        <v/>
      </c>
      <c r="I368" s="8">
        <f>IF(H368="","",IFERROR(MATCH(H368,振り分け!$S$7:$S$456,0),""))</f>
        <v/>
      </c>
      <c r="J368" s="8">
        <f>IF(D368="","",IFERROR(MATCH(A368&amp;"-"&amp;B368,設定!$Z$8:$Z$31,0),99)*1000+C368+ROW()/1000000)</f>
        <v/>
      </c>
      <c r="K368" s="8">
        <f>IF(D368="","",IFERROR(INDEX(設定!$L$8:$L$31,MATCH(A368&amp;"-"&amp;B368,設定!$Z$8:$Z$31,0)),A368&amp;B368))</f>
        <v/>
      </c>
    </row>
    <row r="369">
      <c r="A369" s="40" t="n"/>
      <c r="B369" s="40" t="n"/>
      <c r="C369" s="40" t="n"/>
      <c r="D369" s="41" t="n"/>
      <c r="E369" s="40" t="n"/>
      <c r="F369" s="45">
        <f>IF(D369="","",IF(E369&lt;&gt;"","手入力",IF(I369="","前年度名簿にいない",IF(OR(COUNTIF($H$2:$H$451,H369)&gt;1,COUNTIF(振り分け!$S$7:$S$456,H369)&gt;1),"同姓同名あり（手入力してください）","OK"))))</f>
        <v/>
      </c>
      <c r="G369" s="44">
        <f>IF(D369="","",IF(E369&lt;&gt;"",E369,IF(F369&lt;&gt;"OK","",IF(INDEX(振り分け!$L$7:$L$456,I369)="","未決定",INDEX(振り分け!$L$7:$L$456,I369)))))</f>
        <v/>
      </c>
      <c r="H369" s="8">
        <f>IF(D369="","",A369&amp;"|"&amp;SUBSTITUTE(SUBSTITUTE(D369," ",""),"　",""))</f>
        <v/>
      </c>
      <c r="I369" s="8">
        <f>IF(H369="","",IFERROR(MATCH(H369,振り分け!$S$7:$S$456,0),""))</f>
        <v/>
      </c>
      <c r="J369" s="8">
        <f>IF(D369="","",IFERROR(MATCH(A369&amp;"-"&amp;B369,設定!$Z$8:$Z$31,0),99)*1000+C369+ROW()/1000000)</f>
        <v/>
      </c>
      <c r="K369" s="8">
        <f>IF(D369="","",IFERROR(INDEX(設定!$L$8:$L$31,MATCH(A369&amp;"-"&amp;B369,設定!$Z$8:$Z$31,0)),A369&amp;B369))</f>
        <v/>
      </c>
    </row>
    <row r="370">
      <c r="A370" s="40" t="n"/>
      <c r="B370" s="40" t="n"/>
      <c r="C370" s="40" t="n"/>
      <c r="D370" s="41" t="n"/>
      <c r="E370" s="40" t="n"/>
      <c r="F370" s="45">
        <f>IF(D370="","",IF(E370&lt;&gt;"","手入力",IF(I370="","前年度名簿にいない",IF(OR(COUNTIF($H$2:$H$451,H370)&gt;1,COUNTIF(振り分け!$S$7:$S$456,H370)&gt;1),"同姓同名あり（手入力してください）","OK"))))</f>
        <v/>
      </c>
      <c r="G370" s="44">
        <f>IF(D370="","",IF(E370&lt;&gt;"",E370,IF(F370&lt;&gt;"OK","",IF(INDEX(振り分け!$L$7:$L$456,I370)="","未決定",INDEX(振り分け!$L$7:$L$456,I370)))))</f>
        <v/>
      </c>
      <c r="H370" s="8">
        <f>IF(D370="","",A370&amp;"|"&amp;SUBSTITUTE(SUBSTITUTE(D370," ",""),"　",""))</f>
        <v/>
      </c>
      <c r="I370" s="8">
        <f>IF(H370="","",IFERROR(MATCH(H370,振り分け!$S$7:$S$456,0),""))</f>
        <v/>
      </c>
      <c r="J370" s="8">
        <f>IF(D370="","",IFERROR(MATCH(A370&amp;"-"&amp;B370,設定!$Z$8:$Z$31,0),99)*1000+C370+ROW()/1000000)</f>
        <v/>
      </c>
      <c r="K370" s="8">
        <f>IF(D370="","",IFERROR(INDEX(設定!$L$8:$L$31,MATCH(A370&amp;"-"&amp;B370,設定!$Z$8:$Z$31,0)),A370&amp;B370))</f>
        <v/>
      </c>
    </row>
    <row r="371">
      <c r="A371" s="40" t="n"/>
      <c r="B371" s="40" t="n"/>
      <c r="C371" s="40" t="n"/>
      <c r="D371" s="41" t="n"/>
      <c r="E371" s="40" t="n"/>
      <c r="F371" s="45">
        <f>IF(D371="","",IF(E371&lt;&gt;"","手入力",IF(I371="","前年度名簿にいない",IF(OR(COUNTIF($H$2:$H$451,H371)&gt;1,COUNTIF(振り分け!$S$7:$S$456,H371)&gt;1),"同姓同名あり（手入力してください）","OK"))))</f>
        <v/>
      </c>
      <c r="G371" s="44">
        <f>IF(D371="","",IF(E371&lt;&gt;"",E371,IF(F371&lt;&gt;"OK","",IF(INDEX(振り分け!$L$7:$L$456,I371)="","未決定",INDEX(振り分け!$L$7:$L$456,I371)))))</f>
        <v/>
      </c>
      <c r="H371" s="8">
        <f>IF(D371="","",A371&amp;"|"&amp;SUBSTITUTE(SUBSTITUTE(D371," ",""),"　",""))</f>
        <v/>
      </c>
      <c r="I371" s="8">
        <f>IF(H371="","",IFERROR(MATCH(H371,振り分け!$S$7:$S$456,0),""))</f>
        <v/>
      </c>
      <c r="J371" s="8">
        <f>IF(D371="","",IFERROR(MATCH(A371&amp;"-"&amp;B371,設定!$Z$8:$Z$31,0),99)*1000+C371+ROW()/1000000)</f>
        <v/>
      </c>
      <c r="K371" s="8">
        <f>IF(D371="","",IFERROR(INDEX(設定!$L$8:$L$31,MATCH(A371&amp;"-"&amp;B371,設定!$Z$8:$Z$31,0)),A371&amp;B371))</f>
        <v/>
      </c>
    </row>
    <row r="372">
      <c r="A372" s="40" t="n"/>
      <c r="B372" s="40" t="n"/>
      <c r="C372" s="40" t="n"/>
      <c r="D372" s="41" t="n"/>
      <c r="E372" s="40" t="n"/>
      <c r="F372" s="45">
        <f>IF(D372="","",IF(E372&lt;&gt;"","手入力",IF(I372="","前年度名簿にいない",IF(OR(COUNTIF($H$2:$H$451,H372)&gt;1,COUNTIF(振り分け!$S$7:$S$456,H372)&gt;1),"同姓同名あり（手入力してください）","OK"))))</f>
        <v/>
      </c>
      <c r="G372" s="44">
        <f>IF(D372="","",IF(E372&lt;&gt;"",E372,IF(F372&lt;&gt;"OK","",IF(INDEX(振り分け!$L$7:$L$456,I372)="","未決定",INDEX(振り分け!$L$7:$L$456,I372)))))</f>
        <v/>
      </c>
      <c r="H372" s="8">
        <f>IF(D372="","",A372&amp;"|"&amp;SUBSTITUTE(SUBSTITUTE(D372," ",""),"　",""))</f>
        <v/>
      </c>
      <c r="I372" s="8">
        <f>IF(H372="","",IFERROR(MATCH(H372,振り分け!$S$7:$S$456,0),""))</f>
        <v/>
      </c>
      <c r="J372" s="8">
        <f>IF(D372="","",IFERROR(MATCH(A372&amp;"-"&amp;B372,設定!$Z$8:$Z$31,0),99)*1000+C372+ROW()/1000000)</f>
        <v/>
      </c>
      <c r="K372" s="8">
        <f>IF(D372="","",IFERROR(INDEX(設定!$L$8:$L$31,MATCH(A372&amp;"-"&amp;B372,設定!$Z$8:$Z$31,0)),A372&amp;B372))</f>
        <v/>
      </c>
    </row>
    <row r="373">
      <c r="A373" s="40" t="n"/>
      <c r="B373" s="40" t="n"/>
      <c r="C373" s="40" t="n"/>
      <c r="D373" s="41" t="n"/>
      <c r="E373" s="40" t="n"/>
      <c r="F373" s="45">
        <f>IF(D373="","",IF(E373&lt;&gt;"","手入力",IF(I373="","前年度名簿にいない",IF(OR(COUNTIF($H$2:$H$451,H373)&gt;1,COUNTIF(振り分け!$S$7:$S$456,H373)&gt;1),"同姓同名あり（手入力してください）","OK"))))</f>
        <v/>
      </c>
      <c r="G373" s="44">
        <f>IF(D373="","",IF(E373&lt;&gt;"",E373,IF(F373&lt;&gt;"OK","",IF(INDEX(振り分け!$L$7:$L$456,I373)="","未決定",INDEX(振り分け!$L$7:$L$456,I373)))))</f>
        <v/>
      </c>
      <c r="H373" s="8">
        <f>IF(D373="","",A373&amp;"|"&amp;SUBSTITUTE(SUBSTITUTE(D373," ",""),"　",""))</f>
        <v/>
      </c>
      <c r="I373" s="8">
        <f>IF(H373="","",IFERROR(MATCH(H373,振り分け!$S$7:$S$456,0),""))</f>
        <v/>
      </c>
      <c r="J373" s="8">
        <f>IF(D373="","",IFERROR(MATCH(A373&amp;"-"&amp;B373,設定!$Z$8:$Z$31,0),99)*1000+C373+ROW()/1000000)</f>
        <v/>
      </c>
      <c r="K373" s="8">
        <f>IF(D373="","",IFERROR(INDEX(設定!$L$8:$L$31,MATCH(A373&amp;"-"&amp;B373,設定!$Z$8:$Z$31,0)),A373&amp;B373))</f>
        <v/>
      </c>
    </row>
    <row r="374">
      <c r="A374" s="40" t="n"/>
      <c r="B374" s="40" t="n"/>
      <c r="C374" s="40" t="n"/>
      <c r="D374" s="41" t="n"/>
      <c r="E374" s="40" t="n"/>
      <c r="F374" s="45">
        <f>IF(D374="","",IF(E374&lt;&gt;"","手入力",IF(I374="","前年度名簿にいない",IF(OR(COUNTIF($H$2:$H$451,H374)&gt;1,COUNTIF(振り分け!$S$7:$S$456,H374)&gt;1),"同姓同名あり（手入力してください）","OK"))))</f>
        <v/>
      </c>
      <c r="G374" s="44">
        <f>IF(D374="","",IF(E374&lt;&gt;"",E374,IF(F374&lt;&gt;"OK","",IF(INDEX(振り分け!$L$7:$L$456,I374)="","未決定",INDEX(振り分け!$L$7:$L$456,I374)))))</f>
        <v/>
      </c>
      <c r="H374" s="8">
        <f>IF(D374="","",A374&amp;"|"&amp;SUBSTITUTE(SUBSTITUTE(D374," ",""),"　",""))</f>
        <v/>
      </c>
      <c r="I374" s="8">
        <f>IF(H374="","",IFERROR(MATCH(H374,振り分け!$S$7:$S$456,0),""))</f>
        <v/>
      </c>
      <c r="J374" s="8">
        <f>IF(D374="","",IFERROR(MATCH(A374&amp;"-"&amp;B374,設定!$Z$8:$Z$31,0),99)*1000+C374+ROW()/1000000)</f>
        <v/>
      </c>
      <c r="K374" s="8">
        <f>IF(D374="","",IFERROR(INDEX(設定!$L$8:$L$31,MATCH(A374&amp;"-"&amp;B374,設定!$Z$8:$Z$31,0)),A374&amp;B374))</f>
        <v/>
      </c>
    </row>
    <row r="375">
      <c r="A375" s="40" t="n"/>
      <c r="B375" s="40" t="n"/>
      <c r="C375" s="40" t="n"/>
      <c r="D375" s="41" t="n"/>
      <c r="E375" s="40" t="n"/>
      <c r="F375" s="45">
        <f>IF(D375="","",IF(E375&lt;&gt;"","手入力",IF(I375="","前年度名簿にいない",IF(OR(COUNTIF($H$2:$H$451,H375)&gt;1,COUNTIF(振り分け!$S$7:$S$456,H375)&gt;1),"同姓同名あり（手入力してください）","OK"))))</f>
        <v/>
      </c>
      <c r="G375" s="44">
        <f>IF(D375="","",IF(E375&lt;&gt;"",E375,IF(F375&lt;&gt;"OK","",IF(INDEX(振り分け!$L$7:$L$456,I375)="","未決定",INDEX(振り分け!$L$7:$L$456,I375)))))</f>
        <v/>
      </c>
      <c r="H375" s="8">
        <f>IF(D375="","",A375&amp;"|"&amp;SUBSTITUTE(SUBSTITUTE(D375," ",""),"　",""))</f>
        <v/>
      </c>
      <c r="I375" s="8">
        <f>IF(H375="","",IFERROR(MATCH(H375,振り分け!$S$7:$S$456,0),""))</f>
        <v/>
      </c>
      <c r="J375" s="8">
        <f>IF(D375="","",IFERROR(MATCH(A375&amp;"-"&amp;B375,設定!$Z$8:$Z$31,0),99)*1000+C375+ROW()/1000000)</f>
        <v/>
      </c>
      <c r="K375" s="8">
        <f>IF(D375="","",IFERROR(INDEX(設定!$L$8:$L$31,MATCH(A375&amp;"-"&amp;B375,設定!$Z$8:$Z$31,0)),A375&amp;B375))</f>
        <v/>
      </c>
    </row>
    <row r="376">
      <c r="A376" s="40" t="n"/>
      <c r="B376" s="40" t="n"/>
      <c r="C376" s="40" t="n"/>
      <c r="D376" s="41" t="n"/>
      <c r="E376" s="40" t="n"/>
      <c r="F376" s="45">
        <f>IF(D376="","",IF(E376&lt;&gt;"","手入力",IF(I376="","前年度名簿にいない",IF(OR(COUNTIF($H$2:$H$451,H376)&gt;1,COUNTIF(振り分け!$S$7:$S$456,H376)&gt;1),"同姓同名あり（手入力してください）","OK"))))</f>
        <v/>
      </c>
      <c r="G376" s="44">
        <f>IF(D376="","",IF(E376&lt;&gt;"",E376,IF(F376&lt;&gt;"OK","",IF(INDEX(振り分け!$L$7:$L$456,I376)="","未決定",INDEX(振り分け!$L$7:$L$456,I376)))))</f>
        <v/>
      </c>
      <c r="H376" s="8">
        <f>IF(D376="","",A376&amp;"|"&amp;SUBSTITUTE(SUBSTITUTE(D376," ",""),"　",""))</f>
        <v/>
      </c>
      <c r="I376" s="8">
        <f>IF(H376="","",IFERROR(MATCH(H376,振り分け!$S$7:$S$456,0),""))</f>
        <v/>
      </c>
      <c r="J376" s="8">
        <f>IF(D376="","",IFERROR(MATCH(A376&amp;"-"&amp;B376,設定!$Z$8:$Z$31,0),99)*1000+C376+ROW()/1000000)</f>
        <v/>
      </c>
      <c r="K376" s="8">
        <f>IF(D376="","",IFERROR(INDEX(設定!$L$8:$L$31,MATCH(A376&amp;"-"&amp;B376,設定!$Z$8:$Z$31,0)),A376&amp;B376))</f>
        <v/>
      </c>
    </row>
    <row r="377">
      <c r="A377" s="40" t="n"/>
      <c r="B377" s="40" t="n"/>
      <c r="C377" s="40" t="n"/>
      <c r="D377" s="41" t="n"/>
      <c r="E377" s="40" t="n"/>
      <c r="F377" s="45">
        <f>IF(D377="","",IF(E377&lt;&gt;"","手入力",IF(I377="","前年度名簿にいない",IF(OR(COUNTIF($H$2:$H$451,H377)&gt;1,COUNTIF(振り分け!$S$7:$S$456,H377)&gt;1),"同姓同名あり（手入力してください）","OK"))))</f>
        <v/>
      </c>
      <c r="G377" s="44">
        <f>IF(D377="","",IF(E377&lt;&gt;"",E377,IF(F377&lt;&gt;"OK","",IF(INDEX(振り分け!$L$7:$L$456,I377)="","未決定",INDEX(振り分け!$L$7:$L$456,I377)))))</f>
        <v/>
      </c>
      <c r="H377" s="8">
        <f>IF(D377="","",A377&amp;"|"&amp;SUBSTITUTE(SUBSTITUTE(D377," ",""),"　",""))</f>
        <v/>
      </c>
      <c r="I377" s="8">
        <f>IF(H377="","",IFERROR(MATCH(H377,振り分け!$S$7:$S$456,0),""))</f>
        <v/>
      </c>
      <c r="J377" s="8">
        <f>IF(D377="","",IFERROR(MATCH(A377&amp;"-"&amp;B377,設定!$Z$8:$Z$31,0),99)*1000+C377+ROW()/1000000)</f>
        <v/>
      </c>
      <c r="K377" s="8">
        <f>IF(D377="","",IFERROR(INDEX(設定!$L$8:$L$31,MATCH(A377&amp;"-"&amp;B377,設定!$Z$8:$Z$31,0)),A377&amp;B377))</f>
        <v/>
      </c>
    </row>
    <row r="378">
      <c r="A378" s="40" t="n"/>
      <c r="B378" s="40" t="n"/>
      <c r="C378" s="40" t="n"/>
      <c r="D378" s="41" t="n"/>
      <c r="E378" s="40" t="n"/>
      <c r="F378" s="45">
        <f>IF(D378="","",IF(E378&lt;&gt;"","手入力",IF(I378="","前年度名簿にいない",IF(OR(COUNTIF($H$2:$H$451,H378)&gt;1,COUNTIF(振り分け!$S$7:$S$456,H378)&gt;1),"同姓同名あり（手入力してください）","OK"))))</f>
        <v/>
      </c>
      <c r="G378" s="44">
        <f>IF(D378="","",IF(E378&lt;&gt;"",E378,IF(F378&lt;&gt;"OK","",IF(INDEX(振り分け!$L$7:$L$456,I378)="","未決定",INDEX(振り分け!$L$7:$L$456,I378)))))</f>
        <v/>
      </c>
      <c r="H378" s="8">
        <f>IF(D378="","",A378&amp;"|"&amp;SUBSTITUTE(SUBSTITUTE(D378," ",""),"　",""))</f>
        <v/>
      </c>
      <c r="I378" s="8">
        <f>IF(H378="","",IFERROR(MATCH(H378,振り分け!$S$7:$S$456,0),""))</f>
        <v/>
      </c>
      <c r="J378" s="8">
        <f>IF(D378="","",IFERROR(MATCH(A378&amp;"-"&amp;B378,設定!$Z$8:$Z$31,0),99)*1000+C378+ROW()/1000000)</f>
        <v/>
      </c>
      <c r="K378" s="8">
        <f>IF(D378="","",IFERROR(INDEX(設定!$L$8:$L$31,MATCH(A378&amp;"-"&amp;B378,設定!$Z$8:$Z$31,0)),A378&amp;B378))</f>
        <v/>
      </c>
    </row>
    <row r="379">
      <c r="A379" s="40" t="n"/>
      <c r="B379" s="40" t="n"/>
      <c r="C379" s="40" t="n"/>
      <c r="D379" s="41" t="n"/>
      <c r="E379" s="40" t="n"/>
      <c r="F379" s="45">
        <f>IF(D379="","",IF(E379&lt;&gt;"","手入力",IF(I379="","前年度名簿にいない",IF(OR(COUNTIF($H$2:$H$451,H379)&gt;1,COUNTIF(振り分け!$S$7:$S$456,H379)&gt;1),"同姓同名あり（手入力してください）","OK"))))</f>
        <v/>
      </c>
      <c r="G379" s="44">
        <f>IF(D379="","",IF(E379&lt;&gt;"",E379,IF(F379&lt;&gt;"OK","",IF(INDEX(振り分け!$L$7:$L$456,I379)="","未決定",INDEX(振り分け!$L$7:$L$456,I379)))))</f>
        <v/>
      </c>
      <c r="H379" s="8">
        <f>IF(D379="","",A379&amp;"|"&amp;SUBSTITUTE(SUBSTITUTE(D379," ",""),"　",""))</f>
        <v/>
      </c>
      <c r="I379" s="8">
        <f>IF(H379="","",IFERROR(MATCH(H379,振り分け!$S$7:$S$456,0),""))</f>
        <v/>
      </c>
      <c r="J379" s="8">
        <f>IF(D379="","",IFERROR(MATCH(A379&amp;"-"&amp;B379,設定!$Z$8:$Z$31,0),99)*1000+C379+ROW()/1000000)</f>
        <v/>
      </c>
      <c r="K379" s="8">
        <f>IF(D379="","",IFERROR(INDEX(設定!$L$8:$L$31,MATCH(A379&amp;"-"&amp;B379,設定!$Z$8:$Z$31,0)),A379&amp;B379))</f>
        <v/>
      </c>
    </row>
    <row r="380">
      <c r="A380" s="40" t="n"/>
      <c r="B380" s="40" t="n"/>
      <c r="C380" s="40" t="n"/>
      <c r="D380" s="41" t="n"/>
      <c r="E380" s="40" t="n"/>
      <c r="F380" s="45">
        <f>IF(D380="","",IF(E380&lt;&gt;"","手入力",IF(I380="","前年度名簿にいない",IF(OR(COUNTIF($H$2:$H$451,H380)&gt;1,COUNTIF(振り分け!$S$7:$S$456,H380)&gt;1),"同姓同名あり（手入力してください）","OK"))))</f>
        <v/>
      </c>
      <c r="G380" s="44">
        <f>IF(D380="","",IF(E380&lt;&gt;"",E380,IF(F380&lt;&gt;"OK","",IF(INDEX(振り分け!$L$7:$L$456,I380)="","未決定",INDEX(振り分け!$L$7:$L$456,I380)))))</f>
        <v/>
      </c>
      <c r="H380" s="8">
        <f>IF(D380="","",A380&amp;"|"&amp;SUBSTITUTE(SUBSTITUTE(D380," ",""),"　",""))</f>
        <v/>
      </c>
      <c r="I380" s="8">
        <f>IF(H380="","",IFERROR(MATCH(H380,振り分け!$S$7:$S$456,0),""))</f>
        <v/>
      </c>
      <c r="J380" s="8">
        <f>IF(D380="","",IFERROR(MATCH(A380&amp;"-"&amp;B380,設定!$Z$8:$Z$31,0),99)*1000+C380+ROW()/1000000)</f>
        <v/>
      </c>
      <c r="K380" s="8">
        <f>IF(D380="","",IFERROR(INDEX(設定!$L$8:$L$31,MATCH(A380&amp;"-"&amp;B380,設定!$Z$8:$Z$31,0)),A380&amp;B380))</f>
        <v/>
      </c>
    </row>
    <row r="381">
      <c r="A381" s="40" t="n"/>
      <c r="B381" s="40" t="n"/>
      <c r="C381" s="40" t="n"/>
      <c r="D381" s="41" t="n"/>
      <c r="E381" s="40" t="n"/>
      <c r="F381" s="45">
        <f>IF(D381="","",IF(E381&lt;&gt;"","手入力",IF(I381="","前年度名簿にいない",IF(OR(COUNTIF($H$2:$H$451,H381)&gt;1,COUNTIF(振り分け!$S$7:$S$456,H381)&gt;1),"同姓同名あり（手入力してください）","OK"))))</f>
        <v/>
      </c>
      <c r="G381" s="44">
        <f>IF(D381="","",IF(E381&lt;&gt;"",E381,IF(F381&lt;&gt;"OK","",IF(INDEX(振り分け!$L$7:$L$456,I381)="","未決定",INDEX(振り分け!$L$7:$L$456,I381)))))</f>
        <v/>
      </c>
      <c r="H381" s="8">
        <f>IF(D381="","",A381&amp;"|"&amp;SUBSTITUTE(SUBSTITUTE(D381," ",""),"　",""))</f>
        <v/>
      </c>
      <c r="I381" s="8">
        <f>IF(H381="","",IFERROR(MATCH(H381,振り分け!$S$7:$S$456,0),""))</f>
        <v/>
      </c>
      <c r="J381" s="8">
        <f>IF(D381="","",IFERROR(MATCH(A381&amp;"-"&amp;B381,設定!$Z$8:$Z$31,0),99)*1000+C381+ROW()/1000000)</f>
        <v/>
      </c>
      <c r="K381" s="8">
        <f>IF(D381="","",IFERROR(INDEX(設定!$L$8:$L$31,MATCH(A381&amp;"-"&amp;B381,設定!$Z$8:$Z$31,0)),A381&amp;B381))</f>
        <v/>
      </c>
    </row>
    <row r="382">
      <c r="A382" s="40" t="n"/>
      <c r="B382" s="40" t="n"/>
      <c r="C382" s="40" t="n"/>
      <c r="D382" s="41" t="n"/>
      <c r="E382" s="40" t="n"/>
      <c r="F382" s="45">
        <f>IF(D382="","",IF(E382&lt;&gt;"","手入力",IF(I382="","前年度名簿にいない",IF(OR(COUNTIF($H$2:$H$451,H382)&gt;1,COUNTIF(振り分け!$S$7:$S$456,H382)&gt;1),"同姓同名あり（手入力してください）","OK"))))</f>
        <v/>
      </c>
      <c r="G382" s="44">
        <f>IF(D382="","",IF(E382&lt;&gt;"",E382,IF(F382&lt;&gt;"OK","",IF(INDEX(振り分け!$L$7:$L$456,I382)="","未決定",INDEX(振り分け!$L$7:$L$456,I382)))))</f>
        <v/>
      </c>
      <c r="H382" s="8">
        <f>IF(D382="","",A382&amp;"|"&amp;SUBSTITUTE(SUBSTITUTE(D382," ",""),"　",""))</f>
        <v/>
      </c>
      <c r="I382" s="8">
        <f>IF(H382="","",IFERROR(MATCH(H382,振り分け!$S$7:$S$456,0),""))</f>
        <v/>
      </c>
      <c r="J382" s="8">
        <f>IF(D382="","",IFERROR(MATCH(A382&amp;"-"&amp;B382,設定!$Z$8:$Z$31,0),99)*1000+C382+ROW()/1000000)</f>
        <v/>
      </c>
      <c r="K382" s="8">
        <f>IF(D382="","",IFERROR(INDEX(設定!$L$8:$L$31,MATCH(A382&amp;"-"&amp;B382,設定!$Z$8:$Z$31,0)),A382&amp;B382))</f>
        <v/>
      </c>
    </row>
    <row r="383">
      <c r="A383" s="40" t="n"/>
      <c r="B383" s="40" t="n"/>
      <c r="C383" s="40" t="n"/>
      <c r="D383" s="41" t="n"/>
      <c r="E383" s="40" t="n"/>
      <c r="F383" s="45">
        <f>IF(D383="","",IF(E383&lt;&gt;"","手入力",IF(I383="","前年度名簿にいない",IF(OR(COUNTIF($H$2:$H$451,H383)&gt;1,COUNTIF(振り分け!$S$7:$S$456,H383)&gt;1),"同姓同名あり（手入力してください）","OK"))))</f>
        <v/>
      </c>
      <c r="G383" s="44">
        <f>IF(D383="","",IF(E383&lt;&gt;"",E383,IF(F383&lt;&gt;"OK","",IF(INDEX(振り分け!$L$7:$L$456,I383)="","未決定",INDEX(振り分け!$L$7:$L$456,I383)))))</f>
        <v/>
      </c>
      <c r="H383" s="8">
        <f>IF(D383="","",A383&amp;"|"&amp;SUBSTITUTE(SUBSTITUTE(D383," ",""),"　",""))</f>
        <v/>
      </c>
      <c r="I383" s="8">
        <f>IF(H383="","",IFERROR(MATCH(H383,振り分け!$S$7:$S$456,0),""))</f>
        <v/>
      </c>
      <c r="J383" s="8">
        <f>IF(D383="","",IFERROR(MATCH(A383&amp;"-"&amp;B383,設定!$Z$8:$Z$31,0),99)*1000+C383+ROW()/1000000)</f>
        <v/>
      </c>
      <c r="K383" s="8">
        <f>IF(D383="","",IFERROR(INDEX(設定!$L$8:$L$31,MATCH(A383&amp;"-"&amp;B383,設定!$Z$8:$Z$31,0)),A383&amp;B383))</f>
        <v/>
      </c>
    </row>
    <row r="384">
      <c r="A384" s="40" t="n"/>
      <c r="B384" s="40" t="n"/>
      <c r="C384" s="40" t="n"/>
      <c r="D384" s="41" t="n"/>
      <c r="E384" s="40" t="n"/>
      <c r="F384" s="45">
        <f>IF(D384="","",IF(E384&lt;&gt;"","手入力",IF(I384="","前年度名簿にいない",IF(OR(COUNTIF($H$2:$H$451,H384)&gt;1,COUNTIF(振り分け!$S$7:$S$456,H384)&gt;1),"同姓同名あり（手入力してください）","OK"))))</f>
        <v/>
      </c>
      <c r="G384" s="44">
        <f>IF(D384="","",IF(E384&lt;&gt;"",E384,IF(F384&lt;&gt;"OK","",IF(INDEX(振り分け!$L$7:$L$456,I384)="","未決定",INDEX(振り分け!$L$7:$L$456,I384)))))</f>
        <v/>
      </c>
      <c r="H384" s="8">
        <f>IF(D384="","",A384&amp;"|"&amp;SUBSTITUTE(SUBSTITUTE(D384," ",""),"　",""))</f>
        <v/>
      </c>
      <c r="I384" s="8">
        <f>IF(H384="","",IFERROR(MATCH(H384,振り分け!$S$7:$S$456,0),""))</f>
        <v/>
      </c>
      <c r="J384" s="8">
        <f>IF(D384="","",IFERROR(MATCH(A384&amp;"-"&amp;B384,設定!$Z$8:$Z$31,0),99)*1000+C384+ROW()/1000000)</f>
        <v/>
      </c>
      <c r="K384" s="8">
        <f>IF(D384="","",IFERROR(INDEX(設定!$L$8:$L$31,MATCH(A384&amp;"-"&amp;B384,設定!$Z$8:$Z$31,0)),A384&amp;B384))</f>
        <v/>
      </c>
    </row>
    <row r="385">
      <c r="A385" s="40" t="n"/>
      <c r="B385" s="40" t="n"/>
      <c r="C385" s="40" t="n"/>
      <c r="D385" s="41" t="n"/>
      <c r="E385" s="40" t="n"/>
      <c r="F385" s="45">
        <f>IF(D385="","",IF(E385&lt;&gt;"","手入力",IF(I385="","前年度名簿にいない",IF(OR(COUNTIF($H$2:$H$451,H385)&gt;1,COUNTIF(振り分け!$S$7:$S$456,H385)&gt;1),"同姓同名あり（手入力してください）","OK"))))</f>
        <v/>
      </c>
      <c r="G385" s="44">
        <f>IF(D385="","",IF(E385&lt;&gt;"",E385,IF(F385&lt;&gt;"OK","",IF(INDEX(振り分け!$L$7:$L$456,I385)="","未決定",INDEX(振り分け!$L$7:$L$456,I385)))))</f>
        <v/>
      </c>
      <c r="H385" s="8">
        <f>IF(D385="","",A385&amp;"|"&amp;SUBSTITUTE(SUBSTITUTE(D385," ",""),"　",""))</f>
        <v/>
      </c>
      <c r="I385" s="8">
        <f>IF(H385="","",IFERROR(MATCH(H385,振り分け!$S$7:$S$456,0),""))</f>
        <v/>
      </c>
      <c r="J385" s="8">
        <f>IF(D385="","",IFERROR(MATCH(A385&amp;"-"&amp;B385,設定!$Z$8:$Z$31,0),99)*1000+C385+ROW()/1000000)</f>
        <v/>
      </c>
      <c r="K385" s="8">
        <f>IF(D385="","",IFERROR(INDEX(設定!$L$8:$L$31,MATCH(A385&amp;"-"&amp;B385,設定!$Z$8:$Z$31,0)),A385&amp;B385))</f>
        <v/>
      </c>
    </row>
    <row r="386">
      <c r="A386" s="40" t="n"/>
      <c r="B386" s="40" t="n"/>
      <c r="C386" s="40" t="n"/>
      <c r="D386" s="41" t="n"/>
      <c r="E386" s="40" t="n"/>
      <c r="F386" s="45">
        <f>IF(D386="","",IF(E386&lt;&gt;"","手入力",IF(I386="","前年度名簿にいない",IF(OR(COUNTIF($H$2:$H$451,H386)&gt;1,COUNTIF(振り分け!$S$7:$S$456,H386)&gt;1),"同姓同名あり（手入力してください）","OK"))))</f>
        <v/>
      </c>
      <c r="G386" s="44">
        <f>IF(D386="","",IF(E386&lt;&gt;"",E386,IF(F386&lt;&gt;"OK","",IF(INDEX(振り分け!$L$7:$L$456,I386)="","未決定",INDEX(振り分け!$L$7:$L$456,I386)))))</f>
        <v/>
      </c>
      <c r="H386" s="8">
        <f>IF(D386="","",A386&amp;"|"&amp;SUBSTITUTE(SUBSTITUTE(D386," ",""),"　",""))</f>
        <v/>
      </c>
      <c r="I386" s="8">
        <f>IF(H386="","",IFERROR(MATCH(H386,振り分け!$S$7:$S$456,0),""))</f>
        <v/>
      </c>
      <c r="J386" s="8">
        <f>IF(D386="","",IFERROR(MATCH(A386&amp;"-"&amp;B386,設定!$Z$8:$Z$31,0),99)*1000+C386+ROW()/1000000)</f>
        <v/>
      </c>
      <c r="K386" s="8">
        <f>IF(D386="","",IFERROR(INDEX(設定!$L$8:$L$31,MATCH(A386&amp;"-"&amp;B386,設定!$Z$8:$Z$31,0)),A386&amp;B386))</f>
        <v/>
      </c>
    </row>
    <row r="387">
      <c r="A387" s="40" t="n"/>
      <c r="B387" s="40" t="n"/>
      <c r="C387" s="40" t="n"/>
      <c r="D387" s="41" t="n"/>
      <c r="E387" s="40" t="n"/>
      <c r="F387" s="45">
        <f>IF(D387="","",IF(E387&lt;&gt;"","手入力",IF(I387="","前年度名簿にいない",IF(OR(COUNTIF($H$2:$H$451,H387)&gt;1,COUNTIF(振り分け!$S$7:$S$456,H387)&gt;1),"同姓同名あり（手入力してください）","OK"))))</f>
        <v/>
      </c>
      <c r="G387" s="44">
        <f>IF(D387="","",IF(E387&lt;&gt;"",E387,IF(F387&lt;&gt;"OK","",IF(INDEX(振り分け!$L$7:$L$456,I387)="","未決定",INDEX(振り分け!$L$7:$L$456,I387)))))</f>
        <v/>
      </c>
      <c r="H387" s="8">
        <f>IF(D387="","",A387&amp;"|"&amp;SUBSTITUTE(SUBSTITUTE(D387," ",""),"　",""))</f>
        <v/>
      </c>
      <c r="I387" s="8">
        <f>IF(H387="","",IFERROR(MATCH(H387,振り分け!$S$7:$S$456,0),""))</f>
        <v/>
      </c>
      <c r="J387" s="8">
        <f>IF(D387="","",IFERROR(MATCH(A387&amp;"-"&amp;B387,設定!$Z$8:$Z$31,0),99)*1000+C387+ROW()/1000000)</f>
        <v/>
      </c>
      <c r="K387" s="8">
        <f>IF(D387="","",IFERROR(INDEX(設定!$L$8:$L$31,MATCH(A387&amp;"-"&amp;B387,設定!$Z$8:$Z$31,0)),A387&amp;B387))</f>
        <v/>
      </c>
    </row>
    <row r="388">
      <c r="A388" s="40" t="n"/>
      <c r="B388" s="40" t="n"/>
      <c r="C388" s="40" t="n"/>
      <c r="D388" s="41" t="n"/>
      <c r="E388" s="40" t="n"/>
      <c r="F388" s="45">
        <f>IF(D388="","",IF(E388&lt;&gt;"","手入力",IF(I388="","前年度名簿にいない",IF(OR(COUNTIF($H$2:$H$451,H388)&gt;1,COUNTIF(振り分け!$S$7:$S$456,H388)&gt;1),"同姓同名あり（手入力してください）","OK"))))</f>
        <v/>
      </c>
      <c r="G388" s="44">
        <f>IF(D388="","",IF(E388&lt;&gt;"",E388,IF(F388&lt;&gt;"OK","",IF(INDEX(振り分け!$L$7:$L$456,I388)="","未決定",INDEX(振り分け!$L$7:$L$456,I388)))))</f>
        <v/>
      </c>
      <c r="H388" s="8">
        <f>IF(D388="","",A388&amp;"|"&amp;SUBSTITUTE(SUBSTITUTE(D388," ",""),"　",""))</f>
        <v/>
      </c>
      <c r="I388" s="8">
        <f>IF(H388="","",IFERROR(MATCH(H388,振り分け!$S$7:$S$456,0),""))</f>
        <v/>
      </c>
      <c r="J388" s="8">
        <f>IF(D388="","",IFERROR(MATCH(A388&amp;"-"&amp;B388,設定!$Z$8:$Z$31,0),99)*1000+C388+ROW()/1000000)</f>
        <v/>
      </c>
      <c r="K388" s="8">
        <f>IF(D388="","",IFERROR(INDEX(設定!$L$8:$L$31,MATCH(A388&amp;"-"&amp;B388,設定!$Z$8:$Z$31,0)),A388&amp;B388))</f>
        <v/>
      </c>
    </row>
    <row r="389">
      <c r="A389" s="40" t="n"/>
      <c r="B389" s="40" t="n"/>
      <c r="C389" s="40" t="n"/>
      <c r="D389" s="41" t="n"/>
      <c r="E389" s="40" t="n"/>
      <c r="F389" s="45">
        <f>IF(D389="","",IF(E389&lt;&gt;"","手入力",IF(I389="","前年度名簿にいない",IF(OR(COUNTIF($H$2:$H$451,H389)&gt;1,COUNTIF(振り分け!$S$7:$S$456,H389)&gt;1),"同姓同名あり（手入力してください）","OK"))))</f>
        <v/>
      </c>
      <c r="G389" s="44">
        <f>IF(D389="","",IF(E389&lt;&gt;"",E389,IF(F389&lt;&gt;"OK","",IF(INDEX(振り分け!$L$7:$L$456,I389)="","未決定",INDEX(振り分け!$L$7:$L$456,I389)))))</f>
        <v/>
      </c>
      <c r="H389" s="8">
        <f>IF(D389="","",A389&amp;"|"&amp;SUBSTITUTE(SUBSTITUTE(D389," ",""),"　",""))</f>
        <v/>
      </c>
      <c r="I389" s="8">
        <f>IF(H389="","",IFERROR(MATCH(H389,振り分け!$S$7:$S$456,0),""))</f>
        <v/>
      </c>
      <c r="J389" s="8">
        <f>IF(D389="","",IFERROR(MATCH(A389&amp;"-"&amp;B389,設定!$Z$8:$Z$31,0),99)*1000+C389+ROW()/1000000)</f>
        <v/>
      </c>
      <c r="K389" s="8">
        <f>IF(D389="","",IFERROR(INDEX(設定!$L$8:$L$31,MATCH(A389&amp;"-"&amp;B389,設定!$Z$8:$Z$31,0)),A389&amp;B389))</f>
        <v/>
      </c>
    </row>
    <row r="390">
      <c r="A390" s="40" t="n"/>
      <c r="B390" s="40" t="n"/>
      <c r="C390" s="40" t="n"/>
      <c r="D390" s="41" t="n"/>
      <c r="E390" s="40" t="n"/>
      <c r="F390" s="45">
        <f>IF(D390="","",IF(E390&lt;&gt;"","手入力",IF(I390="","前年度名簿にいない",IF(OR(COUNTIF($H$2:$H$451,H390)&gt;1,COUNTIF(振り分け!$S$7:$S$456,H390)&gt;1),"同姓同名あり（手入力してください）","OK"))))</f>
        <v/>
      </c>
      <c r="G390" s="44">
        <f>IF(D390="","",IF(E390&lt;&gt;"",E390,IF(F390&lt;&gt;"OK","",IF(INDEX(振り分け!$L$7:$L$456,I390)="","未決定",INDEX(振り分け!$L$7:$L$456,I390)))))</f>
        <v/>
      </c>
      <c r="H390" s="8">
        <f>IF(D390="","",A390&amp;"|"&amp;SUBSTITUTE(SUBSTITUTE(D390," ",""),"　",""))</f>
        <v/>
      </c>
      <c r="I390" s="8">
        <f>IF(H390="","",IFERROR(MATCH(H390,振り分け!$S$7:$S$456,0),""))</f>
        <v/>
      </c>
      <c r="J390" s="8">
        <f>IF(D390="","",IFERROR(MATCH(A390&amp;"-"&amp;B390,設定!$Z$8:$Z$31,0),99)*1000+C390+ROW()/1000000)</f>
        <v/>
      </c>
      <c r="K390" s="8">
        <f>IF(D390="","",IFERROR(INDEX(設定!$L$8:$L$31,MATCH(A390&amp;"-"&amp;B390,設定!$Z$8:$Z$31,0)),A390&amp;B390))</f>
        <v/>
      </c>
    </row>
    <row r="391">
      <c r="A391" s="40" t="n"/>
      <c r="B391" s="40" t="n"/>
      <c r="C391" s="40" t="n"/>
      <c r="D391" s="41" t="n"/>
      <c r="E391" s="40" t="n"/>
      <c r="F391" s="45">
        <f>IF(D391="","",IF(E391&lt;&gt;"","手入力",IF(I391="","前年度名簿にいない",IF(OR(COUNTIF($H$2:$H$451,H391)&gt;1,COUNTIF(振り分け!$S$7:$S$456,H391)&gt;1),"同姓同名あり（手入力してください）","OK"))))</f>
        <v/>
      </c>
      <c r="G391" s="44">
        <f>IF(D391="","",IF(E391&lt;&gt;"",E391,IF(F391&lt;&gt;"OK","",IF(INDEX(振り分け!$L$7:$L$456,I391)="","未決定",INDEX(振り分け!$L$7:$L$456,I391)))))</f>
        <v/>
      </c>
      <c r="H391" s="8">
        <f>IF(D391="","",A391&amp;"|"&amp;SUBSTITUTE(SUBSTITUTE(D391," ",""),"　",""))</f>
        <v/>
      </c>
      <c r="I391" s="8">
        <f>IF(H391="","",IFERROR(MATCH(H391,振り分け!$S$7:$S$456,0),""))</f>
        <v/>
      </c>
      <c r="J391" s="8">
        <f>IF(D391="","",IFERROR(MATCH(A391&amp;"-"&amp;B391,設定!$Z$8:$Z$31,0),99)*1000+C391+ROW()/1000000)</f>
        <v/>
      </c>
      <c r="K391" s="8">
        <f>IF(D391="","",IFERROR(INDEX(設定!$L$8:$L$31,MATCH(A391&amp;"-"&amp;B391,設定!$Z$8:$Z$31,0)),A391&amp;B391))</f>
        <v/>
      </c>
    </row>
    <row r="392">
      <c r="A392" s="40" t="n"/>
      <c r="B392" s="40" t="n"/>
      <c r="C392" s="40" t="n"/>
      <c r="D392" s="41" t="n"/>
      <c r="E392" s="40" t="n"/>
      <c r="F392" s="45">
        <f>IF(D392="","",IF(E392&lt;&gt;"","手入力",IF(I392="","前年度名簿にいない",IF(OR(COUNTIF($H$2:$H$451,H392)&gt;1,COUNTIF(振り分け!$S$7:$S$456,H392)&gt;1),"同姓同名あり（手入力してください）","OK"))))</f>
        <v/>
      </c>
      <c r="G392" s="44">
        <f>IF(D392="","",IF(E392&lt;&gt;"",E392,IF(F392&lt;&gt;"OK","",IF(INDEX(振り分け!$L$7:$L$456,I392)="","未決定",INDEX(振り分け!$L$7:$L$456,I392)))))</f>
        <v/>
      </c>
      <c r="H392" s="8">
        <f>IF(D392="","",A392&amp;"|"&amp;SUBSTITUTE(SUBSTITUTE(D392," ",""),"　",""))</f>
        <v/>
      </c>
      <c r="I392" s="8">
        <f>IF(H392="","",IFERROR(MATCH(H392,振り分け!$S$7:$S$456,0),""))</f>
        <v/>
      </c>
      <c r="J392" s="8">
        <f>IF(D392="","",IFERROR(MATCH(A392&amp;"-"&amp;B392,設定!$Z$8:$Z$31,0),99)*1000+C392+ROW()/1000000)</f>
        <v/>
      </c>
      <c r="K392" s="8">
        <f>IF(D392="","",IFERROR(INDEX(設定!$L$8:$L$31,MATCH(A392&amp;"-"&amp;B392,設定!$Z$8:$Z$31,0)),A392&amp;B392))</f>
        <v/>
      </c>
    </row>
    <row r="393">
      <c r="A393" s="40" t="n"/>
      <c r="B393" s="40" t="n"/>
      <c r="C393" s="40" t="n"/>
      <c r="D393" s="41" t="n"/>
      <c r="E393" s="40" t="n"/>
      <c r="F393" s="45">
        <f>IF(D393="","",IF(E393&lt;&gt;"","手入力",IF(I393="","前年度名簿にいない",IF(OR(COUNTIF($H$2:$H$451,H393)&gt;1,COUNTIF(振り分け!$S$7:$S$456,H393)&gt;1),"同姓同名あり（手入力してください）","OK"))))</f>
        <v/>
      </c>
      <c r="G393" s="44">
        <f>IF(D393="","",IF(E393&lt;&gt;"",E393,IF(F393&lt;&gt;"OK","",IF(INDEX(振り分け!$L$7:$L$456,I393)="","未決定",INDEX(振り分け!$L$7:$L$456,I393)))))</f>
        <v/>
      </c>
      <c r="H393" s="8">
        <f>IF(D393="","",A393&amp;"|"&amp;SUBSTITUTE(SUBSTITUTE(D393," ",""),"　",""))</f>
        <v/>
      </c>
      <c r="I393" s="8">
        <f>IF(H393="","",IFERROR(MATCH(H393,振り分け!$S$7:$S$456,0),""))</f>
        <v/>
      </c>
      <c r="J393" s="8">
        <f>IF(D393="","",IFERROR(MATCH(A393&amp;"-"&amp;B393,設定!$Z$8:$Z$31,0),99)*1000+C393+ROW()/1000000)</f>
        <v/>
      </c>
      <c r="K393" s="8">
        <f>IF(D393="","",IFERROR(INDEX(設定!$L$8:$L$31,MATCH(A393&amp;"-"&amp;B393,設定!$Z$8:$Z$31,0)),A393&amp;B393))</f>
        <v/>
      </c>
    </row>
    <row r="394">
      <c r="A394" s="40" t="n"/>
      <c r="B394" s="40" t="n"/>
      <c r="C394" s="40" t="n"/>
      <c r="D394" s="41" t="n"/>
      <c r="E394" s="40" t="n"/>
      <c r="F394" s="45">
        <f>IF(D394="","",IF(E394&lt;&gt;"","手入力",IF(I394="","前年度名簿にいない",IF(OR(COUNTIF($H$2:$H$451,H394)&gt;1,COUNTIF(振り分け!$S$7:$S$456,H394)&gt;1),"同姓同名あり（手入力してください）","OK"))))</f>
        <v/>
      </c>
      <c r="G394" s="44">
        <f>IF(D394="","",IF(E394&lt;&gt;"",E394,IF(F394&lt;&gt;"OK","",IF(INDEX(振り分け!$L$7:$L$456,I394)="","未決定",INDEX(振り分け!$L$7:$L$456,I394)))))</f>
        <v/>
      </c>
      <c r="H394" s="8">
        <f>IF(D394="","",A394&amp;"|"&amp;SUBSTITUTE(SUBSTITUTE(D394," ",""),"　",""))</f>
        <v/>
      </c>
      <c r="I394" s="8">
        <f>IF(H394="","",IFERROR(MATCH(H394,振り分け!$S$7:$S$456,0),""))</f>
        <v/>
      </c>
      <c r="J394" s="8">
        <f>IF(D394="","",IFERROR(MATCH(A394&amp;"-"&amp;B394,設定!$Z$8:$Z$31,0),99)*1000+C394+ROW()/1000000)</f>
        <v/>
      </c>
      <c r="K394" s="8">
        <f>IF(D394="","",IFERROR(INDEX(設定!$L$8:$L$31,MATCH(A394&amp;"-"&amp;B394,設定!$Z$8:$Z$31,0)),A394&amp;B394))</f>
        <v/>
      </c>
    </row>
    <row r="395">
      <c r="A395" s="40" t="n"/>
      <c r="B395" s="40" t="n"/>
      <c r="C395" s="40" t="n"/>
      <c r="D395" s="41" t="n"/>
      <c r="E395" s="40" t="n"/>
      <c r="F395" s="45">
        <f>IF(D395="","",IF(E395&lt;&gt;"","手入力",IF(I395="","前年度名簿にいない",IF(OR(COUNTIF($H$2:$H$451,H395)&gt;1,COUNTIF(振り分け!$S$7:$S$456,H395)&gt;1),"同姓同名あり（手入力してください）","OK"))))</f>
        <v/>
      </c>
      <c r="G395" s="44">
        <f>IF(D395="","",IF(E395&lt;&gt;"",E395,IF(F395&lt;&gt;"OK","",IF(INDEX(振り分け!$L$7:$L$456,I395)="","未決定",INDEX(振り分け!$L$7:$L$456,I395)))))</f>
        <v/>
      </c>
      <c r="H395" s="8">
        <f>IF(D395="","",A395&amp;"|"&amp;SUBSTITUTE(SUBSTITUTE(D395," ",""),"　",""))</f>
        <v/>
      </c>
      <c r="I395" s="8">
        <f>IF(H395="","",IFERROR(MATCH(H395,振り分け!$S$7:$S$456,0),""))</f>
        <v/>
      </c>
      <c r="J395" s="8">
        <f>IF(D395="","",IFERROR(MATCH(A395&amp;"-"&amp;B395,設定!$Z$8:$Z$31,0),99)*1000+C395+ROW()/1000000)</f>
        <v/>
      </c>
      <c r="K395" s="8">
        <f>IF(D395="","",IFERROR(INDEX(設定!$L$8:$L$31,MATCH(A395&amp;"-"&amp;B395,設定!$Z$8:$Z$31,0)),A395&amp;B395))</f>
        <v/>
      </c>
    </row>
    <row r="396">
      <c r="A396" s="40" t="n"/>
      <c r="B396" s="40" t="n"/>
      <c r="C396" s="40" t="n"/>
      <c r="D396" s="41" t="n"/>
      <c r="E396" s="40" t="n"/>
      <c r="F396" s="45">
        <f>IF(D396="","",IF(E396&lt;&gt;"","手入力",IF(I396="","前年度名簿にいない",IF(OR(COUNTIF($H$2:$H$451,H396)&gt;1,COUNTIF(振り分け!$S$7:$S$456,H396)&gt;1),"同姓同名あり（手入力してください）","OK"))))</f>
        <v/>
      </c>
      <c r="G396" s="44">
        <f>IF(D396="","",IF(E396&lt;&gt;"",E396,IF(F396&lt;&gt;"OK","",IF(INDEX(振り分け!$L$7:$L$456,I396)="","未決定",INDEX(振り分け!$L$7:$L$456,I396)))))</f>
        <v/>
      </c>
      <c r="H396" s="8">
        <f>IF(D396="","",A396&amp;"|"&amp;SUBSTITUTE(SUBSTITUTE(D396," ",""),"　",""))</f>
        <v/>
      </c>
      <c r="I396" s="8">
        <f>IF(H396="","",IFERROR(MATCH(H396,振り分け!$S$7:$S$456,0),""))</f>
        <v/>
      </c>
      <c r="J396" s="8">
        <f>IF(D396="","",IFERROR(MATCH(A396&amp;"-"&amp;B396,設定!$Z$8:$Z$31,0),99)*1000+C396+ROW()/1000000)</f>
        <v/>
      </c>
      <c r="K396" s="8">
        <f>IF(D396="","",IFERROR(INDEX(設定!$L$8:$L$31,MATCH(A396&amp;"-"&amp;B396,設定!$Z$8:$Z$31,0)),A396&amp;B396))</f>
        <v/>
      </c>
    </row>
    <row r="397">
      <c r="A397" s="40" t="n"/>
      <c r="B397" s="40" t="n"/>
      <c r="C397" s="40" t="n"/>
      <c r="D397" s="41" t="n"/>
      <c r="E397" s="40" t="n"/>
      <c r="F397" s="45">
        <f>IF(D397="","",IF(E397&lt;&gt;"","手入力",IF(I397="","前年度名簿にいない",IF(OR(COUNTIF($H$2:$H$451,H397)&gt;1,COUNTIF(振り分け!$S$7:$S$456,H397)&gt;1),"同姓同名あり（手入力してください）","OK"))))</f>
        <v/>
      </c>
      <c r="G397" s="44">
        <f>IF(D397="","",IF(E397&lt;&gt;"",E397,IF(F397&lt;&gt;"OK","",IF(INDEX(振り分け!$L$7:$L$456,I397)="","未決定",INDEX(振り分け!$L$7:$L$456,I397)))))</f>
        <v/>
      </c>
      <c r="H397" s="8">
        <f>IF(D397="","",A397&amp;"|"&amp;SUBSTITUTE(SUBSTITUTE(D397," ",""),"　",""))</f>
        <v/>
      </c>
      <c r="I397" s="8">
        <f>IF(H397="","",IFERROR(MATCH(H397,振り分け!$S$7:$S$456,0),""))</f>
        <v/>
      </c>
      <c r="J397" s="8">
        <f>IF(D397="","",IFERROR(MATCH(A397&amp;"-"&amp;B397,設定!$Z$8:$Z$31,0),99)*1000+C397+ROW()/1000000)</f>
        <v/>
      </c>
      <c r="K397" s="8">
        <f>IF(D397="","",IFERROR(INDEX(設定!$L$8:$L$31,MATCH(A397&amp;"-"&amp;B397,設定!$Z$8:$Z$31,0)),A397&amp;B397))</f>
        <v/>
      </c>
    </row>
    <row r="398">
      <c r="A398" s="40" t="n"/>
      <c r="B398" s="40" t="n"/>
      <c r="C398" s="40" t="n"/>
      <c r="D398" s="41" t="n"/>
      <c r="E398" s="40" t="n"/>
      <c r="F398" s="45">
        <f>IF(D398="","",IF(E398&lt;&gt;"","手入力",IF(I398="","前年度名簿にいない",IF(OR(COUNTIF($H$2:$H$451,H398)&gt;1,COUNTIF(振り分け!$S$7:$S$456,H398)&gt;1),"同姓同名あり（手入力してください）","OK"))))</f>
        <v/>
      </c>
      <c r="G398" s="44">
        <f>IF(D398="","",IF(E398&lt;&gt;"",E398,IF(F398&lt;&gt;"OK","",IF(INDEX(振り分け!$L$7:$L$456,I398)="","未決定",INDEX(振り分け!$L$7:$L$456,I398)))))</f>
        <v/>
      </c>
      <c r="H398" s="8">
        <f>IF(D398="","",A398&amp;"|"&amp;SUBSTITUTE(SUBSTITUTE(D398," ",""),"　",""))</f>
        <v/>
      </c>
      <c r="I398" s="8">
        <f>IF(H398="","",IFERROR(MATCH(H398,振り分け!$S$7:$S$456,0),""))</f>
        <v/>
      </c>
      <c r="J398" s="8">
        <f>IF(D398="","",IFERROR(MATCH(A398&amp;"-"&amp;B398,設定!$Z$8:$Z$31,0),99)*1000+C398+ROW()/1000000)</f>
        <v/>
      </c>
      <c r="K398" s="8">
        <f>IF(D398="","",IFERROR(INDEX(設定!$L$8:$L$31,MATCH(A398&amp;"-"&amp;B398,設定!$Z$8:$Z$31,0)),A398&amp;B398))</f>
        <v/>
      </c>
    </row>
    <row r="399">
      <c r="A399" s="40" t="n"/>
      <c r="B399" s="40" t="n"/>
      <c r="C399" s="40" t="n"/>
      <c r="D399" s="41" t="n"/>
      <c r="E399" s="40" t="n"/>
      <c r="F399" s="45">
        <f>IF(D399="","",IF(E399&lt;&gt;"","手入力",IF(I399="","前年度名簿にいない",IF(OR(COUNTIF($H$2:$H$451,H399)&gt;1,COUNTIF(振り分け!$S$7:$S$456,H399)&gt;1),"同姓同名あり（手入力してください）","OK"))))</f>
        <v/>
      </c>
      <c r="G399" s="44">
        <f>IF(D399="","",IF(E399&lt;&gt;"",E399,IF(F399&lt;&gt;"OK","",IF(INDEX(振り分け!$L$7:$L$456,I399)="","未決定",INDEX(振り分け!$L$7:$L$456,I399)))))</f>
        <v/>
      </c>
      <c r="H399" s="8">
        <f>IF(D399="","",A399&amp;"|"&amp;SUBSTITUTE(SUBSTITUTE(D399," ",""),"　",""))</f>
        <v/>
      </c>
      <c r="I399" s="8">
        <f>IF(H399="","",IFERROR(MATCH(H399,振り分け!$S$7:$S$456,0),""))</f>
        <v/>
      </c>
      <c r="J399" s="8">
        <f>IF(D399="","",IFERROR(MATCH(A399&amp;"-"&amp;B399,設定!$Z$8:$Z$31,0),99)*1000+C399+ROW()/1000000)</f>
        <v/>
      </c>
      <c r="K399" s="8">
        <f>IF(D399="","",IFERROR(INDEX(設定!$L$8:$L$31,MATCH(A399&amp;"-"&amp;B399,設定!$Z$8:$Z$31,0)),A399&amp;B399))</f>
        <v/>
      </c>
    </row>
    <row r="400">
      <c r="A400" s="40" t="n"/>
      <c r="B400" s="40" t="n"/>
      <c r="C400" s="40" t="n"/>
      <c r="D400" s="41" t="n"/>
      <c r="E400" s="40" t="n"/>
      <c r="F400" s="45">
        <f>IF(D400="","",IF(E400&lt;&gt;"","手入力",IF(I400="","前年度名簿にいない",IF(OR(COUNTIF($H$2:$H$451,H400)&gt;1,COUNTIF(振り分け!$S$7:$S$456,H400)&gt;1),"同姓同名あり（手入力してください）","OK"))))</f>
        <v/>
      </c>
      <c r="G400" s="44">
        <f>IF(D400="","",IF(E400&lt;&gt;"",E400,IF(F400&lt;&gt;"OK","",IF(INDEX(振り分け!$L$7:$L$456,I400)="","未決定",INDEX(振り分け!$L$7:$L$456,I400)))))</f>
        <v/>
      </c>
      <c r="H400" s="8">
        <f>IF(D400="","",A400&amp;"|"&amp;SUBSTITUTE(SUBSTITUTE(D400," ",""),"　",""))</f>
        <v/>
      </c>
      <c r="I400" s="8">
        <f>IF(H400="","",IFERROR(MATCH(H400,振り分け!$S$7:$S$456,0),""))</f>
        <v/>
      </c>
      <c r="J400" s="8">
        <f>IF(D400="","",IFERROR(MATCH(A400&amp;"-"&amp;B400,設定!$Z$8:$Z$31,0),99)*1000+C400+ROW()/1000000)</f>
        <v/>
      </c>
      <c r="K400" s="8">
        <f>IF(D400="","",IFERROR(INDEX(設定!$L$8:$L$31,MATCH(A400&amp;"-"&amp;B400,設定!$Z$8:$Z$31,0)),A400&amp;B400))</f>
        <v/>
      </c>
    </row>
    <row r="401">
      <c r="A401" s="40" t="n"/>
      <c r="B401" s="40" t="n"/>
      <c r="C401" s="40" t="n"/>
      <c r="D401" s="41" t="n"/>
      <c r="E401" s="40" t="n"/>
      <c r="F401" s="45">
        <f>IF(D401="","",IF(E401&lt;&gt;"","手入力",IF(I401="","前年度名簿にいない",IF(OR(COUNTIF($H$2:$H$451,H401)&gt;1,COUNTIF(振り分け!$S$7:$S$456,H401)&gt;1),"同姓同名あり（手入力してください）","OK"))))</f>
        <v/>
      </c>
      <c r="G401" s="44">
        <f>IF(D401="","",IF(E401&lt;&gt;"",E401,IF(F401&lt;&gt;"OK","",IF(INDEX(振り分け!$L$7:$L$456,I401)="","未決定",INDEX(振り分け!$L$7:$L$456,I401)))))</f>
        <v/>
      </c>
      <c r="H401" s="8">
        <f>IF(D401="","",A401&amp;"|"&amp;SUBSTITUTE(SUBSTITUTE(D401," ",""),"　",""))</f>
        <v/>
      </c>
      <c r="I401" s="8">
        <f>IF(H401="","",IFERROR(MATCH(H401,振り分け!$S$7:$S$456,0),""))</f>
        <v/>
      </c>
      <c r="J401" s="8">
        <f>IF(D401="","",IFERROR(MATCH(A401&amp;"-"&amp;B401,設定!$Z$8:$Z$31,0),99)*1000+C401+ROW()/1000000)</f>
        <v/>
      </c>
      <c r="K401" s="8">
        <f>IF(D401="","",IFERROR(INDEX(設定!$L$8:$L$31,MATCH(A401&amp;"-"&amp;B401,設定!$Z$8:$Z$31,0)),A401&amp;B401))</f>
        <v/>
      </c>
    </row>
    <row r="402">
      <c r="A402" s="40" t="n"/>
      <c r="B402" s="40" t="n"/>
      <c r="C402" s="40" t="n"/>
      <c r="D402" s="41" t="n"/>
      <c r="E402" s="40" t="n"/>
      <c r="F402" s="45">
        <f>IF(D402="","",IF(E402&lt;&gt;"","手入力",IF(I402="","前年度名簿にいない",IF(OR(COUNTIF($H$2:$H$451,H402)&gt;1,COUNTIF(振り分け!$S$7:$S$456,H402)&gt;1),"同姓同名あり（手入力してください）","OK"))))</f>
        <v/>
      </c>
      <c r="G402" s="44">
        <f>IF(D402="","",IF(E402&lt;&gt;"",E402,IF(F402&lt;&gt;"OK","",IF(INDEX(振り分け!$L$7:$L$456,I402)="","未決定",INDEX(振り分け!$L$7:$L$456,I402)))))</f>
        <v/>
      </c>
      <c r="H402" s="8">
        <f>IF(D402="","",A402&amp;"|"&amp;SUBSTITUTE(SUBSTITUTE(D402," ",""),"　",""))</f>
        <v/>
      </c>
      <c r="I402" s="8">
        <f>IF(H402="","",IFERROR(MATCH(H402,振り分け!$S$7:$S$456,0),""))</f>
        <v/>
      </c>
      <c r="J402" s="8">
        <f>IF(D402="","",IFERROR(MATCH(A402&amp;"-"&amp;B402,設定!$Z$8:$Z$31,0),99)*1000+C402+ROW()/1000000)</f>
        <v/>
      </c>
      <c r="K402" s="8">
        <f>IF(D402="","",IFERROR(INDEX(設定!$L$8:$L$31,MATCH(A402&amp;"-"&amp;B402,設定!$Z$8:$Z$31,0)),A402&amp;B402))</f>
        <v/>
      </c>
    </row>
    <row r="403">
      <c r="A403" s="40" t="n"/>
      <c r="B403" s="40" t="n"/>
      <c r="C403" s="40" t="n"/>
      <c r="D403" s="41" t="n"/>
      <c r="E403" s="40" t="n"/>
      <c r="F403" s="45">
        <f>IF(D403="","",IF(E403&lt;&gt;"","手入力",IF(I403="","前年度名簿にいない",IF(OR(COUNTIF($H$2:$H$451,H403)&gt;1,COUNTIF(振り分け!$S$7:$S$456,H403)&gt;1),"同姓同名あり（手入力してください）","OK"))))</f>
        <v/>
      </c>
      <c r="G403" s="44">
        <f>IF(D403="","",IF(E403&lt;&gt;"",E403,IF(F403&lt;&gt;"OK","",IF(INDEX(振り分け!$L$7:$L$456,I403)="","未決定",INDEX(振り分け!$L$7:$L$456,I403)))))</f>
        <v/>
      </c>
      <c r="H403" s="8">
        <f>IF(D403="","",A403&amp;"|"&amp;SUBSTITUTE(SUBSTITUTE(D403," ",""),"　",""))</f>
        <v/>
      </c>
      <c r="I403" s="8">
        <f>IF(H403="","",IFERROR(MATCH(H403,振り分け!$S$7:$S$456,0),""))</f>
        <v/>
      </c>
      <c r="J403" s="8">
        <f>IF(D403="","",IFERROR(MATCH(A403&amp;"-"&amp;B403,設定!$Z$8:$Z$31,0),99)*1000+C403+ROW()/1000000)</f>
        <v/>
      </c>
      <c r="K403" s="8">
        <f>IF(D403="","",IFERROR(INDEX(設定!$L$8:$L$31,MATCH(A403&amp;"-"&amp;B403,設定!$Z$8:$Z$31,0)),A403&amp;B403))</f>
        <v/>
      </c>
    </row>
    <row r="404">
      <c r="A404" s="40" t="n"/>
      <c r="B404" s="40" t="n"/>
      <c r="C404" s="40" t="n"/>
      <c r="D404" s="41" t="n"/>
      <c r="E404" s="40" t="n"/>
      <c r="F404" s="45">
        <f>IF(D404="","",IF(E404&lt;&gt;"","手入力",IF(I404="","前年度名簿にいない",IF(OR(COUNTIF($H$2:$H$451,H404)&gt;1,COUNTIF(振り分け!$S$7:$S$456,H404)&gt;1),"同姓同名あり（手入力してください）","OK"))))</f>
        <v/>
      </c>
      <c r="G404" s="44">
        <f>IF(D404="","",IF(E404&lt;&gt;"",E404,IF(F404&lt;&gt;"OK","",IF(INDEX(振り分け!$L$7:$L$456,I404)="","未決定",INDEX(振り分け!$L$7:$L$456,I404)))))</f>
        <v/>
      </c>
      <c r="H404" s="8">
        <f>IF(D404="","",A404&amp;"|"&amp;SUBSTITUTE(SUBSTITUTE(D404," ",""),"　",""))</f>
        <v/>
      </c>
      <c r="I404" s="8">
        <f>IF(H404="","",IFERROR(MATCH(H404,振り分け!$S$7:$S$456,0),""))</f>
        <v/>
      </c>
      <c r="J404" s="8">
        <f>IF(D404="","",IFERROR(MATCH(A404&amp;"-"&amp;B404,設定!$Z$8:$Z$31,0),99)*1000+C404+ROW()/1000000)</f>
        <v/>
      </c>
      <c r="K404" s="8">
        <f>IF(D404="","",IFERROR(INDEX(設定!$L$8:$L$31,MATCH(A404&amp;"-"&amp;B404,設定!$Z$8:$Z$31,0)),A404&amp;B404))</f>
        <v/>
      </c>
    </row>
    <row r="405">
      <c r="A405" s="40" t="n"/>
      <c r="B405" s="40" t="n"/>
      <c r="C405" s="40" t="n"/>
      <c r="D405" s="41" t="n"/>
      <c r="E405" s="40" t="n"/>
      <c r="F405" s="45">
        <f>IF(D405="","",IF(E405&lt;&gt;"","手入力",IF(I405="","前年度名簿にいない",IF(OR(COUNTIF($H$2:$H$451,H405)&gt;1,COUNTIF(振り分け!$S$7:$S$456,H405)&gt;1),"同姓同名あり（手入力してください）","OK"))))</f>
        <v/>
      </c>
      <c r="G405" s="44">
        <f>IF(D405="","",IF(E405&lt;&gt;"",E405,IF(F405&lt;&gt;"OK","",IF(INDEX(振り分け!$L$7:$L$456,I405)="","未決定",INDEX(振り分け!$L$7:$L$456,I405)))))</f>
        <v/>
      </c>
      <c r="H405" s="8">
        <f>IF(D405="","",A405&amp;"|"&amp;SUBSTITUTE(SUBSTITUTE(D405," ",""),"　",""))</f>
        <v/>
      </c>
      <c r="I405" s="8">
        <f>IF(H405="","",IFERROR(MATCH(H405,振り分け!$S$7:$S$456,0),""))</f>
        <v/>
      </c>
      <c r="J405" s="8">
        <f>IF(D405="","",IFERROR(MATCH(A405&amp;"-"&amp;B405,設定!$Z$8:$Z$31,0),99)*1000+C405+ROW()/1000000)</f>
        <v/>
      </c>
      <c r="K405" s="8">
        <f>IF(D405="","",IFERROR(INDEX(設定!$L$8:$L$31,MATCH(A405&amp;"-"&amp;B405,設定!$Z$8:$Z$31,0)),A405&amp;B405))</f>
        <v/>
      </c>
    </row>
    <row r="406">
      <c r="A406" s="40" t="n"/>
      <c r="B406" s="40" t="n"/>
      <c r="C406" s="40" t="n"/>
      <c r="D406" s="41" t="n"/>
      <c r="E406" s="40" t="n"/>
      <c r="F406" s="45">
        <f>IF(D406="","",IF(E406&lt;&gt;"","手入力",IF(I406="","前年度名簿にいない",IF(OR(COUNTIF($H$2:$H$451,H406)&gt;1,COUNTIF(振り分け!$S$7:$S$456,H406)&gt;1),"同姓同名あり（手入力してください）","OK"))))</f>
        <v/>
      </c>
      <c r="G406" s="44">
        <f>IF(D406="","",IF(E406&lt;&gt;"",E406,IF(F406&lt;&gt;"OK","",IF(INDEX(振り分け!$L$7:$L$456,I406)="","未決定",INDEX(振り分け!$L$7:$L$456,I406)))))</f>
        <v/>
      </c>
      <c r="H406" s="8">
        <f>IF(D406="","",A406&amp;"|"&amp;SUBSTITUTE(SUBSTITUTE(D406," ",""),"　",""))</f>
        <v/>
      </c>
      <c r="I406" s="8">
        <f>IF(H406="","",IFERROR(MATCH(H406,振り分け!$S$7:$S$456,0),""))</f>
        <v/>
      </c>
      <c r="J406" s="8">
        <f>IF(D406="","",IFERROR(MATCH(A406&amp;"-"&amp;B406,設定!$Z$8:$Z$31,0),99)*1000+C406+ROW()/1000000)</f>
        <v/>
      </c>
      <c r="K406" s="8">
        <f>IF(D406="","",IFERROR(INDEX(設定!$L$8:$L$31,MATCH(A406&amp;"-"&amp;B406,設定!$Z$8:$Z$31,0)),A406&amp;B406))</f>
        <v/>
      </c>
    </row>
    <row r="407">
      <c r="A407" s="40" t="n"/>
      <c r="B407" s="40" t="n"/>
      <c r="C407" s="40" t="n"/>
      <c r="D407" s="41" t="n"/>
      <c r="E407" s="40" t="n"/>
      <c r="F407" s="45">
        <f>IF(D407="","",IF(E407&lt;&gt;"","手入力",IF(I407="","前年度名簿にいない",IF(OR(COUNTIF($H$2:$H$451,H407)&gt;1,COUNTIF(振り分け!$S$7:$S$456,H407)&gt;1),"同姓同名あり（手入力してください）","OK"))))</f>
        <v/>
      </c>
      <c r="G407" s="44">
        <f>IF(D407="","",IF(E407&lt;&gt;"",E407,IF(F407&lt;&gt;"OK","",IF(INDEX(振り分け!$L$7:$L$456,I407)="","未決定",INDEX(振り分け!$L$7:$L$456,I407)))))</f>
        <v/>
      </c>
      <c r="H407" s="8">
        <f>IF(D407="","",A407&amp;"|"&amp;SUBSTITUTE(SUBSTITUTE(D407," ",""),"　",""))</f>
        <v/>
      </c>
      <c r="I407" s="8">
        <f>IF(H407="","",IFERROR(MATCH(H407,振り分け!$S$7:$S$456,0),""))</f>
        <v/>
      </c>
      <c r="J407" s="8">
        <f>IF(D407="","",IFERROR(MATCH(A407&amp;"-"&amp;B407,設定!$Z$8:$Z$31,0),99)*1000+C407+ROW()/1000000)</f>
        <v/>
      </c>
      <c r="K407" s="8">
        <f>IF(D407="","",IFERROR(INDEX(設定!$L$8:$L$31,MATCH(A407&amp;"-"&amp;B407,設定!$Z$8:$Z$31,0)),A407&amp;B407))</f>
        <v/>
      </c>
    </row>
    <row r="408">
      <c r="A408" s="40" t="n"/>
      <c r="B408" s="40" t="n"/>
      <c r="C408" s="40" t="n"/>
      <c r="D408" s="41" t="n"/>
      <c r="E408" s="40" t="n"/>
      <c r="F408" s="45">
        <f>IF(D408="","",IF(E408&lt;&gt;"","手入力",IF(I408="","前年度名簿にいない",IF(OR(COUNTIF($H$2:$H$451,H408)&gt;1,COUNTIF(振り分け!$S$7:$S$456,H408)&gt;1),"同姓同名あり（手入力してください）","OK"))))</f>
        <v/>
      </c>
      <c r="G408" s="44">
        <f>IF(D408="","",IF(E408&lt;&gt;"",E408,IF(F408&lt;&gt;"OK","",IF(INDEX(振り分け!$L$7:$L$456,I408)="","未決定",INDEX(振り分け!$L$7:$L$456,I408)))))</f>
        <v/>
      </c>
      <c r="H408" s="8">
        <f>IF(D408="","",A408&amp;"|"&amp;SUBSTITUTE(SUBSTITUTE(D408," ",""),"　",""))</f>
        <v/>
      </c>
      <c r="I408" s="8">
        <f>IF(H408="","",IFERROR(MATCH(H408,振り分け!$S$7:$S$456,0),""))</f>
        <v/>
      </c>
      <c r="J408" s="8">
        <f>IF(D408="","",IFERROR(MATCH(A408&amp;"-"&amp;B408,設定!$Z$8:$Z$31,0),99)*1000+C408+ROW()/1000000)</f>
        <v/>
      </c>
      <c r="K408" s="8">
        <f>IF(D408="","",IFERROR(INDEX(設定!$L$8:$L$31,MATCH(A408&amp;"-"&amp;B408,設定!$Z$8:$Z$31,0)),A408&amp;B408))</f>
        <v/>
      </c>
    </row>
    <row r="409">
      <c r="A409" s="40" t="n"/>
      <c r="B409" s="40" t="n"/>
      <c r="C409" s="40" t="n"/>
      <c r="D409" s="41" t="n"/>
      <c r="E409" s="40" t="n"/>
      <c r="F409" s="45">
        <f>IF(D409="","",IF(E409&lt;&gt;"","手入力",IF(I409="","前年度名簿にいない",IF(OR(COUNTIF($H$2:$H$451,H409)&gt;1,COUNTIF(振り分け!$S$7:$S$456,H409)&gt;1),"同姓同名あり（手入力してください）","OK"))))</f>
        <v/>
      </c>
      <c r="G409" s="44">
        <f>IF(D409="","",IF(E409&lt;&gt;"",E409,IF(F409&lt;&gt;"OK","",IF(INDEX(振り分け!$L$7:$L$456,I409)="","未決定",INDEX(振り分け!$L$7:$L$456,I409)))))</f>
        <v/>
      </c>
      <c r="H409" s="8">
        <f>IF(D409="","",A409&amp;"|"&amp;SUBSTITUTE(SUBSTITUTE(D409," ",""),"　",""))</f>
        <v/>
      </c>
      <c r="I409" s="8">
        <f>IF(H409="","",IFERROR(MATCH(H409,振り分け!$S$7:$S$456,0),""))</f>
        <v/>
      </c>
      <c r="J409" s="8">
        <f>IF(D409="","",IFERROR(MATCH(A409&amp;"-"&amp;B409,設定!$Z$8:$Z$31,0),99)*1000+C409+ROW()/1000000)</f>
        <v/>
      </c>
      <c r="K409" s="8">
        <f>IF(D409="","",IFERROR(INDEX(設定!$L$8:$L$31,MATCH(A409&amp;"-"&amp;B409,設定!$Z$8:$Z$31,0)),A409&amp;B409))</f>
        <v/>
      </c>
    </row>
    <row r="410">
      <c r="A410" s="40" t="n"/>
      <c r="B410" s="40" t="n"/>
      <c r="C410" s="40" t="n"/>
      <c r="D410" s="41" t="n"/>
      <c r="E410" s="40" t="n"/>
      <c r="F410" s="45">
        <f>IF(D410="","",IF(E410&lt;&gt;"","手入力",IF(I410="","前年度名簿にいない",IF(OR(COUNTIF($H$2:$H$451,H410)&gt;1,COUNTIF(振り分け!$S$7:$S$456,H410)&gt;1),"同姓同名あり（手入力してください）","OK"))))</f>
        <v/>
      </c>
      <c r="G410" s="44">
        <f>IF(D410="","",IF(E410&lt;&gt;"",E410,IF(F410&lt;&gt;"OK","",IF(INDEX(振り分け!$L$7:$L$456,I410)="","未決定",INDEX(振り分け!$L$7:$L$456,I410)))))</f>
        <v/>
      </c>
      <c r="H410" s="8">
        <f>IF(D410="","",A410&amp;"|"&amp;SUBSTITUTE(SUBSTITUTE(D410," ",""),"　",""))</f>
        <v/>
      </c>
      <c r="I410" s="8">
        <f>IF(H410="","",IFERROR(MATCH(H410,振り分け!$S$7:$S$456,0),""))</f>
        <v/>
      </c>
      <c r="J410" s="8">
        <f>IF(D410="","",IFERROR(MATCH(A410&amp;"-"&amp;B410,設定!$Z$8:$Z$31,0),99)*1000+C410+ROW()/1000000)</f>
        <v/>
      </c>
      <c r="K410" s="8">
        <f>IF(D410="","",IFERROR(INDEX(設定!$L$8:$L$31,MATCH(A410&amp;"-"&amp;B410,設定!$Z$8:$Z$31,0)),A410&amp;B410))</f>
        <v/>
      </c>
    </row>
    <row r="411">
      <c r="A411" s="40" t="n"/>
      <c r="B411" s="40" t="n"/>
      <c r="C411" s="40" t="n"/>
      <c r="D411" s="41" t="n"/>
      <c r="E411" s="40" t="n"/>
      <c r="F411" s="45">
        <f>IF(D411="","",IF(E411&lt;&gt;"","手入力",IF(I411="","前年度名簿にいない",IF(OR(COUNTIF($H$2:$H$451,H411)&gt;1,COUNTIF(振り分け!$S$7:$S$456,H411)&gt;1),"同姓同名あり（手入力してください）","OK"))))</f>
        <v/>
      </c>
      <c r="G411" s="44">
        <f>IF(D411="","",IF(E411&lt;&gt;"",E411,IF(F411&lt;&gt;"OK","",IF(INDEX(振り分け!$L$7:$L$456,I411)="","未決定",INDEX(振り分け!$L$7:$L$456,I411)))))</f>
        <v/>
      </c>
      <c r="H411" s="8">
        <f>IF(D411="","",A411&amp;"|"&amp;SUBSTITUTE(SUBSTITUTE(D411," ",""),"　",""))</f>
        <v/>
      </c>
      <c r="I411" s="8">
        <f>IF(H411="","",IFERROR(MATCH(H411,振り分け!$S$7:$S$456,0),""))</f>
        <v/>
      </c>
      <c r="J411" s="8">
        <f>IF(D411="","",IFERROR(MATCH(A411&amp;"-"&amp;B411,設定!$Z$8:$Z$31,0),99)*1000+C411+ROW()/1000000)</f>
        <v/>
      </c>
      <c r="K411" s="8">
        <f>IF(D411="","",IFERROR(INDEX(設定!$L$8:$L$31,MATCH(A411&amp;"-"&amp;B411,設定!$Z$8:$Z$31,0)),A411&amp;B411))</f>
        <v/>
      </c>
    </row>
    <row r="412">
      <c r="A412" s="40" t="n"/>
      <c r="B412" s="40" t="n"/>
      <c r="C412" s="40" t="n"/>
      <c r="D412" s="41" t="n"/>
      <c r="E412" s="40" t="n"/>
      <c r="F412" s="45">
        <f>IF(D412="","",IF(E412&lt;&gt;"","手入力",IF(I412="","前年度名簿にいない",IF(OR(COUNTIF($H$2:$H$451,H412)&gt;1,COUNTIF(振り分け!$S$7:$S$456,H412)&gt;1),"同姓同名あり（手入力してください）","OK"))))</f>
        <v/>
      </c>
      <c r="G412" s="44">
        <f>IF(D412="","",IF(E412&lt;&gt;"",E412,IF(F412&lt;&gt;"OK","",IF(INDEX(振り分け!$L$7:$L$456,I412)="","未決定",INDEX(振り分け!$L$7:$L$456,I412)))))</f>
        <v/>
      </c>
      <c r="H412" s="8">
        <f>IF(D412="","",A412&amp;"|"&amp;SUBSTITUTE(SUBSTITUTE(D412," ",""),"　",""))</f>
        <v/>
      </c>
      <c r="I412" s="8">
        <f>IF(H412="","",IFERROR(MATCH(H412,振り分け!$S$7:$S$456,0),""))</f>
        <v/>
      </c>
      <c r="J412" s="8">
        <f>IF(D412="","",IFERROR(MATCH(A412&amp;"-"&amp;B412,設定!$Z$8:$Z$31,0),99)*1000+C412+ROW()/1000000)</f>
        <v/>
      </c>
      <c r="K412" s="8">
        <f>IF(D412="","",IFERROR(INDEX(設定!$L$8:$L$31,MATCH(A412&amp;"-"&amp;B412,設定!$Z$8:$Z$31,0)),A412&amp;B412))</f>
        <v/>
      </c>
    </row>
    <row r="413">
      <c r="A413" s="40" t="n"/>
      <c r="B413" s="40" t="n"/>
      <c r="C413" s="40" t="n"/>
      <c r="D413" s="41" t="n"/>
      <c r="E413" s="40" t="n"/>
      <c r="F413" s="45">
        <f>IF(D413="","",IF(E413&lt;&gt;"","手入力",IF(I413="","前年度名簿にいない",IF(OR(COUNTIF($H$2:$H$451,H413)&gt;1,COUNTIF(振り分け!$S$7:$S$456,H413)&gt;1),"同姓同名あり（手入力してください）","OK"))))</f>
        <v/>
      </c>
      <c r="G413" s="44">
        <f>IF(D413="","",IF(E413&lt;&gt;"",E413,IF(F413&lt;&gt;"OK","",IF(INDEX(振り分け!$L$7:$L$456,I413)="","未決定",INDEX(振り分け!$L$7:$L$456,I413)))))</f>
        <v/>
      </c>
      <c r="H413" s="8">
        <f>IF(D413="","",A413&amp;"|"&amp;SUBSTITUTE(SUBSTITUTE(D413," ",""),"　",""))</f>
        <v/>
      </c>
      <c r="I413" s="8">
        <f>IF(H413="","",IFERROR(MATCH(H413,振り分け!$S$7:$S$456,0),""))</f>
        <v/>
      </c>
      <c r="J413" s="8">
        <f>IF(D413="","",IFERROR(MATCH(A413&amp;"-"&amp;B413,設定!$Z$8:$Z$31,0),99)*1000+C413+ROW()/1000000)</f>
        <v/>
      </c>
      <c r="K413" s="8">
        <f>IF(D413="","",IFERROR(INDEX(設定!$L$8:$L$31,MATCH(A413&amp;"-"&amp;B413,設定!$Z$8:$Z$31,0)),A413&amp;B413))</f>
        <v/>
      </c>
    </row>
    <row r="414">
      <c r="A414" s="40" t="n"/>
      <c r="B414" s="40" t="n"/>
      <c r="C414" s="40" t="n"/>
      <c r="D414" s="41" t="n"/>
      <c r="E414" s="40" t="n"/>
      <c r="F414" s="45">
        <f>IF(D414="","",IF(E414&lt;&gt;"","手入力",IF(I414="","前年度名簿にいない",IF(OR(COUNTIF($H$2:$H$451,H414)&gt;1,COUNTIF(振り分け!$S$7:$S$456,H414)&gt;1),"同姓同名あり（手入力してください）","OK"))))</f>
        <v/>
      </c>
      <c r="G414" s="44">
        <f>IF(D414="","",IF(E414&lt;&gt;"",E414,IF(F414&lt;&gt;"OK","",IF(INDEX(振り分け!$L$7:$L$456,I414)="","未決定",INDEX(振り分け!$L$7:$L$456,I414)))))</f>
        <v/>
      </c>
      <c r="H414" s="8">
        <f>IF(D414="","",A414&amp;"|"&amp;SUBSTITUTE(SUBSTITUTE(D414," ",""),"　",""))</f>
        <v/>
      </c>
      <c r="I414" s="8">
        <f>IF(H414="","",IFERROR(MATCH(H414,振り分け!$S$7:$S$456,0),""))</f>
        <v/>
      </c>
      <c r="J414" s="8">
        <f>IF(D414="","",IFERROR(MATCH(A414&amp;"-"&amp;B414,設定!$Z$8:$Z$31,0),99)*1000+C414+ROW()/1000000)</f>
        <v/>
      </c>
      <c r="K414" s="8">
        <f>IF(D414="","",IFERROR(INDEX(設定!$L$8:$L$31,MATCH(A414&amp;"-"&amp;B414,設定!$Z$8:$Z$31,0)),A414&amp;B414))</f>
        <v/>
      </c>
    </row>
    <row r="415">
      <c r="A415" s="40" t="n"/>
      <c r="B415" s="40" t="n"/>
      <c r="C415" s="40" t="n"/>
      <c r="D415" s="41" t="n"/>
      <c r="E415" s="40" t="n"/>
      <c r="F415" s="45">
        <f>IF(D415="","",IF(E415&lt;&gt;"","手入力",IF(I415="","前年度名簿にいない",IF(OR(COUNTIF($H$2:$H$451,H415)&gt;1,COUNTIF(振り分け!$S$7:$S$456,H415)&gt;1),"同姓同名あり（手入力してください）","OK"))))</f>
        <v/>
      </c>
      <c r="G415" s="44">
        <f>IF(D415="","",IF(E415&lt;&gt;"",E415,IF(F415&lt;&gt;"OK","",IF(INDEX(振り分け!$L$7:$L$456,I415)="","未決定",INDEX(振り分け!$L$7:$L$456,I415)))))</f>
        <v/>
      </c>
      <c r="H415" s="8">
        <f>IF(D415="","",A415&amp;"|"&amp;SUBSTITUTE(SUBSTITUTE(D415," ",""),"　",""))</f>
        <v/>
      </c>
      <c r="I415" s="8">
        <f>IF(H415="","",IFERROR(MATCH(H415,振り分け!$S$7:$S$456,0),""))</f>
        <v/>
      </c>
      <c r="J415" s="8">
        <f>IF(D415="","",IFERROR(MATCH(A415&amp;"-"&amp;B415,設定!$Z$8:$Z$31,0),99)*1000+C415+ROW()/1000000)</f>
        <v/>
      </c>
      <c r="K415" s="8">
        <f>IF(D415="","",IFERROR(INDEX(設定!$L$8:$L$31,MATCH(A415&amp;"-"&amp;B415,設定!$Z$8:$Z$31,0)),A415&amp;B415))</f>
        <v/>
      </c>
    </row>
    <row r="416">
      <c r="A416" s="40" t="n"/>
      <c r="B416" s="40" t="n"/>
      <c r="C416" s="40" t="n"/>
      <c r="D416" s="41" t="n"/>
      <c r="E416" s="40" t="n"/>
      <c r="F416" s="45">
        <f>IF(D416="","",IF(E416&lt;&gt;"","手入力",IF(I416="","前年度名簿にいない",IF(OR(COUNTIF($H$2:$H$451,H416)&gt;1,COUNTIF(振り分け!$S$7:$S$456,H416)&gt;1),"同姓同名あり（手入力してください）","OK"))))</f>
        <v/>
      </c>
      <c r="G416" s="44">
        <f>IF(D416="","",IF(E416&lt;&gt;"",E416,IF(F416&lt;&gt;"OK","",IF(INDEX(振り分け!$L$7:$L$456,I416)="","未決定",INDEX(振り分け!$L$7:$L$456,I416)))))</f>
        <v/>
      </c>
      <c r="H416" s="8">
        <f>IF(D416="","",A416&amp;"|"&amp;SUBSTITUTE(SUBSTITUTE(D416," ",""),"　",""))</f>
        <v/>
      </c>
      <c r="I416" s="8">
        <f>IF(H416="","",IFERROR(MATCH(H416,振り分け!$S$7:$S$456,0),""))</f>
        <v/>
      </c>
      <c r="J416" s="8">
        <f>IF(D416="","",IFERROR(MATCH(A416&amp;"-"&amp;B416,設定!$Z$8:$Z$31,0),99)*1000+C416+ROW()/1000000)</f>
        <v/>
      </c>
      <c r="K416" s="8">
        <f>IF(D416="","",IFERROR(INDEX(設定!$L$8:$L$31,MATCH(A416&amp;"-"&amp;B416,設定!$Z$8:$Z$31,0)),A416&amp;B416))</f>
        <v/>
      </c>
    </row>
    <row r="417">
      <c r="A417" s="40" t="n"/>
      <c r="B417" s="40" t="n"/>
      <c r="C417" s="40" t="n"/>
      <c r="D417" s="41" t="n"/>
      <c r="E417" s="40" t="n"/>
      <c r="F417" s="45">
        <f>IF(D417="","",IF(E417&lt;&gt;"","手入力",IF(I417="","前年度名簿にいない",IF(OR(COUNTIF($H$2:$H$451,H417)&gt;1,COUNTIF(振り分け!$S$7:$S$456,H417)&gt;1),"同姓同名あり（手入力してください）","OK"))))</f>
        <v/>
      </c>
      <c r="G417" s="44">
        <f>IF(D417="","",IF(E417&lt;&gt;"",E417,IF(F417&lt;&gt;"OK","",IF(INDEX(振り分け!$L$7:$L$456,I417)="","未決定",INDEX(振り分け!$L$7:$L$456,I417)))))</f>
        <v/>
      </c>
      <c r="H417" s="8">
        <f>IF(D417="","",A417&amp;"|"&amp;SUBSTITUTE(SUBSTITUTE(D417," ",""),"　",""))</f>
        <v/>
      </c>
      <c r="I417" s="8">
        <f>IF(H417="","",IFERROR(MATCH(H417,振り分け!$S$7:$S$456,0),""))</f>
        <v/>
      </c>
      <c r="J417" s="8">
        <f>IF(D417="","",IFERROR(MATCH(A417&amp;"-"&amp;B417,設定!$Z$8:$Z$31,0),99)*1000+C417+ROW()/1000000)</f>
        <v/>
      </c>
      <c r="K417" s="8">
        <f>IF(D417="","",IFERROR(INDEX(設定!$L$8:$L$31,MATCH(A417&amp;"-"&amp;B417,設定!$Z$8:$Z$31,0)),A417&amp;B417))</f>
        <v/>
      </c>
    </row>
    <row r="418">
      <c r="A418" s="40" t="n"/>
      <c r="B418" s="40" t="n"/>
      <c r="C418" s="40" t="n"/>
      <c r="D418" s="41" t="n"/>
      <c r="E418" s="40" t="n"/>
      <c r="F418" s="45">
        <f>IF(D418="","",IF(E418&lt;&gt;"","手入力",IF(I418="","前年度名簿にいない",IF(OR(COUNTIF($H$2:$H$451,H418)&gt;1,COUNTIF(振り分け!$S$7:$S$456,H418)&gt;1),"同姓同名あり（手入力してください）","OK"))))</f>
        <v/>
      </c>
      <c r="G418" s="44">
        <f>IF(D418="","",IF(E418&lt;&gt;"",E418,IF(F418&lt;&gt;"OK","",IF(INDEX(振り分け!$L$7:$L$456,I418)="","未決定",INDEX(振り分け!$L$7:$L$456,I418)))))</f>
        <v/>
      </c>
      <c r="H418" s="8">
        <f>IF(D418="","",A418&amp;"|"&amp;SUBSTITUTE(SUBSTITUTE(D418," ",""),"　",""))</f>
        <v/>
      </c>
      <c r="I418" s="8">
        <f>IF(H418="","",IFERROR(MATCH(H418,振り分け!$S$7:$S$456,0),""))</f>
        <v/>
      </c>
      <c r="J418" s="8">
        <f>IF(D418="","",IFERROR(MATCH(A418&amp;"-"&amp;B418,設定!$Z$8:$Z$31,0),99)*1000+C418+ROW()/1000000)</f>
        <v/>
      </c>
      <c r="K418" s="8">
        <f>IF(D418="","",IFERROR(INDEX(設定!$L$8:$L$31,MATCH(A418&amp;"-"&amp;B418,設定!$Z$8:$Z$31,0)),A418&amp;B418))</f>
        <v/>
      </c>
    </row>
    <row r="419">
      <c r="A419" s="40" t="n"/>
      <c r="B419" s="40" t="n"/>
      <c r="C419" s="40" t="n"/>
      <c r="D419" s="41" t="n"/>
      <c r="E419" s="40" t="n"/>
      <c r="F419" s="45">
        <f>IF(D419="","",IF(E419&lt;&gt;"","手入力",IF(I419="","前年度名簿にいない",IF(OR(COUNTIF($H$2:$H$451,H419)&gt;1,COUNTIF(振り分け!$S$7:$S$456,H419)&gt;1),"同姓同名あり（手入力してください）","OK"))))</f>
        <v/>
      </c>
      <c r="G419" s="44">
        <f>IF(D419="","",IF(E419&lt;&gt;"",E419,IF(F419&lt;&gt;"OK","",IF(INDEX(振り分け!$L$7:$L$456,I419)="","未決定",INDEX(振り分け!$L$7:$L$456,I419)))))</f>
        <v/>
      </c>
      <c r="H419" s="8">
        <f>IF(D419="","",A419&amp;"|"&amp;SUBSTITUTE(SUBSTITUTE(D419," ",""),"　",""))</f>
        <v/>
      </c>
      <c r="I419" s="8">
        <f>IF(H419="","",IFERROR(MATCH(H419,振り分け!$S$7:$S$456,0),""))</f>
        <v/>
      </c>
      <c r="J419" s="8">
        <f>IF(D419="","",IFERROR(MATCH(A419&amp;"-"&amp;B419,設定!$Z$8:$Z$31,0),99)*1000+C419+ROW()/1000000)</f>
        <v/>
      </c>
      <c r="K419" s="8">
        <f>IF(D419="","",IFERROR(INDEX(設定!$L$8:$L$31,MATCH(A419&amp;"-"&amp;B419,設定!$Z$8:$Z$31,0)),A419&amp;B419))</f>
        <v/>
      </c>
    </row>
    <row r="420">
      <c r="A420" s="40" t="n"/>
      <c r="B420" s="40" t="n"/>
      <c r="C420" s="40" t="n"/>
      <c r="D420" s="41" t="n"/>
      <c r="E420" s="40" t="n"/>
      <c r="F420" s="45">
        <f>IF(D420="","",IF(E420&lt;&gt;"","手入力",IF(I420="","前年度名簿にいない",IF(OR(COUNTIF($H$2:$H$451,H420)&gt;1,COUNTIF(振り分け!$S$7:$S$456,H420)&gt;1),"同姓同名あり（手入力してください）","OK"))))</f>
        <v/>
      </c>
      <c r="G420" s="44">
        <f>IF(D420="","",IF(E420&lt;&gt;"",E420,IF(F420&lt;&gt;"OK","",IF(INDEX(振り分け!$L$7:$L$456,I420)="","未決定",INDEX(振り分け!$L$7:$L$456,I420)))))</f>
        <v/>
      </c>
      <c r="H420" s="8">
        <f>IF(D420="","",A420&amp;"|"&amp;SUBSTITUTE(SUBSTITUTE(D420," ",""),"　",""))</f>
        <v/>
      </c>
      <c r="I420" s="8">
        <f>IF(H420="","",IFERROR(MATCH(H420,振り分け!$S$7:$S$456,0),""))</f>
        <v/>
      </c>
      <c r="J420" s="8">
        <f>IF(D420="","",IFERROR(MATCH(A420&amp;"-"&amp;B420,設定!$Z$8:$Z$31,0),99)*1000+C420+ROW()/1000000)</f>
        <v/>
      </c>
      <c r="K420" s="8">
        <f>IF(D420="","",IFERROR(INDEX(設定!$L$8:$L$31,MATCH(A420&amp;"-"&amp;B420,設定!$Z$8:$Z$31,0)),A420&amp;B420))</f>
        <v/>
      </c>
    </row>
    <row r="421">
      <c r="A421" s="40" t="n"/>
      <c r="B421" s="40" t="n"/>
      <c r="C421" s="40" t="n"/>
      <c r="D421" s="41" t="n"/>
      <c r="E421" s="40" t="n"/>
      <c r="F421" s="45">
        <f>IF(D421="","",IF(E421&lt;&gt;"","手入力",IF(I421="","前年度名簿にいない",IF(OR(COUNTIF($H$2:$H$451,H421)&gt;1,COUNTIF(振り分け!$S$7:$S$456,H421)&gt;1),"同姓同名あり（手入力してください）","OK"))))</f>
        <v/>
      </c>
      <c r="G421" s="44">
        <f>IF(D421="","",IF(E421&lt;&gt;"",E421,IF(F421&lt;&gt;"OK","",IF(INDEX(振り分け!$L$7:$L$456,I421)="","未決定",INDEX(振り分け!$L$7:$L$456,I421)))))</f>
        <v/>
      </c>
      <c r="H421" s="8">
        <f>IF(D421="","",A421&amp;"|"&amp;SUBSTITUTE(SUBSTITUTE(D421," ",""),"　",""))</f>
        <v/>
      </c>
      <c r="I421" s="8">
        <f>IF(H421="","",IFERROR(MATCH(H421,振り分け!$S$7:$S$456,0),""))</f>
        <v/>
      </c>
      <c r="J421" s="8">
        <f>IF(D421="","",IFERROR(MATCH(A421&amp;"-"&amp;B421,設定!$Z$8:$Z$31,0),99)*1000+C421+ROW()/1000000)</f>
        <v/>
      </c>
      <c r="K421" s="8">
        <f>IF(D421="","",IFERROR(INDEX(設定!$L$8:$L$31,MATCH(A421&amp;"-"&amp;B421,設定!$Z$8:$Z$31,0)),A421&amp;B421))</f>
        <v/>
      </c>
    </row>
    <row r="422">
      <c r="A422" s="40" t="n"/>
      <c r="B422" s="40" t="n"/>
      <c r="C422" s="40" t="n"/>
      <c r="D422" s="41" t="n"/>
      <c r="E422" s="40" t="n"/>
      <c r="F422" s="45">
        <f>IF(D422="","",IF(E422&lt;&gt;"","手入力",IF(I422="","前年度名簿にいない",IF(OR(COUNTIF($H$2:$H$451,H422)&gt;1,COUNTIF(振り分け!$S$7:$S$456,H422)&gt;1),"同姓同名あり（手入力してください）","OK"))))</f>
        <v/>
      </c>
      <c r="G422" s="44">
        <f>IF(D422="","",IF(E422&lt;&gt;"",E422,IF(F422&lt;&gt;"OK","",IF(INDEX(振り分け!$L$7:$L$456,I422)="","未決定",INDEX(振り分け!$L$7:$L$456,I422)))))</f>
        <v/>
      </c>
      <c r="H422" s="8">
        <f>IF(D422="","",A422&amp;"|"&amp;SUBSTITUTE(SUBSTITUTE(D422," ",""),"　",""))</f>
        <v/>
      </c>
      <c r="I422" s="8">
        <f>IF(H422="","",IFERROR(MATCH(H422,振り分け!$S$7:$S$456,0),""))</f>
        <v/>
      </c>
      <c r="J422" s="8">
        <f>IF(D422="","",IFERROR(MATCH(A422&amp;"-"&amp;B422,設定!$Z$8:$Z$31,0),99)*1000+C422+ROW()/1000000)</f>
        <v/>
      </c>
      <c r="K422" s="8">
        <f>IF(D422="","",IFERROR(INDEX(設定!$L$8:$L$31,MATCH(A422&amp;"-"&amp;B422,設定!$Z$8:$Z$31,0)),A422&amp;B422))</f>
        <v/>
      </c>
    </row>
    <row r="423">
      <c r="A423" s="40" t="n"/>
      <c r="B423" s="40" t="n"/>
      <c r="C423" s="40" t="n"/>
      <c r="D423" s="41" t="n"/>
      <c r="E423" s="40" t="n"/>
      <c r="F423" s="45">
        <f>IF(D423="","",IF(E423&lt;&gt;"","手入力",IF(I423="","前年度名簿にいない",IF(OR(COUNTIF($H$2:$H$451,H423)&gt;1,COUNTIF(振り分け!$S$7:$S$456,H423)&gt;1),"同姓同名あり（手入力してください）","OK"))))</f>
        <v/>
      </c>
      <c r="G423" s="44">
        <f>IF(D423="","",IF(E423&lt;&gt;"",E423,IF(F423&lt;&gt;"OK","",IF(INDEX(振り分け!$L$7:$L$456,I423)="","未決定",INDEX(振り分け!$L$7:$L$456,I423)))))</f>
        <v/>
      </c>
      <c r="H423" s="8">
        <f>IF(D423="","",A423&amp;"|"&amp;SUBSTITUTE(SUBSTITUTE(D423," ",""),"　",""))</f>
        <v/>
      </c>
      <c r="I423" s="8">
        <f>IF(H423="","",IFERROR(MATCH(H423,振り分け!$S$7:$S$456,0),""))</f>
        <v/>
      </c>
      <c r="J423" s="8">
        <f>IF(D423="","",IFERROR(MATCH(A423&amp;"-"&amp;B423,設定!$Z$8:$Z$31,0),99)*1000+C423+ROW()/1000000)</f>
        <v/>
      </c>
      <c r="K423" s="8">
        <f>IF(D423="","",IFERROR(INDEX(設定!$L$8:$L$31,MATCH(A423&amp;"-"&amp;B423,設定!$Z$8:$Z$31,0)),A423&amp;B423))</f>
        <v/>
      </c>
    </row>
    <row r="424">
      <c r="A424" s="40" t="n"/>
      <c r="B424" s="40" t="n"/>
      <c r="C424" s="40" t="n"/>
      <c r="D424" s="41" t="n"/>
      <c r="E424" s="40" t="n"/>
      <c r="F424" s="45">
        <f>IF(D424="","",IF(E424&lt;&gt;"","手入力",IF(I424="","前年度名簿にいない",IF(OR(COUNTIF($H$2:$H$451,H424)&gt;1,COUNTIF(振り分け!$S$7:$S$456,H424)&gt;1),"同姓同名あり（手入力してください）","OK"))))</f>
        <v/>
      </c>
      <c r="G424" s="44">
        <f>IF(D424="","",IF(E424&lt;&gt;"",E424,IF(F424&lt;&gt;"OK","",IF(INDEX(振り分け!$L$7:$L$456,I424)="","未決定",INDEX(振り分け!$L$7:$L$456,I424)))))</f>
        <v/>
      </c>
      <c r="H424" s="8">
        <f>IF(D424="","",A424&amp;"|"&amp;SUBSTITUTE(SUBSTITUTE(D424," ",""),"　",""))</f>
        <v/>
      </c>
      <c r="I424" s="8">
        <f>IF(H424="","",IFERROR(MATCH(H424,振り分け!$S$7:$S$456,0),""))</f>
        <v/>
      </c>
      <c r="J424" s="8">
        <f>IF(D424="","",IFERROR(MATCH(A424&amp;"-"&amp;B424,設定!$Z$8:$Z$31,0),99)*1000+C424+ROW()/1000000)</f>
        <v/>
      </c>
      <c r="K424" s="8">
        <f>IF(D424="","",IFERROR(INDEX(設定!$L$8:$L$31,MATCH(A424&amp;"-"&amp;B424,設定!$Z$8:$Z$31,0)),A424&amp;B424))</f>
        <v/>
      </c>
    </row>
    <row r="425">
      <c r="A425" s="40" t="n"/>
      <c r="B425" s="40" t="n"/>
      <c r="C425" s="40" t="n"/>
      <c r="D425" s="41" t="n"/>
      <c r="E425" s="40" t="n"/>
      <c r="F425" s="45">
        <f>IF(D425="","",IF(E425&lt;&gt;"","手入力",IF(I425="","前年度名簿にいない",IF(OR(COUNTIF($H$2:$H$451,H425)&gt;1,COUNTIF(振り分け!$S$7:$S$456,H425)&gt;1),"同姓同名あり（手入力してください）","OK"))))</f>
        <v/>
      </c>
      <c r="G425" s="44">
        <f>IF(D425="","",IF(E425&lt;&gt;"",E425,IF(F425&lt;&gt;"OK","",IF(INDEX(振り分け!$L$7:$L$456,I425)="","未決定",INDEX(振り分け!$L$7:$L$456,I425)))))</f>
        <v/>
      </c>
      <c r="H425" s="8">
        <f>IF(D425="","",A425&amp;"|"&amp;SUBSTITUTE(SUBSTITUTE(D425," ",""),"　",""))</f>
        <v/>
      </c>
      <c r="I425" s="8">
        <f>IF(H425="","",IFERROR(MATCH(H425,振り分け!$S$7:$S$456,0),""))</f>
        <v/>
      </c>
      <c r="J425" s="8">
        <f>IF(D425="","",IFERROR(MATCH(A425&amp;"-"&amp;B425,設定!$Z$8:$Z$31,0),99)*1000+C425+ROW()/1000000)</f>
        <v/>
      </c>
      <c r="K425" s="8">
        <f>IF(D425="","",IFERROR(INDEX(設定!$L$8:$L$31,MATCH(A425&amp;"-"&amp;B425,設定!$Z$8:$Z$31,0)),A425&amp;B425))</f>
        <v/>
      </c>
    </row>
    <row r="426">
      <c r="A426" s="40" t="n"/>
      <c r="B426" s="40" t="n"/>
      <c r="C426" s="40" t="n"/>
      <c r="D426" s="41" t="n"/>
      <c r="E426" s="40" t="n"/>
      <c r="F426" s="45">
        <f>IF(D426="","",IF(E426&lt;&gt;"","手入力",IF(I426="","前年度名簿にいない",IF(OR(COUNTIF($H$2:$H$451,H426)&gt;1,COUNTIF(振り分け!$S$7:$S$456,H426)&gt;1),"同姓同名あり（手入力してください）","OK"))))</f>
        <v/>
      </c>
      <c r="G426" s="44">
        <f>IF(D426="","",IF(E426&lt;&gt;"",E426,IF(F426&lt;&gt;"OK","",IF(INDEX(振り分け!$L$7:$L$456,I426)="","未決定",INDEX(振り分け!$L$7:$L$456,I426)))))</f>
        <v/>
      </c>
      <c r="H426" s="8">
        <f>IF(D426="","",A426&amp;"|"&amp;SUBSTITUTE(SUBSTITUTE(D426," ",""),"　",""))</f>
        <v/>
      </c>
      <c r="I426" s="8">
        <f>IF(H426="","",IFERROR(MATCH(H426,振り分け!$S$7:$S$456,0),""))</f>
        <v/>
      </c>
      <c r="J426" s="8">
        <f>IF(D426="","",IFERROR(MATCH(A426&amp;"-"&amp;B426,設定!$Z$8:$Z$31,0),99)*1000+C426+ROW()/1000000)</f>
        <v/>
      </c>
      <c r="K426" s="8">
        <f>IF(D426="","",IFERROR(INDEX(設定!$L$8:$L$31,MATCH(A426&amp;"-"&amp;B426,設定!$Z$8:$Z$31,0)),A426&amp;B426))</f>
        <v/>
      </c>
    </row>
    <row r="427">
      <c r="A427" s="40" t="n"/>
      <c r="B427" s="40" t="n"/>
      <c r="C427" s="40" t="n"/>
      <c r="D427" s="41" t="n"/>
      <c r="E427" s="40" t="n"/>
      <c r="F427" s="45">
        <f>IF(D427="","",IF(E427&lt;&gt;"","手入力",IF(I427="","前年度名簿にいない",IF(OR(COUNTIF($H$2:$H$451,H427)&gt;1,COUNTIF(振り分け!$S$7:$S$456,H427)&gt;1),"同姓同名あり（手入力してください）","OK"))))</f>
        <v/>
      </c>
      <c r="G427" s="44">
        <f>IF(D427="","",IF(E427&lt;&gt;"",E427,IF(F427&lt;&gt;"OK","",IF(INDEX(振り分け!$L$7:$L$456,I427)="","未決定",INDEX(振り分け!$L$7:$L$456,I427)))))</f>
        <v/>
      </c>
      <c r="H427" s="8">
        <f>IF(D427="","",A427&amp;"|"&amp;SUBSTITUTE(SUBSTITUTE(D427," ",""),"　",""))</f>
        <v/>
      </c>
      <c r="I427" s="8">
        <f>IF(H427="","",IFERROR(MATCH(H427,振り分け!$S$7:$S$456,0),""))</f>
        <v/>
      </c>
      <c r="J427" s="8">
        <f>IF(D427="","",IFERROR(MATCH(A427&amp;"-"&amp;B427,設定!$Z$8:$Z$31,0),99)*1000+C427+ROW()/1000000)</f>
        <v/>
      </c>
      <c r="K427" s="8">
        <f>IF(D427="","",IFERROR(INDEX(設定!$L$8:$L$31,MATCH(A427&amp;"-"&amp;B427,設定!$Z$8:$Z$31,0)),A427&amp;B427))</f>
        <v/>
      </c>
    </row>
    <row r="428">
      <c r="A428" s="40" t="n"/>
      <c r="B428" s="40" t="n"/>
      <c r="C428" s="40" t="n"/>
      <c r="D428" s="41" t="n"/>
      <c r="E428" s="40" t="n"/>
      <c r="F428" s="45">
        <f>IF(D428="","",IF(E428&lt;&gt;"","手入力",IF(I428="","前年度名簿にいない",IF(OR(COUNTIF($H$2:$H$451,H428)&gt;1,COUNTIF(振り分け!$S$7:$S$456,H428)&gt;1),"同姓同名あり（手入力してください）","OK"))))</f>
        <v/>
      </c>
      <c r="G428" s="44">
        <f>IF(D428="","",IF(E428&lt;&gt;"",E428,IF(F428&lt;&gt;"OK","",IF(INDEX(振り分け!$L$7:$L$456,I428)="","未決定",INDEX(振り分け!$L$7:$L$456,I428)))))</f>
        <v/>
      </c>
      <c r="H428" s="8">
        <f>IF(D428="","",A428&amp;"|"&amp;SUBSTITUTE(SUBSTITUTE(D428," ",""),"　",""))</f>
        <v/>
      </c>
      <c r="I428" s="8">
        <f>IF(H428="","",IFERROR(MATCH(H428,振り分け!$S$7:$S$456,0),""))</f>
        <v/>
      </c>
      <c r="J428" s="8">
        <f>IF(D428="","",IFERROR(MATCH(A428&amp;"-"&amp;B428,設定!$Z$8:$Z$31,0),99)*1000+C428+ROW()/1000000)</f>
        <v/>
      </c>
      <c r="K428" s="8">
        <f>IF(D428="","",IFERROR(INDEX(設定!$L$8:$L$31,MATCH(A428&amp;"-"&amp;B428,設定!$Z$8:$Z$31,0)),A428&amp;B428))</f>
        <v/>
      </c>
    </row>
    <row r="429">
      <c r="A429" s="40" t="n"/>
      <c r="B429" s="40" t="n"/>
      <c r="C429" s="40" t="n"/>
      <c r="D429" s="41" t="n"/>
      <c r="E429" s="40" t="n"/>
      <c r="F429" s="45">
        <f>IF(D429="","",IF(E429&lt;&gt;"","手入力",IF(I429="","前年度名簿にいない",IF(OR(COUNTIF($H$2:$H$451,H429)&gt;1,COUNTIF(振り分け!$S$7:$S$456,H429)&gt;1),"同姓同名あり（手入力してください）","OK"))))</f>
        <v/>
      </c>
      <c r="G429" s="44">
        <f>IF(D429="","",IF(E429&lt;&gt;"",E429,IF(F429&lt;&gt;"OK","",IF(INDEX(振り分け!$L$7:$L$456,I429)="","未決定",INDEX(振り分け!$L$7:$L$456,I429)))))</f>
        <v/>
      </c>
      <c r="H429" s="8">
        <f>IF(D429="","",A429&amp;"|"&amp;SUBSTITUTE(SUBSTITUTE(D429," ",""),"　",""))</f>
        <v/>
      </c>
      <c r="I429" s="8">
        <f>IF(H429="","",IFERROR(MATCH(H429,振り分け!$S$7:$S$456,0),""))</f>
        <v/>
      </c>
      <c r="J429" s="8">
        <f>IF(D429="","",IFERROR(MATCH(A429&amp;"-"&amp;B429,設定!$Z$8:$Z$31,0),99)*1000+C429+ROW()/1000000)</f>
        <v/>
      </c>
      <c r="K429" s="8">
        <f>IF(D429="","",IFERROR(INDEX(設定!$L$8:$L$31,MATCH(A429&amp;"-"&amp;B429,設定!$Z$8:$Z$31,0)),A429&amp;B429))</f>
        <v/>
      </c>
    </row>
    <row r="430">
      <c r="A430" s="40" t="n"/>
      <c r="B430" s="40" t="n"/>
      <c r="C430" s="40" t="n"/>
      <c r="D430" s="41" t="n"/>
      <c r="E430" s="40" t="n"/>
      <c r="F430" s="45">
        <f>IF(D430="","",IF(E430&lt;&gt;"","手入力",IF(I430="","前年度名簿にいない",IF(OR(COUNTIF($H$2:$H$451,H430)&gt;1,COUNTIF(振り分け!$S$7:$S$456,H430)&gt;1),"同姓同名あり（手入力してください）","OK"))))</f>
        <v/>
      </c>
      <c r="G430" s="44">
        <f>IF(D430="","",IF(E430&lt;&gt;"",E430,IF(F430&lt;&gt;"OK","",IF(INDEX(振り分け!$L$7:$L$456,I430)="","未決定",INDEX(振り分け!$L$7:$L$456,I430)))))</f>
        <v/>
      </c>
      <c r="H430" s="8">
        <f>IF(D430="","",A430&amp;"|"&amp;SUBSTITUTE(SUBSTITUTE(D430," ",""),"　",""))</f>
        <v/>
      </c>
      <c r="I430" s="8">
        <f>IF(H430="","",IFERROR(MATCH(H430,振り分け!$S$7:$S$456,0),""))</f>
        <v/>
      </c>
      <c r="J430" s="8">
        <f>IF(D430="","",IFERROR(MATCH(A430&amp;"-"&amp;B430,設定!$Z$8:$Z$31,0),99)*1000+C430+ROW()/1000000)</f>
        <v/>
      </c>
      <c r="K430" s="8">
        <f>IF(D430="","",IFERROR(INDEX(設定!$L$8:$L$31,MATCH(A430&amp;"-"&amp;B430,設定!$Z$8:$Z$31,0)),A430&amp;B430))</f>
        <v/>
      </c>
    </row>
    <row r="431">
      <c r="A431" s="40" t="n"/>
      <c r="B431" s="40" t="n"/>
      <c r="C431" s="40" t="n"/>
      <c r="D431" s="41" t="n"/>
      <c r="E431" s="40" t="n"/>
      <c r="F431" s="45">
        <f>IF(D431="","",IF(E431&lt;&gt;"","手入力",IF(I431="","前年度名簿にいない",IF(OR(COUNTIF($H$2:$H$451,H431)&gt;1,COUNTIF(振り分け!$S$7:$S$456,H431)&gt;1),"同姓同名あり（手入力してください）","OK"))))</f>
        <v/>
      </c>
      <c r="G431" s="44">
        <f>IF(D431="","",IF(E431&lt;&gt;"",E431,IF(F431&lt;&gt;"OK","",IF(INDEX(振り分け!$L$7:$L$456,I431)="","未決定",INDEX(振り分け!$L$7:$L$456,I431)))))</f>
        <v/>
      </c>
      <c r="H431" s="8">
        <f>IF(D431="","",A431&amp;"|"&amp;SUBSTITUTE(SUBSTITUTE(D431," ",""),"　",""))</f>
        <v/>
      </c>
      <c r="I431" s="8">
        <f>IF(H431="","",IFERROR(MATCH(H431,振り分け!$S$7:$S$456,0),""))</f>
        <v/>
      </c>
      <c r="J431" s="8">
        <f>IF(D431="","",IFERROR(MATCH(A431&amp;"-"&amp;B431,設定!$Z$8:$Z$31,0),99)*1000+C431+ROW()/1000000)</f>
        <v/>
      </c>
      <c r="K431" s="8">
        <f>IF(D431="","",IFERROR(INDEX(設定!$L$8:$L$31,MATCH(A431&amp;"-"&amp;B431,設定!$Z$8:$Z$31,0)),A431&amp;B431))</f>
        <v/>
      </c>
    </row>
    <row r="432">
      <c r="A432" s="40" t="n"/>
      <c r="B432" s="40" t="n"/>
      <c r="C432" s="40" t="n"/>
      <c r="D432" s="41" t="n"/>
      <c r="E432" s="40" t="n"/>
      <c r="F432" s="45">
        <f>IF(D432="","",IF(E432&lt;&gt;"","手入力",IF(I432="","前年度名簿にいない",IF(OR(COUNTIF($H$2:$H$451,H432)&gt;1,COUNTIF(振り分け!$S$7:$S$456,H432)&gt;1),"同姓同名あり（手入力してください）","OK"))))</f>
        <v/>
      </c>
      <c r="G432" s="44">
        <f>IF(D432="","",IF(E432&lt;&gt;"",E432,IF(F432&lt;&gt;"OK","",IF(INDEX(振り分け!$L$7:$L$456,I432)="","未決定",INDEX(振り分け!$L$7:$L$456,I432)))))</f>
        <v/>
      </c>
      <c r="H432" s="8">
        <f>IF(D432="","",A432&amp;"|"&amp;SUBSTITUTE(SUBSTITUTE(D432," ",""),"　",""))</f>
        <v/>
      </c>
      <c r="I432" s="8">
        <f>IF(H432="","",IFERROR(MATCH(H432,振り分け!$S$7:$S$456,0),""))</f>
        <v/>
      </c>
      <c r="J432" s="8">
        <f>IF(D432="","",IFERROR(MATCH(A432&amp;"-"&amp;B432,設定!$Z$8:$Z$31,0),99)*1000+C432+ROW()/1000000)</f>
        <v/>
      </c>
      <c r="K432" s="8">
        <f>IF(D432="","",IFERROR(INDEX(設定!$L$8:$L$31,MATCH(A432&amp;"-"&amp;B432,設定!$Z$8:$Z$31,0)),A432&amp;B432))</f>
        <v/>
      </c>
    </row>
    <row r="433">
      <c r="A433" s="40" t="n"/>
      <c r="B433" s="40" t="n"/>
      <c r="C433" s="40" t="n"/>
      <c r="D433" s="41" t="n"/>
      <c r="E433" s="40" t="n"/>
      <c r="F433" s="45">
        <f>IF(D433="","",IF(E433&lt;&gt;"","手入力",IF(I433="","前年度名簿にいない",IF(OR(COUNTIF($H$2:$H$451,H433)&gt;1,COUNTIF(振り分け!$S$7:$S$456,H433)&gt;1),"同姓同名あり（手入力してください）","OK"))))</f>
        <v/>
      </c>
      <c r="G433" s="44">
        <f>IF(D433="","",IF(E433&lt;&gt;"",E433,IF(F433&lt;&gt;"OK","",IF(INDEX(振り分け!$L$7:$L$456,I433)="","未決定",INDEX(振り分け!$L$7:$L$456,I433)))))</f>
        <v/>
      </c>
      <c r="H433" s="8">
        <f>IF(D433="","",A433&amp;"|"&amp;SUBSTITUTE(SUBSTITUTE(D433," ",""),"　",""))</f>
        <v/>
      </c>
      <c r="I433" s="8">
        <f>IF(H433="","",IFERROR(MATCH(H433,振り分け!$S$7:$S$456,0),""))</f>
        <v/>
      </c>
      <c r="J433" s="8">
        <f>IF(D433="","",IFERROR(MATCH(A433&amp;"-"&amp;B433,設定!$Z$8:$Z$31,0),99)*1000+C433+ROW()/1000000)</f>
        <v/>
      </c>
      <c r="K433" s="8">
        <f>IF(D433="","",IFERROR(INDEX(設定!$L$8:$L$31,MATCH(A433&amp;"-"&amp;B433,設定!$Z$8:$Z$31,0)),A433&amp;B433))</f>
        <v/>
      </c>
    </row>
    <row r="434">
      <c r="A434" s="40" t="n"/>
      <c r="B434" s="40" t="n"/>
      <c r="C434" s="40" t="n"/>
      <c r="D434" s="41" t="n"/>
      <c r="E434" s="40" t="n"/>
      <c r="F434" s="45">
        <f>IF(D434="","",IF(E434&lt;&gt;"","手入力",IF(I434="","前年度名簿にいない",IF(OR(COUNTIF($H$2:$H$451,H434)&gt;1,COUNTIF(振り分け!$S$7:$S$456,H434)&gt;1),"同姓同名あり（手入力してください）","OK"))))</f>
        <v/>
      </c>
      <c r="G434" s="44">
        <f>IF(D434="","",IF(E434&lt;&gt;"",E434,IF(F434&lt;&gt;"OK","",IF(INDEX(振り分け!$L$7:$L$456,I434)="","未決定",INDEX(振り分け!$L$7:$L$456,I434)))))</f>
        <v/>
      </c>
      <c r="H434" s="8">
        <f>IF(D434="","",A434&amp;"|"&amp;SUBSTITUTE(SUBSTITUTE(D434," ",""),"　",""))</f>
        <v/>
      </c>
      <c r="I434" s="8">
        <f>IF(H434="","",IFERROR(MATCH(H434,振り分け!$S$7:$S$456,0),""))</f>
        <v/>
      </c>
      <c r="J434" s="8">
        <f>IF(D434="","",IFERROR(MATCH(A434&amp;"-"&amp;B434,設定!$Z$8:$Z$31,0),99)*1000+C434+ROW()/1000000)</f>
        <v/>
      </c>
      <c r="K434" s="8">
        <f>IF(D434="","",IFERROR(INDEX(設定!$L$8:$L$31,MATCH(A434&amp;"-"&amp;B434,設定!$Z$8:$Z$31,0)),A434&amp;B434))</f>
        <v/>
      </c>
    </row>
    <row r="435">
      <c r="A435" s="40" t="n"/>
      <c r="B435" s="40" t="n"/>
      <c r="C435" s="40" t="n"/>
      <c r="D435" s="41" t="n"/>
      <c r="E435" s="40" t="n"/>
      <c r="F435" s="45">
        <f>IF(D435="","",IF(E435&lt;&gt;"","手入力",IF(I435="","前年度名簿にいない",IF(OR(COUNTIF($H$2:$H$451,H435)&gt;1,COUNTIF(振り分け!$S$7:$S$456,H435)&gt;1),"同姓同名あり（手入力してください）","OK"))))</f>
        <v/>
      </c>
      <c r="G435" s="44">
        <f>IF(D435="","",IF(E435&lt;&gt;"",E435,IF(F435&lt;&gt;"OK","",IF(INDEX(振り分け!$L$7:$L$456,I435)="","未決定",INDEX(振り分け!$L$7:$L$456,I435)))))</f>
        <v/>
      </c>
      <c r="H435" s="8">
        <f>IF(D435="","",A435&amp;"|"&amp;SUBSTITUTE(SUBSTITUTE(D435," ",""),"　",""))</f>
        <v/>
      </c>
      <c r="I435" s="8">
        <f>IF(H435="","",IFERROR(MATCH(H435,振り分け!$S$7:$S$456,0),""))</f>
        <v/>
      </c>
      <c r="J435" s="8">
        <f>IF(D435="","",IFERROR(MATCH(A435&amp;"-"&amp;B435,設定!$Z$8:$Z$31,0),99)*1000+C435+ROW()/1000000)</f>
        <v/>
      </c>
      <c r="K435" s="8">
        <f>IF(D435="","",IFERROR(INDEX(設定!$L$8:$L$31,MATCH(A435&amp;"-"&amp;B435,設定!$Z$8:$Z$31,0)),A435&amp;B435))</f>
        <v/>
      </c>
    </row>
    <row r="436">
      <c r="A436" s="40" t="n"/>
      <c r="B436" s="40" t="n"/>
      <c r="C436" s="40" t="n"/>
      <c r="D436" s="41" t="n"/>
      <c r="E436" s="40" t="n"/>
      <c r="F436" s="45">
        <f>IF(D436="","",IF(E436&lt;&gt;"","手入力",IF(I436="","前年度名簿にいない",IF(OR(COUNTIF($H$2:$H$451,H436)&gt;1,COUNTIF(振り分け!$S$7:$S$456,H436)&gt;1),"同姓同名あり（手入力してください）","OK"))))</f>
        <v/>
      </c>
      <c r="G436" s="44">
        <f>IF(D436="","",IF(E436&lt;&gt;"",E436,IF(F436&lt;&gt;"OK","",IF(INDEX(振り分け!$L$7:$L$456,I436)="","未決定",INDEX(振り分け!$L$7:$L$456,I436)))))</f>
        <v/>
      </c>
      <c r="H436" s="8">
        <f>IF(D436="","",A436&amp;"|"&amp;SUBSTITUTE(SUBSTITUTE(D436," ",""),"　",""))</f>
        <v/>
      </c>
      <c r="I436" s="8">
        <f>IF(H436="","",IFERROR(MATCH(H436,振り分け!$S$7:$S$456,0),""))</f>
        <v/>
      </c>
      <c r="J436" s="8">
        <f>IF(D436="","",IFERROR(MATCH(A436&amp;"-"&amp;B436,設定!$Z$8:$Z$31,0),99)*1000+C436+ROW()/1000000)</f>
        <v/>
      </c>
      <c r="K436" s="8">
        <f>IF(D436="","",IFERROR(INDEX(設定!$L$8:$L$31,MATCH(A436&amp;"-"&amp;B436,設定!$Z$8:$Z$31,0)),A436&amp;B436))</f>
        <v/>
      </c>
    </row>
    <row r="437">
      <c r="A437" s="40" t="n"/>
      <c r="B437" s="40" t="n"/>
      <c r="C437" s="40" t="n"/>
      <c r="D437" s="41" t="n"/>
      <c r="E437" s="40" t="n"/>
      <c r="F437" s="45">
        <f>IF(D437="","",IF(E437&lt;&gt;"","手入力",IF(I437="","前年度名簿にいない",IF(OR(COUNTIF($H$2:$H$451,H437)&gt;1,COUNTIF(振り分け!$S$7:$S$456,H437)&gt;1),"同姓同名あり（手入力してください）","OK"))))</f>
        <v/>
      </c>
      <c r="G437" s="44">
        <f>IF(D437="","",IF(E437&lt;&gt;"",E437,IF(F437&lt;&gt;"OK","",IF(INDEX(振り分け!$L$7:$L$456,I437)="","未決定",INDEX(振り分け!$L$7:$L$456,I437)))))</f>
        <v/>
      </c>
      <c r="H437" s="8">
        <f>IF(D437="","",A437&amp;"|"&amp;SUBSTITUTE(SUBSTITUTE(D437," ",""),"　",""))</f>
        <v/>
      </c>
      <c r="I437" s="8">
        <f>IF(H437="","",IFERROR(MATCH(H437,振り分け!$S$7:$S$456,0),""))</f>
        <v/>
      </c>
      <c r="J437" s="8">
        <f>IF(D437="","",IFERROR(MATCH(A437&amp;"-"&amp;B437,設定!$Z$8:$Z$31,0),99)*1000+C437+ROW()/1000000)</f>
        <v/>
      </c>
      <c r="K437" s="8">
        <f>IF(D437="","",IFERROR(INDEX(設定!$L$8:$L$31,MATCH(A437&amp;"-"&amp;B437,設定!$Z$8:$Z$31,0)),A437&amp;B437))</f>
        <v/>
      </c>
    </row>
    <row r="438">
      <c r="A438" s="40" t="n"/>
      <c r="B438" s="40" t="n"/>
      <c r="C438" s="40" t="n"/>
      <c r="D438" s="41" t="n"/>
      <c r="E438" s="40" t="n"/>
      <c r="F438" s="45">
        <f>IF(D438="","",IF(E438&lt;&gt;"","手入力",IF(I438="","前年度名簿にいない",IF(OR(COUNTIF($H$2:$H$451,H438)&gt;1,COUNTIF(振り分け!$S$7:$S$456,H438)&gt;1),"同姓同名あり（手入力してください）","OK"))))</f>
        <v/>
      </c>
      <c r="G438" s="44">
        <f>IF(D438="","",IF(E438&lt;&gt;"",E438,IF(F438&lt;&gt;"OK","",IF(INDEX(振り分け!$L$7:$L$456,I438)="","未決定",INDEX(振り分け!$L$7:$L$456,I438)))))</f>
        <v/>
      </c>
      <c r="H438" s="8">
        <f>IF(D438="","",A438&amp;"|"&amp;SUBSTITUTE(SUBSTITUTE(D438," ",""),"　",""))</f>
        <v/>
      </c>
      <c r="I438" s="8">
        <f>IF(H438="","",IFERROR(MATCH(H438,振り分け!$S$7:$S$456,0),""))</f>
        <v/>
      </c>
      <c r="J438" s="8">
        <f>IF(D438="","",IFERROR(MATCH(A438&amp;"-"&amp;B438,設定!$Z$8:$Z$31,0),99)*1000+C438+ROW()/1000000)</f>
        <v/>
      </c>
      <c r="K438" s="8">
        <f>IF(D438="","",IFERROR(INDEX(設定!$L$8:$L$31,MATCH(A438&amp;"-"&amp;B438,設定!$Z$8:$Z$31,0)),A438&amp;B438))</f>
        <v/>
      </c>
    </row>
    <row r="439">
      <c r="A439" s="40" t="n"/>
      <c r="B439" s="40" t="n"/>
      <c r="C439" s="40" t="n"/>
      <c r="D439" s="41" t="n"/>
      <c r="E439" s="40" t="n"/>
      <c r="F439" s="45">
        <f>IF(D439="","",IF(E439&lt;&gt;"","手入力",IF(I439="","前年度名簿にいない",IF(OR(COUNTIF($H$2:$H$451,H439)&gt;1,COUNTIF(振り分け!$S$7:$S$456,H439)&gt;1),"同姓同名あり（手入力してください）","OK"))))</f>
        <v/>
      </c>
      <c r="G439" s="44">
        <f>IF(D439="","",IF(E439&lt;&gt;"",E439,IF(F439&lt;&gt;"OK","",IF(INDEX(振り分け!$L$7:$L$456,I439)="","未決定",INDEX(振り分け!$L$7:$L$456,I439)))))</f>
        <v/>
      </c>
      <c r="H439" s="8">
        <f>IF(D439="","",A439&amp;"|"&amp;SUBSTITUTE(SUBSTITUTE(D439," ",""),"　",""))</f>
        <v/>
      </c>
      <c r="I439" s="8">
        <f>IF(H439="","",IFERROR(MATCH(H439,振り分け!$S$7:$S$456,0),""))</f>
        <v/>
      </c>
      <c r="J439" s="8">
        <f>IF(D439="","",IFERROR(MATCH(A439&amp;"-"&amp;B439,設定!$Z$8:$Z$31,0),99)*1000+C439+ROW()/1000000)</f>
        <v/>
      </c>
      <c r="K439" s="8">
        <f>IF(D439="","",IFERROR(INDEX(設定!$L$8:$L$31,MATCH(A439&amp;"-"&amp;B439,設定!$Z$8:$Z$31,0)),A439&amp;B439))</f>
        <v/>
      </c>
    </row>
    <row r="440">
      <c r="A440" s="40" t="n"/>
      <c r="B440" s="40" t="n"/>
      <c r="C440" s="40" t="n"/>
      <c r="D440" s="41" t="n"/>
      <c r="E440" s="40" t="n"/>
      <c r="F440" s="45">
        <f>IF(D440="","",IF(E440&lt;&gt;"","手入力",IF(I440="","前年度名簿にいない",IF(OR(COUNTIF($H$2:$H$451,H440)&gt;1,COUNTIF(振り分け!$S$7:$S$456,H440)&gt;1),"同姓同名あり（手入力してください）","OK"))))</f>
        <v/>
      </c>
      <c r="G440" s="44">
        <f>IF(D440="","",IF(E440&lt;&gt;"",E440,IF(F440&lt;&gt;"OK","",IF(INDEX(振り分け!$L$7:$L$456,I440)="","未決定",INDEX(振り分け!$L$7:$L$456,I440)))))</f>
        <v/>
      </c>
      <c r="H440" s="8">
        <f>IF(D440="","",A440&amp;"|"&amp;SUBSTITUTE(SUBSTITUTE(D440," ",""),"　",""))</f>
        <v/>
      </c>
      <c r="I440" s="8">
        <f>IF(H440="","",IFERROR(MATCH(H440,振り分け!$S$7:$S$456,0),""))</f>
        <v/>
      </c>
      <c r="J440" s="8">
        <f>IF(D440="","",IFERROR(MATCH(A440&amp;"-"&amp;B440,設定!$Z$8:$Z$31,0),99)*1000+C440+ROW()/1000000)</f>
        <v/>
      </c>
      <c r="K440" s="8">
        <f>IF(D440="","",IFERROR(INDEX(設定!$L$8:$L$31,MATCH(A440&amp;"-"&amp;B440,設定!$Z$8:$Z$31,0)),A440&amp;B440))</f>
        <v/>
      </c>
    </row>
    <row r="441">
      <c r="A441" s="40" t="n"/>
      <c r="B441" s="40" t="n"/>
      <c r="C441" s="40" t="n"/>
      <c r="D441" s="41" t="n"/>
      <c r="E441" s="40" t="n"/>
      <c r="F441" s="45">
        <f>IF(D441="","",IF(E441&lt;&gt;"","手入力",IF(I441="","前年度名簿にいない",IF(OR(COUNTIF($H$2:$H$451,H441)&gt;1,COUNTIF(振り分け!$S$7:$S$456,H441)&gt;1),"同姓同名あり（手入力してください）","OK"))))</f>
        <v/>
      </c>
      <c r="G441" s="44">
        <f>IF(D441="","",IF(E441&lt;&gt;"",E441,IF(F441&lt;&gt;"OK","",IF(INDEX(振り分け!$L$7:$L$456,I441)="","未決定",INDEX(振り分け!$L$7:$L$456,I441)))))</f>
        <v/>
      </c>
      <c r="H441" s="8">
        <f>IF(D441="","",A441&amp;"|"&amp;SUBSTITUTE(SUBSTITUTE(D441," ",""),"　",""))</f>
        <v/>
      </c>
      <c r="I441" s="8">
        <f>IF(H441="","",IFERROR(MATCH(H441,振り分け!$S$7:$S$456,0),""))</f>
        <v/>
      </c>
      <c r="J441" s="8">
        <f>IF(D441="","",IFERROR(MATCH(A441&amp;"-"&amp;B441,設定!$Z$8:$Z$31,0),99)*1000+C441+ROW()/1000000)</f>
        <v/>
      </c>
      <c r="K441" s="8">
        <f>IF(D441="","",IFERROR(INDEX(設定!$L$8:$L$31,MATCH(A441&amp;"-"&amp;B441,設定!$Z$8:$Z$31,0)),A441&amp;B441))</f>
        <v/>
      </c>
    </row>
    <row r="442">
      <c r="A442" s="40" t="n"/>
      <c r="B442" s="40" t="n"/>
      <c r="C442" s="40" t="n"/>
      <c r="D442" s="41" t="n"/>
      <c r="E442" s="40" t="n"/>
      <c r="F442" s="45">
        <f>IF(D442="","",IF(E442&lt;&gt;"","手入力",IF(I442="","前年度名簿にいない",IF(OR(COUNTIF($H$2:$H$451,H442)&gt;1,COUNTIF(振り分け!$S$7:$S$456,H442)&gt;1),"同姓同名あり（手入力してください）","OK"))))</f>
        <v/>
      </c>
      <c r="G442" s="44">
        <f>IF(D442="","",IF(E442&lt;&gt;"",E442,IF(F442&lt;&gt;"OK","",IF(INDEX(振り分け!$L$7:$L$456,I442)="","未決定",INDEX(振り分け!$L$7:$L$456,I442)))))</f>
        <v/>
      </c>
      <c r="H442" s="8">
        <f>IF(D442="","",A442&amp;"|"&amp;SUBSTITUTE(SUBSTITUTE(D442," ",""),"　",""))</f>
        <v/>
      </c>
      <c r="I442" s="8">
        <f>IF(H442="","",IFERROR(MATCH(H442,振り分け!$S$7:$S$456,0),""))</f>
        <v/>
      </c>
      <c r="J442" s="8">
        <f>IF(D442="","",IFERROR(MATCH(A442&amp;"-"&amp;B442,設定!$Z$8:$Z$31,0),99)*1000+C442+ROW()/1000000)</f>
        <v/>
      </c>
      <c r="K442" s="8">
        <f>IF(D442="","",IFERROR(INDEX(設定!$L$8:$L$31,MATCH(A442&amp;"-"&amp;B442,設定!$Z$8:$Z$31,0)),A442&amp;B442))</f>
        <v/>
      </c>
    </row>
    <row r="443">
      <c r="A443" s="40" t="n"/>
      <c r="B443" s="40" t="n"/>
      <c r="C443" s="40" t="n"/>
      <c r="D443" s="41" t="n"/>
      <c r="E443" s="40" t="n"/>
      <c r="F443" s="45">
        <f>IF(D443="","",IF(E443&lt;&gt;"","手入力",IF(I443="","前年度名簿にいない",IF(OR(COUNTIF($H$2:$H$451,H443)&gt;1,COUNTIF(振り分け!$S$7:$S$456,H443)&gt;1),"同姓同名あり（手入力してください）","OK"))))</f>
        <v/>
      </c>
      <c r="G443" s="44">
        <f>IF(D443="","",IF(E443&lt;&gt;"",E443,IF(F443&lt;&gt;"OK","",IF(INDEX(振り分け!$L$7:$L$456,I443)="","未決定",INDEX(振り分け!$L$7:$L$456,I443)))))</f>
        <v/>
      </c>
      <c r="H443" s="8">
        <f>IF(D443="","",A443&amp;"|"&amp;SUBSTITUTE(SUBSTITUTE(D443," ",""),"　",""))</f>
        <v/>
      </c>
      <c r="I443" s="8">
        <f>IF(H443="","",IFERROR(MATCH(H443,振り分け!$S$7:$S$456,0),""))</f>
        <v/>
      </c>
      <c r="J443" s="8">
        <f>IF(D443="","",IFERROR(MATCH(A443&amp;"-"&amp;B443,設定!$Z$8:$Z$31,0),99)*1000+C443+ROW()/1000000)</f>
        <v/>
      </c>
      <c r="K443" s="8">
        <f>IF(D443="","",IFERROR(INDEX(設定!$L$8:$L$31,MATCH(A443&amp;"-"&amp;B443,設定!$Z$8:$Z$31,0)),A443&amp;B443))</f>
        <v/>
      </c>
    </row>
    <row r="444">
      <c r="A444" s="40" t="n"/>
      <c r="B444" s="40" t="n"/>
      <c r="C444" s="40" t="n"/>
      <c r="D444" s="41" t="n"/>
      <c r="E444" s="40" t="n"/>
      <c r="F444" s="45">
        <f>IF(D444="","",IF(E444&lt;&gt;"","手入力",IF(I444="","前年度名簿にいない",IF(OR(COUNTIF($H$2:$H$451,H444)&gt;1,COUNTIF(振り分け!$S$7:$S$456,H444)&gt;1),"同姓同名あり（手入力してください）","OK"))))</f>
        <v/>
      </c>
      <c r="G444" s="44">
        <f>IF(D444="","",IF(E444&lt;&gt;"",E444,IF(F444&lt;&gt;"OK","",IF(INDEX(振り分け!$L$7:$L$456,I444)="","未決定",INDEX(振り分け!$L$7:$L$456,I444)))))</f>
        <v/>
      </c>
      <c r="H444" s="8">
        <f>IF(D444="","",A444&amp;"|"&amp;SUBSTITUTE(SUBSTITUTE(D444," ",""),"　",""))</f>
        <v/>
      </c>
      <c r="I444" s="8">
        <f>IF(H444="","",IFERROR(MATCH(H444,振り分け!$S$7:$S$456,0),""))</f>
        <v/>
      </c>
      <c r="J444" s="8">
        <f>IF(D444="","",IFERROR(MATCH(A444&amp;"-"&amp;B444,設定!$Z$8:$Z$31,0),99)*1000+C444+ROW()/1000000)</f>
        <v/>
      </c>
      <c r="K444" s="8">
        <f>IF(D444="","",IFERROR(INDEX(設定!$L$8:$L$31,MATCH(A444&amp;"-"&amp;B444,設定!$Z$8:$Z$31,0)),A444&amp;B444))</f>
        <v/>
      </c>
    </row>
    <row r="445">
      <c r="A445" s="40" t="n"/>
      <c r="B445" s="40" t="n"/>
      <c r="C445" s="40" t="n"/>
      <c r="D445" s="41" t="n"/>
      <c r="E445" s="40" t="n"/>
      <c r="F445" s="45">
        <f>IF(D445="","",IF(E445&lt;&gt;"","手入力",IF(I445="","前年度名簿にいない",IF(OR(COUNTIF($H$2:$H$451,H445)&gt;1,COUNTIF(振り分け!$S$7:$S$456,H445)&gt;1),"同姓同名あり（手入力してください）","OK"))))</f>
        <v/>
      </c>
      <c r="G445" s="44">
        <f>IF(D445="","",IF(E445&lt;&gt;"",E445,IF(F445&lt;&gt;"OK","",IF(INDEX(振り分け!$L$7:$L$456,I445)="","未決定",INDEX(振り分け!$L$7:$L$456,I445)))))</f>
        <v/>
      </c>
      <c r="H445" s="8">
        <f>IF(D445="","",A445&amp;"|"&amp;SUBSTITUTE(SUBSTITUTE(D445," ",""),"　",""))</f>
        <v/>
      </c>
      <c r="I445" s="8">
        <f>IF(H445="","",IFERROR(MATCH(H445,振り分け!$S$7:$S$456,0),""))</f>
        <v/>
      </c>
      <c r="J445" s="8">
        <f>IF(D445="","",IFERROR(MATCH(A445&amp;"-"&amp;B445,設定!$Z$8:$Z$31,0),99)*1000+C445+ROW()/1000000)</f>
        <v/>
      </c>
      <c r="K445" s="8">
        <f>IF(D445="","",IFERROR(INDEX(設定!$L$8:$L$31,MATCH(A445&amp;"-"&amp;B445,設定!$Z$8:$Z$31,0)),A445&amp;B445))</f>
        <v/>
      </c>
    </row>
    <row r="446">
      <c r="A446" s="40" t="n"/>
      <c r="B446" s="40" t="n"/>
      <c r="C446" s="40" t="n"/>
      <c r="D446" s="41" t="n"/>
      <c r="E446" s="40" t="n"/>
      <c r="F446" s="45">
        <f>IF(D446="","",IF(E446&lt;&gt;"","手入力",IF(I446="","前年度名簿にいない",IF(OR(COUNTIF($H$2:$H$451,H446)&gt;1,COUNTIF(振り分け!$S$7:$S$456,H446)&gt;1),"同姓同名あり（手入力してください）","OK"))))</f>
        <v/>
      </c>
      <c r="G446" s="44">
        <f>IF(D446="","",IF(E446&lt;&gt;"",E446,IF(F446&lt;&gt;"OK","",IF(INDEX(振り分け!$L$7:$L$456,I446)="","未決定",INDEX(振り分け!$L$7:$L$456,I446)))))</f>
        <v/>
      </c>
      <c r="H446" s="8">
        <f>IF(D446="","",A446&amp;"|"&amp;SUBSTITUTE(SUBSTITUTE(D446," ",""),"　",""))</f>
        <v/>
      </c>
      <c r="I446" s="8">
        <f>IF(H446="","",IFERROR(MATCH(H446,振り分け!$S$7:$S$456,0),""))</f>
        <v/>
      </c>
      <c r="J446" s="8">
        <f>IF(D446="","",IFERROR(MATCH(A446&amp;"-"&amp;B446,設定!$Z$8:$Z$31,0),99)*1000+C446+ROW()/1000000)</f>
        <v/>
      </c>
      <c r="K446" s="8">
        <f>IF(D446="","",IFERROR(INDEX(設定!$L$8:$L$31,MATCH(A446&amp;"-"&amp;B446,設定!$Z$8:$Z$31,0)),A446&amp;B446))</f>
        <v/>
      </c>
    </row>
    <row r="447">
      <c r="A447" s="40" t="n"/>
      <c r="B447" s="40" t="n"/>
      <c r="C447" s="40" t="n"/>
      <c r="D447" s="41" t="n"/>
      <c r="E447" s="40" t="n"/>
      <c r="F447" s="45">
        <f>IF(D447="","",IF(E447&lt;&gt;"","手入力",IF(I447="","前年度名簿にいない",IF(OR(COUNTIF($H$2:$H$451,H447)&gt;1,COUNTIF(振り分け!$S$7:$S$456,H447)&gt;1),"同姓同名あり（手入力してください）","OK"))))</f>
        <v/>
      </c>
      <c r="G447" s="44">
        <f>IF(D447="","",IF(E447&lt;&gt;"",E447,IF(F447&lt;&gt;"OK","",IF(INDEX(振り分け!$L$7:$L$456,I447)="","未決定",INDEX(振り分け!$L$7:$L$456,I447)))))</f>
        <v/>
      </c>
      <c r="H447" s="8">
        <f>IF(D447="","",A447&amp;"|"&amp;SUBSTITUTE(SUBSTITUTE(D447," ",""),"　",""))</f>
        <v/>
      </c>
      <c r="I447" s="8">
        <f>IF(H447="","",IFERROR(MATCH(H447,振り分け!$S$7:$S$456,0),""))</f>
        <v/>
      </c>
      <c r="J447" s="8">
        <f>IF(D447="","",IFERROR(MATCH(A447&amp;"-"&amp;B447,設定!$Z$8:$Z$31,0),99)*1000+C447+ROW()/1000000)</f>
        <v/>
      </c>
      <c r="K447" s="8">
        <f>IF(D447="","",IFERROR(INDEX(設定!$L$8:$L$31,MATCH(A447&amp;"-"&amp;B447,設定!$Z$8:$Z$31,0)),A447&amp;B447))</f>
        <v/>
      </c>
    </row>
    <row r="448">
      <c r="A448" s="40" t="n"/>
      <c r="B448" s="40" t="n"/>
      <c r="C448" s="40" t="n"/>
      <c r="D448" s="41" t="n"/>
      <c r="E448" s="40" t="n"/>
      <c r="F448" s="45">
        <f>IF(D448="","",IF(E448&lt;&gt;"","手入力",IF(I448="","前年度名簿にいない",IF(OR(COUNTIF($H$2:$H$451,H448)&gt;1,COUNTIF(振り分け!$S$7:$S$456,H448)&gt;1),"同姓同名あり（手入力してください）","OK"))))</f>
        <v/>
      </c>
      <c r="G448" s="44">
        <f>IF(D448="","",IF(E448&lt;&gt;"",E448,IF(F448&lt;&gt;"OK","",IF(INDEX(振り分け!$L$7:$L$456,I448)="","未決定",INDEX(振り分け!$L$7:$L$456,I448)))))</f>
        <v/>
      </c>
      <c r="H448" s="8">
        <f>IF(D448="","",A448&amp;"|"&amp;SUBSTITUTE(SUBSTITUTE(D448," ",""),"　",""))</f>
        <v/>
      </c>
      <c r="I448" s="8">
        <f>IF(H448="","",IFERROR(MATCH(H448,振り分け!$S$7:$S$456,0),""))</f>
        <v/>
      </c>
      <c r="J448" s="8">
        <f>IF(D448="","",IFERROR(MATCH(A448&amp;"-"&amp;B448,設定!$Z$8:$Z$31,0),99)*1000+C448+ROW()/1000000)</f>
        <v/>
      </c>
      <c r="K448" s="8">
        <f>IF(D448="","",IFERROR(INDEX(設定!$L$8:$L$31,MATCH(A448&amp;"-"&amp;B448,設定!$Z$8:$Z$31,0)),A448&amp;B448))</f>
        <v/>
      </c>
    </row>
    <row r="449">
      <c r="A449" s="40" t="n"/>
      <c r="B449" s="40" t="n"/>
      <c r="C449" s="40" t="n"/>
      <c r="D449" s="41" t="n"/>
      <c r="E449" s="40" t="n"/>
      <c r="F449" s="45">
        <f>IF(D449="","",IF(E449&lt;&gt;"","手入力",IF(I449="","前年度名簿にいない",IF(OR(COUNTIF($H$2:$H$451,H449)&gt;1,COUNTIF(振り分け!$S$7:$S$456,H449)&gt;1),"同姓同名あり（手入力してください）","OK"))))</f>
        <v/>
      </c>
      <c r="G449" s="44">
        <f>IF(D449="","",IF(E449&lt;&gt;"",E449,IF(F449&lt;&gt;"OK","",IF(INDEX(振り分け!$L$7:$L$456,I449)="","未決定",INDEX(振り分け!$L$7:$L$456,I449)))))</f>
        <v/>
      </c>
      <c r="H449" s="8">
        <f>IF(D449="","",A449&amp;"|"&amp;SUBSTITUTE(SUBSTITUTE(D449," ",""),"　",""))</f>
        <v/>
      </c>
      <c r="I449" s="8">
        <f>IF(H449="","",IFERROR(MATCH(H449,振り分け!$S$7:$S$456,0),""))</f>
        <v/>
      </c>
      <c r="J449" s="8">
        <f>IF(D449="","",IFERROR(MATCH(A449&amp;"-"&amp;B449,設定!$Z$8:$Z$31,0),99)*1000+C449+ROW()/1000000)</f>
        <v/>
      </c>
      <c r="K449" s="8">
        <f>IF(D449="","",IFERROR(INDEX(設定!$L$8:$L$31,MATCH(A449&amp;"-"&amp;B449,設定!$Z$8:$Z$31,0)),A449&amp;B449))</f>
        <v/>
      </c>
    </row>
    <row r="450">
      <c r="A450" s="40" t="n"/>
      <c r="B450" s="40" t="n"/>
      <c r="C450" s="40" t="n"/>
      <c r="D450" s="41" t="n"/>
      <c r="E450" s="40" t="n"/>
      <c r="F450" s="45">
        <f>IF(D450="","",IF(E450&lt;&gt;"","手入力",IF(I450="","前年度名簿にいない",IF(OR(COUNTIF($H$2:$H$451,H450)&gt;1,COUNTIF(振り分け!$S$7:$S$456,H450)&gt;1),"同姓同名あり（手入力してください）","OK"))))</f>
        <v/>
      </c>
      <c r="G450" s="44">
        <f>IF(D450="","",IF(E450&lt;&gt;"",E450,IF(F450&lt;&gt;"OK","",IF(INDEX(振り分け!$L$7:$L$456,I450)="","未決定",INDEX(振り分け!$L$7:$L$456,I450)))))</f>
        <v/>
      </c>
      <c r="H450" s="8">
        <f>IF(D450="","",A450&amp;"|"&amp;SUBSTITUTE(SUBSTITUTE(D450," ",""),"　",""))</f>
        <v/>
      </c>
      <c r="I450" s="8">
        <f>IF(H450="","",IFERROR(MATCH(H450,振り分け!$S$7:$S$456,0),""))</f>
        <v/>
      </c>
      <c r="J450" s="8">
        <f>IF(D450="","",IFERROR(MATCH(A450&amp;"-"&amp;B450,設定!$Z$8:$Z$31,0),99)*1000+C450+ROW()/1000000)</f>
        <v/>
      </c>
      <c r="K450" s="8">
        <f>IF(D450="","",IFERROR(INDEX(設定!$L$8:$L$31,MATCH(A450&amp;"-"&amp;B450,設定!$Z$8:$Z$31,0)),A450&amp;B450))</f>
        <v/>
      </c>
    </row>
    <row r="451">
      <c r="A451" s="40" t="n"/>
      <c r="B451" s="40" t="n"/>
      <c r="C451" s="40" t="n"/>
      <c r="D451" s="41" t="n"/>
      <c r="E451" s="40" t="n"/>
      <c r="F451" s="45">
        <f>IF(D451="","",IF(E451&lt;&gt;"","手入力",IF(I451="","前年度名簿にいない",IF(OR(COUNTIF($H$2:$H$451,H451)&gt;1,COUNTIF(振り分け!$S$7:$S$456,H451)&gt;1),"同姓同名あり（手入力してください）","OK"))))</f>
        <v/>
      </c>
      <c r="G451" s="44">
        <f>IF(D451="","",IF(E451&lt;&gt;"",E451,IF(F451&lt;&gt;"OK","",IF(INDEX(振り分け!$L$7:$L$456,I451)="","未決定",INDEX(振り分け!$L$7:$L$456,I451)))))</f>
        <v/>
      </c>
      <c r="H451" s="8">
        <f>IF(D451="","",A451&amp;"|"&amp;SUBSTITUTE(SUBSTITUTE(D451," ",""),"　",""))</f>
        <v/>
      </c>
      <c r="I451" s="8">
        <f>IF(H451="","",IFERROR(MATCH(H451,振り分け!$S$7:$S$456,0),""))</f>
        <v/>
      </c>
      <c r="J451" s="8">
        <f>IF(D451="","",IFERROR(MATCH(A451&amp;"-"&amp;B451,設定!$Z$8:$Z$31,0),99)*1000+C451+ROW()/1000000)</f>
        <v/>
      </c>
      <c r="K451" s="8">
        <f>IF(D451="","",IFERROR(INDEX(設定!$L$8:$L$31,MATCH(A451&amp;"-"&amp;B451,設定!$Z$8:$Z$31,0)),A451&amp;B451))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451"/>
  <conditionalFormatting sqref="A2:G451">
    <cfRule type="expression" priority="1" dxfId="8">
      <formula>AND($F2&lt;&gt;"",$F2&lt;&gt;"OK",$F2&lt;&gt;"手入力")</formula>
    </cfRule>
  </conditionalFormatting>
  <conditionalFormatting sqref="G2:G451">
    <cfRule type="expression" priority="2" dxfId="13">
      <formula>G2="未決定"</formula>
    </cfRule>
  </conditionalFormatting>
  <dataValidations count="1">
    <dataValidation sqref="E2:E451" showDropDown="0" showInputMessage="0" showErrorMessage="0" allowBlank="1" type="list">
      <formula1>設定!$P$8:$P$27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34" customWidth="1" min="11" max="11"/>
  </cols>
  <sheetData>
    <row r="1">
      <c r="A1" s="4" t="inlineStr">
        <is>
          <t>定員チェック</t>
        </is>
      </c>
    </row>
    <row r="2">
      <c r="B2" s="5" t="inlineStr">
        <is>
          <t>未提出</t>
        </is>
      </c>
      <c r="C2" s="53">
        <f>COUNTIF(振り分け!$M$7:$M$456,"未提出")</f>
        <v/>
      </c>
      <c r="G2" s="5" t="inlineStr">
        <is>
          <t>定員オーバーのクラブ</t>
        </is>
      </c>
      <c r="J2" s="53">
        <f>COUNTIF($K$7:$K$26,"*オーバー*")</f>
        <v/>
      </c>
    </row>
    <row r="3">
      <c r="B3" s="5" t="inlineStr">
        <is>
          <t>要調整</t>
        </is>
      </c>
      <c r="C3" s="53">
        <f>COUNTIF(振り分け!$M$7:$M$456,"要調整")</f>
        <v/>
      </c>
      <c r="G3" s="5" t="inlineStr">
        <is>
          <t>新年度名簿の要確認</t>
        </is>
      </c>
      <c r="J3" s="53">
        <f>COUNTIF(新年度名簿!$F$2:$F$451,"前年度*")+COUNTIF(新年度名簿!$F$2:$F$451,"同姓同名*")</f>
        <v/>
      </c>
    </row>
    <row r="4">
      <c r="B4" s="5" t="inlineStr">
        <is>
          <t>転出</t>
        </is>
      </c>
      <c r="C4" s="53">
        <f>COUNTIF(振り分け!$M$7:$M$456,"転出")</f>
        <v/>
      </c>
      <c r="G4" s="5" t="inlineStr">
        <is>
          <t>希望入力の要確認</t>
        </is>
      </c>
      <c r="J4" s="53">
        <f>SUMPRODUCT((希望入力!$K$2:$K$551&lt;&gt;"")*(希望入力!$K$2:$K$551&lt;&gt;"OK"))</f>
        <v/>
      </c>
    </row>
    <row r="6">
      <c r="A6" s="9" t="inlineStr">
        <is>
          <t>No.</t>
        </is>
      </c>
      <c r="B6" s="9" t="inlineStr">
        <is>
          <t>クラブ</t>
        </is>
      </c>
      <c r="C6" s="9" t="inlineStr">
        <is>
          <t>定員</t>
        </is>
      </c>
      <c r="D6" s="9" t="inlineStr">
        <is>
          <t>融通</t>
        </is>
      </c>
      <c r="E6" s="9" t="inlineStr">
        <is>
          <t>第1希望</t>
        </is>
      </c>
      <c r="F6" s="9" t="inlineStr">
        <is>
          <t>決定</t>
        </is>
      </c>
      <c r="G6" s="9">
        <f>設定!$B$8&amp;"年"</f>
        <v/>
      </c>
      <c r="H6" s="9">
        <f>設定!$B$9&amp;"年"</f>
        <v/>
      </c>
      <c r="I6" s="9">
        <f>設定!$B$10&amp;"年"</f>
        <v/>
      </c>
      <c r="J6" s="9" t="inlineStr">
        <is>
          <t>残り</t>
        </is>
      </c>
      <c r="K6" s="9" t="inlineStr">
        <is>
          <t>状態</t>
        </is>
      </c>
    </row>
    <row r="7">
      <c r="A7" s="54" t="n">
        <v>1</v>
      </c>
      <c r="B7" s="54">
        <f>IF(設定!P8="","",設定!P8)</f>
        <v/>
      </c>
      <c r="C7" s="54">
        <f>IF(B7="","",N(設定!Q8))</f>
        <v/>
      </c>
      <c r="D7" s="54">
        <f>IF(B7="","",N(設定!R8))</f>
        <v/>
      </c>
      <c r="E7" s="54">
        <f>IF(B7="","",COUNTIF(振り分け!$G$7:$G$456,B7))</f>
        <v/>
      </c>
      <c r="F7" s="55">
        <f>IF(B7="","",IF(計算用!$B$1=1,COUNTIF(新年度名簿!$G$2:$G$451,B7),COUNTIFS(振り分け!$L$7:$L$456,B7,振り分け!$M$7:$M$456,"&lt;&gt;転出")))</f>
        <v/>
      </c>
      <c r="G7" s="54">
        <f>IF(B7="","",IF(計算用!$B$1=1,COUNTIFS(新年度名簿!$A$2:$A$451,設定!$B$8,新年度名簿!$G$2:$G$451,B7),COUNTIFS(振り分け!$A$7:$A$456,設定!$B$8,振り分け!$L$7:$L$456,B7,振り分け!$M$7:$M$456,"&lt;&gt;転出")))</f>
        <v/>
      </c>
      <c r="H7" s="54">
        <f>IF(B7="","",IF(計算用!$B$1=1,COUNTIFS(新年度名簿!$A$2:$A$451,設定!$B$9,新年度名簿!$G$2:$G$451,B7),COUNTIFS(振り分け!$A$7:$A$456,設定!$B$9,振り分け!$L$7:$L$456,B7,振り分け!$M$7:$M$456,"&lt;&gt;転出")))</f>
        <v/>
      </c>
      <c r="I7" s="54">
        <f>IF(B7="","",IF(計算用!$B$1=1,COUNTIFS(新年度名簿!$A$2:$A$451,設定!$B$10,新年度名簿!$G$2:$G$451,B7),COUNTIFS(振り分け!$A$7:$A$456,設定!$B$10,振り分け!$L$7:$L$456,B7,振り分け!$M$7:$M$456,"&lt;&gt;転出")))</f>
        <v/>
      </c>
      <c r="J7" s="54">
        <f>IF(B7="","",C7-F7)</f>
        <v/>
      </c>
      <c r="K7" s="37">
        <f>IF(B7="","",IF(F7&gt;C7+D7,(F7-C7-D7)&amp;"人オーバー",IF(COUNTIFS(振り分け!$M$7:$M$456,"要調整",振り分け!$G$7:$G$456,B7)&gt;0,"調整中（第1希望の要調整 "&amp;COUNTIFS(振り分け!$M$7:$M$456,"要調整",振り分け!$G$7:$G$456,B7)&amp;"人）",IF(F7&gt;C7,"定員＋"&amp;(F7-C7)&amp;"人（融通内）",IF(J7&gt;0,"空きあり "&amp;J7&amp;"人","OK")))))</f>
        <v/>
      </c>
    </row>
    <row r="8">
      <c r="A8" s="54" t="n">
        <v>2</v>
      </c>
      <c r="B8" s="54">
        <f>IF(設定!P9="","",設定!P9)</f>
        <v/>
      </c>
      <c r="C8" s="54">
        <f>IF(B8="","",N(設定!Q9))</f>
        <v/>
      </c>
      <c r="D8" s="54">
        <f>IF(B8="","",N(設定!R9))</f>
        <v/>
      </c>
      <c r="E8" s="54">
        <f>IF(B8="","",COUNTIF(振り分け!$G$7:$G$456,B8))</f>
        <v/>
      </c>
      <c r="F8" s="55">
        <f>IF(B8="","",IF(計算用!$B$1=1,COUNTIF(新年度名簿!$G$2:$G$451,B8),COUNTIFS(振り分け!$L$7:$L$456,B8,振り分け!$M$7:$M$456,"&lt;&gt;転出")))</f>
        <v/>
      </c>
      <c r="G8" s="54">
        <f>IF(B8="","",IF(計算用!$B$1=1,COUNTIFS(新年度名簿!$A$2:$A$451,設定!$B$8,新年度名簿!$G$2:$G$451,B8),COUNTIFS(振り分け!$A$7:$A$456,設定!$B$8,振り分け!$L$7:$L$456,B8,振り分け!$M$7:$M$456,"&lt;&gt;転出")))</f>
        <v/>
      </c>
      <c r="H8" s="54">
        <f>IF(B8="","",IF(計算用!$B$1=1,COUNTIFS(新年度名簿!$A$2:$A$451,設定!$B$9,新年度名簿!$G$2:$G$451,B8),COUNTIFS(振り分け!$A$7:$A$456,設定!$B$9,振り分け!$L$7:$L$456,B8,振り分け!$M$7:$M$456,"&lt;&gt;転出")))</f>
        <v/>
      </c>
      <c r="I8" s="54">
        <f>IF(B8="","",IF(計算用!$B$1=1,COUNTIFS(新年度名簿!$A$2:$A$451,設定!$B$10,新年度名簿!$G$2:$G$451,B8),COUNTIFS(振り分け!$A$7:$A$456,設定!$B$10,振り分け!$L$7:$L$456,B8,振り分け!$M$7:$M$456,"&lt;&gt;転出")))</f>
        <v/>
      </c>
      <c r="J8" s="54">
        <f>IF(B8="","",C8-F8)</f>
        <v/>
      </c>
      <c r="K8" s="37">
        <f>IF(B8="","",IF(F8&gt;C8+D8,(F8-C8-D8)&amp;"人オーバー",IF(COUNTIFS(振り分け!$M$7:$M$456,"要調整",振り分け!$G$7:$G$456,B8)&gt;0,"調整中（第1希望の要調整 "&amp;COUNTIFS(振り分け!$M$7:$M$456,"要調整",振り分け!$G$7:$G$456,B8)&amp;"人）",IF(F8&gt;C8,"定員＋"&amp;(F8-C8)&amp;"人（融通内）",IF(J8&gt;0,"空きあり "&amp;J8&amp;"人","OK")))))</f>
        <v/>
      </c>
    </row>
    <row r="9">
      <c r="A9" s="54" t="n">
        <v>3</v>
      </c>
      <c r="B9" s="54">
        <f>IF(設定!P10="","",設定!P10)</f>
        <v/>
      </c>
      <c r="C9" s="54">
        <f>IF(B9="","",N(設定!Q10))</f>
        <v/>
      </c>
      <c r="D9" s="54">
        <f>IF(B9="","",N(設定!R10))</f>
        <v/>
      </c>
      <c r="E9" s="54">
        <f>IF(B9="","",COUNTIF(振り分け!$G$7:$G$456,B9))</f>
        <v/>
      </c>
      <c r="F9" s="55">
        <f>IF(B9="","",IF(計算用!$B$1=1,COUNTIF(新年度名簿!$G$2:$G$451,B9),COUNTIFS(振り分け!$L$7:$L$456,B9,振り分け!$M$7:$M$456,"&lt;&gt;転出")))</f>
        <v/>
      </c>
      <c r="G9" s="54">
        <f>IF(B9="","",IF(計算用!$B$1=1,COUNTIFS(新年度名簿!$A$2:$A$451,設定!$B$8,新年度名簿!$G$2:$G$451,B9),COUNTIFS(振り分け!$A$7:$A$456,設定!$B$8,振り分け!$L$7:$L$456,B9,振り分け!$M$7:$M$456,"&lt;&gt;転出")))</f>
        <v/>
      </c>
      <c r="H9" s="54">
        <f>IF(B9="","",IF(計算用!$B$1=1,COUNTIFS(新年度名簿!$A$2:$A$451,設定!$B$9,新年度名簿!$G$2:$G$451,B9),COUNTIFS(振り分け!$A$7:$A$456,設定!$B$9,振り分け!$L$7:$L$456,B9,振り分け!$M$7:$M$456,"&lt;&gt;転出")))</f>
        <v/>
      </c>
      <c r="I9" s="54">
        <f>IF(B9="","",IF(計算用!$B$1=1,COUNTIFS(新年度名簿!$A$2:$A$451,設定!$B$10,新年度名簿!$G$2:$G$451,B9),COUNTIFS(振り分け!$A$7:$A$456,設定!$B$10,振り分け!$L$7:$L$456,B9,振り分け!$M$7:$M$456,"&lt;&gt;転出")))</f>
        <v/>
      </c>
      <c r="J9" s="54">
        <f>IF(B9="","",C9-F9)</f>
        <v/>
      </c>
      <c r="K9" s="37">
        <f>IF(B9="","",IF(F9&gt;C9+D9,(F9-C9-D9)&amp;"人オーバー",IF(COUNTIFS(振り分け!$M$7:$M$456,"要調整",振り分け!$G$7:$G$456,B9)&gt;0,"調整中（第1希望の要調整 "&amp;COUNTIFS(振り分け!$M$7:$M$456,"要調整",振り分け!$G$7:$G$456,B9)&amp;"人）",IF(F9&gt;C9,"定員＋"&amp;(F9-C9)&amp;"人（融通内）",IF(J9&gt;0,"空きあり "&amp;J9&amp;"人","OK")))))</f>
        <v/>
      </c>
    </row>
    <row r="10">
      <c r="A10" s="54" t="n">
        <v>4</v>
      </c>
      <c r="B10" s="54">
        <f>IF(設定!P11="","",設定!P11)</f>
        <v/>
      </c>
      <c r="C10" s="54">
        <f>IF(B10="","",N(設定!Q11))</f>
        <v/>
      </c>
      <c r="D10" s="54">
        <f>IF(B10="","",N(設定!R11))</f>
        <v/>
      </c>
      <c r="E10" s="54">
        <f>IF(B10="","",COUNTIF(振り分け!$G$7:$G$456,B10))</f>
        <v/>
      </c>
      <c r="F10" s="55">
        <f>IF(B10="","",IF(計算用!$B$1=1,COUNTIF(新年度名簿!$G$2:$G$451,B10),COUNTIFS(振り分け!$L$7:$L$456,B10,振り分け!$M$7:$M$456,"&lt;&gt;転出")))</f>
        <v/>
      </c>
      <c r="G10" s="54">
        <f>IF(B10="","",IF(計算用!$B$1=1,COUNTIFS(新年度名簿!$A$2:$A$451,設定!$B$8,新年度名簿!$G$2:$G$451,B10),COUNTIFS(振り分け!$A$7:$A$456,設定!$B$8,振り分け!$L$7:$L$456,B10,振り分け!$M$7:$M$456,"&lt;&gt;転出")))</f>
        <v/>
      </c>
      <c r="H10" s="54">
        <f>IF(B10="","",IF(計算用!$B$1=1,COUNTIFS(新年度名簿!$A$2:$A$451,設定!$B$9,新年度名簿!$G$2:$G$451,B10),COUNTIFS(振り分け!$A$7:$A$456,設定!$B$9,振り分け!$L$7:$L$456,B10,振り分け!$M$7:$M$456,"&lt;&gt;転出")))</f>
        <v/>
      </c>
      <c r="I10" s="54">
        <f>IF(B10="","",IF(計算用!$B$1=1,COUNTIFS(新年度名簿!$A$2:$A$451,設定!$B$10,新年度名簿!$G$2:$G$451,B10),COUNTIFS(振り分け!$A$7:$A$456,設定!$B$10,振り分け!$L$7:$L$456,B10,振り分け!$M$7:$M$456,"&lt;&gt;転出")))</f>
        <v/>
      </c>
      <c r="J10" s="54">
        <f>IF(B10="","",C10-F10)</f>
        <v/>
      </c>
      <c r="K10" s="37">
        <f>IF(B10="","",IF(F10&gt;C10+D10,(F10-C10-D10)&amp;"人オーバー",IF(COUNTIFS(振り分け!$M$7:$M$456,"要調整",振り分け!$G$7:$G$456,B10)&gt;0,"調整中（第1希望の要調整 "&amp;COUNTIFS(振り分け!$M$7:$M$456,"要調整",振り分け!$G$7:$G$456,B10)&amp;"人）",IF(F10&gt;C10,"定員＋"&amp;(F10-C10)&amp;"人（融通内）",IF(J10&gt;0,"空きあり "&amp;J10&amp;"人","OK")))))</f>
        <v/>
      </c>
    </row>
    <row r="11">
      <c r="A11" s="54" t="n">
        <v>5</v>
      </c>
      <c r="B11" s="54">
        <f>IF(設定!P12="","",設定!P12)</f>
        <v/>
      </c>
      <c r="C11" s="54">
        <f>IF(B11="","",N(設定!Q12))</f>
        <v/>
      </c>
      <c r="D11" s="54">
        <f>IF(B11="","",N(設定!R12))</f>
        <v/>
      </c>
      <c r="E11" s="54">
        <f>IF(B11="","",COUNTIF(振り分け!$G$7:$G$456,B11))</f>
        <v/>
      </c>
      <c r="F11" s="55">
        <f>IF(B11="","",IF(計算用!$B$1=1,COUNTIF(新年度名簿!$G$2:$G$451,B11),COUNTIFS(振り分け!$L$7:$L$456,B11,振り分け!$M$7:$M$456,"&lt;&gt;転出")))</f>
        <v/>
      </c>
      <c r="G11" s="54">
        <f>IF(B11="","",IF(計算用!$B$1=1,COUNTIFS(新年度名簿!$A$2:$A$451,設定!$B$8,新年度名簿!$G$2:$G$451,B11),COUNTIFS(振り分け!$A$7:$A$456,設定!$B$8,振り分け!$L$7:$L$456,B11,振り分け!$M$7:$M$456,"&lt;&gt;転出")))</f>
        <v/>
      </c>
      <c r="H11" s="54">
        <f>IF(B11="","",IF(計算用!$B$1=1,COUNTIFS(新年度名簿!$A$2:$A$451,設定!$B$9,新年度名簿!$G$2:$G$451,B11),COUNTIFS(振り分け!$A$7:$A$456,設定!$B$9,振り分け!$L$7:$L$456,B11,振り分け!$M$7:$M$456,"&lt;&gt;転出")))</f>
        <v/>
      </c>
      <c r="I11" s="54">
        <f>IF(B11="","",IF(計算用!$B$1=1,COUNTIFS(新年度名簿!$A$2:$A$451,設定!$B$10,新年度名簿!$G$2:$G$451,B11),COUNTIFS(振り分け!$A$7:$A$456,設定!$B$10,振り分け!$L$7:$L$456,B11,振り分け!$M$7:$M$456,"&lt;&gt;転出")))</f>
        <v/>
      </c>
      <c r="J11" s="54">
        <f>IF(B11="","",C11-F11)</f>
        <v/>
      </c>
      <c r="K11" s="37">
        <f>IF(B11="","",IF(F11&gt;C11+D11,(F11-C11-D11)&amp;"人オーバー",IF(COUNTIFS(振り分け!$M$7:$M$456,"要調整",振り分け!$G$7:$G$456,B11)&gt;0,"調整中（第1希望の要調整 "&amp;COUNTIFS(振り分け!$M$7:$M$456,"要調整",振り分け!$G$7:$G$456,B11)&amp;"人）",IF(F11&gt;C11,"定員＋"&amp;(F11-C11)&amp;"人（融通内）",IF(J11&gt;0,"空きあり "&amp;J11&amp;"人","OK")))))</f>
        <v/>
      </c>
    </row>
    <row r="12">
      <c r="A12" s="54" t="n">
        <v>6</v>
      </c>
      <c r="B12" s="54">
        <f>IF(設定!P13="","",設定!P13)</f>
        <v/>
      </c>
      <c r="C12" s="54">
        <f>IF(B12="","",N(設定!Q13))</f>
        <v/>
      </c>
      <c r="D12" s="54">
        <f>IF(B12="","",N(設定!R13))</f>
        <v/>
      </c>
      <c r="E12" s="54">
        <f>IF(B12="","",COUNTIF(振り分け!$G$7:$G$456,B12))</f>
        <v/>
      </c>
      <c r="F12" s="55">
        <f>IF(B12="","",IF(計算用!$B$1=1,COUNTIF(新年度名簿!$G$2:$G$451,B12),COUNTIFS(振り分け!$L$7:$L$456,B12,振り分け!$M$7:$M$456,"&lt;&gt;転出")))</f>
        <v/>
      </c>
      <c r="G12" s="54">
        <f>IF(B12="","",IF(計算用!$B$1=1,COUNTIFS(新年度名簿!$A$2:$A$451,設定!$B$8,新年度名簿!$G$2:$G$451,B12),COUNTIFS(振り分け!$A$7:$A$456,設定!$B$8,振り分け!$L$7:$L$456,B12,振り分け!$M$7:$M$456,"&lt;&gt;転出")))</f>
        <v/>
      </c>
      <c r="H12" s="54">
        <f>IF(B12="","",IF(計算用!$B$1=1,COUNTIFS(新年度名簿!$A$2:$A$451,設定!$B$9,新年度名簿!$G$2:$G$451,B12),COUNTIFS(振り分け!$A$7:$A$456,設定!$B$9,振り分け!$L$7:$L$456,B12,振り分け!$M$7:$M$456,"&lt;&gt;転出")))</f>
        <v/>
      </c>
      <c r="I12" s="54">
        <f>IF(B12="","",IF(計算用!$B$1=1,COUNTIFS(新年度名簿!$A$2:$A$451,設定!$B$10,新年度名簿!$G$2:$G$451,B12),COUNTIFS(振り分け!$A$7:$A$456,設定!$B$10,振り分け!$L$7:$L$456,B12,振り分け!$M$7:$M$456,"&lt;&gt;転出")))</f>
        <v/>
      </c>
      <c r="J12" s="54">
        <f>IF(B12="","",C12-F12)</f>
        <v/>
      </c>
      <c r="K12" s="37">
        <f>IF(B12="","",IF(F12&gt;C12+D12,(F12-C12-D12)&amp;"人オーバー",IF(COUNTIFS(振り分け!$M$7:$M$456,"要調整",振り分け!$G$7:$G$456,B12)&gt;0,"調整中（第1希望の要調整 "&amp;COUNTIFS(振り分け!$M$7:$M$456,"要調整",振り分け!$G$7:$G$456,B12)&amp;"人）",IF(F12&gt;C12,"定員＋"&amp;(F12-C12)&amp;"人（融通内）",IF(J12&gt;0,"空きあり "&amp;J12&amp;"人","OK")))))</f>
        <v/>
      </c>
    </row>
    <row r="13">
      <c r="A13" s="54" t="n">
        <v>7</v>
      </c>
      <c r="B13" s="54">
        <f>IF(設定!P14="","",設定!P14)</f>
        <v/>
      </c>
      <c r="C13" s="54">
        <f>IF(B13="","",N(設定!Q14))</f>
        <v/>
      </c>
      <c r="D13" s="54">
        <f>IF(B13="","",N(設定!R14))</f>
        <v/>
      </c>
      <c r="E13" s="54">
        <f>IF(B13="","",COUNTIF(振り分け!$G$7:$G$456,B13))</f>
        <v/>
      </c>
      <c r="F13" s="55">
        <f>IF(B13="","",IF(計算用!$B$1=1,COUNTIF(新年度名簿!$G$2:$G$451,B13),COUNTIFS(振り分け!$L$7:$L$456,B13,振り分け!$M$7:$M$456,"&lt;&gt;転出")))</f>
        <v/>
      </c>
      <c r="G13" s="54">
        <f>IF(B13="","",IF(計算用!$B$1=1,COUNTIFS(新年度名簿!$A$2:$A$451,設定!$B$8,新年度名簿!$G$2:$G$451,B13),COUNTIFS(振り分け!$A$7:$A$456,設定!$B$8,振り分け!$L$7:$L$456,B13,振り分け!$M$7:$M$456,"&lt;&gt;転出")))</f>
        <v/>
      </c>
      <c r="H13" s="54">
        <f>IF(B13="","",IF(計算用!$B$1=1,COUNTIFS(新年度名簿!$A$2:$A$451,設定!$B$9,新年度名簿!$G$2:$G$451,B13),COUNTIFS(振り分け!$A$7:$A$456,設定!$B$9,振り分け!$L$7:$L$456,B13,振り分け!$M$7:$M$456,"&lt;&gt;転出")))</f>
        <v/>
      </c>
      <c r="I13" s="54">
        <f>IF(B13="","",IF(計算用!$B$1=1,COUNTIFS(新年度名簿!$A$2:$A$451,設定!$B$10,新年度名簿!$G$2:$G$451,B13),COUNTIFS(振り分け!$A$7:$A$456,設定!$B$10,振り分け!$L$7:$L$456,B13,振り分け!$M$7:$M$456,"&lt;&gt;転出")))</f>
        <v/>
      </c>
      <c r="J13" s="54">
        <f>IF(B13="","",C13-F13)</f>
        <v/>
      </c>
      <c r="K13" s="37">
        <f>IF(B13="","",IF(F13&gt;C13+D13,(F13-C13-D13)&amp;"人オーバー",IF(COUNTIFS(振り分け!$M$7:$M$456,"要調整",振り分け!$G$7:$G$456,B13)&gt;0,"調整中（第1希望の要調整 "&amp;COUNTIFS(振り分け!$M$7:$M$456,"要調整",振り分け!$G$7:$G$456,B13)&amp;"人）",IF(F13&gt;C13,"定員＋"&amp;(F13-C13)&amp;"人（融通内）",IF(J13&gt;0,"空きあり "&amp;J13&amp;"人","OK")))))</f>
        <v/>
      </c>
    </row>
    <row r="14">
      <c r="A14" s="54" t="n">
        <v>8</v>
      </c>
      <c r="B14" s="54">
        <f>IF(設定!P15="","",設定!P15)</f>
        <v/>
      </c>
      <c r="C14" s="54">
        <f>IF(B14="","",N(設定!Q15))</f>
        <v/>
      </c>
      <c r="D14" s="54">
        <f>IF(B14="","",N(設定!R15))</f>
        <v/>
      </c>
      <c r="E14" s="54">
        <f>IF(B14="","",COUNTIF(振り分け!$G$7:$G$456,B14))</f>
        <v/>
      </c>
      <c r="F14" s="55">
        <f>IF(B14="","",IF(計算用!$B$1=1,COUNTIF(新年度名簿!$G$2:$G$451,B14),COUNTIFS(振り分け!$L$7:$L$456,B14,振り分け!$M$7:$M$456,"&lt;&gt;転出")))</f>
        <v/>
      </c>
      <c r="G14" s="54">
        <f>IF(B14="","",IF(計算用!$B$1=1,COUNTIFS(新年度名簿!$A$2:$A$451,設定!$B$8,新年度名簿!$G$2:$G$451,B14),COUNTIFS(振り分け!$A$7:$A$456,設定!$B$8,振り分け!$L$7:$L$456,B14,振り分け!$M$7:$M$456,"&lt;&gt;転出")))</f>
        <v/>
      </c>
      <c r="H14" s="54">
        <f>IF(B14="","",IF(計算用!$B$1=1,COUNTIFS(新年度名簿!$A$2:$A$451,設定!$B$9,新年度名簿!$G$2:$G$451,B14),COUNTIFS(振り分け!$A$7:$A$456,設定!$B$9,振り分け!$L$7:$L$456,B14,振り分け!$M$7:$M$456,"&lt;&gt;転出")))</f>
        <v/>
      </c>
      <c r="I14" s="54">
        <f>IF(B14="","",IF(計算用!$B$1=1,COUNTIFS(新年度名簿!$A$2:$A$451,設定!$B$10,新年度名簿!$G$2:$G$451,B14),COUNTIFS(振り分け!$A$7:$A$456,設定!$B$10,振り分け!$L$7:$L$456,B14,振り分け!$M$7:$M$456,"&lt;&gt;転出")))</f>
        <v/>
      </c>
      <c r="J14" s="54">
        <f>IF(B14="","",C14-F14)</f>
        <v/>
      </c>
      <c r="K14" s="37">
        <f>IF(B14="","",IF(F14&gt;C14+D14,(F14-C14-D14)&amp;"人オーバー",IF(COUNTIFS(振り分け!$M$7:$M$456,"要調整",振り分け!$G$7:$G$456,B14)&gt;0,"調整中（第1希望の要調整 "&amp;COUNTIFS(振り分け!$M$7:$M$456,"要調整",振り分け!$G$7:$G$456,B14)&amp;"人）",IF(F14&gt;C14,"定員＋"&amp;(F14-C14)&amp;"人（融通内）",IF(J14&gt;0,"空きあり "&amp;J14&amp;"人","OK")))))</f>
        <v/>
      </c>
    </row>
    <row r="15">
      <c r="A15" s="54" t="n">
        <v>9</v>
      </c>
      <c r="B15" s="54">
        <f>IF(設定!P16="","",設定!P16)</f>
        <v/>
      </c>
      <c r="C15" s="54">
        <f>IF(B15="","",N(設定!Q16))</f>
        <v/>
      </c>
      <c r="D15" s="54">
        <f>IF(B15="","",N(設定!R16))</f>
        <v/>
      </c>
      <c r="E15" s="54">
        <f>IF(B15="","",COUNTIF(振り分け!$G$7:$G$456,B15))</f>
        <v/>
      </c>
      <c r="F15" s="55">
        <f>IF(B15="","",IF(計算用!$B$1=1,COUNTIF(新年度名簿!$G$2:$G$451,B15),COUNTIFS(振り分け!$L$7:$L$456,B15,振り分け!$M$7:$M$456,"&lt;&gt;転出")))</f>
        <v/>
      </c>
      <c r="G15" s="54">
        <f>IF(B15="","",IF(計算用!$B$1=1,COUNTIFS(新年度名簿!$A$2:$A$451,設定!$B$8,新年度名簿!$G$2:$G$451,B15),COUNTIFS(振り分け!$A$7:$A$456,設定!$B$8,振り分け!$L$7:$L$456,B15,振り分け!$M$7:$M$456,"&lt;&gt;転出")))</f>
        <v/>
      </c>
      <c r="H15" s="54">
        <f>IF(B15="","",IF(計算用!$B$1=1,COUNTIFS(新年度名簿!$A$2:$A$451,設定!$B$9,新年度名簿!$G$2:$G$451,B15),COUNTIFS(振り分け!$A$7:$A$456,設定!$B$9,振り分け!$L$7:$L$456,B15,振り分け!$M$7:$M$456,"&lt;&gt;転出")))</f>
        <v/>
      </c>
      <c r="I15" s="54">
        <f>IF(B15="","",IF(計算用!$B$1=1,COUNTIFS(新年度名簿!$A$2:$A$451,設定!$B$10,新年度名簿!$G$2:$G$451,B15),COUNTIFS(振り分け!$A$7:$A$456,設定!$B$10,振り分け!$L$7:$L$456,B15,振り分け!$M$7:$M$456,"&lt;&gt;転出")))</f>
        <v/>
      </c>
      <c r="J15" s="54">
        <f>IF(B15="","",C15-F15)</f>
        <v/>
      </c>
      <c r="K15" s="37">
        <f>IF(B15="","",IF(F15&gt;C15+D15,(F15-C15-D15)&amp;"人オーバー",IF(COUNTIFS(振り分け!$M$7:$M$456,"要調整",振り分け!$G$7:$G$456,B15)&gt;0,"調整中（第1希望の要調整 "&amp;COUNTIFS(振り分け!$M$7:$M$456,"要調整",振り分け!$G$7:$G$456,B15)&amp;"人）",IF(F15&gt;C15,"定員＋"&amp;(F15-C15)&amp;"人（融通内）",IF(J15&gt;0,"空きあり "&amp;J15&amp;"人","OK")))))</f>
        <v/>
      </c>
    </row>
    <row r="16">
      <c r="A16" s="54" t="n">
        <v>10</v>
      </c>
      <c r="B16" s="54">
        <f>IF(設定!P17="","",設定!P17)</f>
        <v/>
      </c>
      <c r="C16" s="54">
        <f>IF(B16="","",N(設定!Q17))</f>
        <v/>
      </c>
      <c r="D16" s="54">
        <f>IF(B16="","",N(設定!R17))</f>
        <v/>
      </c>
      <c r="E16" s="54">
        <f>IF(B16="","",COUNTIF(振り分け!$G$7:$G$456,B16))</f>
        <v/>
      </c>
      <c r="F16" s="55">
        <f>IF(B16="","",IF(計算用!$B$1=1,COUNTIF(新年度名簿!$G$2:$G$451,B16),COUNTIFS(振り分け!$L$7:$L$456,B16,振り分け!$M$7:$M$456,"&lt;&gt;転出")))</f>
        <v/>
      </c>
      <c r="G16" s="54">
        <f>IF(B16="","",IF(計算用!$B$1=1,COUNTIFS(新年度名簿!$A$2:$A$451,設定!$B$8,新年度名簿!$G$2:$G$451,B16),COUNTIFS(振り分け!$A$7:$A$456,設定!$B$8,振り分け!$L$7:$L$456,B16,振り分け!$M$7:$M$456,"&lt;&gt;転出")))</f>
        <v/>
      </c>
      <c r="H16" s="54">
        <f>IF(B16="","",IF(計算用!$B$1=1,COUNTIFS(新年度名簿!$A$2:$A$451,設定!$B$9,新年度名簿!$G$2:$G$451,B16),COUNTIFS(振り分け!$A$7:$A$456,設定!$B$9,振り分け!$L$7:$L$456,B16,振り分け!$M$7:$M$456,"&lt;&gt;転出")))</f>
        <v/>
      </c>
      <c r="I16" s="54">
        <f>IF(B16="","",IF(計算用!$B$1=1,COUNTIFS(新年度名簿!$A$2:$A$451,設定!$B$10,新年度名簿!$G$2:$G$451,B16),COUNTIFS(振り分け!$A$7:$A$456,設定!$B$10,振り分け!$L$7:$L$456,B16,振り分け!$M$7:$M$456,"&lt;&gt;転出")))</f>
        <v/>
      </c>
      <c r="J16" s="54">
        <f>IF(B16="","",C16-F16)</f>
        <v/>
      </c>
      <c r="K16" s="37">
        <f>IF(B16="","",IF(F16&gt;C16+D16,(F16-C16-D16)&amp;"人オーバー",IF(COUNTIFS(振り分け!$M$7:$M$456,"要調整",振り分け!$G$7:$G$456,B16)&gt;0,"調整中（第1希望の要調整 "&amp;COUNTIFS(振り分け!$M$7:$M$456,"要調整",振り分け!$G$7:$G$456,B16)&amp;"人）",IF(F16&gt;C16,"定員＋"&amp;(F16-C16)&amp;"人（融通内）",IF(J16&gt;0,"空きあり "&amp;J16&amp;"人","OK")))))</f>
        <v/>
      </c>
    </row>
    <row r="17">
      <c r="A17" s="54" t="n">
        <v>11</v>
      </c>
      <c r="B17" s="54">
        <f>IF(設定!P18="","",設定!P18)</f>
        <v/>
      </c>
      <c r="C17" s="54">
        <f>IF(B17="","",N(設定!Q18))</f>
        <v/>
      </c>
      <c r="D17" s="54">
        <f>IF(B17="","",N(設定!R18))</f>
        <v/>
      </c>
      <c r="E17" s="54">
        <f>IF(B17="","",COUNTIF(振り分け!$G$7:$G$456,B17))</f>
        <v/>
      </c>
      <c r="F17" s="55">
        <f>IF(B17="","",IF(計算用!$B$1=1,COUNTIF(新年度名簿!$G$2:$G$451,B17),COUNTIFS(振り分け!$L$7:$L$456,B17,振り分け!$M$7:$M$456,"&lt;&gt;転出")))</f>
        <v/>
      </c>
      <c r="G17" s="54">
        <f>IF(B17="","",IF(計算用!$B$1=1,COUNTIFS(新年度名簿!$A$2:$A$451,設定!$B$8,新年度名簿!$G$2:$G$451,B17),COUNTIFS(振り分け!$A$7:$A$456,設定!$B$8,振り分け!$L$7:$L$456,B17,振り分け!$M$7:$M$456,"&lt;&gt;転出")))</f>
        <v/>
      </c>
      <c r="H17" s="54">
        <f>IF(B17="","",IF(計算用!$B$1=1,COUNTIFS(新年度名簿!$A$2:$A$451,設定!$B$9,新年度名簿!$G$2:$G$451,B17),COUNTIFS(振り分け!$A$7:$A$456,設定!$B$9,振り分け!$L$7:$L$456,B17,振り分け!$M$7:$M$456,"&lt;&gt;転出")))</f>
        <v/>
      </c>
      <c r="I17" s="54">
        <f>IF(B17="","",IF(計算用!$B$1=1,COUNTIFS(新年度名簿!$A$2:$A$451,設定!$B$10,新年度名簿!$G$2:$G$451,B17),COUNTIFS(振り分け!$A$7:$A$456,設定!$B$10,振り分け!$L$7:$L$456,B17,振り分け!$M$7:$M$456,"&lt;&gt;転出")))</f>
        <v/>
      </c>
      <c r="J17" s="54">
        <f>IF(B17="","",C17-F17)</f>
        <v/>
      </c>
      <c r="K17" s="37">
        <f>IF(B17="","",IF(F17&gt;C17+D17,(F17-C17-D17)&amp;"人オーバー",IF(COUNTIFS(振り分け!$M$7:$M$456,"要調整",振り分け!$G$7:$G$456,B17)&gt;0,"調整中（第1希望の要調整 "&amp;COUNTIFS(振り分け!$M$7:$M$456,"要調整",振り分け!$G$7:$G$456,B17)&amp;"人）",IF(F17&gt;C17,"定員＋"&amp;(F17-C17)&amp;"人（融通内）",IF(J17&gt;0,"空きあり "&amp;J17&amp;"人","OK")))))</f>
        <v/>
      </c>
    </row>
    <row r="18">
      <c r="A18" s="54" t="n">
        <v>12</v>
      </c>
      <c r="B18" s="54">
        <f>IF(設定!P19="","",設定!P19)</f>
        <v/>
      </c>
      <c r="C18" s="54">
        <f>IF(B18="","",N(設定!Q19))</f>
        <v/>
      </c>
      <c r="D18" s="54">
        <f>IF(B18="","",N(設定!R19))</f>
        <v/>
      </c>
      <c r="E18" s="54">
        <f>IF(B18="","",COUNTIF(振り分け!$G$7:$G$456,B18))</f>
        <v/>
      </c>
      <c r="F18" s="55">
        <f>IF(B18="","",IF(計算用!$B$1=1,COUNTIF(新年度名簿!$G$2:$G$451,B18),COUNTIFS(振り分け!$L$7:$L$456,B18,振り分け!$M$7:$M$456,"&lt;&gt;転出")))</f>
        <v/>
      </c>
      <c r="G18" s="54">
        <f>IF(B18="","",IF(計算用!$B$1=1,COUNTIFS(新年度名簿!$A$2:$A$451,設定!$B$8,新年度名簿!$G$2:$G$451,B18),COUNTIFS(振り分け!$A$7:$A$456,設定!$B$8,振り分け!$L$7:$L$456,B18,振り分け!$M$7:$M$456,"&lt;&gt;転出")))</f>
        <v/>
      </c>
      <c r="H18" s="54">
        <f>IF(B18="","",IF(計算用!$B$1=1,COUNTIFS(新年度名簿!$A$2:$A$451,設定!$B$9,新年度名簿!$G$2:$G$451,B18),COUNTIFS(振り分け!$A$7:$A$456,設定!$B$9,振り分け!$L$7:$L$456,B18,振り分け!$M$7:$M$456,"&lt;&gt;転出")))</f>
        <v/>
      </c>
      <c r="I18" s="54">
        <f>IF(B18="","",IF(計算用!$B$1=1,COUNTIFS(新年度名簿!$A$2:$A$451,設定!$B$10,新年度名簿!$G$2:$G$451,B18),COUNTIFS(振り分け!$A$7:$A$456,設定!$B$10,振り分け!$L$7:$L$456,B18,振り分け!$M$7:$M$456,"&lt;&gt;転出")))</f>
        <v/>
      </c>
      <c r="J18" s="54">
        <f>IF(B18="","",C18-F18)</f>
        <v/>
      </c>
      <c r="K18" s="37">
        <f>IF(B18="","",IF(F18&gt;C18+D18,(F18-C18-D18)&amp;"人オーバー",IF(COUNTIFS(振り分け!$M$7:$M$456,"要調整",振り分け!$G$7:$G$456,B18)&gt;0,"調整中（第1希望の要調整 "&amp;COUNTIFS(振り分け!$M$7:$M$456,"要調整",振り分け!$G$7:$G$456,B18)&amp;"人）",IF(F18&gt;C18,"定員＋"&amp;(F18-C18)&amp;"人（融通内）",IF(J18&gt;0,"空きあり "&amp;J18&amp;"人","OK")))))</f>
        <v/>
      </c>
    </row>
    <row r="19">
      <c r="A19" s="54" t="n">
        <v>13</v>
      </c>
      <c r="B19" s="54">
        <f>IF(設定!P20="","",設定!P20)</f>
        <v/>
      </c>
      <c r="C19" s="54">
        <f>IF(B19="","",N(設定!Q20))</f>
        <v/>
      </c>
      <c r="D19" s="54">
        <f>IF(B19="","",N(設定!R20))</f>
        <v/>
      </c>
      <c r="E19" s="54">
        <f>IF(B19="","",COUNTIF(振り分け!$G$7:$G$456,B19))</f>
        <v/>
      </c>
      <c r="F19" s="55">
        <f>IF(B19="","",IF(計算用!$B$1=1,COUNTIF(新年度名簿!$G$2:$G$451,B19),COUNTIFS(振り分け!$L$7:$L$456,B19,振り分け!$M$7:$M$456,"&lt;&gt;転出")))</f>
        <v/>
      </c>
      <c r="G19" s="54">
        <f>IF(B19="","",IF(計算用!$B$1=1,COUNTIFS(新年度名簿!$A$2:$A$451,設定!$B$8,新年度名簿!$G$2:$G$451,B19),COUNTIFS(振り分け!$A$7:$A$456,設定!$B$8,振り分け!$L$7:$L$456,B19,振り分け!$M$7:$M$456,"&lt;&gt;転出")))</f>
        <v/>
      </c>
      <c r="H19" s="54">
        <f>IF(B19="","",IF(計算用!$B$1=1,COUNTIFS(新年度名簿!$A$2:$A$451,設定!$B$9,新年度名簿!$G$2:$G$451,B19),COUNTIFS(振り分け!$A$7:$A$456,設定!$B$9,振り分け!$L$7:$L$456,B19,振り分け!$M$7:$M$456,"&lt;&gt;転出")))</f>
        <v/>
      </c>
      <c r="I19" s="54">
        <f>IF(B19="","",IF(計算用!$B$1=1,COUNTIFS(新年度名簿!$A$2:$A$451,設定!$B$10,新年度名簿!$G$2:$G$451,B19),COUNTIFS(振り分け!$A$7:$A$456,設定!$B$10,振り分け!$L$7:$L$456,B19,振り分け!$M$7:$M$456,"&lt;&gt;転出")))</f>
        <v/>
      </c>
      <c r="J19" s="54">
        <f>IF(B19="","",C19-F19)</f>
        <v/>
      </c>
      <c r="K19" s="37">
        <f>IF(B19="","",IF(F19&gt;C19+D19,(F19-C19-D19)&amp;"人オーバー",IF(COUNTIFS(振り分け!$M$7:$M$456,"要調整",振り分け!$G$7:$G$456,B19)&gt;0,"調整中（第1希望の要調整 "&amp;COUNTIFS(振り分け!$M$7:$M$456,"要調整",振り分け!$G$7:$G$456,B19)&amp;"人）",IF(F19&gt;C19,"定員＋"&amp;(F19-C19)&amp;"人（融通内）",IF(J19&gt;0,"空きあり "&amp;J19&amp;"人","OK")))))</f>
        <v/>
      </c>
    </row>
    <row r="20">
      <c r="A20" s="54" t="n">
        <v>14</v>
      </c>
      <c r="B20" s="54">
        <f>IF(設定!P21="","",設定!P21)</f>
        <v/>
      </c>
      <c r="C20" s="54">
        <f>IF(B20="","",N(設定!Q21))</f>
        <v/>
      </c>
      <c r="D20" s="54">
        <f>IF(B20="","",N(設定!R21))</f>
        <v/>
      </c>
      <c r="E20" s="54">
        <f>IF(B20="","",COUNTIF(振り分け!$G$7:$G$456,B20))</f>
        <v/>
      </c>
      <c r="F20" s="55">
        <f>IF(B20="","",IF(計算用!$B$1=1,COUNTIF(新年度名簿!$G$2:$G$451,B20),COUNTIFS(振り分け!$L$7:$L$456,B20,振り分け!$M$7:$M$456,"&lt;&gt;転出")))</f>
        <v/>
      </c>
      <c r="G20" s="54">
        <f>IF(B20="","",IF(計算用!$B$1=1,COUNTIFS(新年度名簿!$A$2:$A$451,設定!$B$8,新年度名簿!$G$2:$G$451,B20),COUNTIFS(振り分け!$A$7:$A$456,設定!$B$8,振り分け!$L$7:$L$456,B20,振り分け!$M$7:$M$456,"&lt;&gt;転出")))</f>
        <v/>
      </c>
      <c r="H20" s="54">
        <f>IF(B20="","",IF(計算用!$B$1=1,COUNTIFS(新年度名簿!$A$2:$A$451,設定!$B$9,新年度名簿!$G$2:$G$451,B20),COUNTIFS(振り分け!$A$7:$A$456,設定!$B$9,振り分け!$L$7:$L$456,B20,振り分け!$M$7:$M$456,"&lt;&gt;転出")))</f>
        <v/>
      </c>
      <c r="I20" s="54">
        <f>IF(B20="","",IF(計算用!$B$1=1,COUNTIFS(新年度名簿!$A$2:$A$451,設定!$B$10,新年度名簿!$G$2:$G$451,B20),COUNTIFS(振り分け!$A$7:$A$456,設定!$B$10,振り分け!$L$7:$L$456,B20,振り分け!$M$7:$M$456,"&lt;&gt;転出")))</f>
        <v/>
      </c>
      <c r="J20" s="54">
        <f>IF(B20="","",C20-F20)</f>
        <v/>
      </c>
      <c r="K20" s="37">
        <f>IF(B20="","",IF(F20&gt;C20+D20,(F20-C20-D20)&amp;"人オーバー",IF(COUNTIFS(振り分け!$M$7:$M$456,"要調整",振り分け!$G$7:$G$456,B20)&gt;0,"調整中（第1希望の要調整 "&amp;COUNTIFS(振り分け!$M$7:$M$456,"要調整",振り分け!$G$7:$G$456,B20)&amp;"人）",IF(F20&gt;C20,"定員＋"&amp;(F20-C20)&amp;"人（融通内）",IF(J20&gt;0,"空きあり "&amp;J20&amp;"人","OK")))))</f>
        <v/>
      </c>
    </row>
    <row r="21">
      <c r="A21" s="54" t="n">
        <v>15</v>
      </c>
      <c r="B21" s="54">
        <f>IF(設定!P22="","",設定!P22)</f>
        <v/>
      </c>
      <c r="C21" s="54">
        <f>IF(B21="","",N(設定!Q22))</f>
        <v/>
      </c>
      <c r="D21" s="54">
        <f>IF(B21="","",N(設定!R22))</f>
        <v/>
      </c>
      <c r="E21" s="54">
        <f>IF(B21="","",COUNTIF(振り分け!$G$7:$G$456,B21))</f>
        <v/>
      </c>
      <c r="F21" s="55">
        <f>IF(B21="","",IF(計算用!$B$1=1,COUNTIF(新年度名簿!$G$2:$G$451,B21),COUNTIFS(振り分け!$L$7:$L$456,B21,振り分け!$M$7:$M$456,"&lt;&gt;転出")))</f>
        <v/>
      </c>
      <c r="G21" s="54">
        <f>IF(B21="","",IF(計算用!$B$1=1,COUNTIFS(新年度名簿!$A$2:$A$451,設定!$B$8,新年度名簿!$G$2:$G$451,B21),COUNTIFS(振り分け!$A$7:$A$456,設定!$B$8,振り分け!$L$7:$L$456,B21,振り分け!$M$7:$M$456,"&lt;&gt;転出")))</f>
        <v/>
      </c>
      <c r="H21" s="54">
        <f>IF(B21="","",IF(計算用!$B$1=1,COUNTIFS(新年度名簿!$A$2:$A$451,設定!$B$9,新年度名簿!$G$2:$G$451,B21),COUNTIFS(振り分け!$A$7:$A$456,設定!$B$9,振り分け!$L$7:$L$456,B21,振り分け!$M$7:$M$456,"&lt;&gt;転出")))</f>
        <v/>
      </c>
      <c r="I21" s="54">
        <f>IF(B21="","",IF(計算用!$B$1=1,COUNTIFS(新年度名簿!$A$2:$A$451,設定!$B$10,新年度名簿!$G$2:$G$451,B21),COUNTIFS(振り分け!$A$7:$A$456,設定!$B$10,振り分け!$L$7:$L$456,B21,振り分け!$M$7:$M$456,"&lt;&gt;転出")))</f>
        <v/>
      </c>
      <c r="J21" s="54">
        <f>IF(B21="","",C21-F21)</f>
        <v/>
      </c>
      <c r="K21" s="37">
        <f>IF(B21="","",IF(F21&gt;C21+D21,(F21-C21-D21)&amp;"人オーバー",IF(COUNTIFS(振り分け!$M$7:$M$456,"要調整",振り分け!$G$7:$G$456,B21)&gt;0,"調整中（第1希望の要調整 "&amp;COUNTIFS(振り分け!$M$7:$M$456,"要調整",振り分け!$G$7:$G$456,B21)&amp;"人）",IF(F21&gt;C21,"定員＋"&amp;(F21-C21)&amp;"人（融通内）",IF(J21&gt;0,"空きあり "&amp;J21&amp;"人","OK")))))</f>
        <v/>
      </c>
    </row>
    <row r="22">
      <c r="A22" s="54" t="n">
        <v>16</v>
      </c>
      <c r="B22" s="54">
        <f>IF(設定!P23="","",設定!P23)</f>
        <v/>
      </c>
      <c r="C22" s="54">
        <f>IF(B22="","",N(設定!Q23))</f>
        <v/>
      </c>
      <c r="D22" s="54">
        <f>IF(B22="","",N(設定!R23))</f>
        <v/>
      </c>
      <c r="E22" s="54">
        <f>IF(B22="","",COUNTIF(振り分け!$G$7:$G$456,B22))</f>
        <v/>
      </c>
      <c r="F22" s="55">
        <f>IF(B22="","",IF(計算用!$B$1=1,COUNTIF(新年度名簿!$G$2:$G$451,B22),COUNTIFS(振り分け!$L$7:$L$456,B22,振り分け!$M$7:$M$456,"&lt;&gt;転出")))</f>
        <v/>
      </c>
      <c r="G22" s="54">
        <f>IF(B22="","",IF(計算用!$B$1=1,COUNTIFS(新年度名簿!$A$2:$A$451,設定!$B$8,新年度名簿!$G$2:$G$451,B22),COUNTIFS(振り分け!$A$7:$A$456,設定!$B$8,振り分け!$L$7:$L$456,B22,振り分け!$M$7:$M$456,"&lt;&gt;転出")))</f>
        <v/>
      </c>
      <c r="H22" s="54">
        <f>IF(B22="","",IF(計算用!$B$1=1,COUNTIFS(新年度名簿!$A$2:$A$451,設定!$B$9,新年度名簿!$G$2:$G$451,B22),COUNTIFS(振り分け!$A$7:$A$456,設定!$B$9,振り分け!$L$7:$L$456,B22,振り分け!$M$7:$M$456,"&lt;&gt;転出")))</f>
        <v/>
      </c>
      <c r="I22" s="54">
        <f>IF(B22="","",IF(計算用!$B$1=1,COUNTIFS(新年度名簿!$A$2:$A$451,設定!$B$10,新年度名簿!$G$2:$G$451,B22),COUNTIFS(振り分け!$A$7:$A$456,設定!$B$10,振り分け!$L$7:$L$456,B22,振り分け!$M$7:$M$456,"&lt;&gt;転出")))</f>
        <v/>
      </c>
      <c r="J22" s="54">
        <f>IF(B22="","",C22-F22)</f>
        <v/>
      </c>
      <c r="K22" s="37">
        <f>IF(B22="","",IF(F22&gt;C22+D22,(F22-C22-D22)&amp;"人オーバー",IF(COUNTIFS(振り分け!$M$7:$M$456,"要調整",振り分け!$G$7:$G$456,B22)&gt;0,"調整中（第1希望の要調整 "&amp;COUNTIFS(振り分け!$M$7:$M$456,"要調整",振り分け!$G$7:$G$456,B22)&amp;"人）",IF(F22&gt;C22,"定員＋"&amp;(F22-C22)&amp;"人（融通内）",IF(J22&gt;0,"空きあり "&amp;J22&amp;"人","OK")))))</f>
        <v/>
      </c>
    </row>
    <row r="23">
      <c r="A23" s="54" t="n">
        <v>17</v>
      </c>
      <c r="B23" s="54">
        <f>IF(設定!P24="","",設定!P24)</f>
        <v/>
      </c>
      <c r="C23" s="54">
        <f>IF(B23="","",N(設定!Q24))</f>
        <v/>
      </c>
      <c r="D23" s="54">
        <f>IF(B23="","",N(設定!R24))</f>
        <v/>
      </c>
      <c r="E23" s="54">
        <f>IF(B23="","",COUNTIF(振り分け!$G$7:$G$456,B23))</f>
        <v/>
      </c>
      <c r="F23" s="55">
        <f>IF(B23="","",IF(計算用!$B$1=1,COUNTIF(新年度名簿!$G$2:$G$451,B23),COUNTIFS(振り分け!$L$7:$L$456,B23,振り分け!$M$7:$M$456,"&lt;&gt;転出")))</f>
        <v/>
      </c>
      <c r="G23" s="54">
        <f>IF(B23="","",IF(計算用!$B$1=1,COUNTIFS(新年度名簿!$A$2:$A$451,設定!$B$8,新年度名簿!$G$2:$G$451,B23),COUNTIFS(振り分け!$A$7:$A$456,設定!$B$8,振り分け!$L$7:$L$456,B23,振り分け!$M$7:$M$456,"&lt;&gt;転出")))</f>
        <v/>
      </c>
      <c r="H23" s="54">
        <f>IF(B23="","",IF(計算用!$B$1=1,COUNTIFS(新年度名簿!$A$2:$A$451,設定!$B$9,新年度名簿!$G$2:$G$451,B23),COUNTIFS(振り分け!$A$7:$A$456,設定!$B$9,振り分け!$L$7:$L$456,B23,振り分け!$M$7:$M$456,"&lt;&gt;転出")))</f>
        <v/>
      </c>
      <c r="I23" s="54">
        <f>IF(B23="","",IF(計算用!$B$1=1,COUNTIFS(新年度名簿!$A$2:$A$451,設定!$B$10,新年度名簿!$G$2:$G$451,B23),COUNTIFS(振り分け!$A$7:$A$456,設定!$B$10,振り分け!$L$7:$L$456,B23,振り分け!$M$7:$M$456,"&lt;&gt;転出")))</f>
        <v/>
      </c>
      <c r="J23" s="54">
        <f>IF(B23="","",C23-F23)</f>
        <v/>
      </c>
      <c r="K23" s="37">
        <f>IF(B23="","",IF(F23&gt;C23+D23,(F23-C23-D23)&amp;"人オーバー",IF(COUNTIFS(振り分け!$M$7:$M$456,"要調整",振り分け!$G$7:$G$456,B23)&gt;0,"調整中（第1希望の要調整 "&amp;COUNTIFS(振り分け!$M$7:$M$456,"要調整",振り分け!$G$7:$G$456,B23)&amp;"人）",IF(F23&gt;C23,"定員＋"&amp;(F23-C23)&amp;"人（融通内）",IF(J23&gt;0,"空きあり "&amp;J23&amp;"人","OK")))))</f>
        <v/>
      </c>
    </row>
    <row r="24">
      <c r="A24" s="54" t="n">
        <v>18</v>
      </c>
      <c r="B24" s="54">
        <f>IF(設定!P25="","",設定!P25)</f>
        <v/>
      </c>
      <c r="C24" s="54">
        <f>IF(B24="","",N(設定!Q25))</f>
        <v/>
      </c>
      <c r="D24" s="54">
        <f>IF(B24="","",N(設定!R25))</f>
        <v/>
      </c>
      <c r="E24" s="54">
        <f>IF(B24="","",COUNTIF(振り分け!$G$7:$G$456,B24))</f>
        <v/>
      </c>
      <c r="F24" s="55">
        <f>IF(B24="","",IF(計算用!$B$1=1,COUNTIF(新年度名簿!$G$2:$G$451,B24),COUNTIFS(振り分け!$L$7:$L$456,B24,振り分け!$M$7:$M$456,"&lt;&gt;転出")))</f>
        <v/>
      </c>
      <c r="G24" s="54">
        <f>IF(B24="","",IF(計算用!$B$1=1,COUNTIFS(新年度名簿!$A$2:$A$451,設定!$B$8,新年度名簿!$G$2:$G$451,B24),COUNTIFS(振り分け!$A$7:$A$456,設定!$B$8,振り分け!$L$7:$L$456,B24,振り分け!$M$7:$M$456,"&lt;&gt;転出")))</f>
        <v/>
      </c>
      <c r="H24" s="54">
        <f>IF(B24="","",IF(計算用!$B$1=1,COUNTIFS(新年度名簿!$A$2:$A$451,設定!$B$9,新年度名簿!$G$2:$G$451,B24),COUNTIFS(振り分け!$A$7:$A$456,設定!$B$9,振り分け!$L$7:$L$456,B24,振り分け!$M$7:$M$456,"&lt;&gt;転出")))</f>
        <v/>
      </c>
      <c r="I24" s="54">
        <f>IF(B24="","",IF(計算用!$B$1=1,COUNTIFS(新年度名簿!$A$2:$A$451,設定!$B$10,新年度名簿!$G$2:$G$451,B24),COUNTIFS(振り分け!$A$7:$A$456,設定!$B$10,振り分け!$L$7:$L$456,B24,振り分け!$M$7:$M$456,"&lt;&gt;転出")))</f>
        <v/>
      </c>
      <c r="J24" s="54">
        <f>IF(B24="","",C24-F24)</f>
        <v/>
      </c>
      <c r="K24" s="37">
        <f>IF(B24="","",IF(F24&gt;C24+D24,(F24-C24-D24)&amp;"人オーバー",IF(COUNTIFS(振り分け!$M$7:$M$456,"要調整",振り分け!$G$7:$G$456,B24)&gt;0,"調整中（第1希望の要調整 "&amp;COUNTIFS(振り分け!$M$7:$M$456,"要調整",振り分け!$G$7:$G$456,B24)&amp;"人）",IF(F24&gt;C24,"定員＋"&amp;(F24-C24)&amp;"人（融通内）",IF(J24&gt;0,"空きあり "&amp;J24&amp;"人","OK")))))</f>
        <v/>
      </c>
    </row>
    <row r="25">
      <c r="A25" s="54" t="n">
        <v>19</v>
      </c>
      <c r="B25" s="54">
        <f>IF(設定!P26="","",設定!P26)</f>
        <v/>
      </c>
      <c r="C25" s="54">
        <f>IF(B25="","",N(設定!Q26))</f>
        <v/>
      </c>
      <c r="D25" s="54">
        <f>IF(B25="","",N(設定!R26))</f>
        <v/>
      </c>
      <c r="E25" s="54">
        <f>IF(B25="","",COUNTIF(振り分け!$G$7:$G$456,B25))</f>
        <v/>
      </c>
      <c r="F25" s="55">
        <f>IF(B25="","",IF(計算用!$B$1=1,COUNTIF(新年度名簿!$G$2:$G$451,B25),COUNTIFS(振り分け!$L$7:$L$456,B25,振り分け!$M$7:$M$456,"&lt;&gt;転出")))</f>
        <v/>
      </c>
      <c r="G25" s="54">
        <f>IF(B25="","",IF(計算用!$B$1=1,COUNTIFS(新年度名簿!$A$2:$A$451,設定!$B$8,新年度名簿!$G$2:$G$451,B25),COUNTIFS(振り分け!$A$7:$A$456,設定!$B$8,振り分け!$L$7:$L$456,B25,振り分け!$M$7:$M$456,"&lt;&gt;転出")))</f>
        <v/>
      </c>
      <c r="H25" s="54">
        <f>IF(B25="","",IF(計算用!$B$1=1,COUNTIFS(新年度名簿!$A$2:$A$451,設定!$B$9,新年度名簿!$G$2:$G$451,B25),COUNTIFS(振り分け!$A$7:$A$456,設定!$B$9,振り分け!$L$7:$L$456,B25,振り分け!$M$7:$M$456,"&lt;&gt;転出")))</f>
        <v/>
      </c>
      <c r="I25" s="54">
        <f>IF(B25="","",IF(計算用!$B$1=1,COUNTIFS(新年度名簿!$A$2:$A$451,設定!$B$10,新年度名簿!$G$2:$G$451,B25),COUNTIFS(振り分け!$A$7:$A$456,設定!$B$10,振り分け!$L$7:$L$456,B25,振り分け!$M$7:$M$456,"&lt;&gt;転出")))</f>
        <v/>
      </c>
      <c r="J25" s="54">
        <f>IF(B25="","",C25-F25)</f>
        <v/>
      </c>
      <c r="K25" s="37">
        <f>IF(B25="","",IF(F25&gt;C25+D25,(F25-C25-D25)&amp;"人オーバー",IF(COUNTIFS(振り分け!$M$7:$M$456,"要調整",振り分け!$G$7:$G$456,B25)&gt;0,"調整中（第1希望の要調整 "&amp;COUNTIFS(振り分け!$M$7:$M$456,"要調整",振り分け!$G$7:$G$456,B25)&amp;"人）",IF(F25&gt;C25,"定員＋"&amp;(F25-C25)&amp;"人（融通内）",IF(J25&gt;0,"空きあり "&amp;J25&amp;"人","OK")))))</f>
        <v/>
      </c>
    </row>
    <row r="26">
      <c r="A26" s="54" t="n">
        <v>20</v>
      </c>
      <c r="B26" s="54">
        <f>IF(設定!P27="","",設定!P27)</f>
        <v/>
      </c>
      <c r="C26" s="54">
        <f>IF(B26="","",N(設定!Q27))</f>
        <v/>
      </c>
      <c r="D26" s="54">
        <f>IF(B26="","",N(設定!R27))</f>
        <v/>
      </c>
      <c r="E26" s="54">
        <f>IF(B26="","",COUNTIF(振り分け!$G$7:$G$456,B26))</f>
        <v/>
      </c>
      <c r="F26" s="55">
        <f>IF(B26="","",IF(計算用!$B$1=1,COUNTIF(新年度名簿!$G$2:$G$451,B26),COUNTIFS(振り分け!$L$7:$L$456,B26,振り分け!$M$7:$M$456,"&lt;&gt;転出")))</f>
        <v/>
      </c>
      <c r="G26" s="54">
        <f>IF(B26="","",IF(計算用!$B$1=1,COUNTIFS(新年度名簿!$A$2:$A$451,設定!$B$8,新年度名簿!$G$2:$G$451,B26),COUNTIFS(振り分け!$A$7:$A$456,設定!$B$8,振り分け!$L$7:$L$456,B26,振り分け!$M$7:$M$456,"&lt;&gt;転出")))</f>
        <v/>
      </c>
      <c r="H26" s="54">
        <f>IF(B26="","",IF(計算用!$B$1=1,COUNTIFS(新年度名簿!$A$2:$A$451,設定!$B$9,新年度名簿!$G$2:$G$451,B26),COUNTIFS(振り分け!$A$7:$A$456,設定!$B$9,振り分け!$L$7:$L$456,B26,振り分け!$M$7:$M$456,"&lt;&gt;転出")))</f>
        <v/>
      </c>
      <c r="I26" s="54">
        <f>IF(B26="","",IF(計算用!$B$1=1,COUNTIFS(新年度名簿!$A$2:$A$451,設定!$B$10,新年度名簿!$G$2:$G$451,B26),COUNTIFS(振り分け!$A$7:$A$456,設定!$B$10,振り分け!$L$7:$L$456,B26,振り分け!$M$7:$M$456,"&lt;&gt;転出")))</f>
        <v/>
      </c>
      <c r="J26" s="54">
        <f>IF(B26="","",C26-F26)</f>
        <v/>
      </c>
      <c r="K26" s="37">
        <f>IF(B26="","",IF(F26&gt;C26+D26,(F26-C26-D26)&amp;"人オーバー",IF(COUNTIFS(振り分け!$M$7:$M$456,"要調整",振り分け!$G$7:$G$456,B26)&gt;0,"調整中（第1希望の要調整 "&amp;COUNTIFS(振り分け!$M$7:$M$456,"要調整",振り分け!$G$7:$G$456,B26)&amp;"人）",IF(F26&gt;C26,"定員＋"&amp;(F26-C26)&amp;"人（融通内）",IF(J26&gt;0,"空きあり "&amp;J26&amp;"人","OK")))))</f>
        <v/>
      </c>
    </row>
    <row r="28">
      <c r="A28" s="8" t="inlineStr">
        <is>
          <t>※「第1希望」が赤い所は、第1希望だけで「定員＋融通」を超えているクラブです。</t>
        </is>
      </c>
    </row>
    <row r="29">
      <c r="A29" s="8" t="inlineStr">
        <is>
          <t>※「残り」は定員からの残りです（マイナスは定員を超えた人数）。融通の範囲内なら状態は黄色、超えると赤です。</t>
        </is>
      </c>
    </row>
    <row r="30">
      <c r="A30" s="8" t="inlineStr">
        <is>
          <t>※「決定」と学年ごとの人数は、新年度名簿を貼ったあとは新年度名簿（転入生の手入力をふくむ）で数えます。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C2:C3">
    <cfRule type="expression" priority="1" dxfId="8">
      <formula>C2&gt;0</formula>
    </cfRule>
  </conditionalFormatting>
  <conditionalFormatting sqref="J2:J4">
    <cfRule type="expression" priority="2" dxfId="8">
      <formula>J2&gt;0</formula>
    </cfRule>
  </conditionalFormatting>
  <conditionalFormatting sqref="E7">
    <cfRule type="expression" priority="3" dxfId="8">
      <formula>AND($B7&lt;&gt;"",E7&gt;C7+D7)</formula>
    </cfRule>
  </conditionalFormatting>
  <conditionalFormatting sqref="J7">
    <cfRule type="expression" priority="4" dxfId="14">
      <formula>AND($B7&lt;&gt;"",J7&lt;0)</formula>
    </cfRule>
    <cfRule type="expression" priority="5" dxfId="15">
      <formula>AND($B7&lt;&gt;"",J7&gt;0)</formula>
    </cfRule>
  </conditionalFormatting>
  <conditionalFormatting sqref="E8">
    <cfRule type="expression" priority="6" dxfId="8">
      <formula>AND($B8&lt;&gt;"",E8&gt;C8+D8)</formula>
    </cfRule>
  </conditionalFormatting>
  <conditionalFormatting sqref="J8">
    <cfRule type="expression" priority="7" dxfId="14">
      <formula>AND($B8&lt;&gt;"",J8&lt;0)</formula>
    </cfRule>
    <cfRule type="expression" priority="8" dxfId="15">
      <formula>AND($B8&lt;&gt;"",J8&gt;0)</formula>
    </cfRule>
  </conditionalFormatting>
  <conditionalFormatting sqref="E9">
    <cfRule type="expression" priority="9" dxfId="8">
      <formula>AND($B9&lt;&gt;"",E9&gt;C9+D9)</formula>
    </cfRule>
  </conditionalFormatting>
  <conditionalFormatting sqref="J9">
    <cfRule type="expression" priority="10" dxfId="14">
      <formula>AND($B9&lt;&gt;"",J9&lt;0)</formula>
    </cfRule>
    <cfRule type="expression" priority="11" dxfId="15">
      <formula>AND($B9&lt;&gt;"",J9&gt;0)</formula>
    </cfRule>
  </conditionalFormatting>
  <conditionalFormatting sqref="E10">
    <cfRule type="expression" priority="12" dxfId="8">
      <formula>AND($B10&lt;&gt;"",E10&gt;C10+D10)</formula>
    </cfRule>
  </conditionalFormatting>
  <conditionalFormatting sqref="J10">
    <cfRule type="expression" priority="13" dxfId="14">
      <formula>AND($B10&lt;&gt;"",J10&lt;0)</formula>
    </cfRule>
    <cfRule type="expression" priority="14" dxfId="15">
      <formula>AND($B10&lt;&gt;"",J10&gt;0)</formula>
    </cfRule>
  </conditionalFormatting>
  <conditionalFormatting sqref="E11">
    <cfRule type="expression" priority="15" dxfId="8">
      <formula>AND($B11&lt;&gt;"",E11&gt;C11+D11)</formula>
    </cfRule>
  </conditionalFormatting>
  <conditionalFormatting sqref="J11">
    <cfRule type="expression" priority="16" dxfId="14">
      <formula>AND($B11&lt;&gt;"",J11&lt;0)</formula>
    </cfRule>
    <cfRule type="expression" priority="17" dxfId="15">
      <formula>AND($B11&lt;&gt;"",J11&gt;0)</formula>
    </cfRule>
  </conditionalFormatting>
  <conditionalFormatting sqref="E12">
    <cfRule type="expression" priority="18" dxfId="8">
      <formula>AND($B12&lt;&gt;"",E12&gt;C12+D12)</formula>
    </cfRule>
  </conditionalFormatting>
  <conditionalFormatting sqref="J12">
    <cfRule type="expression" priority="19" dxfId="14">
      <formula>AND($B12&lt;&gt;"",J12&lt;0)</formula>
    </cfRule>
    <cfRule type="expression" priority="20" dxfId="15">
      <formula>AND($B12&lt;&gt;"",J12&gt;0)</formula>
    </cfRule>
  </conditionalFormatting>
  <conditionalFormatting sqref="E13">
    <cfRule type="expression" priority="21" dxfId="8">
      <formula>AND($B13&lt;&gt;"",E13&gt;C13+D13)</formula>
    </cfRule>
  </conditionalFormatting>
  <conditionalFormatting sqref="J13">
    <cfRule type="expression" priority="22" dxfId="14">
      <formula>AND($B13&lt;&gt;"",J13&lt;0)</formula>
    </cfRule>
    <cfRule type="expression" priority="23" dxfId="15">
      <formula>AND($B13&lt;&gt;"",J13&gt;0)</formula>
    </cfRule>
  </conditionalFormatting>
  <conditionalFormatting sqref="E14">
    <cfRule type="expression" priority="24" dxfId="8">
      <formula>AND($B14&lt;&gt;"",E14&gt;C14+D14)</formula>
    </cfRule>
  </conditionalFormatting>
  <conditionalFormatting sqref="J14">
    <cfRule type="expression" priority="25" dxfId="14">
      <formula>AND($B14&lt;&gt;"",J14&lt;0)</formula>
    </cfRule>
    <cfRule type="expression" priority="26" dxfId="15">
      <formula>AND($B14&lt;&gt;"",J14&gt;0)</formula>
    </cfRule>
  </conditionalFormatting>
  <conditionalFormatting sqref="E15">
    <cfRule type="expression" priority="27" dxfId="8">
      <formula>AND($B15&lt;&gt;"",E15&gt;C15+D15)</formula>
    </cfRule>
  </conditionalFormatting>
  <conditionalFormatting sqref="J15">
    <cfRule type="expression" priority="28" dxfId="14">
      <formula>AND($B15&lt;&gt;"",J15&lt;0)</formula>
    </cfRule>
    <cfRule type="expression" priority="29" dxfId="15">
      <formula>AND($B15&lt;&gt;"",J15&gt;0)</formula>
    </cfRule>
  </conditionalFormatting>
  <conditionalFormatting sqref="E16">
    <cfRule type="expression" priority="30" dxfId="8">
      <formula>AND($B16&lt;&gt;"",E16&gt;C16+D16)</formula>
    </cfRule>
  </conditionalFormatting>
  <conditionalFormatting sqref="J16">
    <cfRule type="expression" priority="31" dxfId="14">
      <formula>AND($B16&lt;&gt;"",J16&lt;0)</formula>
    </cfRule>
    <cfRule type="expression" priority="32" dxfId="15">
      <formula>AND($B16&lt;&gt;"",J16&gt;0)</formula>
    </cfRule>
  </conditionalFormatting>
  <conditionalFormatting sqref="E17">
    <cfRule type="expression" priority="33" dxfId="8">
      <formula>AND($B17&lt;&gt;"",E17&gt;C17+D17)</formula>
    </cfRule>
  </conditionalFormatting>
  <conditionalFormatting sqref="J17">
    <cfRule type="expression" priority="34" dxfId="14">
      <formula>AND($B17&lt;&gt;"",J17&lt;0)</formula>
    </cfRule>
    <cfRule type="expression" priority="35" dxfId="15">
      <formula>AND($B17&lt;&gt;"",J17&gt;0)</formula>
    </cfRule>
  </conditionalFormatting>
  <conditionalFormatting sqref="E18">
    <cfRule type="expression" priority="36" dxfId="8">
      <formula>AND($B18&lt;&gt;"",E18&gt;C18+D18)</formula>
    </cfRule>
  </conditionalFormatting>
  <conditionalFormatting sqref="J18">
    <cfRule type="expression" priority="37" dxfId="14">
      <formula>AND($B18&lt;&gt;"",J18&lt;0)</formula>
    </cfRule>
    <cfRule type="expression" priority="38" dxfId="15">
      <formula>AND($B18&lt;&gt;"",J18&gt;0)</formula>
    </cfRule>
  </conditionalFormatting>
  <conditionalFormatting sqref="E19">
    <cfRule type="expression" priority="39" dxfId="8">
      <formula>AND($B19&lt;&gt;"",E19&gt;C19+D19)</formula>
    </cfRule>
  </conditionalFormatting>
  <conditionalFormatting sqref="J19">
    <cfRule type="expression" priority="40" dxfId="14">
      <formula>AND($B19&lt;&gt;"",J19&lt;0)</formula>
    </cfRule>
    <cfRule type="expression" priority="41" dxfId="15">
      <formula>AND($B19&lt;&gt;"",J19&gt;0)</formula>
    </cfRule>
  </conditionalFormatting>
  <conditionalFormatting sqref="E20">
    <cfRule type="expression" priority="42" dxfId="8">
      <formula>AND($B20&lt;&gt;"",E20&gt;C20+D20)</formula>
    </cfRule>
  </conditionalFormatting>
  <conditionalFormatting sqref="J20">
    <cfRule type="expression" priority="43" dxfId="14">
      <formula>AND($B20&lt;&gt;"",J20&lt;0)</formula>
    </cfRule>
    <cfRule type="expression" priority="44" dxfId="15">
      <formula>AND($B20&lt;&gt;"",J20&gt;0)</formula>
    </cfRule>
  </conditionalFormatting>
  <conditionalFormatting sqref="E21">
    <cfRule type="expression" priority="45" dxfId="8">
      <formula>AND($B21&lt;&gt;"",E21&gt;C21+D21)</formula>
    </cfRule>
  </conditionalFormatting>
  <conditionalFormatting sqref="J21">
    <cfRule type="expression" priority="46" dxfId="14">
      <formula>AND($B21&lt;&gt;"",J21&lt;0)</formula>
    </cfRule>
    <cfRule type="expression" priority="47" dxfId="15">
      <formula>AND($B21&lt;&gt;"",J21&gt;0)</formula>
    </cfRule>
  </conditionalFormatting>
  <conditionalFormatting sqref="E22">
    <cfRule type="expression" priority="48" dxfId="8">
      <formula>AND($B22&lt;&gt;"",E22&gt;C22+D22)</formula>
    </cfRule>
  </conditionalFormatting>
  <conditionalFormatting sqref="J22">
    <cfRule type="expression" priority="49" dxfId="14">
      <formula>AND($B22&lt;&gt;"",J22&lt;0)</formula>
    </cfRule>
    <cfRule type="expression" priority="50" dxfId="15">
      <formula>AND($B22&lt;&gt;"",J22&gt;0)</formula>
    </cfRule>
  </conditionalFormatting>
  <conditionalFormatting sqref="E23">
    <cfRule type="expression" priority="51" dxfId="8">
      <formula>AND($B23&lt;&gt;"",E23&gt;C23+D23)</formula>
    </cfRule>
  </conditionalFormatting>
  <conditionalFormatting sqref="J23">
    <cfRule type="expression" priority="52" dxfId="14">
      <formula>AND($B23&lt;&gt;"",J23&lt;0)</formula>
    </cfRule>
    <cfRule type="expression" priority="53" dxfId="15">
      <formula>AND($B23&lt;&gt;"",J23&gt;0)</formula>
    </cfRule>
  </conditionalFormatting>
  <conditionalFormatting sqref="E24">
    <cfRule type="expression" priority="54" dxfId="8">
      <formula>AND($B24&lt;&gt;"",E24&gt;C24+D24)</formula>
    </cfRule>
  </conditionalFormatting>
  <conditionalFormatting sqref="J24">
    <cfRule type="expression" priority="55" dxfId="14">
      <formula>AND($B24&lt;&gt;"",J24&lt;0)</formula>
    </cfRule>
    <cfRule type="expression" priority="56" dxfId="15">
      <formula>AND($B24&lt;&gt;"",J24&gt;0)</formula>
    </cfRule>
  </conditionalFormatting>
  <conditionalFormatting sqref="E25">
    <cfRule type="expression" priority="57" dxfId="8">
      <formula>AND($B25&lt;&gt;"",E25&gt;C25+D25)</formula>
    </cfRule>
  </conditionalFormatting>
  <conditionalFormatting sqref="J25">
    <cfRule type="expression" priority="58" dxfId="14">
      <formula>AND($B25&lt;&gt;"",J25&lt;0)</formula>
    </cfRule>
    <cfRule type="expression" priority="59" dxfId="15">
      <formula>AND($B25&lt;&gt;"",J25&gt;0)</formula>
    </cfRule>
  </conditionalFormatting>
  <conditionalFormatting sqref="E26">
    <cfRule type="expression" priority="60" dxfId="8">
      <formula>AND($B26&lt;&gt;"",E26&gt;C26+D26)</formula>
    </cfRule>
  </conditionalFormatting>
  <conditionalFormatting sqref="J26">
    <cfRule type="expression" priority="61" dxfId="14">
      <formula>AND($B26&lt;&gt;"",J26&lt;0)</formula>
    </cfRule>
    <cfRule type="expression" priority="62" dxfId="15">
      <formula>AND($B26&lt;&gt;"",J26&gt;0)</formula>
    </cfRule>
  </conditionalFormatting>
  <conditionalFormatting sqref="K7:K26">
    <cfRule type="expression" priority="63" dxfId="8">
      <formula>ISNUMBER(SEARCH("オーバー",K7))</formula>
    </cfRule>
    <cfRule type="expression" priority="64" dxfId="13">
      <formula>ISNUMBER(SEARCH("調整中",K7))</formula>
    </cfRule>
    <cfRule type="expression" priority="65" dxfId="16">
      <formula>ISNUMBER(SEARCH("融通内",K7))</formula>
    </cfRule>
  </conditionalFormatting>
  <printOptions horizontalCentered="1"/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T11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5" customWidth="1" min="3" max="3"/>
    <col width="13" customWidth="1" min="4" max="4"/>
    <col width="5" customWidth="1" min="5" max="5"/>
    <col width="13" customWidth="1" min="6" max="6"/>
    <col width="5" customWidth="1" min="7" max="7"/>
    <col width="13" customWidth="1" min="8" max="8"/>
    <col width="5" customWidth="1" min="9" max="9"/>
    <col width="13" customWidth="1" min="10" max="10"/>
    <col width="5" customWidth="1" min="11" max="11"/>
    <col width="13" customWidth="1" min="12" max="12"/>
    <col width="5" customWidth="1" min="13" max="13"/>
    <col width="13" customWidth="1" min="14" max="14"/>
    <col width="5" customWidth="1" min="15" max="15"/>
    <col width="13" customWidth="1" min="16" max="16"/>
    <col width="5" customWidth="1" min="17" max="17"/>
    <col width="13" customWidth="1" min="18" max="18"/>
    <col width="5" customWidth="1" min="19" max="19"/>
    <col width="13" customWidth="1" min="20" max="20"/>
  </cols>
  <sheetData>
    <row r="1">
      <c r="A1" s="1">
        <f>設定!B3&amp;"　全"&amp;設定!B4&amp;"担当者および児童名簿"&amp;IF(計算用!$B$1=0,"（仮・前年度の組）","")</f>
        <v/>
      </c>
    </row>
    <row r="3">
      <c r="A3" s="10">
        <f>IF(設定!$P$8="","",設定!$P$8&amp;"（"&amp;定員チェック!$F$7&amp;"名）")</f>
        <v/>
      </c>
      <c r="B3" s="16" t="n"/>
      <c r="C3" s="10">
        <f>IF(設定!$P$9="","",設定!$P$9&amp;"（"&amp;定員チェック!$F$8&amp;"名）")</f>
        <v/>
      </c>
      <c r="D3" s="16" t="n"/>
      <c r="E3" s="10">
        <f>IF(設定!$P$10="","",設定!$P$10&amp;"（"&amp;定員チェック!$F$9&amp;"名）")</f>
        <v/>
      </c>
      <c r="F3" s="16" t="n"/>
      <c r="G3" s="10">
        <f>IF(設定!$P$11="","",設定!$P$11&amp;"（"&amp;定員チェック!$F$10&amp;"名）")</f>
        <v/>
      </c>
      <c r="H3" s="16" t="n"/>
      <c r="I3" s="10">
        <f>IF(設定!$P$12="","",設定!$P$12&amp;"（"&amp;定員チェック!$F$11&amp;"名）")</f>
        <v/>
      </c>
      <c r="J3" s="16" t="n"/>
      <c r="K3" s="10">
        <f>IF(設定!$P$13="","",設定!$P$13&amp;"（"&amp;定員チェック!$F$12&amp;"名）")</f>
        <v/>
      </c>
      <c r="L3" s="16" t="n"/>
      <c r="M3" s="10">
        <f>IF(設定!$P$14="","",設定!$P$14&amp;"（"&amp;定員チェック!$F$13&amp;"名）")</f>
        <v/>
      </c>
      <c r="N3" s="16" t="n"/>
      <c r="O3" s="10">
        <f>IF(設定!$P$15="","",設定!$P$15&amp;"（"&amp;定員チェック!$F$14&amp;"名）")</f>
        <v/>
      </c>
      <c r="P3" s="16" t="n"/>
      <c r="Q3" s="10">
        <f>IF(設定!$P$16="","",設定!$P$16&amp;"（"&amp;定員チェック!$F$15&amp;"名）")</f>
        <v/>
      </c>
      <c r="R3" s="16" t="n"/>
      <c r="S3" s="10">
        <f>IF(設定!$P$17="","",設定!$P$17&amp;"（"&amp;定員チェック!$F$16&amp;"名）")</f>
        <v/>
      </c>
      <c r="T3" s="16" t="n"/>
    </row>
    <row r="4">
      <c r="A4" s="56">
        <f>IF(設定!$P$8="","","担当："&amp;設定!$S$8)</f>
        <v/>
      </c>
      <c r="B4" s="16" t="n"/>
      <c r="C4" s="56">
        <f>IF(設定!$P$9="","","担当："&amp;設定!$S$9)</f>
        <v/>
      </c>
      <c r="D4" s="16" t="n"/>
      <c r="E4" s="56">
        <f>IF(設定!$P$10="","","担当："&amp;設定!$S$10)</f>
        <v/>
      </c>
      <c r="F4" s="16" t="n"/>
      <c r="G4" s="56">
        <f>IF(設定!$P$11="","","担当："&amp;設定!$S$11)</f>
        <v/>
      </c>
      <c r="H4" s="16" t="n"/>
      <c r="I4" s="56">
        <f>IF(設定!$P$12="","","担当："&amp;設定!$S$12)</f>
        <v/>
      </c>
      <c r="J4" s="16" t="n"/>
      <c r="K4" s="56">
        <f>IF(設定!$P$13="","","担当："&amp;設定!$S$13)</f>
        <v/>
      </c>
      <c r="L4" s="16" t="n"/>
      <c r="M4" s="56">
        <f>IF(設定!$P$14="","","担当："&amp;設定!$S$14)</f>
        <v/>
      </c>
      <c r="N4" s="16" t="n"/>
      <c r="O4" s="56">
        <f>IF(設定!$P$15="","","担当："&amp;設定!$S$15)</f>
        <v/>
      </c>
      <c r="P4" s="16" t="n"/>
      <c r="Q4" s="56">
        <f>IF(設定!$P$16="","","担当："&amp;設定!$S$16)</f>
        <v/>
      </c>
      <c r="R4" s="16" t="n"/>
      <c r="S4" s="56">
        <f>IF(設定!$P$17="","","担当："&amp;設定!$S$17)</f>
        <v/>
      </c>
      <c r="T4" s="16" t="n"/>
    </row>
    <row r="5">
      <c r="A5" s="56">
        <f>IF(設定!$P$8="","","場所："&amp;設定!$T$8)</f>
        <v/>
      </c>
      <c r="B5" s="16" t="n"/>
      <c r="C5" s="56">
        <f>IF(設定!$P$9="","","場所："&amp;設定!$T$9)</f>
        <v/>
      </c>
      <c r="D5" s="16" t="n"/>
      <c r="E5" s="56">
        <f>IF(設定!$P$10="","","場所："&amp;設定!$T$10)</f>
        <v/>
      </c>
      <c r="F5" s="16" t="n"/>
      <c r="G5" s="56">
        <f>IF(設定!$P$11="","","場所："&amp;設定!$T$11)</f>
        <v/>
      </c>
      <c r="H5" s="16" t="n"/>
      <c r="I5" s="56">
        <f>IF(設定!$P$12="","","場所："&amp;設定!$T$12)</f>
        <v/>
      </c>
      <c r="J5" s="16" t="n"/>
      <c r="K5" s="56">
        <f>IF(設定!$P$13="","","場所："&amp;設定!$T$13)</f>
        <v/>
      </c>
      <c r="L5" s="16" t="n"/>
      <c r="M5" s="56">
        <f>IF(設定!$P$14="","","場所："&amp;設定!$T$14)</f>
        <v/>
      </c>
      <c r="N5" s="16" t="n"/>
      <c r="O5" s="56">
        <f>IF(設定!$P$15="","","場所："&amp;設定!$T$15)</f>
        <v/>
      </c>
      <c r="P5" s="16" t="n"/>
      <c r="Q5" s="56">
        <f>IF(設定!$P$16="","","場所："&amp;設定!$T$16)</f>
        <v/>
      </c>
      <c r="R5" s="16" t="n"/>
      <c r="S5" s="56">
        <f>IF(設定!$P$17="","","場所："&amp;設定!$T$17)</f>
        <v/>
      </c>
      <c r="T5" s="16" t="n"/>
    </row>
    <row r="6">
      <c r="A6" s="10" t="inlineStr">
        <is>
          <t>組</t>
        </is>
      </c>
      <c r="B6" s="10" t="inlineStr">
        <is>
          <t>名前</t>
        </is>
      </c>
      <c r="C6" s="10" t="inlineStr">
        <is>
          <t>組</t>
        </is>
      </c>
      <c r="D6" s="10" t="inlineStr">
        <is>
          <t>名前</t>
        </is>
      </c>
      <c r="E6" s="10" t="inlineStr">
        <is>
          <t>組</t>
        </is>
      </c>
      <c r="F6" s="10" t="inlineStr">
        <is>
          <t>名前</t>
        </is>
      </c>
      <c r="G6" s="10" t="inlineStr">
        <is>
          <t>組</t>
        </is>
      </c>
      <c r="H6" s="10" t="inlineStr">
        <is>
          <t>名前</t>
        </is>
      </c>
      <c r="I6" s="10" t="inlineStr">
        <is>
          <t>組</t>
        </is>
      </c>
      <c r="J6" s="10" t="inlineStr">
        <is>
          <t>名前</t>
        </is>
      </c>
      <c r="K6" s="10" t="inlineStr">
        <is>
          <t>組</t>
        </is>
      </c>
      <c r="L6" s="10" t="inlineStr">
        <is>
          <t>名前</t>
        </is>
      </c>
      <c r="M6" s="10" t="inlineStr">
        <is>
          <t>組</t>
        </is>
      </c>
      <c r="N6" s="10" t="inlineStr">
        <is>
          <t>名前</t>
        </is>
      </c>
      <c r="O6" s="10" t="inlineStr">
        <is>
          <t>組</t>
        </is>
      </c>
      <c r="P6" s="10" t="inlineStr">
        <is>
          <t>名前</t>
        </is>
      </c>
      <c r="Q6" s="10" t="inlineStr">
        <is>
          <t>組</t>
        </is>
      </c>
      <c r="R6" s="10" t="inlineStr">
        <is>
          <t>名前</t>
        </is>
      </c>
      <c r="S6" s="10" t="inlineStr">
        <is>
          <t>組</t>
        </is>
      </c>
      <c r="T6" s="10" t="inlineStr">
        <is>
          <t>名前</t>
        </is>
      </c>
    </row>
    <row r="7">
      <c r="A7" s="56">
        <f>IF(計算用!$J$3="","",IF(計算用!$B$1=1,INDEX(計算用!$F$3:$F$452,計算用!$J$3),INDEX(振り分け!$B$7:$B$456,計算用!$J$3)))</f>
        <v/>
      </c>
      <c r="B7" s="57">
        <f>IF(計算用!$J$3="","",IF(計算用!$B$1=1,INDEX(計算用!$H$3:$H$452,計算用!$J$3),INDEX(振り分け!$D$7:$D$456,計算用!$J$3)))</f>
        <v/>
      </c>
      <c r="C7" s="56">
        <f>IF(計算用!$K$3="","",IF(計算用!$B$1=1,INDEX(計算用!$F$3:$F$452,計算用!$K$3),INDEX(振り分け!$B$7:$B$456,計算用!$K$3)))</f>
        <v/>
      </c>
      <c r="D7" s="57">
        <f>IF(計算用!$K$3="","",IF(計算用!$B$1=1,INDEX(計算用!$H$3:$H$452,計算用!$K$3),INDEX(振り分け!$D$7:$D$456,計算用!$K$3)))</f>
        <v/>
      </c>
      <c r="E7" s="56">
        <f>IF(計算用!$L$3="","",IF(計算用!$B$1=1,INDEX(計算用!$F$3:$F$452,計算用!$L$3),INDEX(振り分け!$B$7:$B$456,計算用!$L$3)))</f>
        <v/>
      </c>
      <c r="F7" s="57">
        <f>IF(計算用!$L$3="","",IF(計算用!$B$1=1,INDEX(計算用!$H$3:$H$452,計算用!$L$3),INDEX(振り分け!$D$7:$D$456,計算用!$L$3)))</f>
        <v/>
      </c>
      <c r="G7" s="56">
        <f>IF(計算用!$M$3="","",IF(計算用!$B$1=1,INDEX(計算用!$F$3:$F$452,計算用!$M$3),INDEX(振り分け!$B$7:$B$456,計算用!$M$3)))</f>
        <v/>
      </c>
      <c r="H7" s="57">
        <f>IF(計算用!$M$3="","",IF(計算用!$B$1=1,INDEX(計算用!$H$3:$H$452,計算用!$M$3),INDEX(振り分け!$D$7:$D$456,計算用!$M$3)))</f>
        <v/>
      </c>
      <c r="I7" s="56">
        <f>IF(計算用!$N$3="","",IF(計算用!$B$1=1,INDEX(計算用!$F$3:$F$452,計算用!$N$3),INDEX(振り分け!$B$7:$B$456,計算用!$N$3)))</f>
        <v/>
      </c>
      <c r="J7" s="57">
        <f>IF(計算用!$N$3="","",IF(計算用!$B$1=1,INDEX(計算用!$H$3:$H$452,計算用!$N$3),INDEX(振り分け!$D$7:$D$456,計算用!$N$3)))</f>
        <v/>
      </c>
      <c r="K7" s="56">
        <f>IF(計算用!$O$3="","",IF(計算用!$B$1=1,INDEX(計算用!$F$3:$F$452,計算用!$O$3),INDEX(振り分け!$B$7:$B$456,計算用!$O$3)))</f>
        <v/>
      </c>
      <c r="L7" s="57">
        <f>IF(計算用!$O$3="","",IF(計算用!$B$1=1,INDEX(計算用!$H$3:$H$452,計算用!$O$3),INDEX(振り分け!$D$7:$D$456,計算用!$O$3)))</f>
        <v/>
      </c>
      <c r="M7" s="56">
        <f>IF(計算用!$P$3="","",IF(計算用!$B$1=1,INDEX(計算用!$F$3:$F$452,計算用!$P$3),INDEX(振り分け!$B$7:$B$456,計算用!$P$3)))</f>
        <v/>
      </c>
      <c r="N7" s="57">
        <f>IF(計算用!$P$3="","",IF(計算用!$B$1=1,INDEX(計算用!$H$3:$H$452,計算用!$P$3),INDEX(振り分け!$D$7:$D$456,計算用!$P$3)))</f>
        <v/>
      </c>
      <c r="O7" s="56">
        <f>IF(計算用!$Q$3="","",IF(計算用!$B$1=1,INDEX(計算用!$F$3:$F$452,計算用!$Q$3),INDEX(振り分け!$B$7:$B$456,計算用!$Q$3)))</f>
        <v/>
      </c>
      <c r="P7" s="57">
        <f>IF(計算用!$Q$3="","",IF(計算用!$B$1=1,INDEX(計算用!$H$3:$H$452,計算用!$Q$3),INDEX(振り分け!$D$7:$D$456,計算用!$Q$3)))</f>
        <v/>
      </c>
      <c r="Q7" s="56">
        <f>IF(計算用!$R$3="","",IF(計算用!$B$1=1,INDEX(計算用!$F$3:$F$452,計算用!$R$3),INDEX(振り分け!$B$7:$B$456,計算用!$R$3)))</f>
        <v/>
      </c>
      <c r="R7" s="57">
        <f>IF(計算用!$R$3="","",IF(計算用!$B$1=1,INDEX(計算用!$H$3:$H$452,計算用!$R$3),INDEX(振り分け!$D$7:$D$456,計算用!$R$3)))</f>
        <v/>
      </c>
      <c r="S7" s="56">
        <f>IF(計算用!$S$3="","",IF(計算用!$B$1=1,INDEX(計算用!$F$3:$F$452,計算用!$S$3),INDEX(振り分け!$B$7:$B$456,計算用!$S$3)))</f>
        <v/>
      </c>
      <c r="T7" s="57">
        <f>IF(計算用!$S$3="","",IF(計算用!$B$1=1,INDEX(計算用!$H$3:$H$452,計算用!$S$3),INDEX(振り分け!$D$7:$D$456,計算用!$S$3)))</f>
        <v/>
      </c>
    </row>
    <row r="8">
      <c r="A8" s="56">
        <f>IF(計算用!$J$4="","",IF(計算用!$B$1=1,INDEX(計算用!$F$3:$F$452,計算用!$J$4),INDEX(振り分け!$B$7:$B$456,計算用!$J$4)))</f>
        <v/>
      </c>
      <c r="B8" s="57">
        <f>IF(計算用!$J$4="","",IF(計算用!$B$1=1,INDEX(計算用!$H$3:$H$452,計算用!$J$4),INDEX(振り分け!$D$7:$D$456,計算用!$J$4)))</f>
        <v/>
      </c>
      <c r="C8" s="56">
        <f>IF(計算用!$K$4="","",IF(計算用!$B$1=1,INDEX(計算用!$F$3:$F$452,計算用!$K$4),INDEX(振り分け!$B$7:$B$456,計算用!$K$4)))</f>
        <v/>
      </c>
      <c r="D8" s="57">
        <f>IF(計算用!$K$4="","",IF(計算用!$B$1=1,INDEX(計算用!$H$3:$H$452,計算用!$K$4),INDEX(振り分け!$D$7:$D$456,計算用!$K$4)))</f>
        <v/>
      </c>
      <c r="E8" s="56">
        <f>IF(計算用!$L$4="","",IF(計算用!$B$1=1,INDEX(計算用!$F$3:$F$452,計算用!$L$4),INDEX(振り分け!$B$7:$B$456,計算用!$L$4)))</f>
        <v/>
      </c>
      <c r="F8" s="57">
        <f>IF(計算用!$L$4="","",IF(計算用!$B$1=1,INDEX(計算用!$H$3:$H$452,計算用!$L$4),INDEX(振り分け!$D$7:$D$456,計算用!$L$4)))</f>
        <v/>
      </c>
      <c r="G8" s="56">
        <f>IF(計算用!$M$4="","",IF(計算用!$B$1=1,INDEX(計算用!$F$3:$F$452,計算用!$M$4),INDEX(振り分け!$B$7:$B$456,計算用!$M$4)))</f>
        <v/>
      </c>
      <c r="H8" s="57">
        <f>IF(計算用!$M$4="","",IF(計算用!$B$1=1,INDEX(計算用!$H$3:$H$452,計算用!$M$4),INDEX(振り分け!$D$7:$D$456,計算用!$M$4)))</f>
        <v/>
      </c>
      <c r="I8" s="56">
        <f>IF(計算用!$N$4="","",IF(計算用!$B$1=1,INDEX(計算用!$F$3:$F$452,計算用!$N$4),INDEX(振り分け!$B$7:$B$456,計算用!$N$4)))</f>
        <v/>
      </c>
      <c r="J8" s="57">
        <f>IF(計算用!$N$4="","",IF(計算用!$B$1=1,INDEX(計算用!$H$3:$H$452,計算用!$N$4),INDEX(振り分け!$D$7:$D$456,計算用!$N$4)))</f>
        <v/>
      </c>
      <c r="K8" s="56">
        <f>IF(計算用!$O$4="","",IF(計算用!$B$1=1,INDEX(計算用!$F$3:$F$452,計算用!$O$4),INDEX(振り分け!$B$7:$B$456,計算用!$O$4)))</f>
        <v/>
      </c>
      <c r="L8" s="57">
        <f>IF(計算用!$O$4="","",IF(計算用!$B$1=1,INDEX(計算用!$H$3:$H$452,計算用!$O$4),INDEX(振り分け!$D$7:$D$456,計算用!$O$4)))</f>
        <v/>
      </c>
      <c r="M8" s="56">
        <f>IF(計算用!$P$4="","",IF(計算用!$B$1=1,INDEX(計算用!$F$3:$F$452,計算用!$P$4),INDEX(振り分け!$B$7:$B$456,計算用!$P$4)))</f>
        <v/>
      </c>
      <c r="N8" s="57">
        <f>IF(計算用!$P$4="","",IF(計算用!$B$1=1,INDEX(計算用!$H$3:$H$452,計算用!$P$4),INDEX(振り分け!$D$7:$D$456,計算用!$P$4)))</f>
        <v/>
      </c>
      <c r="O8" s="56">
        <f>IF(計算用!$Q$4="","",IF(計算用!$B$1=1,INDEX(計算用!$F$3:$F$452,計算用!$Q$4),INDEX(振り分け!$B$7:$B$456,計算用!$Q$4)))</f>
        <v/>
      </c>
      <c r="P8" s="57">
        <f>IF(計算用!$Q$4="","",IF(計算用!$B$1=1,INDEX(計算用!$H$3:$H$452,計算用!$Q$4),INDEX(振り分け!$D$7:$D$456,計算用!$Q$4)))</f>
        <v/>
      </c>
      <c r="Q8" s="56">
        <f>IF(計算用!$R$4="","",IF(計算用!$B$1=1,INDEX(計算用!$F$3:$F$452,計算用!$R$4),INDEX(振り分け!$B$7:$B$456,計算用!$R$4)))</f>
        <v/>
      </c>
      <c r="R8" s="57">
        <f>IF(計算用!$R$4="","",IF(計算用!$B$1=1,INDEX(計算用!$H$3:$H$452,計算用!$R$4),INDEX(振り分け!$D$7:$D$456,計算用!$R$4)))</f>
        <v/>
      </c>
      <c r="S8" s="56">
        <f>IF(計算用!$S$4="","",IF(計算用!$B$1=1,INDEX(計算用!$F$3:$F$452,計算用!$S$4),INDEX(振り分け!$B$7:$B$456,計算用!$S$4)))</f>
        <v/>
      </c>
      <c r="T8" s="57">
        <f>IF(計算用!$S$4="","",IF(計算用!$B$1=1,INDEX(計算用!$H$3:$H$452,計算用!$S$4),INDEX(振り分け!$D$7:$D$456,計算用!$S$4)))</f>
        <v/>
      </c>
    </row>
    <row r="9">
      <c r="A9" s="56">
        <f>IF(計算用!$J$5="","",IF(計算用!$B$1=1,INDEX(計算用!$F$3:$F$452,計算用!$J$5),INDEX(振り分け!$B$7:$B$456,計算用!$J$5)))</f>
        <v/>
      </c>
      <c r="B9" s="57">
        <f>IF(計算用!$J$5="","",IF(計算用!$B$1=1,INDEX(計算用!$H$3:$H$452,計算用!$J$5),INDEX(振り分け!$D$7:$D$456,計算用!$J$5)))</f>
        <v/>
      </c>
      <c r="C9" s="56">
        <f>IF(計算用!$K$5="","",IF(計算用!$B$1=1,INDEX(計算用!$F$3:$F$452,計算用!$K$5),INDEX(振り分け!$B$7:$B$456,計算用!$K$5)))</f>
        <v/>
      </c>
      <c r="D9" s="57">
        <f>IF(計算用!$K$5="","",IF(計算用!$B$1=1,INDEX(計算用!$H$3:$H$452,計算用!$K$5),INDEX(振り分け!$D$7:$D$456,計算用!$K$5)))</f>
        <v/>
      </c>
      <c r="E9" s="56">
        <f>IF(計算用!$L$5="","",IF(計算用!$B$1=1,INDEX(計算用!$F$3:$F$452,計算用!$L$5),INDEX(振り分け!$B$7:$B$456,計算用!$L$5)))</f>
        <v/>
      </c>
      <c r="F9" s="57">
        <f>IF(計算用!$L$5="","",IF(計算用!$B$1=1,INDEX(計算用!$H$3:$H$452,計算用!$L$5),INDEX(振り分け!$D$7:$D$456,計算用!$L$5)))</f>
        <v/>
      </c>
      <c r="G9" s="56">
        <f>IF(計算用!$M$5="","",IF(計算用!$B$1=1,INDEX(計算用!$F$3:$F$452,計算用!$M$5),INDEX(振り分け!$B$7:$B$456,計算用!$M$5)))</f>
        <v/>
      </c>
      <c r="H9" s="57">
        <f>IF(計算用!$M$5="","",IF(計算用!$B$1=1,INDEX(計算用!$H$3:$H$452,計算用!$M$5),INDEX(振り分け!$D$7:$D$456,計算用!$M$5)))</f>
        <v/>
      </c>
      <c r="I9" s="56">
        <f>IF(計算用!$N$5="","",IF(計算用!$B$1=1,INDEX(計算用!$F$3:$F$452,計算用!$N$5),INDEX(振り分け!$B$7:$B$456,計算用!$N$5)))</f>
        <v/>
      </c>
      <c r="J9" s="57">
        <f>IF(計算用!$N$5="","",IF(計算用!$B$1=1,INDEX(計算用!$H$3:$H$452,計算用!$N$5),INDEX(振り分け!$D$7:$D$456,計算用!$N$5)))</f>
        <v/>
      </c>
      <c r="K9" s="56">
        <f>IF(計算用!$O$5="","",IF(計算用!$B$1=1,INDEX(計算用!$F$3:$F$452,計算用!$O$5),INDEX(振り分け!$B$7:$B$456,計算用!$O$5)))</f>
        <v/>
      </c>
      <c r="L9" s="57">
        <f>IF(計算用!$O$5="","",IF(計算用!$B$1=1,INDEX(計算用!$H$3:$H$452,計算用!$O$5),INDEX(振り分け!$D$7:$D$456,計算用!$O$5)))</f>
        <v/>
      </c>
      <c r="M9" s="56">
        <f>IF(計算用!$P$5="","",IF(計算用!$B$1=1,INDEX(計算用!$F$3:$F$452,計算用!$P$5),INDEX(振り分け!$B$7:$B$456,計算用!$P$5)))</f>
        <v/>
      </c>
      <c r="N9" s="57">
        <f>IF(計算用!$P$5="","",IF(計算用!$B$1=1,INDEX(計算用!$H$3:$H$452,計算用!$P$5),INDEX(振り分け!$D$7:$D$456,計算用!$P$5)))</f>
        <v/>
      </c>
      <c r="O9" s="56">
        <f>IF(計算用!$Q$5="","",IF(計算用!$B$1=1,INDEX(計算用!$F$3:$F$452,計算用!$Q$5),INDEX(振り分け!$B$7:$B$456,計算用!$Q$5)))</f>
        <v/>
      </c>
      <c r="P9" s="57">
        <f>IF(計算用!$Q$5="","",IF(計算用!$B$1=1,INDEX(計算用!$H$3:$H$452,計算用!$Q$5),INDEX(振り分け!$D$7:$D$456,計算用!$Q$5)))</f>
        <v/>
      </c>
      <c r="Q9" s="56">
        <f>IF(計算用!$R$5="","",IF(計算用!$B$1=1,INDEX(計算用!$F$3:$F$452,計算用!$R$5),INDEX(振り分け!$B$7:$B$456,計算用!$R$5)))</f>
        <v/>
      </c>
      <c r="R9" s="57">
        <f>IF(計算用!$R$5="","",IF(計算用!$B$1=1,INDEX(計算用!$H$3:$H$452,計算用!$R$5),INDEX(振り分け!$D$7:$D$456,計算用!$R$5)))</f>
        <v/>
      </c>
      <c r="S9" s="56">
        <f>IF(計算用!$S$5="","",IF(計算用!$B$1=1,INDEX(計算用!$F$3:$F$452,計算用!$S$5),INDEX(振り分け!$B$7:$B$456,計算用!$S$5)))</f>
        <v/>
      </c>
      <c r="T9" s="57">
        <f>IF(計算用!$S$5="","",IF(計算用!$B$1=1,INDEX(計算用!$H$3:$H$452,計算用!$S$5),INDEX(振り分け!$D$7:$D$456,計算用!$S$5)))</f>
        <v/>
      </c>
    </row>
    <row r="10">
      <c r="A10" s="56">
        <f>IF(計算用!$J$6="","",IF(計算用!$B$1=1,INDEX(計算用!$F$3:$F$452,計算用!$J$6),INDEX(振り分け!$B$7:$B$456,計算用!$J$6)))</f>
        <v/>
      </c>
      <c r="B10" s="57">
        <f>IF(計算用!$J$6="","",IF(計算用!$B$1=1,INDEX(計算用!$H$3:$H$452,計算用!$J$6),INDEX(振り分け!$D$7:$D$456,計算用!$J$6)))</f>
        <v/>
      </c>
      <c r="C10" s="56">
        <f>IF(計算用!$K$6="","",IF(計算用!$B$1=1,INDEX(計算用!$F$3:$F$452,計算用!$K$6),INDEX(振り分け!$B$7:$B$456,計算用!$K$6)))</f>
        <v/>
      </c>
      <c r="D10" s="57">
        <f>IF(計算用!$K$6="","",IF(計算用!$B$1=1,INDEX(計算用!$H$3:$H$452,計算用!$K$6),INDEX(振り分け!$D$7:$D$456,計算用!$K$6)))</f>
        <v/>
      </c>
      <c r="E10" s="56">
        <f>IF(計算用!$L$6="","",IF(計算用!$B$1=1,INDEX(計算用!$F$3:$F$452,計算用!$L$6),INDEX(振り分け!$B$7:$B$456,計算用!$L$6)))</f>
        <v/>
      </c>
      <c r="F10" s="57">
        <f>IF(計算用!$L$6="","",IF(計算用!$B$1=1,INDEX(計算用!$H$3:$H$452,計算用!$L$6),INDEX(振り分け!$D$7:$D$456,計算用!$L$6)))</f>
        <v/>
      </c>
      <c r="G10" s="56">
        <f>IF(計算用!$M$6="","",IF(計算用!$B$1=1,INDEX(計算用!$F$3:$F$452,計算用!$M$6),INDEX(振り分け!$B$7:$B$456,計算用!$M$6)))</f>
        <v/>
      </c>
      <c r="H10" s="57">
        <f>IF(計算用!$M$6="","",IF(計算用!$B$1=1,INDEX(計算用!$H$3:$H$452,計算用!$M$6),INDEX(振り分け!$D$7:$D$456,計算用!$M$6)))</f>
        <v/>
      </c>
      <c r="I10" s="56">
        <f>IF(計算用!$N$6="","",IF(計算用!$B$1=1,INDEX(計算用!$F$3:$F$452,計算用!$N$6),INDEX(振り分け!$B$7:$B$456,計算用!$N$6)))</f>
        <v/>
      </c>
      <c r="J10" s="57">
        <f>IF(計算用!$N$6="","",IF(計算用!$B$1=1,INDEX(計算用!$H$3:$H$452,計算用!$N$6),INDEX(振り分け!$D$7:$D$456,計算用!$N$6)))</f>
        <v/>
      </c>
      <c r="K10" s="56">
        <f>IF(計算用!$O$6="","",IF(計算用!$B$1=1,INDEX(計算用!$F$3:$F$452,計算用!$O$6),INDEX(振り分け!$B$7:$B$456,計算用!$O$6)))</f>
        <v/>
      </c>
      <c r="L10" s="57">
        <f>IF(計算用!$O$6="","",IF(計算用!$B$1=1,INDEX(計算用!$H$3:$H$452,計算用!$O$6),INDEX(振り分け!$D$7:$D$456,計算用!$O$6)))</f>
        <v/>
      </c>
      <c r="M10" s="56">
        <f>IF(計算用!$P$6="","",IF(計算用!$B$1=1,INDEX(計算用!$F$3:$F$452,計算用!$P$6),INDEX(振り分け!$B$7:$B$456,計算用!$P$6)))</f>
        <v/>
      </c>
      <c r="N10" s="57">
        <f>IF(計算用!$P$6="","",IF(計算用!$B$1=1,INDEX(計算用!$H$3:$H$452,計算用!$P$6),INDEX(振り分け!$D$7:$D$456,計算用!$P$6)))</f>
        <v/>
      </c>
      <c r="O10" s="56">
        <f>IF(計算用!$Q$6="","",IF(計算用!$B$1=1,INDEX(計算用!$F$3:$F$452,計算用!$Q$6),INDEX(振り分け!$B$7:$B$456,計算用!$Q$6)))</f>
        <v/>
      </c>
      <c r="P10" s="57">
        <f>IF(計算用!$Q$6="","",IF(計算用!$B$1=1,INDEX(計算用!$H$3:$H$452,計算用!$Q$6),INDEX(振り分け!$D$7:$D$456,計算用!$Q$6)))</f>
        <v/>
      </c>
      <c r="Q10" s="56">
        <f>IF(計算用!$R$6="","",IF(計算用!$B$1=1,INDEX(計算用!$F$3:$F$452,計算用!$R$6),INDEX(振り分け!$B$7:$B$456,計算用!$R$6)))</f>
        <v/>
      </c>
      <c r="R10" s="57">
        <f>IF(計算用!$R$6="","",IF(計算用!$B$1=1,INDEX(計算用!$H$3:$H$452,計算用!$R$6),INDEX(振り分け!$D$7:$D$456,計算用!$R$6)))</f>
        <v/>
      </c>
      <c r="S10" s="56">
        <f>IF(計算用!$S$6="","",IF(計算用!$B$1=1,INDEX(計算用!$F$3:$F$452,計算用!$S$6),INDEX(振り分け!$B$7:$B$456,計算用!$S$6)))</f>
        <v/>
      </c>
      <c r="T10" s="57">
        <f>IF(計算用!$S$6="","",IF(計算用!$B$1=1,INDEX(計算用!$H$3:$H$452,計算用!$S$6),INDEX(振り分け!$D$7:$D$456,計算用!$S$6)))</f>
        <v/>
      </c>
    </row>
    <row r="11">
      <c r="A11" s="56">
        <f>IF(計算用!$J$7="","",IF(計算用!$B$1=1,INDEX(計算用!$F$3:$F$452,計算用!$J$7),INDEX(振り分け!$B$7:$B$456,計算用!$J$7)))</f>
        <v/>
      </c>
      <c r="B11" s="57">
        <f>IF(計算用!$J$7="","",IF(計算用!$B$1=1,INDEX(計算用!$H$3:$H$452,計算用!$J$7),INDEX(振り分け!$D$7:$D$456,計算用!$J$7)))</f>
        <v/>
      </c>
      <c r="C11" s="56">
        <f>IF(計算用!$K$7="","",IF(計算用!$B$1=1,INDEX(計算用!$F$3:$F$452,計算用!$K$7),INDEX(振り分け!$B$7:$B$456,計算用!$K$7)))</f>
        <v/>
      </c>
      <c r="D11" s="57">
        <f>IF(計算用!$K$7="","",IF(計算用!$B$1=1,INDEX(計算用!$H$3:$H$452,計算用!$K$7),INDEX(振り分け!$D$7:$D$456,計算用!$K$7)))</f>
        <v/>
      </c>
      <c r="E11" s="56">
        <f>IF(計算用!$L$7="","",IF(計算用!$B$1=1,INDEX(計算用!$F$3:$F$452,計算用!$L$7),INDEX(振り分け!$B$7:$B$456,計算用!$L$7)))</f>
        <v/>
      </c>
      <c r="F11" s="57">
        <f>IF(計算用!$L$7="","",IF(計算用!$B$1=1,INDEX(計算用!$H$3:$H$452,計算用!$L$7),INDEX(振り分け!$D$7:$D$456,計算用!$L$7)))</f>
        <v/>
      </c>
      <c r="G11" s="56">
        <f>IF(計算用!$M$7="","",IF(計算用!$B$1=1,INDEX(計算用!$F$3:$F$452,計算用!$M$7),INDEX(振り分け!$B$7:$B$456,計算用!$M$7)))</f>
        <v/>
      </c>
      <c r="H11" s="57">
        <f>IF(計算用!$M$7="","",IF(計算用!$B$1=1,INDEX(計算用!$H$3:$H$452,計算用!$M$7),INDEX(振り分け!$D$7:$D$456,計算用!$M$7)))</f>
        <v/>
      </c>
      <c r="I11" s="56">
        <f>IF(計算用!$N$7="","",IF(計算用!$B$1=1,INDEX(計算用!$F$3:$F$452,計算用!$N$7),INDEX(振り分け!$B$7:$B$456,計算用!$N$7)))</f>
        <v/>
      </c>
      <c r="J11" s="57">
        <f>IF(計算用!$N$7="","",IF(計算用!$B$1=1,INDEX(計算用!$H$3:$H$452,計算用!$N$7),INDEX(振り分け!$D$7:$D$456,計算用!$N$7)))</f>
        <v/>
      </c>
      <c r="K11" s="56">
        <f>IF(計算用!$O$7="","",IF(計算用!$B$1=1,INDEX(計算用!$F$3:$F$452,計算用!$O$7),INDEX(振り分け!$B$7:$B$456,計算用!$O$7)))</f>
        <v/>
      </c>
      <c r="L11" s="57">
        <f>IF(計算用!$O$7="","",IF(計算用!$B$1=1,INDEX(計算用!$H$3:$H$452,計算用!$O$7),INDEX(振り分け!$D$7:$D$456,計算用!$O$7)))</f>
        <v/>
      </c>
      <c r="M11" s="56">
        <f>IF(計算用!$P$7="","",IF(計算用!$B$1=1,INDEX(計算用!$F$3:$F$452,計算用!$P$7),INDEX(振り分け!$B$7:$B$456,計算用!$P$7)))</f>
        <v/>
      </c>
      <c r="N11" s="57">
        <f>IF(計算用!$P$7="","",IF(計算用!$B$1=1,INDEX(計算用!$H$3:$H$452,計算用!$P$7),INDEX(振り分け!$D$7:$D$456,計算用!$P$7)))</f>
        <v/>
      </c>
      <c r="O11" s="56">
        <f>IF(計算用!$Q$7="","",IF(計算用!$B$1=1,INDEX(計算用!$F$3:$F$452,計算用!$Q$7),INDEX(振り分け!$B$7:$B$456,計算用!$Q$7)))</f>
        <v/>
      </c>
      <c r="P11" s="57">
        <f>IF(計算用!$Q$7="","",IF(計算用!$B$1=1,INDEX(計算用!$H$3:$H$452,計算用!$Q$7),INDEX(振り分け!$D$7:$D$456,計算用!$Q$7)))</f>
        <v/>
      </c>
      <c r="Q11" s="56">
        <f>IF(計算用!$R$7="","",IF(計算用!$B$1=1,INDEX(計算用!$F$3:$F$452,計算用!$R$7),INDEX(振り分け!$B$7:$B$456,計算用!$R$7)))</f>
        <v/>
      </c>
      <c r="R11" s="57">
        <f>IF(計算用!$R$7="","",IF(計算用!$B$1=1,INDEX(計算用!$H$3:$H$452,計算用!$R$7),INDEX(振り分け!$D$7:$D$456,計算用!$R$7)))</f>
        <v/>
      </c>
      <c r="S11" s="56">
        <f>IF(計算用!$S$7="","",IF(計算用!$B$1=1,INDEX(計算用!$F$3:$F$452,計算用!$S$7),INDEX(振り分け!$B$7:$B$456,計算用!$S$7)))</f>
        <v/>
      </c>
      <c r="T11" s="57">
        <f>IF(計算用!$S$7="","",IF(計算用!$B$1=1,INDEX(計算用!$H$3:$H$452,計算用!$S$7),INDEX(振り分け!$D$7:$D$456,計算用!$S$7)))</f>
        <v/>
      </c>
    </row>
    <row r="12">
      <c r="A12" s="56">
        <f>IF(計算用!$J$8="","",IF(計算用!$B$1=1,INDEX(計算用!$F$3:$F$452,計算用!$J$8),INDEX(振り分け!$B$7:$B$456,計算用!$J$8)))</f>
        <v/>
      </c>
      <c r="B12" s="57">
        <f>IF(計算用!$J$8="","",IF(計算用!$B$1=1,INDEX(計算用!$H$3:$H$452,計算用!$J$8),INDEX(振り分け!$D$7:$D$456,計算用!$J$8)))</f>
        <v/>
      </c>
      <c r="C12" s="56">
        <f>IF(計算用!$K$8="","",IF(計算用!$B$1=1,INDEX(計算用!$F$3:$F$452,計算用!$K$8),INDEX(振り分け!$B$7:$B$456,計算用!$K$8)))</f>
        <v/>
      </c>
      <c r="D12" s="57">
        <f>IF(計算用!$K$8="","",IF(計算用!$B$1=1,INDEX(計算用!$H$3:$H$452,計算用!$K$8),INDEX(振り分け!$D$7:$D$456,計算用!$K$8)))</f>
        <v/>
      </c>
      <c r="E12" s="56">
        <f>IF(計算用!$L$8="","",IF(計算用!$B$1=1,INDEX(計算用!$F$3:$F$452,計算用!$L$8),INDEX(振り分け!$B$7:$B$456,計算用!$L$8)))</f>
        <v/>
      </c>
      <c r="F12" s="57">
        <f>IF(計算用!$L$8="","",IF(計算用!$B$1=1,INDEX(計算用!$H$3:$H$452,計算用!$L$8),INDEX(振り分け!$D$7:$D$456,計算用!$L$8)))</f>
        <v/>
      </c>
      <c r="G12" s="56">
        <f>IF(計算用!$M$8="","",IF(計算用!$B$1=1,INDEX(計算用!$F$3:$F$452,計算用!$M$8),INDEX(振り分け!$B$7:$B$456,計算用!$M$8)))</f>
        <v/>
      </c>
      <c r="H12" s="57">
        <f>IF(計算用!$M$8="","",IF(計算用!$B$1=1,INDEX(計算用!$H$3:$H$452,計算用!$M$8),INDEX(振り分け!$D$7:$D$456,計算用!$M$8)))</f>
        <v/>
      </c>
      <c r="I12" s="56">
        <f>IF(計算用!$N$8="","",IF(計算用!$B$1=1,INDEX(計算用!$F$3:$F$452,計算用!$N$8),INDEX(振り分け!$B$7:$B$456,計算用!$N$8)))</f>
        <v/>
      </c>
      <c r="J12" s="57">
        <f>IF(計算用!$N$8="","",IF(計算用!$B$1=1,INDEX(計算用!$H$3:$H$452,計算用!$N$8),INDEX(振り分け!$D$7:$D$456,計算用!$N$8)))</f>
        <v/>
      </c>
      <c r="K12" s="56">
        <f>IF(計算用!$O$8="","",IF(計算用!$B$1=1,INDEX(計算用!$F$3:$F$452,計算用!$O$8),INDEX(振り分け!$B$7:$B$456,計算用!$O$8)))</f>
        <v/>
      </c>
      <c r="L12" s="57">
        <f>IF(計算用!$O$8="","",IF(計算用!$B$1=1,INDEX(計算用!$H$3:$H$452,計算用!$O$8),INDEX(振り分け!$D$7:$D$456,計算用!$O$8)))</f>
        <v/>
      </c>
      <c r="M12" s="56">
        <f>IF(計算用!$P$8="","",IF(計算用!$B$1=1,INDEX(計算用!$F$3:$F$452,計算用!$P$8),INDEX(振り分け!$B$7:$B$456,計算用!$P$8)))</f>
        <v/>
      </c>
      <c r="N12" s="57">
        <f>IF(計算用!$P$8="","",IF(計算用!$B$1=1,INDEX(計算用!$H$3:$H$452,計算用!$P$8),INDEX(振り分け!$D$7:$D$456,計算用!$P$8)))</f>
        <v/>
      </c>
      <c r="O12" s="56">
        <f>IF(計算用!$Q$8="","",IF(計算用!$B$1=1,INDEX(計算用!$F$3:$F$452,計算用!$Q$8),INDEX(振り分け!$B$7:$B$456,計算用!$Q$8)))</f>
        <v/>
      </c>
      <c r="P12" s="57">
        <f>IF(計算用!$Q$8="","",IF(計算用!$B$1=1,INDEX(計算用!$H$3:$H$452,計算用!$Q$8),INDEX(振り分け!$D$7:$D$456,計算用!$Q$8)))</f>
        <v/>
      </c>
      <c r="Q12" s="56">
        <f>IF(計算用!$R$8="","",IF(計算用!$B$1=1,INDEX(計算用!$F$3:$F$452,計算用!$R$8),INDEX(振り分け!$B$7:$B$456,計算用!$R$8)))</f>
        <v/>
      </c>
      <c r="R12" s="57">
        <f>IF(計算用!$R$8="","",IF(計算用!$B$1=1,INDEX(計算用!$H$3:$H$452,計算用!$R$8),INDEX(振り分け!$D$7:$D$456,計算用!$R$8)))</f>
        <v/>
      </c>
      <c r="S12" s="56">
        <f>IF(計算用!$S$8="","",IF(計算用!$B$1=1,INDEX(計算用!$F$3:$F$452,計算用!$S$8),INDEX(振り分け!$B$7:$B$456,計算用!$S$8)))</f>
        <v/>
      </c>
      <c r="T12" s="57">
        <f>IF(計算用!$S$8="","",IF(計算用!$B$1=1,INDEX(計算用!$H$3:$H$452,計算用!$S$8),INDEX(振り分け!$D$7:$D$456,計算用!$S$8)))</f>
        <v/>
      </c>
    </row>
    <row r="13">
      <c r="A13" s="56">
        <f>IF(計算用!$J$9="","",IF(計算用!$B$1=1,INDEX(計算用!$F$3:$F$452,計算用!$J$9),INDEX(振り分け!$B$7:$B$456,計算用!$J$9)))</f>
        <v/>
      </c>
      <c r="B13" s="57">
        <f>IF(計算用!$J$9="","",IF(計算用!$B$1=1,INDEX(計算用!$H$3:$H$452,計算用!$J$9),INDEX(振り分け!$D$7:$D$456,計算用!$J$9)))</f>
        <v/>
      </c>
      <c r="C13" s="56">
        <f>IF(計算用!$K$9="","",IF(計算用!$B$1=1,INDEX(計算用!$F$3:$F$452,計算用!$K$9),INDEX(振り分け!$B$7:$B$456,計算用!$K$9)))</f>
        <v/>
      </c>
      <c r="D13" s="57">
        <f>IF(計算用!$K$9="","",IF(計算用!$B$1=1,INDEX(計算用!$H$3:$H$452,計算用!$K$9),INDEX(振り分け!$D$7:$D$456,計算用!$K$9)))</f>
        <v/>
      </c>
      <c r="E13" s="56">
        <f>IF(計算用!$L$9="","",IF(計算用!$B$1=1,INDEX(計算用!$F$3:$F$452,計算用!$L$9),INDEX(振り分け!$B$7:$B$456,計算用!$L$9)))</f>
        <v/>
      </c>
      <c r="F13" s="57">
        <f>IF(計算用!$L$9="","",IF(計算用!$B$1=1,INDEX(計算用!$H$3:$H$452,計算用!$L$9),INDEX(振り分け!$D$7:$D$456,計算用!$L$9)))</f>
        <v/>
      </c>
      <c r="G13" s="56">
        <f>IF(計算用!$M$9="","",IF(計算用!$B$1=1,INDEX(計算用!$F$3:$F$452,計算用!$M$9),INDEX(振り分け!$B$7:$B$456,計算用!$M$9)))</f>
        <v/>
      </c>
      <c r="H13" s="57">
        <f>IF(計算用!$M$9="","",IF(計算用!$B$1=1,INDEX(計算用!$H$3:$H$452,計算用!$M$9),INDEX(振り分け!$D$7:$D$456,計算用!$M$9)))</f>
        <v/>
      </c>
      <c r="I13" s="56">
        <f>IF(計算用!$N$9="","",IF(計算用!$B$1=1,INDEX(計算用!$F$3:$F$452,計算用!$N$9),INDEX(振り分け!$B$7:$B$456,計算用!$N$9)))</f>
        <v/>
      </c>
      <c r="J13" s="57">
        <f>IF(計算用!$N$9="","",IF(計算用!$B$1=1,INDEX(計算用!$H$3:$H$452,計算用!$N$9),INDEX(振り分け!$D$7:$D$456,計算用!$N$9)))</f>
        <v/>
      </c>
      <c r="K13" s="56">
        <f>IF(計算用!$O$9="","",IF(計算用!$B$1=1,INDEX(計算用!$F$3:$F$452,計算用!$O$9),INDEX(振り分け!$B$7:$B$456,計算用!$O$9)))</f>
        <v/>
      </c>
      <c r="L13" s="57">
        <f>IF(計算用!$O$9="","",IF(計算用!$B$1=1,INDEX(計算用!$H$3:$H$452,計算用!$O$9),INDEX(振り分け!$D$7:$D$456,計算用!$O$9)))</f>
        <v/>
      </c>
      <c r="M13" s="56">
        <f>IF(計算用!$P$9="","",IF(計算用!$B$1=1,INDEX(計算用!$F$3:$F$452,計算用!$P$9),INDEX(振り分け!$B$7:$B$456,計算用!$P$9)))</f>
        <v/>
      </c>
      <c r="N13" s="57">
        <f>IF(計算用!$P$9="","",IF(計算用!$B$1=1,INDEX(計算用!$H$3:$H$452,計算用!$P$9),INDEX(振り分け!$D$7:$D$456,計算用!$P$9)))</f>
        <v/>
      </c>
      <c r="O13" s="56">
        <f>IF(計算用!$Q$9="","",IF(計算用!$B$1=1,INDEX(計算用!$F$3:$F$452,計算用!$Q$9),INDEX(振り分け!$B$7:$B$456,計算用!$Q$9)))</f>
        <v/>
      </c>
      <c r="P13" s="57">
        <f>IF(計算用!$Q$9="","",IF(計算用!$B$1=1,INDEX(計算用!$H$3:$H$452,計算用!$Q$9),INDEX(振り分け!$D$7:$D$456,計算用!$Q$9)))</f>
        <v/>
      </c>
      <c r="Q13" s="56">
        <f>IF(計算用!$R$9="","",IF(計算用!$B$1=1,INDEX(計算用!$F$3:$F$452,計算用!$R$9),INDEX(振り分け!$B$7:$B$456,計算用!$R$9)))</f>
        <v/>
      </c>
      <c r="R13" s="57">
        <f>IF(計算用!$R$9="","",IF(計算用!$B$1=1,INDEX(計算用!$H$3:$H$452,計算用!$R$9),INDEX(振り分け!$D$7:$D$456,計算用!$R$9)))</f>
        <v/>
      </c>
      <c r="S13" s="56">
        <f>IF(計算用!$S$9="","",IF(計算用!$B$1=1,INDEX(計算用!$F$3:$F$452,計算用!$S$9),INDEX(振り分け!$B$7:$B$456,計算用!$S$9)))</f>
        <v/>
      </c>
      <c r="T13" s="57">
        <f>IF(計算用!$S$9="","",IF(計算用!$B$1=1,INDEX(計算用!$H$3:$H$452,計算用!$S$9),INDEX(振り分け!$D$7:$D$456,計算用!$S$9)))</f>
        <v/>
      </c>
    </row>
    <row r="14">
      <c r="A14" s="56">
        <f>IF(計算用!$J$10="","",IF(計算用!$B$1=1,INDEX(計算用!$F$3:$F$452,計算用!$J$10),INDEX(振り分け!$B$7:$B$456,計算用!$J$10)))</f>
        <v/>
      </c>
      <c r="B14" s="57">
        <f>IF(計算用!$J$10="","",IF(計算用!$B$1=1,INDEX(計算用!$H$3:$H$452,計算用!$J$10),INDEX(振り分け!$D$7:$D$456,計算用!$J$10)))</f>
        <v/>
      </c>
      <c r="C14" s="56">
        <f>IF(計算用!$K$10="","",IF(計算用!$B$1=1,INDEX(計算用!$F$3:$F$452,計算用!$K$10),INDEX(振り分け!$B$7:$B$456,計算用!$K$10)))</f>
        <v/>
      </c>
      <c r="D14" s="57">
        <f>IF(計算用!$K$10="","",IF(計算用!$B$1=1,INDEX(計算用!$H$3:$H$452,計算用!$K$10),INDEX(振り分け!$D$7:$D$456,計算用!$K$10)))</f>
        <v/>
      </c>
      <c r="E14" s="56">
        <f>IF(計算用!$L$10="","",IF(計算用!$B$1=1,INDEX(計算用!$F$3:$F$452,計算用!$L$10),INDEX(振り分け!$B$7:$B$456,計算用!$L$10)))</f>
        <v/>
      </c>
      <c r="F14" s="57">
        <f>IF(計算用!$L$10="","",IF(計算用!$B$1=1,INDEX(計算用!$H$3:$H$452,計算用!$L$10),INDEX(振り分け!$D$7:$D$456,計算用!$L$10)))</f>
        <v/>
      </c>
      <c r="G14" s="56">
        <f>IF(計算用!$M$10="","",IF(計算用!$B$1=1,INDEX(計算用!$F$3:$F$452,計算用!$M$10),INDEX(振り分け!$B$7:$B$456,計算用!$M$10)))</f>
        <v/>
      </c>
      <c r="H14" s="57">
        <f>IF(計算用!$M$10="","",IF(計算用!$B$1=1,INDEX(計算用!$H$3:$H$452,計算用!$M$10),INDEX(振り分け!$D$7:$D$456,計算用!$M$10)))</f>
        <v/>
      </c>
      <c r="I14" s="56">
        <f>IF(計算用!$N$10="","",IF(計算用!$B$1=1,INDEX(計算用!$F$3:$F$452,計算用!$N$10),INDEX(振り分け!$B$7:$B$456,計算用!$N$10)))</f>
        <v/>
      </c>
      <c r="J14" s="57">
        <f>IF(計算用!$N$10="","",IF(計算用!$B$1=1,INDEX(計算用!$H$3:$H$452,計算用!$N$10),INDEX(振り分け!$D$7:$D$456,計算用!$N$10)))</f>
        <v/>
      </c>
      <c r="K14" s="56">
        <f>IF(計算用!$O$10="","",IF(計算用!$B$1=1,INDEX(計算用!$F$3:$F$452,計算用!$O$10),INDEX(振り分け!$B$7:$B$456,計算用!$O$10)))</f>
        <v/>
      </c>
      <c r="L14" s="57">
        <f>IF(計算用!$O$10="","",IF(計算用!$B$1=1,INDEX(計算用!$H$3:$H$452,計算用!$O$10),INDEX(振り分け!$D$7:$D$456,計算用!$O$10)))</f>
        <v/>
      </c>
      <c r="M14" s="56">
        <f>IF(計算用!$P$10="","",IF(計算用!$B$1=1,INDEX(計算用!$F$3:$F$452,計算用!$P$10),INDEX(振り分け!$B$7:$B$456,計算用!$P$10)))</f>
        <v/>
      </c>
      <c r="N14" s="57">
        <f>IF(計算用!$P$10="","",IF(計算用!$B$1=1,INDEX(計算用!$H$3:$H$452,計算用!$P$10),INDEX(振り分け!$D$7:$D$456,計算用!$P$10)))</f>
        <v/>
      </c>
      <c r="O14" s="56">
        <f>IF(計算用!$Q$10="","",IF(計算用!$B$1=1,INDEX(計算用!$F$3:$F$452,計算用!$Q$10),INDEX(振り分け!$B$7:$B$456,計算用!$Q$10)))</f>
        <v/>
      </c>
      <c r="P14" s="57">
        <f>IF(計算用!$Q$10="","",IF(計算用!$B$1=1,INDEX(計算用!$H$3:$H$452,計算用!$Q$10),INDEX(振り分け!$D$7:$D$456,計算用!$Q$10)))</f>
        <v/>
      </c>
      <c r="Q14" s="56">
        <f>IF(計算用!$R$10="","",IF(計算用!$B$1=1,INDEX(計算用!$F$3:$F$452,計算用!$R$10),INDEX(振り分け!$B$7:$B$456,計算用!$R$10)))</f>
        <v/>
      </c>
      <c r="R14" s="57">
        <f>IF(計算用!$R$10="","",IF(計算用!$B$1=1,INDEX(計算用!$H$3:$H$452,計算用!$R$10),INDEX(振り分け!$D$7:$D$456,計算用!$R$10)))</f>
        <v/>
      </c>
      <c r="S14" s="56">
        <f>IF(計算用!$S$10="","",IF(計算用!$B$1=1,INDEX(計算用!$F$3:$F$452,計算用!$S$10),INDEX(振り分け!$B$7:$B$456,計算用!$S$10)))</f>
        <v/>
      </c>
      <c r="T14" s="57">
        <f>IF(計算用!$S$10="","",IF(計算用!$B$1=1,INDEX(計算用!$H$3:$H$452,計算用!$S$10),INDEX(振り分け!$D$7:$D$456,計算用!$S$10)))</f>
        <v/>
      </c>
    </row>
    <row r="15">
      <c r="A15" s="56">
        <f>IF(計算用!$J$11="","",IF(計算用!$B$1=1,INDEX(計算用!$F$3:$F$452,計算用!$J$11),INDEX(振り分け!$B$7:$B$456,計算用!$J$11)))</f>
        <v/>
      </c>
      <c r="B15" s="57">
        <f>IF(計算用!$J$11="","",IF(計算用!$B$1=1,INDEX(計算用!$H$3:$H$452,計算用!$J$11),INDEX(振り分け!$D$7:$D$456,計算用!$J$11)))</f>
        <v/>
      </c>
      <c r="C15" s="56">
        <f>IF(計算用!$K$11="","",IF(計算用!$B$1=1,INDEX(計算用!$F$3:$F$452,計算用!$K$11),INDEX(振り分け!$B$7:$B$456,計算用!$K$11)))</f>
        <v/>
      </c>
      <c r="D15" s="57">
        <f>IF(計算用!$K$11="","",IF(計算用!$B$1=1,INDEX(計算用!$H$3:$H$452,計算用!$K$11),INDEX(振り分け!$D$7:$D$456,計算用!$K$11)))</f>
        <v/>
      </c>
      <c r="E15" s="56">
        <f>IF(計算用!$L$11="","",IF(計算用!$B$1=1,INDEX(計算用!$F$3:$F$452,計算用!$L$11),INDEX(振り分け!$B$7:$B$456,計算用!$L$11)))</f>
        <v/>
      </c>
      <c r="F15" s="57">
        <f>IF(計算用!$L$11="","",IF(計算用!$B$1=1,INDEX(計算用!$H$3:$H$452,計算用!$L$11),INDEX(振り分け!$D$7:$D$456,計算用!$L$11)))</f>
        <v/>
      </c>
      <c r="G15" s="56">
        <f>IF(計算用!$M$11="","",IF(計算用!$B$1=1,INDEX(計算用!$F$3:$F$452,計算用!$M$11),INDEX(振り分け!$B$7:$B$456,計算用!$M$11)))</f>
        <v/>
      </c>
      <c r="H15" s="57">
        <f>IF(計算用!$M$11="","",IF(計算用!$B$1=1,INDEX(計算用!$H$3:$H$452,計算用!$M$11),INDEX(振り分け!$D$7:$D$456,計算用!$M$11)))</f>
        <v/>
      </c>
      <c r="I15" s="56">
        <f>IF(計算用!$N$11="","",IF(計算用!$B$1=1,INDEX(計算用!$F$3:$F$452,計算用!$N$11),INDEX(振り分け!$B$7:$B$456,計算用!$N$11)))</f>
        <v/>
      </c>
      <c r="J15" s="57">
        <f>IF(計算用!$N$11="","",IF(計算用!$B$1=1,INDEX(計算用!$H$3:$H$452,計算用!$N$11),INDEX(振り分け!$D$7:$D$456,計算用!$N$11)))</f>
        <v/>
      </c>
      <c r="K15" s="56">
        <f>IF(計算用!$O$11="","",IF(計算用!$B$1=1,INDEX(計算用!$F$3:$F$452,計算用!$O$11),INDEX(振り分け!$B$7:$B$456,計算用!$O$11)))</f>
        <v/>
      </c>
      <c r="L15" s="57">
        <f>IF(計算用!$O$11="","",IF(計算用!$B$1=1,INDEX(計算用!$H$3:$H$452,計算用!$O$11),INDEX(振り分け!$D$7:$D$456,計算用!$O$11)))</f>
        <v/>
      </c>
      <c r="M15" s="56">
        <f>IF(計算用!$P$11="","",IF(計算用!$B$1=1,INDEX(計算用!$F$3:$F$452,計算用!$P$11),INDEX(振り分け!$B$7:$B$456,計算用!$P$11)))</f>
        <v/>
      </c>
      <c r="N15" s="57">
        <f>IF(計算用!$P$11="","",IF(計算用!$B$1=1,INDEX(計算用!$H$3:$H$452,計算用!$P$11),INDEX(振り分け!$D$7:$D$456,計算用!$P$11)))</f>
        <v/>
      </c>
      <c r="O15" s="56">
        <f>IF(計算用!$Q$11="","",IF(計算用!$B$1=1,INDEX(計算用!$F$3:$F$452,計算用!$Q$11),INDEX(振り分け!$B$7:$B$456,計算用!$Q$11)))</f>
        <v/>
      </c>
      <c r="P15" s="57">
        <f>IF(計算用!$Q$11="","",IF(計算用!$B$1=1,INDEX(計算用!$H$3:$H$452,計算用!$Q$11),INDEX(振り分け!$D$7:$D$456,計算用!$Q$11)))</f>
        <v/>
      </c>
      <c r="Q15" s="56">
        <f>IF(計算用!$R$11="","",IF(計算用!$B$1=1,INDEX(計算用!$F$3:$F$452,計算用!$R$11),INDEX(振り分け!$B$7:$B$456,計算用!$R$11)))</f>
        <v/>
      </c>
      <c r="R15" s="57">
        <f>IF(計算用!$R$11="","",IF(計算用!$B$1=1,INDEX(計算用!$H$3:$H$452,計算用!$R$11),INDEX(振り分け!$D$7:$D$456,計算用!$R$11)))</f>
        <v/>
      </c>
      <c r="S15" s="56">
        <f>IF(計算用!$S$11="","",IF(計算用!$B$1=1,INDEX(計算用!$F$3:$F$452,計算用!$S$11),INDEX(振り分け!$B$7:$B$456,計算用!$S$11)))</f>
        <v/>
      </c>
      <c r="T15" s="57">
        <f>IF(計算用!$S$11="","",IF(計算用!$B$1=1,INDEX(計算用!$H$3:$H$452,計算用!$S$11),INDEX(振り分け!$D$7:$D$456,計算用!$S$11)))</f>
        <v/>
      </c>
    </row>
    <row r="16">
      <c r="A16" s="56">
        <f>IF(計算用!$J$12="","",IF(計算用!$B$1=1,INDEX(計算用!$F$3:$F$452,計算用!$J$12),INDEX(振り分け!$B$7:$B$456,計算用!$J$12)))</f>
        <v/>
      </c>
      <c r="B16" s="57">
        <f>IF(計算用!$J$12="","",IF(計算用!$B$1=1,INDEX(計算用!$H$3:$H$452,計算用!$J$12),INDEX(振り分け!$D$7:$D$456,計算用!$J$12)))</f>
        <v/>
      </c>
      <c r="C16" s="56">
        <f>IF(計算用!$K$12="","",IF(計算用!$B$1=1,INDEX(計算用!$F$3:$F$452,計算用!$K$12),INDEX(振り分け!$B$7:$B$456,計算用!$K$12)))</f>
        <v/>
      </c>
      <c r="D16" s="57">
        <f>IF(計算用!$K$12="","",IF(計算用!$B$1=1,INDEX(計算用!$H$3:$H$452,計算用!$K$12),INDEX(振り分け!$D$7:$D$456,計算用!$K$12)))</f>
        <v/>
      </c>
      <c r="E16" s="56">
        <f>IF(計算用!$L$12="","",IF(計算用!$B$1=1,INDEX(計算用!$F$3:$F$452,計算用!$L$12),INDEX(振り分け!$B$7:$B$456,計算用!$L$12)))</f>
        <v/>
      </c>
      <c r="F16" s="57">
        <f>IF(計算用!$L$12="","",IF(計算用!$B$1=1,INDEX(計算用!$H$3:$H$452,計算用!$L$12),INDEX(振り分け!$D$7:$D$456,計算用!$L$12)))</f>
        <v/>
      </c>
      <c r="G16" s="56">
        <f>IF(計算用!$M$12="","",IF(計算用!$B$1=1,INDEX(計算用!$F$3:$F$452,計算用!$M$12),INDEX(振り分け!$B$7:$B$456,計算用!$M$12)))</f>
        <v/>
      </c>
      <c r="H16" s="57">
        <f>IF(計算用!$M$12="","",IF(計算用!$B$1=1,INDEX(計算用!$H$3:$H$452,計算用!$M$12),INDEX(振り分け!$D$7:$D$456,計算用!$M$12)))</f>
        <v/>
      </c>
      <c r="I16" s="56">
        <f>IF(計算用!$N$12="","",IF(計算用!$B$1=1,INDEX(計算用!$F$3:$F$452,計算用!$N$12),INDEX(振り分け!$B$7:$B$456,計算用!$N$12)))</f>
        <v/>
      </c>
      <c r="J16" s="57">
        <f>IF(計算用!$N$12="","",IF(計算用!$B$1=1,INDEX(計算用!$H$3:$H$452,計算用!$N$12),INDEX(振り分け!$D$7:$D$456,計算用!$N$12)))</f>
        <v/>
      </c>
      <c r="K16" s="56">
        <f>IF(計算用!$O$12="","",IF(計算用!$B$1=1,INDEX(計算用!$F$3:$F$452,計算用!$O$12),INDEX(振り分け!$B$7:$B$456,計算用!$O$12)))</f>
        <v/>
      </c>
      <c r="L16" s="57">
        <f>IF(計算用!$O$12="","",IF(計算用!$B$1=1,INDEX(計算用!$H$3:$H$452,計算用!$O$12),INDEX(振り分け!$D$7:$D$456,計算用!$O$12)))</f>
        <v/>
      </c>
      <c r="M16" s="56">
        <f>IF(計算用!$P$12="","",IF(計算用!$B$1=1,INDEX(計算用!$F$3:$F$452,計算用!$P$12),INDEX(振り分け!$B$7:$B$456,計算用!$P$12)))</f>
        <v/>
      </c>
      <c r="N16" s="57">
        <f>IF(計算用!$P$12="","",IF(計算用!$B$1=1,INDEX(計算用!$H$3:$H$452,計算用!$P$12),INDEX(振り分け!$D$7:$D$456,計算用!$P$12)))</f>
        <v/>
      </c>
      <c r="O16" s="56">
        <f>IF(計算用!$Q$12="","",IF(計算用!$B$1=1,INDEX(計算用!$F$3:$F$452,計算用!$Q$12),INDEX(振り分け!$B$7:$B$456,計算用!$Q$12)))</f>
        <v/>
      </c>
      <c r="P16" s="57">
        <f>IF(計算用!$Q$12="","",IF(計算用!$B$1=1,INDEX(計算用!$H$3:$H$452,計算用!$Q$12),INDEX(振り分け!$D$7:$D$456,計算用!$Q$12)))</f>
        <v/>
      </c>
      <c r="Q16" s="56">
        <f>IF(計算用!$R$12="","",IF(計算用!$B$1=1,INDEX(計算用!$F$3:$F$452,計算用!$R$12),INDEX(振り分け!$B$7:$B$456,計算用!$R$12)))</f>
        <v/>
      </c>
      <c r="R16" s="57">
        <f>IF(計算用!$R$12="","",IF(計算用!$B$1=1,INDEX(計算用!$H$3:$H$452,計算用!$R$12),INDEX(振り分け!$D$7:$D$456,計算用!$R$12)))</f>
        <v/>
      </c>
      <c r="S16" s="56">
        <f>IF(計算用!$S$12="","",IF(計算用!$B$1=1,INDEX(計算用!$F$3:$F$452,計算用!$S$12),INDEX(振り分け!$B$7:$B$456,計算用!$S$12)))</f>
        <v/>
      </c>
      <c r="T16" s="57">
        <f>IF(計算用!$S$12="","",IF(計算用!$B$1=1,INDEX(計算用!$H$3:$H$452,計算用!$S$12),INDEX(振り分け!$D$7:$D$456,計算用!$S$12)))</f>
        <v/>
      </c>
    </row>
    <row r="17">
      <c r="A17" s="56">
        <f>IF(計算用!$J$13="","",IF(計算用!$B$1=1,INDEX(計算用!$F$3:$F$452,計算用!$J$13),INDEX(振り分け!$B$7:$B$456,計算用!$J$13)))</f>
        <v/>
      </c>
      <c r="B17" s="57">
        <f>IF(計算用!$J$13="","",IF(計算用!$B$1=1,INDEX(計算用!$H$3:$H$452,計算用!$J$13),INDEX(振り分け!$D$7:$D$456,計算用!$J$13)))</f>
        <v/>
      </c>
      <c r="C17" s="56">
        <f>IF(計算用!$K$13="","",IF(計算用!$B$1=1,INDEX(計算用!$F$3:$F$452,計算用!$K$13),INDEX(振り分け!$B$7:$B$456,計算用!$K$13)))</f>
        <v/>
      </c>
      <c r="D17" s="57">
        <f>IF(計算用!$K$13="","",IF(計算用!$B$1=1,INDEX(計算用!$H$3:$H$452,計算用!$K$13),INDEX(振り分け!$D$7:$D$456,計算用!$K$13)))</f>
        <v/>
      </c>
      <c r="E17" s="56">
        <f>IF(計算用!$L$13="","",IF(計算用!$B$1=1,INDEX(計算用!$F$3:$F$452,計算用!$L$13),INDEX(振り分け!$B$7:$B$456,計算用!$L$13)))</f>
        <v/>
      </c>
      <c r="F17" s="57">
        <f>IF(計算用!$L$13="","",IF(計算用!$B$1=1,INDEX(計算用!$H$3:$H$452,計算用!$L$13),INDEX(振り分け!$D$7:$D$456,計算用!$L$13)))</f>
        <v/>
      </c>
      <c r="G17" s="56">
        <f>IF(計算用!$M$13="","",IF(計算用!$B$1=1,INDEX(計算用!$F$3:$F$452,計算用!$M$13),INDEX(振り分け!$B$7:$B$456,計算用!$M$13)))</f>
        <v/>
      </c>
      <c r="H17" s="57">
        <f>IF(計算用!$M$13="","",IF(計算用!$B$1=1,INDEX(計算用!$H$3:$H$452,計算用!$M$13),INDEX(振り分け!$D$7:$D$456,計算用!$M$13)))</f>
        <v/>
      </c>
      <c r="I17" s="56">
        <f>IF(計算用!$N$13="","",IF(計算用!$B$1=1,INDEX(計算用!$F$3:$F$452,計算用!$N$13),INDEX(振り分け!$B$7:$B$456,計算用!$N$13)))</f>
        <v/>
      </c>
      <c r="J17" s="57">
        <f>IF(計算用!$N$13="","",IF(計算用!$B$1=1,INDEX(計算用!$H$3:$H$452,計算用!$N$13),INDEX(振り分け!$D$7:$D$456,計算用!$N$13)))</f>
        <v/>
      </c>
      <c r="K17" s="56">
        <f>IF(計算用!$O$13="","",IF(計算用!$B$1=1,INDEX(計算用!$F$3:$F$452,計算用!$O$13),INDEX(振り分け!$B$7:$B$456,計算用!$O$13)))</f>
        <v/>
      </c>
      <c r="L17" s="57">
        <f>IF(計算用!$O$13="","",IF(計算用!$B$1=1,INDEX(計算用!$H$3:$H$452,計算用!$O$13),INDEX(振り分け!$D$7:$D$456,計算用!$O$13)))</f>
        <v/>
      </c>
      <c r="M17" s="56">
        <f>IF(計算用!$P$13="","",IF(計算用!$B$1=1,INDEX(計算用!$F$3:$F$452,計算用!$P$13),INDEX(振り分け!$B$7:$B$456,計算用!$P$13)))</f>
        <v/>
      </c>
      <c r="N17" s="57">
        <f>IF(計算用!$P$13="","",IF(計算用!$B$1=1,INDEX(計算用!$H$3:$H$452,計算用!$P$13),INDEX(振り分け!$D$7:$D$456,計算用!$P$13)))</f>
        <v/>
      </c>
      <c r="O17" s="56">
        <f>IF(計算用!$Q$13="","",IF(計算用!$B$1=1,INDEX(計算用!$F$3:$F$452,計算用!$Q$13),INDEX(振り分け!$B$7:$B$456,計算用!$Q$13)))</f>
        <v/>
      </c>
      <c r="P17" s="57">
        <f>IF(計算用!$Q$13="","",IF(計算用!$B$1=1,INDEX(計算用!$H$3:$H$452,計算用!$Q$13),INDEX(振り分け!$D$7:$D$456,計算用!$Q$13)))</f>
        <v/>
      </c>
      <c r="Q17" s="56">
        <f>IF(計算用!$R$13="","",IF(計算用!$B$1=1,INDEX(計算用!$F$3:$F$452,計算用!$R$13),INDEX(振り分け!$B$7:$B$456,計算用!$R$13)))</f>
        <v/>
      </c>
      <c r="R17" s="57">
        <f>IF(計算用!$R$13="","",IF(計算用!$B$1=1,INDEX(計算用!$H$3:$H$452,計算用!$R$13),INDEX(振り分け!$D$7:$D$456,計算用!$R$13)))</f>
        <v/>
      </c>
      <c r="S17" s="56">
        <f>IF(計算用!$S$13="","",IF(計算用!$B$1=1,INDEX(計算用!$F$3:$F$452,計算用!$S$13),INDEX(振り分け!$B$7:$B$456,計算用!$S$13)))</f>
        <v/>
      </c>
      <c r="T17" s="57">
        <f>IF(計算用!$S$13="","",IF(計算用!$B$1=1,INDEX(計算用!$H$3:$H$452,計算用!$S$13),INDEX(振り分け!$D$7:$D$456,計算用!$S$13)))</f>
        <v/>
      </c>
    </row>
    <row r="18">
      <c r="A18" s="56">
        <f>IF(計算用!$J$14="","",IF(計算用!$B$1=1,INDEX(計算用!$F$3:$F$452,計算用!$J$14),INDEX(振り分け!$B$7:$B$456,計算用!$J$14)))</f>
        <v/>
      </c>
      <c r="B18" s="57">
        <f>IF(計算用!$J$14="","",IF(計算用!$B$1=1,INDEX(計算用!$H$3:$H$452,計算用!$J$14),INDEX(振り分け!$D$7:$D$456,計算用!$J$14)))</f>
        <v/>
      </c>
      <c r="C18" s="56">
        <f>IF(計算用!$K$14="","",IF(計算用!$B$1=1,INDEX(計算用!$F$3:$F$452,計算用!$K$14),INDEX(振り分け!$B$7:$B$456,計算用!$K$14)))</f>
        <v/>
      </c>
      <c r="D18" s="57">
        <f>IF(計算用!$K$14="","",IF(計算用!$B$1=1,INDEX(計算用!$H$3:$H$452,計算用!$K$14),INDEX(振り分け!$D$7:$D$456,計算用!$K$14)))</f>
        <v/>
      </c>
      <c r="E18" s="56">
        <f>IF(計算用!$L$14="","",IF(計算用!$B$1=1,INDEX(計算用!$F$3:$F$452,計算用!$L$14),INDEX(振り分け!$B$7:$B$456,計算用!$L$14)))</f>
        <v/>
      </c>
      <c r="F18" s="57">
        <f>IF(計算用!$L$14="","",IF(計算用!$B$1=1,INDEX(計算用!$H$3:$H$452,計算用!$L$14),INDEX(振り分け!$D$7:$D$456,計算用!$L$14)))</f>
        <v/>
      </c>
      <c r="G18" s="56">
        <f>IF(計算用!$M$14="","",IF(計算用!$B$1=1,INDEX(計算用!$F$3:$F$452,計算用!$M$14),INDEX(振り分け!$B$7:$B$456,計算用!$M$14)))</f>
        <v/>
      </c>
      <c r="H18" s="57">
        <f>IF(計算用!$M$14="","",IF(計算用!$B$1=1,INDEX(計算用!$H$3:$H$452,計算用!$M$14),INDEX(振り分け!$D$7:$D$456,計算用!$M$14)))</f>
        <v/>
      </c>
      <c r="I18" s="56">
        <f>IF(計算用!$N$14="","",IF(計算用!$B$1=1,INDEX(計算用!$F$3:$F$452,計算用!$N$14),INDEX(振り分け!$B$7:$B$456,計算用!$N$14)))</f>
        <v/>
      </c>
      <c r="J18" s="57">
        <f>IF(計算用!$N$14="","",IF(計算用!$B$1=1,INDEX(計算用!$H$3:$H$452,計算用!$N$14),INDEX(振り分け!$D$7:$D$456,計算用!$N$14)))</f>
        <v/>
      </c>
      <c r="K18" s="56">
        <f>IF(計算用!$O$14="","",IF(計算用!$B$1=1,INDEX(計算用!$F$3:$F$452,計算用!$O$14),INDEX(振り分け!$B$7:$B$456,計算用!$O$14)))</f>
        <v/>
      </c>
      <c r="L18" s="57">
        <f>IF(計算用!$O$14="","",IF(計算用!$B$1=1,INDEX(計算用!$H$3:$H$452,計算用!$O$14),INDEX(振り分け!$D$7:$D$456,計算用!$O$14)))</f>
        <v/>
      </c>
      <c r="M18" s="56">
        <f>IF(計算用!$P$14="","",IF(計算用!$B$1=1,INDEX(計算用!$F$3:$F$452,計算用!$P$14),INDEX(振り分け!$B$7:$B$456,計算用!$P$14)))</f>
        <v/>
      </c>
      <c r="N18" s="57">
        <f>IF(計算用!$P$14="","",IF(計算用!$B$1=1,INDEX(計算用!$H$3:$H$452,計算用!$P$14),INDEX(振り分け!$D$7:$D$456,計算用!$P$14)))</f>
        <v/>
      </c>
      <c r="O18" s="56">
        <f>IF(計算用!$Q$14="","",IF(計算用!$B$1=1,INDEX(計算用!$F$3:$F$452,計算用!$Q$14),INDEX(振り分け!$B$7:$B$456,計算用!$Q$14)))</f>
        <v/>
      </c>
      <c r="P18" s="57">
        <f>IF(計算用!$Q$14="","",IF(計算用!$B$1=1,INDEX(計算用!$H$3:$H$452,計算用!$Q$14),INDEX(振り分け!$D$7:$D$456,計算用!$Q$14)))</f>
        <v/>
      </c>
      <c r="Q18" s="56">
        <f>IF(計算用!$R$14="","",IF(計算用!$B$1=1,INDEX(計算用!$F$3:$F$452,計算用!$R$14),INDEX(振り分け!$B$7:$B$456,計算用!$R$14)))</f>
        <v/>
      </c>
      <c r="R18" s="57">
        <f>IF(計算用!$R$14="","",IF(計算用!$B$1=1,INDEX(計算用!$H$3:$H$452,計算用!$R$14),INDEX(振り分け!$D$7:$D$456,計算用!$R$14)))</f>
        <v/>
      </c>
      <c r="S18" s="56">
        <f>IF(計算用!$S$14="","",IF(計算用!$B$1=1,INDEX(計算用!$F$3:$F$452,計算用!$S$14),INDEX(振り分け!$B$7:$B$456,計算用!$S$14)))</f>
        <v/>
      </c>
      <c r="T18" s="57">
        <f>IF(計算用!$S$14="","",IF(計算用!$B$1=1,INDEX(計算用!$H$3:$H$452,計算用!$S$14),INDEX(振り分け!$D$7:$D$456,計算用!$S$14)))</f>
        <v/>
      </c>
    </row>
    <row r="19">
      <c r="A19" s="56">
        <f>IF(計算用!$J$15="","",IF(計算用!$B$1=1,INDEX(計算用!$F$3:$F$452,計算用!$J$15),INDEX(振り分け!$B$7:$B$456,計算用!$J$15)))</f>
        <v/>
      </c>
      <c r="B19" s="57">
        <f>IF(計算用!$J$15="","",IF(計算用!$B$1=1,INDEX(計算用!$H$3:$H$452,計算用!$J$15),INDEX(振り分け!$D$7:$D$456,計算用!$J$15)))</f>
        <v/>
      </c>
      <c r="C19" s="56">
        <f>IF(計算用!$K$15="","",IF(計算用!$B$1=1,INDEX(計算用!$F$3:$F$452,計算用!$K$15),INDEX(振り分け!$B$7:$B$456,計算用!$K$15)))</f>
        <v/>
      </c>
      <c r="D19" s="57">
        <f>IF(計算用!$K$15="","",IF(計算用!$B$1=1,INDEX(計算用!$H$3:$H$452,計算用!$K$15),INDEX(振り分け!$D$7:$D$456,計算用!$K$15)))</f>
        <v/>
      </c>
      <c r="E19" s="56">
        <f>IF(計算用!$L$15="","",IF(計算用!$B$1=1,INDEX(計算用!$F$3:$F$452,計算用!$L$15),INDEX(振り分け!$B$7:$B$456,計算用!$L$15)))</f>
        <v/>
      </c>
      <c r="F19" s="57">
        <f>IF(計算用!$L$15="","",IF(計算用!$B$1=1,INDEX(計算用!$H$3:$H$452,計算用!$L$15),INDEX(振り分け!$D$7:$D$456,計算用!$L$15)))</f>
        <v/>
      </c>
      <c r="G19" s="56">
        <f>IF(計算用!$M$15="","",IF(計算用!$B$1=1,INDEX(計算用!$F$3:$F$452,計算用!$M$15),INDEX(振り分け!$B$7:$B$456,計算用!$M$15)))</f>
        <v/>
      </c>
      <c r="H19" s="57">
        <f>IF(計算用!$M$15="","",IF(計算用!$B$1=1,INDEX(計算用!$H$3:$H$452,計算用!$M$15),INDEX(振り分け!$D$7:$D$456,計算用!$M$15)))</f>
        <v/>
      </c>
      <c r="I19" s="56">
        <f>IF(計算用!$N$15="","",IF(計算用!$B$1=1,INDEX(計算用!$F$3:$F$452,計算用!$N$15),INDEX(振り分け!$B$7:$B$456,計算用!$N$15)))</f>
        <v/>
      </c>
      <c r="J19" s="57">
        <f>IF(計算用!$N$15="","",IF(計算用!$B$1=1,INDEX(計算用!$H$3:$H$452,計算用!$N$15),INDEX(振り分け!$D$7:$D$456,計算用!$N$15)))</f>
        <v/>
      </c>
      <c r="K19" s="56">
        <f>IF(計算用!$O$15="","",IF(計算用!$B$1=1,INDEX(計算用!$F$3:$F$452,計算用!$O$15),INDEX(振り分け!$B$7:$B$456,計算用!$O$15)))</f>
        <v/>
      </c>
      <c r="L19" s="57">
        <f>IF(計算用!$O$15="","",IF(計算用!$B$1=1,INDEX(計算用!$H$3:$H$452,計算用!$O$15),INDEX(振り分け!$D$7:$D$456,計算用!$O$15)))</f>
        <v/>
      </c>
      <c r="M19" s="56">
        <f>IF(計算用!$P$15="","",IF(計算用!$B$1=1,INDEX(計算用!$F$3:$F$452,計算用!$P$15),INDEX(振り分け!$B$7:$B$456,計算用!$P$15)))</f>
        <v/>
      </c>
      <c r="N19" s="57">
        <f>IF(計算用!$P$15="","",IF(計算用!$B$1=1,INDEX(計算用!$H$3:$H$452,計算用!$P$15),INDEX(振り分け!$D$7:$D$456,計算用!$P$15)))</f>
        <v/>
      </c>
      <c r="O19" s="56">
        <f>IF(計算用!$Q$15="","",IF(計算用!$B$1=1,INDEX(計算用!$F$3:$F$452,計算用!$Q$15),INDEX(振り分け!$B$7:$B$456,計算用!$Q$15)))</f>
        <v/>
      </c>
      <c r="P19" s="57">
        <f>IF(計算用!$Q$15="","",IF(計算用!$B$1=1,INDEX(計算用!$H$3:$H$452,計算用!$Q$15),INDEX(振り分け!$D$7:$D$456,計算用!$Q$15)))</f>
        <v/>
      </c>
      <c r="Q19" s="56">
        <f>IF(計算用!$R$15="","",IF(計算用!$B$1=1,INDEX(計算用!$F$3:$F$452,計算用!$R$15),INDEX(振り分け!$B$7:$B$456,計算用!$R$15)))</f>
        <v/>
      </c>
      <c r="R19" s="57">
        <f>IF(計算用!$R$15="","",IF(計算用!$B$1=1,INDEX(計算用!$H$3:$H$452,計算用!$R$15),INDEX(振り分け!$D$7:$D$456,計算用!$R$15)))</f>
        <v/>
      </c>
      <c r="S19" s="56">
        <f>IF(計算用!$S$15="","",IF(計算用!$B$1=1,INDEX(計算用!$F$3:$F$452,計算用!$S$15),INDEX(振り分け!$B$7:$B$456,計算用!$S$15)))</f>
        <v/>
      </c>
      <c r="T19" s="57">
        <f>IF(計算用!$S$15="","",IF(計算用!$B$1=1,INDEX(計算用!$H$3:$H$452,計算用!$S$15),INDEX(振り分け!$D$7:$D$456,計算用!$S$15)))</f>
        <v/>
      </c>
    </row>
    <row r="20">
      <c r="A20" s="56">
        <f>IF(計算用!$J$16="","",IF(計算用!$B$1=1,INDEX(計算用!$F$3:$F$452,計算用!$J$16),INDEX(振り分け!$B$7:$B$456,計算用!$J$16)))</f>
        <v/>
      </c>
      <c r="B20" s="57">
        <f>IF(計算用!$J$16="","",IF(計算用!$B$1=1,INDEX(計算用!$H$3:$H$452,計算用!$J$16),INDEX(振り分け!$D$7:$D$456,計算用!$J$16)))</f>
        <v/>
      </c>
      <c r="C20" s="56">
        <f>IF(計算用!$K$16="","",IF(計算用!$B$1=1,INDEX(計算用!$F$3:$F$452,計算用!$K$16),INDEX(振り分け!$B$7:$B$456,計算用!$K$16)))</f>
        <v/>
      </c>
      <c r="D20" s="57">
        <f>IF(計算用!$K$16="","",IF(計算用!$B$1=1,INDEX(計算用!$H$3:$H$452,計算用!$K$16),INDEX(振り分け!$D$7:$D$456,計算用!$K$16)))</f>
        <v/>
      </c>
      <c r="E20" s="56">
        <f>IF(計算用!$L$16="","",IF(計算用!$B$1=1,INDEX(計算用!$F$3:$F$452,計算用!$L$16),INDEX(振り分け!$B$7:$B$456,計算用!$L$16)))</f>
        <v/>
      </c>
      <c r="F20" s="57">
        <f>IF(計算用!$L$16="","",IF(計算用!$B$1=1,INDEX(計算用!$H$3:$H$452,計算用!$L$16),INDEX(振り分け!$D$7:$D$456,計算用!$L$16)))</f>
        <v/>
      </c>
      <c r="G20" s="56">
        <f>IF(計算用!$M$16="","",IF(計算用!$B$1=1,INDEX(計算用!$F$3:$F$452,計算用!$M$16),INDEX(振り分け!$B$7:$B$456,計算用!$M$16)))</f>
        <v/>
      </c>
      <c r="H20" s="57">
        <f>IF(計算用!$M$16="","",IF(計算用!$B$1=1,INDEX(計算用!$H$3:$H$452,計算用!$M$16),INDEX(振り分け!$D$7:$D$456,計算用!$M$16)))</f>
        <v/>
      </c>
      <c r="I20" s="56">
        <f>IF(計算用!$N$16="","",IF(計算用!$B$1=1,INDEX(計算用!$F$3:$F$452,計算用!$N$16),INDEX(振り分け!$B$7:$B$456,計算用!$N$16)))</f>
        <v/>
      </c>
      <c r="J20" s="57">
        <f>IF(計算用!$N$16="","",IF(計算用!$B$1=1,INDEX(計算用!$H$3:$H$452,計算用!$N$16),INDEX(振り分け!$D$7:$D$456,計算用!$N$16)))</f>
        <v/>
      </c>
      <c r="K20" s="56">
        <f>IF(計算用!$O$16="","",IF(計算用!$B$1=1,INDEX(計算用!$F$3:$F$452,計算用!$O$16),INDEX(振り分け!$B$7:$B$456,計算用!$O$16)))</f>
        <v/>
      </c>
      <c r="L20" s="57">
        <f>IF(計算用!$O$16="","",IF(計算用!$B$1=1,INDEX(計算用!$H$3:$H$452,計算用!$O$16),INDEX(振り分け!$D$7:$D$456,計算用!$O$16)))</f>
        <v/>
      </c>
      <c r="M20" s="56">
        <f>IF(計算用!$P$16="","",IF(計算用!$B$1=1,INDEX(計算用!$F$3:$F$452,計算用!$P$16),INDEX(振り分け!$B$7:$B$456,計算用!$P$16)))</f>
        <v/>
      </c>
      <c r="N20" s="57">
        <f>IF(計算用!$P$16="","",IF(計算用!$B$1=1,INDEX(計算用!$H$3:$H$452,計算用!$P$16),INDEX(振り分け!$D$7:$D$456,計算用!$P$16)))</f>
        <v/>
      </c>
      <c r="O20" s="56">
        <f>IF(計算用!$Q$16="","",IF(計算用!$B$1=1,INDEX(計算用!$F$3:$F$452,計算用!$Q$16),INDEX(振り分け!$B$7:$B$456,計算用!$Q$16)))</f>
        <v/>
      </c>
      <c r="P20" s="57">
        <f>IF(計算用!$Q$16="","",IF(計算用!$B$1=1,INDEX(計算用!$H$3:$H$452,計算用!$Q$16),INDEX(振り分け!$D$7:$D$456,計算用!$Q$16)))</f>
        <v/>
      </c>
      <c r="Q20" s="56">
        <f>IF(計算用!$R$16="","",IF(計算用!$B$1=1,INDEX(計算用!$F$3:$F$452,計算用!$R$16),INDEX(振り分け!$B$7:$B$456,計算用!$R$16)))</f>
        <v/>
      </c>
      <c r="R20" s="57">
        <f>IF(計算用!$R$16="","",IF(計算用!$B$1=1,INDEX(計算用!$H$3:$H$452,計算用!$R$16),INDEX(振り分け!$D$7:$D$456,計算用!$R$16)))</f>
        <v/>
      </c>
      <c r="S20" s="56">
        <f>IF(計算用!$S$16="","",IF(計算用!$B$1=1,INDEX(計算用!$F$3:$F$452,計算用!$S$16),INDEX(振り分け!$B$7:$B$456,計算用!$S$16)))</f>
        <v/>
      </c>
      <c r="T20" s="57">
        <f>IF(計算用!$S$16="","",IF(計算用!$B$1=1,INDEX(計算用!$H$3:$H$452,計算用!$S$16),INDEX(振り分け!$D$7:$D$456,計算用!$S$16)))</f>
        <v/>
      </c>
    </row>
    <row r="21">
      <c r="A21" s="56">
        <f>IF(計算用!$J$17="","",IF(計算用!$B$1=1,INDEX(計算用!$F$3:$F$452,計算用!$J$17),INDEX(振り分け!$B$7:$B$456,計算用!$J$17)))</f>
        <v/>
      </c>
      <c r="B21" s="57">
        <f>IF(計算用!$J$17="","",IF(計算用!$B$1=1,INDEX(計算用!$H$3:$H$452,計算用!$J$17),INDEX(振り分け!$D$7:$D$456,計算用!$J$17)))</f>
        <v/>
      </c>
      <c r="C21" s="56">
        <f>IF(計算用!$K$17="","",IF(計算用!$B$1=1,INDEX(計算用!$F$3:$F$452,計算用!$K$17),INDEX(振り分け!$B$7:$B$456,計算用!$K$17)))</f>
        <v/>
      </c>
      <c r="D21" s="57">
        <f>IF(計算用!$K$17="","",IF(計算用!$B$1=1,INDEX(計算用!$H$3:$H$452,計算用!$K$17),INDEX(振り分け!$D$7:$D$456,計算用!$K$17)))</f>
        <v/>
      </c>
      <c r="E21" s="56">
        <f>IF(計算用!$L$17="","",IF(計算用!$B$1=1,INDEX(計算用!$F$3:$F$452,計算用!$L$17),INDEX(振り分け!$B$7:$B$456,計算用!$L$17)))</f>
        <v/>
      </c>
      <c r="F21" s="57">
        <f>IF(計算用!$L$17="","",IF(計算用!$B$1=1,INDEX(計算用!$H$3:$H$452,計算用!$L$17),INDEX(振り分け!$D$7:$D$456,計算用!$L$17)))</f>
        <v/>
      </c>
      <c r="G21" s="56">
        <f>IF(計算用!$M$17="","",IF(計算用!$B$1=1,INDEX(計算用!$F$3:$F$452,計算用!$M$17),INDEX(振り分け!$B$7:$B$456,計算用!$M$17)))</f>
        <v/>
      </c>
      <c r="H21" s="57">
        <f>IF(計算用!$M$17="","",IF(計算用!$B$1=1,INDEX(計算用!$H$3:$H$452,計算用!$M$17),INDEX(振り分け!$D$7:$D$456,計算用!$M$17)))</f>
        <v/>
      </c>
      <c r="I21" s="56">
        <f>IF(計算用!$N$17="","",IF(計算用!$B$1=1,INDEX(計算用!$F$3:$F$452,計算用!$N$17),INDEX(振り分け!$B$7:$B$456,計算用!$N$17)))</f>
        <v/>
      </c>
      <c r="J21" s="57">
        <f>IF(計算用!$N$17="","",IF(計算用!$B$1=1,INDEX(計算用!$H$3:$H$452,計算用!$N$17),INDEX(振り分け!$D$7:$D$456,計算用!$N$17)))</f>
        <v/>
      </c>
      <c r="K21" s="56">
        <f>IF(計算用!$O$17="","",IF(計算用!$B$1=1,INDEX(計算用!$F$3:$F$452,計算用!$O$17),INDEX(振り分け!$B$7:$B$456,計算用!$O$17)))</f>
        <v/>
      </c>
      <c r="L21" s="57">
        <f>IF(計算用!$O$17="","",IF(計算用!$B$1=1,INDEX(計算用!$H$3:$H$452,計算用!$O$17),INDEX(振り分け!$D$7:$D$456,計算用!$O$17)))</f>
        <v/>
      </c>
      <c r="M21" s="56">
        <f>IF(計算用!$P$17="","",IF(計算用!$B$1=1,INDEX(計算用!$F$3:$F$452,計算用!$P$17),INDEX(振り分け!$B$7:$B$456,計算用!$P$17)))</f>
        <v/>
      </c>
      <c r="N21" s="57">
        <f>IF(計算用!$P$17="","",IF(計算用!$B$1=1,INDEX(計算用!$H$3:$H$452,計算用!$P$17),INDEX(振り分け!$D$7:$D$456,計算用!$P$17)))</f>
        <v/>
      </c>
      <c r="O21" s="56">
        <f>IF(計算用!$Q$17="","",IF(計算用!$B$1=1,INDEX(計算用!$F$3:$F$452,計算用!$Q$17),INDEX(振り分け!$B$7:$B$456,計算用!$Q$17)))</f>
        <v/>
      </c>
      <c r="P21" s="57">
        <f>IF(計算用!$Q$17="","",IF(計算用!$B$1=1,INDEX(計算用!$H$3:$H$452,計算用!$Q$17),INDEX(振り分け!$D$7:$D$456,計算用!$Q$17)))</f>
        <v/>
      </c>
      <c r="Q21" s="56">
        <f>IF(計算用!$R$17="","",IF(計算用!$B$1=1,INDEX(計算用!$F$3:$F$452,計算用!$R$17),INDEX(振り分け!$B$7:$B$456,計算用!$R$17)))</f>
        <v/>
      </c>
      <c r="R21" s="57">
        <f>IF(計算用!$R$17="","",IF(計算用!$B$1=1,INDEX(計算用!$H$3:$H$452,計算用!$R$17),INDEX(振り分け!$D$7:$D$456,計算用!$R$17)))</f>
        <v/>
      </c>
      <c r="S21" s="56">
        <f>IF(計算用!$S$17="","",IF(計算用!$B$1=1,INDEX(計算用!$F$3:$F$452,計算用!$S$17),INDEX(振り分け!$B$7:$B$456,計算用!$S$17)))</f>
        <v/>
      </c>
      <c r="T21" s="57">
        <f>IF(計算用!$S$17="","",IF(計算用!$B$1=1,INDEX(計算用!$H$3:$H$452,計算用!$S$17),INDEX(振り分け!$D$7:$D$456,計算用!$S$17)))</f>
        <v/>
      </c>
    </row>
    <row r="22">
      <c r="A22" s="56">
        <f>IF(計算用!$J$18="","",IF(計算用!$B$1=1,INDEX(計算用!$F$3:$F$452,計算用!$J$18),INDEX(振り分け!$B$7:$B$456,計算用!$J$18)))</f>
        <v/>
      </c>
      <c r="B22" s="57">
        <f>IF(計算用!$J$18="","",IF(計算用!$B$1=1,INDEX(計算用!$H$3:$H$452,計算用!$J$18),INDEX(振り分け!$D$7:$D$456,計算用!$J$18)))</f>
        <v/>
      </c>
      <c r="C22" s="56">
        <f>IF(計算用!$K$18="","",IF(計算用!$B$1=1,INDEX(計算用!$F$3:$F$452,計算用!$K$18),INDEX(振り分け!$B$7:$B$456,計算用!$K$18)))</f>
        <v/>
      </c>
      <c r="D22" s="57">
        <f>IF(計算用!$K$18="","",IF(計算用!$B$1=1,INDEX(計算用!$H$3:$H$452,計算用!$K$18),INDEX(振り分け!$D$7:$D$456,計算用!$K$18)))</f>
        <v/>
      </c>
      <c r="E22" s="56">
        <f>IF(計算用!$L$18="","",IF(計算用!$B$1=1,INDEX(計算用!$F$3:$F$452,計算用!$L$18),INDEX(振り分け!$B$7:$B$456,計算用!$L$18)))</f>
        <v/>
      </c>
      <c r="F22" s="57">
        <f>IF(計算用!$L$18="","",IF(計算用!$B$1=1,INDEX(計算用!$H$3:$H$452,計算用!$L$18),INDEX(振り分け!$D$7:$D$456,計算用!$L$18)))</f>
        <v/>
      </c>
      <c r="G22" s="56">
        <f>IF(計算用!$M$18="","",IF(計算用!$B$1=1,INDEX(計算用!$F$3:$F$452,計算用!$M$18),INDEX(振り分け!$B$7:$B$456,計算用!$M$18)))</f>
        <v/>
      </c>
      <c r="H22" s="57">
        <f>IF(計算用!$M$18="","",IF(計算用!$B$1=1,INDEX(計算用!$H$3:$H$452,計算用!$M$18),INDEX(振り分け!$D$7:$D$456,計算用!$M$18)))</f>
        <v/>
      </c>
      <c r="I22" s="56">
        <f>IF(計算用!$N$18="","",IF(計算用!$B$1=1,INDEX(計算用!$F$3:$F$452,計算用!$N$18),INDEX(振り分け!$B$7:$B$456,計算用!$N$18)))</f>
        <v/>
      </c>
      <c r="J22" s="57">
        <f>IF(計算用!$N$18="","",IF(計算用!$B$1=1,INDEX(計算用!$H$3:$H$452,計算用!$N$18),INDEX(振り分け!$D$7:$D$456,計算用!$N$18)))</f>
        <v/>
      </c>
      <c r="K22" s="56">
        <f>IF(計算用!$O$18="","",IF(計算用!$B$1=1,INDEX(計算用!$F$3:$F$452,計算用!$O$18),INDEX(振り分け!$B$7:$B$456,計算用!$O$18)))</f>
        <v/>
      </c>
      <c r="L22" s="57">
        <f>IF(計算用!$O$18="","",IF(計算用!$B$1=1,INDEX(計算用!$H$3:$H$452,計算用!$O$18),INDEX(振り分け!$D$7:$D$456,計算用!$O$18)))</f>
        <v/>
      </c>
      <c r="M22" s="56">
        <f>IF(計算用!$P$18="","",IF(計算用!$B$1=1,INDEX(計算用!$F$3:$F$452,計算用!$P$18),INDEX(振り分け!$B$7:$B$456,計算用!$P$18)))</f>
        <v/>
      </c>
      <c r="N22" s="57">
        <f>IF(計算用!$P$18="","",IF(計算用!$B$1=1,INDEX(計算用!$H$3:$H$452,計算用!$P$18),INDEX(振り分け!$D$7:$D$456,計算用!$P$18)))</f>
        <v/>
      </c>
      <c r="O22" s="56">
        <f>IF(計算用!$Q$18="","",IF(計算用!$B$1=1,INDEX(計算用!$F$3:$F$452,計算用!$Q$18),INDEX(振り分け!$B$7:$B$456,計算用!$Q$18)))</f>
        <v/>
      </c>
      <c r="P22" s="57">
        <f>IF(計算用!$Q$18="","",IF(計算用!$B$1=1,INDEX(計算用!$H$3:$H$452,計算用!$Q$18),INDEX(振り分け!$D$7:$D$456,計算用!$Q$18)))</f>
        <v/>
      </c>
      <c r="Q22" s="56">
        <f>IF(計算用!$R$18="","",IF(計算用!$B$1=1,INDEX(計算用!$F$3:$F$452,計算用!$R$18),INDEX(振り分け!$B$7:$B$456,計算用!$R$18)))</f>
        <v/>
      </c>
      <c r="R22" s="57">
        <f>IF(計算用!$R$18="","",IF(計算用!$B$1=1,INDEX(計算用!$H$3:$H$452,計算用!$R$18),INDEX(振り分け!$D$7:$D$456,計算用!$R$18)))</f>
        <v/>
      </c>
      <c r="S22" s="56">
        <f>IF(計算用!$S$18="","",IF(計算用!$B$1=1,INDEX(計算用!$F$3:$F$452,計算用!$S$18),INDEX(振り分け!$B$7:$B$456,計算用!$S$18)))</f>
        <v/>
      </c>
      <c r="T22" s="57">
        <f>IF(計算用!$S$18="","",IF(計算用!$B$1=1,INDEX(計算用!$H$3:$H$452,計算用!$S$18),INDEX(振り分け!$D$7:$D$456,計算用!$S$18)))</f>
        <v/>
      </c>
    </row>
    <row r="23">
      <c r="A23" s="56">
        <f>IF(計算用!$J$19="","",IF(計算用!$B$1=1,INDEX(計算用!$F$3:$F$452,計算用!$J$19),INDEX(振り分け!$B$7:$B$456,計算用!$J$19)))</f>
        <v/>
      </c>
      <c r="B23" s="57">
        <f>IF(計算用!$J$19="","",IF(計算用!$B$1=1,INDEX(計算用!$H$3:$H$452,計算用!$J$19),INDEX(振り分け!$D$7:$D$456,計算用!$J$19)))</f>
        <v/>
      </c>
      <c r="C23" s="56">
        <f>IF(計算用!$K$19="","",IF(計算用!$B$1=1,INDEX(計算用!$F$3:$F$452,計算用!$K$19),INDEX(振り分け!$B$7:$B$456,計算用!$K$19)))</f>
        <v/>
      </c>
      <c r="D23" s="57">
        <f>IF(計算用!$K$19="","",IF(計算用!$B$1=1,INDEX(計算用!$H$3:$H$452,計算用!$K$19),INDEX(振り分け!$D$7:$D$456,計算用!$K$19)))</f>
        <v/>
      </c>
      <c r="E23" s="56">
        <f>IF(計算用!$L$19="","",IF(計算用!$B$1=1,INDEX(計算用!$F$3:$F$452,計算用!$L$19),INDEX(振り分け!$B$7:$B$456,計算用!$L$19)))</f>
        <v/>
      </c>
      <c r="F23" s="57">
        <f>IF(計算用!$L$19="","",IF(計算用!$B$1=1,INDEX(計算用!$H$3:$H$452,計算用!$L$19),INDEX(振り分け!$D$7:$D$456,計算用!$L$19)))</f>
        <v/>
      </c>
      <c r="G23" s="56">
        <f>IF(計算用!$M$19="","",IF(計算用!$B$1=1,INDEX(計算用!$F$3:$F$452,計算用!$M$19),INDEX(振り分け!$B$7:$B$456,計算用!$M$19)))</f>
        <v/>
      </c>
      <c r="H23" s="57">
        <f>IF(計算用!$M$19="","",IF(計算用!$B$1=1,INDEX(計算用!$H$3:$H$452,計算用!$M$19),INDEX(振り分け!$D$7:$D$456,計算用!$M$19)))</f>
        <v/>
      </c>
      <c r="I23" s="56">
        <f>IF(計算用!$N$19="","",IF(計算用!$B$1=1,INDEX(計算用!$F$3:$F$452,計算用!$N$19),INDEX(振り分け!$B$7:$B$456,計算用!$N$19)))</f>
        <v/>
      </c>
      <c r="J23" s="57">
        <f>IF(計算用!$N$19="","",IF(計算用!$B$1=1,INDEX(計算用!$H$3:$H$452,計算用!$N$19),INDEX(振り分け!$D$7:$D$456,計算用!$N$19)))</f>
        <v/>
      </c>
      <c r="K23" s="56">
        <f>IF(計算用!$O$19="","",IF(計算用!$B$1=1,INDEX(計算用!$F$3:$F$452,計算用!$O$19),INDEX(振り分け!$B$7:$B$456,計算用!$O$19)))</f>
        <v/>
      </c>
      <c r="L23" s="57">
        <f>IF(計算用!$O$19="","",IF(計算用!$B$1=1,INDEX(計算用!$H$3:$H$452,計算用!$O$19),INDEX(振り分け!$D$7:$D$456,計算用!$O$19)))</f>
        <v/>
      </c>
      <c r="M23" s="56">
        <f>IF(計算用!$P$19="","",IF(計算用!$B$1=1,INDEX(計算用!$F$3:$F$452,計算用!$P$19),INDEX(振り分け!$B$7:$B$456,計算用!$P$19)))</f>
        <v/>
      </c>
      <c r="N23" s="57">
        <f>IF(計算用!$P$19="","",IF(計算用!$B$1=1,INDEX(計算用!$H$3:$H$452,計算用!$P$19),INDEX(振り分け!$D$7:$D$456,計算用!$P$19)))</f>
        <v/>
      </c>
      <c r="O23" s="56">
        <f>IF(計算用!$Q$19="","",IF(計算用!$B$1=1,INDEX(計算用!$F$3:$F$452,計算用!$Q$19),INDEX(振り分け!$B$7:$B$456,計算用!$Q$19)))</f>
        <v/>
      </c>
      <c r="P23" s="57">
        <f>IF(計算用!$Q$19="","",IF(計算用!$B$1=1,INDEX(計算用!$H$3:$H$452,計算用!$Q$19),INDEX(振り分け!$D$7:$D$456,計算用!$Q$19)))</f>
        <v/>
      </c>
      <c r="Q23" s="56">
        <f>IF(計算用!$R$19="","",IF(計算用!$B$1=1,INDEX(計算用!$F$3:$F$452,計算用!$R$19),INDEX(振り分け!$B$7:$B$456,計算用!$R$19)))</f>
        <v/>
      </c>
      <c r="R23" s="57">
        <f>IF(計算用!$R$19="","",IF(計算用!$B$1=1,INDEX(計算用!$H$3:$H$452,計算用!$R$19),INDEX(振り分け!$D$7:$D$456,計算用!$R$19)))</f>
        <v/>
      </c>
      <c r="S23" s="56">
        <f>IF(計算用!$S$19="","",IF(計算用!$B$1=1,INDEX(計算用!$F$3:$F$452,計算用!$S$19),INDEX(振り分け!$B$7:$B$456,計算用!$S$19)))</f>
        <v/>
      </c>
      <c r="T23" s="57">
        <f>IF(計算用!$S$19="","",IF(計算用!$B$1=1,INDEX(計算用!$H$3:$H$452,計算用!$S$19),INDEX(振り分け!$D$7:$D$456,計算用!$S$19)))</f>
        <v/>
      </c>
    </row>
    <row r="24">
      <c r="A24" s="56">
        <f>IF(計算用!$J$20="","",IF(計算用!$B$1=1,INDEX(計算用!$F$3:$F$452,計算用!$J$20),INDEX(振り分け!$B$7:$B$456,計算用!$J$20)))</f>
        <v/>
      </c>
      <c r="B24" s="57">
        <f>IF(計算用!$J$20="","",IF(計算用!$B$1=1,INDEX(計算用!$H$3:$H$452,計算用!$J$20),INDEX(振り分け!$D$7:$D$456,計算用!$J$20)))</f>
        <v/>
      </c>
      <c r="C24" s="56">
        <f>IF(計算用!$K$20="","",IF(計算用!$B$1=1,INDEX(計算用!$F$3:$F$452,計算用!$K$20),INDEX(振り分け!$B$7:$B$456,計算用!$K$20)))</f>
        <v/>
      </c>
      <c r="D24" s="57">
        <f>IF(計算用!$K$20="","",IF(計算用!$B$1=1,INDEX(計算用!$H$3:$H$452,計算用!$K$20),INDEX(振り分け!$D$7:$D$456,計算用!$K$20)))</f>
        <v/>
      </c>
      <c r="E24" s="56">
        <f>IF(計算用!$L$20="","",IF(計算用!$B$1=1,INDEX(計算用!$F$3:$F$452,計算用!$L$20),INDEX(振り分け!$B$7:$B$456,計算用!$L$20)))</f>
        <v/>
      </c>
      <c r="F24" s="57">
        <f>IF(計算用!$L$20="","",IF(計算用!$B$1=1,INDEX(計算用!$H$3:$H$452,計算用!$L$20),INDEX(振り分け!$D$7:$D$456,計算用!$L$20)))</f>
        <v/>
      </c>
      <c r="G24" s="56">
        <f>IF(計算用!$M$20="","",IF(計算用!$B$1=1,INDEX(計算用!$F$3:$F$452,計算用!$M$20),INDEX(振り分け!$B$7:$B$456,計算用!$M$20)))</f>
        <v/>
      </c>
      <c r="H24" s="57">
        <f>IF(計算用!$M$20="","",IF(計算用!$B$1=1,INDEX(計算用!$H$3:$H$452,計算用!$M$20),INDEX(振り分け!$D$7:$D$456,計算用!$M$20)))</f>
        <v/>
      </c>
      <c r="I24" s="56">
        <f>IF(計算用!$N$20="","",IF(計算用!$B$1=1,INDEX(計算用!$F$3:$F$452,計算用!$N$20),INDEX(振り分け!$B$7:$B$456,計算用!$N$20)))</f>
        <v/>
      </c>
      <c r="J24" s="57">
        <f>IF(計算用!$N$20="","",IF(計算用!$B$1=1,INDEX(計算用!$H$3:$H$452,計算用!$N$20),INDEX(振り分け!$D$7:$D$456,計算用!$N$20)))</f>
        <v/>
      </c>
      <c r="K24" s="56">
        <f>IF(計算用!$O$20="","",IF(計算用!$B$1=1,INDEX(計算用!$F$3:$F$452,計算用!$O$20),INDEX(振り分け!$B$7:$B$456,計算用!$O$20)))</f>
        <v/>
      </c>
      <c r="L24" s="57">
        <f>IF(計算用!$O$20="","",IF(計算用!$B$1=1,INDEX(計算用!$H$3:$H$452,計算用!$O$20),INDEX(振り分け!$D$7:$D$456,計算用!$O$20)))</f>
        <v/>
      </c>
      <c r="M24" s="56">
        <f>IF(計算用!$P$20="","",IF(計算用!$B$1=1,INDEX(計算用!$F$3:$F$452,計算用!$P$20),INDEX(振り分け!$B$7:$B$456,計算用!$P$20)))</f>
        <v/>
      </c>
      <c r="N24" s="57">
        <f>IF(計算用!$P$20="","",IF(計算用!$B$1=1,INDEX(計算用!$H$3:$H$452,計算用!$P$20),INDEX(振り分け!$D$7:$D$456,計算用!$P$20)))</f>
        <v/>
      </c>
      <c r="O24" s="56">
        <f>IF(計算用!$Q$20="","",IF(計算用!$B$1=1,INDEX(計算用!$F$3:$F$452,計算用!$Q$20),INDEX(振り分け!$B$7:$B$456,計算用!$Q$20)))</f>
        <v/>
      </c>
      <c r="P24" s="57">
        <f>IF(計算用!$Q$20="","",IF(計算用!$B$1=1,INDEX(計算用!$H$3:$H$452,計算用!$Q$20),INDEX(振り分け!$D$7:$D$456,計算用!$Q$20)))</f>
        <v/>
      </c>
      <c r="Q24" s="56">
        <f>IF(計算用!$R$20="","",IF(計算用!$B$1=1,INDEX(計算用!$F$3:$F$452,計算用!$R$20),INDEX(振り分け!$B$7:$B$456,計算用!$R$20)))</f>
        <v/>
      </c>
      <c r="R24" s="57">
        <f>IF(計算用!$R$20="","",IF(計算用!$B$1=1,INDEX(計算用!$H$3:$H$452,計算用!$R$20),INDEX(振り分け!$D$7:$D$456,計算用!$R$20)))</f>
        <v/>
      </c>
      <c r="S24" s="56">
        <f>IF(計算用!$S$20="","",IF(計算用!$B$1=1,INDEX(計算用!$F$3:$F$452,計算用!$S$20),INDEX(振り分け!$B$7:$B$456,計算用!$S$20)))</f>
        <v/>
      </c>
      <c r="T24" s="57">
        <f>IF(計算用!$S$20="","",IF(計算用!$B$1=1,INDEX(計算用!$H$3:$H$452,計算用!$S$20),INDEX(振り分け!$D$7:$D$456,計算用!$S$20)))</f>
        <v/>
      </c>
    </row>
    <row r="25">
      <c r="A25" s="56">
        <f>IF(計算用!$J$21="","",IF(計算用!$B$1=1,INDEX(計算用!$F$3:$F$452,計算用!$J$21),INDEX(振り分け!$B$7:$B$456,計算用!$J$21)))</f>
        <v/>
      </c>
      <c r="B25" s="57">
        <f>IF(計算用!$J$21="","",IF(計算用!$B$1=1,INDEX(計算用!$H$3:$H$452,計算用!$J$21),INDEX(振り分け!$D$7:$D$456,計算用!$J$21)))</f>
        <v/>
      </c>
      <c r="C25" s="56">
        <f>IF(計算用!$K$21="","",IF(計算用!$B$1=1,INDEX(計算用!$F$3:$F$452,計算用!$K$21),INDEX(振り分け!$B$7:$B$456,計算用!$K$21)))</f>
        <v/>
      </c>
      <c r="D25" s="57">
        <f>IF(計算用!$K$21="","",IF(計算用!$B$1=1,INDEX(計算用!$H$3:$H$452,計算用!$K$21),INDEX(振り分け!$D$7:$D$456,計算用!$K$21)))</f>
        <v/>
      </c>
      <c r="E25" s="56">
        <f>IF(計算用!$L$21="","",IF(計算用!$B$1=1,INDEX(計算用!$F$3:$F$452,計算用!$L$21),INDEX(振り分け!$B$7:$B$456,計算用!$L$21)))</f>
        <v/>
      </c>
      <c r="F25" s="57">
        <f>IF(計算用!$L$21="","",IF(計算用!$B$1=1,INDEX(計算用!$H$3:$H$452,計算用!$L$21),INDEX(振り分け!$D$7:$D$456,計算用!$L$21)))</f>
        <v/>
      </c>
      <c r="G25" s="56">
        <f>IF(計算用!$M$21="","",IF(計算用!$B$1=1,INDEX(計算用!$F$3:$F$452,計算用!$M$21),INDEX(振り分け!$B$7:$B$456,計算用!$M$21)))</f>
        <v/>
      </c>
      <c r="H25" s="57">
        <f>IF(計算用!$M$21="","",IF(計算用!$B$1=1,INDEX(計算用!$H$3:$H$452,計算用!$M$21),INDEX(振り分け!$D$7:$D$456,計算用!$M$21)))</f>
        <v/>
      </c>
      <c r="I25" s="56">
        <f>IF(計算用!$N$21="","",IF(計算用!$B$1=1,INDEX(計算用!$F$3:$F$452,計算用!$N$21),INDEX(振り分け!$B$7:$B$456,計算用!$N$21)))</f>
        <v/>
      </c>
      <c r="J25" s="57">
        <f>IF(計算用!$N$21="","",IF(計算用!$B$1=1,INDEX(計算用!$H$3:$H$452,計算用!$N$21),INDEX(振り分け!$D$7:$D$456,計算用!$N$21)))</f>
        <v/>
      </c>
      <c r="K25" s="56">
        <f>IF(計算用!$O$21="","",IF(計算用!$B$1=1,INDEX(計算用!$F$3:$F$452,計算用!$O$21),INDEX(振り分け!$B$7:$B$456,計算用!$O$21)))</f>
        <v/>
      </c>
      <c r="L25" s="57">
        <f>IF(計算用!$O$21="","",IF(計算用!$B$1=1,INDEX(計算用!$H$3:$H$452,計算用!$O$21),INDEX(振り分け!$D$7:$D$456,計算用!$O$21)))</f>
        <v/>
      </c>
      <c r="M25" s="56">
        <f>IF(計算用!$P$21="","",IF(計算用!$B$1=1,INDEX(計算用!$F$3:$F$452,計算用!$P$21),INDEX(振り分け!$B$7:$B$456,計算用!$P$21)))</f>
        <v/>
      </c>
      <c r="N25" s="57">
        <f>IF(計算用!$P$21="","",IF(計算用!$B$1=1,INDEX(計算用!$H$3:$H$452,計算用!$P$21),INDEX(振り分け!$D$7:$D$456,計算用!$P$21)))</f>
        <v/>
      </c>
      <c r="O25" s="56">
        <f>IF(計算用!$Q$21="","",IF(計算用!$B$1=1,INDEX(計算用!$F$3:$F$452,計算用!$Q$21),INDEX(振り分け!$B$7:$B$456,計算用!$Q$21)))</f>
        <v/>
      </c>
      <c r="P25" s="57">
        <f>IF(計算用!$Q$21="","",IF(計算用!$B$1=1,INDEX(計算用!$H$3:$H$452,計算用!$Q$21),INDEX(振り分け!$D$7:$D$456,計算用!$Q$21)))</f>
        <v/>
      </c>
      <c r="Q25" s="56">
        <f>IF(計算用!$R$21="","",IF(計算用!$B$1=1,INDEX(計算用!$F$3:$F$452,計算用!$R$21),INDEX(振り分け!$B$7:$B$456,計算用!$R$21)))</f>
        <v/>
      </c>
      <c r="R25" s="57">
        <f>IF(計算用!$R$21="","",IF(計算用!$B$1=1,INDEX(計算用!$H$3:$H$452,計算用!$R$21),INDEX(振り分け!$D$7:$D$456,計算用!$R$21)))</f>
        <v/>
      </c>
      <c r="S25" s="56">
        <f>IF(計算用!$S$21="","",IF(計算用!$B$1=1,INDEX(計算用!$F$3:$F$452,計算用!$S$21),INDEX(振り分け!$B$7:$B$456,計算用!$S$21)))</f>
        <v/>
      </c>
      <c r="T25" s="57">
        <f>IF(計算用!$S$21="","",IF(計算用!$B$1=1,INDEX(計算用!$H$3:$H$452,計算用!$S$21),INDEX(振り分け!$D$7:$D$456,計算用!$S$21)))</f>
        <v/>
      </c>
    </row>
    <row r="26">
      <c r="A26" s="56">
        <f>IF(計算用!$J$22="","",IF(計算用!$B$1=1,INDEX(計算用!$F$3:$F$452,計算用!$J$22),INDEX(振り分け!$B$7:$B$456,計算用!$J$22)))</f>
        <v/>
      </c>
      <c r="B26" s="57">
        <f>IF(計算用!$J$22="","",IF(計算用!$B$1=1,INDEX(計算用!$H$3:$H$452,計算用!$J$22),INDEX(振り分け!$D$7:$D$456,計算用!$J$22)))</f>
        <v/>
      </c>
      <c r="C26" s="56">
        <f>IF(計算用!$K$22="","",IF(計算用!$B$1=1,INDEX(計算用!$F$3:$F$452,計算用!$K$22),INDEX(振り分け!$B$7:$B$456,計算用!$K$22)))</f>
        <v/>
      </c>
      <c r="D26" s="57">
        <f>IF(計算用!$K$22="","",IF(計算用!$B$1=1,INDEX(計算用!$H$3:$H$452,計算用!$K$22),INDEX(振り分け!$D$7:$D$456,計算用!$K$22)))</f>
        <v/>
      </c>
      <c r="E26" s="56">
        <f>IF(計算用!$L$22="","",IF(計算用!$B$1=1,INDEX(計算用!$F$3:$F$452,計算用!$L$22),INDEX(振り分け!$B$7:$B$456,計算用!$L$22)))</f>
        <v/>
      </c>
      <c r="F26" s="57">
        <f>IF(計算用!$L$22="","",IF(計算用!$B$1=1,INDEX(計算用!$H$3:$H$452,計算用!$L$22),INDEX(振り分け!$D$7:$D$456,計算用!$L$22)))</f>
        <v/>
      </c>
      <c r="G26" s="56">
        <f>IF(計算用!$M$22="","",IF(計算用!$B$1=1,INDEX(計算用!$F$3:$F$452,計算用!$M$22),INDEX(振り分け!$B$7:$B$456,計算用!$M$22)))</f>
        <v/>
      </c>
      <c r="H26" s="57">
        <f>IF(計算用!$M$22="","",IF(計算用!$B$1=1,INDEX(計算用!$H$3:$H$452,計算用!$M$22),INDEX(振り分け!$D$7:$D$456,計算用!$M$22)))</f>
        <v/>
      </c>
      <c r="I26" s="56">
        <f>IF(計算用!$N$22="","",IF(計算用!$B$1=1,INDEX(計算用!$F$3:$F$452,計算用!$N$22),INDEX(振り分け!$B$7:$B$456,計算用!$N$22)))</f>
        <v/>
      </c>
      <c r="J26" s="57">
        <f>IF(計算用!$N$22="","",IF(計算用!$B$1=1,INDEX(計算用!$H$3:$H$452,計算用!$N$22),INDEX(振り分け!$D$7:$D$456,計算用!$N$22)))</f>
        <v/>
      </c>
      <c r="K26" s="56">
        <f>IF(計算用!$O$22="","",IF(計算用!$B$1=1,INDEX(計算用!$F$3:$F$452,計算用!$O$22),INDEX(振り分け!$B$7:$B$456,計算用!$O$22)))</f>
        <v/>
      </c>
      <c r="L26" s="57">
        <f>IF(計算用!$O$22="","",IF(計算用!$B$1=1,INDEX(計算用!$H$3:$H$452,計算用!$O$22),INDEX(振り分け!$D$7:$D$456,計算用!$O$22)))</f>
        <v/>
      </c>
      <c r="M26" s="56">
        <f>IF(計算用!$P$22="","",IF(計算用!$B$1=1,INDEX(計算用!$F$3:$F$452,計算用!$P$22),INDEX(振り分け!$B$7:$B$456,計算用!$P$22)))</f>
        <v/>
      </c>
      <c r="N26" s="57">
        <f>IF(計算用!$P$22="","",IF(計算用!$B$1=1,INDEX(計算用!$H$3:$H$452,計算用!$P$22),INDEX(振り分け!$D$7:$D$456,計算用!$P$22)))</f>
        <v/>
      </c>
      <c r="O26" s="56">
        <f>IF(計算用!$Q$22="","",IF(計算用!$B$1=1,INDEX(計算用!$F$3:$F$452,計算用!$Q$22),INDEX(振り分け!$B$7:$B$456,計算用!$Q$22)))</f>
        <v/>
      </c>
      <c r="P26" s="57">
        <f>IF(計算用!$Q$22="","",IF(計算用!$B$1=1,INDEX(計算用!$H$3:$H$452,計算用!$Q$22),INDEX(振り分け!$D$7:$D$456,計算用!$Q$22)))</f>
        <v/>
      </c>
      <c r="Q26" s="56">
        <f>IF(計算用!$R$22="","",IF(計算用!$B$1=1,INDEX(計算用!$F$3:$F$452,計算用!$R$22),INDEX(振り分け!$B$7:$B$456,計算用!$R$22)))</f>
        <v/>
      </c>
      <c r="R26" s="57">
        <f>IF(計算用!$R$22="","",IF(計算用!$B$1=1,INDEX(計算用!$H$3:$H$452,計算用!$R$22),INDEX(振り分け!$D$7:$D$456,計算用!$R$22)))</f>
        <v/>
      </c>
      <c r="S26" s="56">
        <f>IF(計算用!$S$22="","",IF(計算用!$B$1=1,INDEX(計算用!$F$3:$F$452,計算用!$S$22),INDEX(振り分け!$B$7:$B$456,計算用!$S$22)))</f>
        <v/>
      </c>
      <c r="T26" s="57">
        <f>IF(計算用!$S$22="","",IF(計算用!$B$1=1,INDEX(計算用!$H$3:$H$452,計算用!$S$22),INDEX(振り分け!$D$7:$D$456,計算用!$S$22)))</f>
        <v/>
      </c>
    </row>
    <row r="27">
      <c r="A27" s="56">
        <f>IF(計算用!$J$23="","",IF(計算用!$B$1=1,INDEX(計算用!$F$3:$F$452,計算用!$J$23),INDEX(振り分け!$B$7:$B$456,計算用!$J$23)))</f>
        <v/>
      </c>
      <c r="B27" s="57">
        <f>IF(計算用!$J$23="","",IF(計算用!$B$1=1,INDEX(計算用!$H$3:$H$452,計算用!$J$23),INDEX(振り分け!$D$7:$D$456,計算用!$J$23)))</f>
        <v/>
      </c>
      <c r="C27" s="56">
        <f>IF(計算用!$K$23="","",IF(計算用!$B$1=1,INDEX(計算用!$F$3:$F$452,計算用!$K$23),INDEX(振り分け!$B$7:$B$456,計算用!$K$23)))</f>
        <v/>
      </c>
      <c r="D27" s="57">
        <f>IF(計算用!$K$23="","",IF(計算用!$B$1=1,INDEX(計算用!$H$3:$H$452,計算用!$K$23),INDEX(振り分け!$D$7:$D$456,計算用!$K$23)))</f>
        <v/>
      </c>
      <c r="E27" s="56">
        <f>IF(計算用!$L$23="","",IF(計算用!$B$1=1,INDEX(計算用!$F$3:$F$452,計算用!$L$23),INDEX(振り分け!$B$7:$B$456,計算用!$L$23)))</f>
        <v/>
      </c>
      <c r="F27" s="57">
        <f>IF(計算用!$L$23="","",IF(計算用!$B$1=1,INDEX(計算用!$H$3:$H$452,計算用!$L$23),INDEX(振り分け!$D$7:$D$456,計算用!$L$23)))</f>
        <v/>
      </c>
      <c r="G27" s="56">
        <f>IF(計算用!$M$23="","",IF(計算用!$B$1=1,INDEX(計算用!$F$3:$F$452,計算用!$M$23),INDEX(振り分け!$B$7:$B$456,計算用!$M$23)))</f>
        <v/>
      </c>
      <c r="H27" s="57">
        <f>IF(計算用!$M$23="","",IF(計算用!$B$1=1,INDEX(計算用!$H$3:$H$452,計算用!$M$23),INDEX(振り分け!$D$7:$D$456,計算用!$M$23)))</f>
        <v/>
      </c>
      <c r="I27" s="56">
        <f>IF(計算用!$N$23="","",IF(計算用!$B$1=1,INDEX(計算用!$F$3:$F$452,計算用!$N$23),INDEX(振り分け!$B$7:$B$456,計算用!$N$23)))</f>
        <v/>
      </c>
      <c r="J27" s="57">
        <f>IF(計算用!$N$23="","",IF(計算用!$B$1=1,INDEX(計算用!$H$3:$H$452,計算用!$N$23),INDEX(振り分け!$D$7:$D$456,計算用!$N$23)))</f>
        <v/>
      </c>
      <c r="K27" s="56">
        <f>IF(計算用!$O$23="","",IF(計算用!$B$1=1,INDEX(計算用!$F$3:$F$452,計算用!$O$23),INDEX(振り分け!$B$7:$B$456,計算用!$O$23)))</f>
        <v/>
      </c>
      <c r="L27" s="57">
        <f>IF(計算用!$O$23="","",IF(計算用!$B$1=1,INDEX(計算用!$H$3:$H$452,計算用!$O$23),INDEX(振り分け!$D$7:$D$456,計算用!$O$23)))</f>
        <v/>
      </c>
      <c r="M27" s="56">
        <f>IF(計算用!$P$23="","",IF(計算用!$B$1=1,INDEX(計算用!$F$3:$F$452,計算用!$P$23),INDEX(振り分け!$B$7:$B$456,計算用!$P$23)))</f>
        <v/>
      </c>
      <c r="N27" s="57">
        <f>IF(計算用!$P$23="","",IF(計算用!$B$1=1,INDEX(計算用!$H$3:$H$452,計算用!$P$23),INDEX(振り分け!$D$7:$D$456,計算用!$P$23)))</f>
        <v/>
      </c>
      <c r="O27" s="56">
        <f>IF(計算用!$Q$23="","",IF(計算用!$B$1=1,INDEX(計算用!$F$3:$F$452,計算用!$Q$23),INDEX(振り分け!$B$7:$B$456,計算用!$Q$23)))</f>
        <v/>
      </c>
      <c r="P27" s="57">
        <f>IF(計算用!$Q$23="","",IF(計算用!$B$1=1,INDEX(計算用!$H$3:$H$452,計算用!$Q$23),INDEX(振り分け!$D$7:$D$456,計算用!$Q$23)))</f>
        <v/>
      </c>
      <c r="Q27" s="56">
        <f>IF(計算用!$R$23="","",IF(計算用!$B$1=1,INDEX(計算用!$F$3:$F$452,計算用!$R$23),INDEX(振り分け!$B$7:$B$456,計算用!$R$23)))</f>
        <v/>
      </c>
      <c r="R27" s="57">
        <f>IF(計算用!$R$23="","",IF(計算用!$B$1=1,INDEX(計算用!$H$3:$H$452,計算用!$R$23),INDEX(振り分け!$D$7:$D$456,計算用!$R$23)))</f>
        <v/>
      </c>
      <c r="S27" s="56">
        <f>IF(計算用!$S$23="","",IF(計算用!$B$1=1,INDEX(計算用!$F$3:$F$452,計算用!$S$23),INDEX(振り分け!$B$7:$B$456,計算用!$S$23)))</f>
        <v/>
      </c>
      <c r="T27" s="57">
        <f>IF(計算用!$S$23="","",IF(計算用!$B$1=1,INDEX(計算用!$H$3:$H$452,計算用!$S$23),INDEX(振り分け!$D$7:$D$456,計算用!$S$23)))</f>
        <v/>
      </c>
    </row>
    <row r="28">
      <c r="A28" s="56">
        <f>IF(計算用!$J$24="","",IF(計算用!$B$1=1,INDEX(計算用!$F$3:$F$452,計算用!$J$24),INDEX(振り分け!$B$7:$B$456,計算用!$J$24)))</f>
        <v/>
      </c>
      <c r="B28" s="57">
        <f>IF(計算用!$J$24="","",IF(計算用!$B$1=1,INDEX(計算用!$H$3:$H$452,計算用!$J$24),INDEX(振り分け!$D$7:$D$456,計算用!$J$24)))</f>
        <v/>
      </c>
      <c r="C28" s="56">
        <f>IF(計算用!$K$24="","",IF(計算用!$B$1=1,INDEX(計算用!$F$3:$F$452,計算用!$K$24),INDEX(振り分け!$B$7:$B$456,計算用!$K$24)))</f>
        <v/>
      </c>
      <c r="D28" s="57">
        <f>IF(計算用!$K$24="","",IF(計算用!$B$1=1,INDEX(計算用!$H$3:$H$452,計算用!$K$24),INDEX(振り分け!$D$7:$D$456,計算用!$K$24)))</f>
        <v/>
      </c>
      <c r="E28" s="56">
        <f>IF(計算用!$L$24="","",IF(計算用!$B$1=1,INDEX(計算用!$F$3:$F$452,計算用!$L$24),INDEX(振り分け!$B$7:$B$456,計算用!$L$24)))</f>
        <v/>
      </c>
      <c r="F28" s="57">
        <f>IF(計算用!$L$24="","",IF(計算用!$B$1=1,INDEX(計算用!$H$3:$H$452,計算用!$L$24),INDEX(振り分け!$D$7:$D$456,計算用!$L$24)))</f>
        <v/>
      </c>
      <c r="G28" s="56">
        <f>IF(計算用!$M$24="","",IF(計算用!$B$1=1,INDEX(計算用!$F$3:$F$452,計算用!$M$24),INDEX(振り分け!$B$7:$B$456,計算用!$M$24)))</f>
        <v/>
      </c>
      <c r="H28" s="57">
        <f>IF(計算用!$M$24="","",IF(計算用!$B$1=1,INDEX(計算用!$H$3:$H$452,計算用!$M$24),INDEX(振り分け!$D$7:$D$456,計算用!$M$24)))</f>
        <v/>
      </c>
      <c r="I28" s="56">
        <f>IF(計算用!$N$24="","",IF(計算用!$B$1=1,INDEX(計算用!$F$3:$F$452,計算用!$N$24),INDEX(振り分け!$B$7:$B$456,計算用!$N$24)))</f>
        <v/>
      </c>
      <c r="J28" s="57">
        <f>IF(計算用!$N$24="","",IF(計算用!$B$1=1,INDEX(計算用!$H$3:$H$452,計算用!$N$24),INDEX(振り分け!$D$7:$D$456,計算用!$N$24)))</f>
        <v/>
      </c>
      <c r="K28" s="56">
        <f>IF(計算用!$O$24="","",IF(計算用!$B$1=1,INDEX(計算用!$F$3:$F$452,計算用!$O$24),INDEX(振り分け!$B$7:$B$456,計算用!$O$24)))</f>
        <v/>
      </c>
      <c r="L28" s="57">
        <f>IF(計算用!$O$24="","",IF(計算用!$B$1=1,INDEX(計算用!$H$3:$H$452,計算用!$O$24),INDEX(振り分け!$D$7:$D$456,計算用!$O$24)))</f>
        <v/>
      </c>
      <c r="M28" s="56">
        <f>IF(計算用!$P$24="","",IF(計算用!$B$1=1,INDEX(計算用!$F$3:$F$452,計算用!$P$24),INDEX(振り分け!$B$7:$B$456,計算用!$P$24)))</f>
        <v/>
      </c>
      <c r="N28" s="57">
        <f>IF(計算用!$P$24="","",IF(計算用!$B$1=1,INDEX(計算用!$H$3:$H$452,計算用!$P$24),INDEX(振り分け!$D$7:$D$456,計算用!$P$24)))</f>
        <v/>
      </c>
      <c r="O28" s="56">
        <f>IF(計算用!$Q$24="","",IF(計算用!$B$1=1,INDEX(計算用!$F$3:$F$452,計算用!$Q$24),INDEX(振り分け!$B$7:$B$456,計算用!$Q$24)))</f>
        <v/>
      </c>
      <c r="P28" s="57">
        <f>IF(計算用!$Q$24="","",IF(計算用!$B$1=1,INDEX(計算用!$H$3:$H$452,計算用!$Q$24),INDEX(振り分け!$D$7:$D$456,計算用!$Q$24)))</f>
        <v/>
      </c>
      <c r="Q28" s="56">
        <f>IF(計算用!$R$24="","",IF(計算用!$B$1=1,INDEX(計算用!$F$3:$F$452,計算用!$R$24),INDEX(振り分け!$B$7:$B$456,計算用!$R$24)))</f>
        <v/>
      </c>
      <c r="R28" s="57">
        <f>IF(計算用!$R$24="","",IF(計算用!$B$1=1,INDEX(計算用!$H$3:$H$452,計算用!$R$24),INDEX(振り分け!$D$7:$D$456,計算用!$R$24)))</f>
        <v/>
      </c>
      <c r="S28" s="56">
        <f>IF(計算用!$S$24="","",IF(計算用!$B$1=1,INDEX(計算用!$F$3:$F$452,計算用!$S$24),INDEX(振り分け!$B$7:$B$456,計算用!$S$24)))</f>
        <v/>
      </c>
      <c r="T28" s="57">
        <f>IF(計算用!$S$24="","",IF(計算用!$B$1=1,INDEX(計算用!$H$3:$H$452,計算用!$S$24),INDEX(振り分け!$D$7:$D$456,計算用!$S$24)))</f>
        <v/>
      </c>
    </row>
    <row r="29">
      <c r="A29" s="56">
        <f>IF(計算用!$J$25="","",IF(計算用!$B$1=1,INDEX(計算用!$F$3:$F$452,計算用!$J$25),INDEX(振り分け!$B$7:$B$456,計算用!$J$25)))</f>
        <v/>
      </c>
      <c r="B29" s="57">
        <f>IF(計算用!$J$25="","",IF(計算用!$B$1=1,INDEX(計算用!$H$3:$H$452,計算用!$J$25),INDEX(振り分け!$D$7:$D$456,計算用!$J$25)))</f>
        <v/>
      </c>
      <c r="C29" s="56">
        <f>IF(計算用!$K$25="","",IF(計算用!$B$1=1,INDEX(計算用!$F$3:$F$452,計算用!$K$25),INDEX(振り分け!$B$7:$B$456,計算用!$K$25)))</f>
        <v/>
      </c>
      <c r="D29" s="57">
        <f>IF(計算用!$K$25="","",IF(計算用!$B$1=1,INDEX(計算用!$H$3:$H$452,計算用!$K$25),INDEX(振り分け!$D$7:$D$456,計算用!$K$25)))</f>
        <v/>
      </c>
      <c r="E29" s="56">
        <f>IF(計算用!$L$25="","",IF(計算用!$B$1=1,INDEX(計算用!$F$3:$F$452,計算用!$L$25),INDEX(振り分け!$B$7:$B$456,計算用!$L$25)))</f>
        <v/>
      </c>
      <c r="F29" s="57">
        <f>IF(計算用!$L$25="","",IF(計算用!$B$1=1,INDEX(計算用!$H$3:$H$452,計算用!$L$25),INDEX(振り分け!$D$7:$D$456,計算用!$L$25)))</f>
        <v/>
      </c>
      <c r="G29" s="56">
        <f>IF(計算用!$M$25="","",IF(計算用!$B$1=1,INDEX(計算用!$F$3:$F$452,計算用!$M$25),INDEX(振り分け!$B$7:$B$456,計算用!$M$25)))</f>
        <v/>
      </c>
      <c r="H29" s="57">
        <f>IF(計算用!$M$25="","",IF(計算用!$B$1=1,INDEX(計算用!$H$3:$H$452,計算用!$M$25),INDEX(振り分け!$D$7:$D$456,計算用!$M$25)))</f>
        <v/>
      </c>
      <c r="I29" s="56">
        <f>IF(計算用!$N$25="","",IF(計算用!$B$1=1,INDEX(計算用!$F$3:$F$452,計算用!$N$25),INDEX(振り分け!$B$7:$B$456,計算用!$N$25)))</f>
        <v/>
      </c>
      <c r="J29" s="57">
        <f>IF(計算用!$N$25="","",IF(計算用!$B$1=1,INDEX(計算用!$H$3:$H$452,計算用!$N$25),INDEX(振り分け!$D$7:$D$456,計算用!$N$25)))</f>
        <v/>
      </c>
      <c r="K29" s="56">
        <f>IF(計算用!$O$25="","",IF(計算用!$B$1=1,INDEX(計算用!$F$3:$F$452,計算用!$O$25),INDEX(振り分け!$B$7:$B$456,計算用!$O$25)))</f>
        <v/>
      </c>
      <c r="L29" s="57">
        <f>IF(計算用!$O$25="","",IF(計算用!$B$1=1,INDEX(計算用!$H$3:$H$452,計算用!$O$25),INDEX(振り分け!$D$7:$D$456,計算用!$O$25)))</f>
        <v/>
      </c>
      <c r="M29" s="56">
        <f>IF(計算用!$P$25="","",IF(計算用!$B$1=1,INDEX(計算用!$F$3:$F$452,計算用!$P$25),INDEX(振り分け!$B$7:$B$456,計算用!$P$25)))</f>
        <v/>
      </c>
      <c r="N29" s="57">
        <f>IF(計算用!$P$25="","",IF(計算用!$B$1=1,INDEX(計算用!$H$3:$H$452,計算用!$P$25),INDEX(振り分け!$D$7:$D$456,計算用!$P$25)))</f>
        <v/>
      </c>
      <c r="O29" s="56">
        <f>IF(計算用!$Q$25="","",IF(計算用!$B$1=1,INDEX(計算用!$F$3:$F$452,計算用!$Q$25),INDEX(振り分け!$B$7:$B$456,計算用!$Q$25)))</f>
        <v/>
      </c>
      <c r="P29" s="57">
        <f>IF(計算用!$Q$25="","",IF(計算用!$B$1=1,INDEX(計算用!$H$3:$H$452,計算用!$Q$25),INDEX(振り分け!$D$7:$D$456,計算用!$Q$25)))</f>
        <v/>
      </c>
      <c r="Q29" s="56">
        <f>IF(計算用!$R$25="","",IF(計算用!$B$1=1,INDEX(計算用!$F$3:$F$452,計算用!$R$25),INDEX(振り分け!$B$7:$B$456,計算用!$R$25)))</f>
        <v/>
      </c>
      <c r="R29" s="57">
        <f>IF(計算用!$R$25="","",IF(計算用!$B$1=1,INDEX(計算用!$H$3:$H$452,計算用!$R$25),INDEX(振り分け!$D$7:$D$456,計算用!$R$25)))</f>
        <v/>
      </c>
      <c r="S29" s="56">
        <f>IF(計算用!$S$25="","",IF(計算用!$B$1=1,INDEX(計算用!$F$3:$F$452,計算用!$S$25),INDEX(振り分け!$B$7:$B$456,計算用!$S$25)))</f>
        <v/>
      </c>
      <c r="T29" s="57">
        <f>IF(計算用!$S$25="","",IF(計算用!$B$1=1,INDEX(計算用!$H$3:$H$452,計算用!$S$25),INDEX(振り分け!$D$7:$D$456,計算用!$S$25)))</f>
        <v/>
      </c>
    </row>
    <row r="30">
      <c r="A30" s="56">
        <f>IF(計算用!$J$26="","",IF(計算用!$B$1=1,INDEX(計算用!$F$3:$F$452,計算用!$J$26),INDEX(振り分け!$B$7:$B$456,計算用!$J$26)))</f>
        <v/>
      </c>
      <c r="B30" s="57">
        <f>IF(計算用!$J$26="","",IF(計算用!$B$1=1,INDEX(計算用!$H$3:$H$452,計算用!$J$26),INDEX(振り分け!$D$7:$D$456,計算用!$J$26)))</f>
        <v/>
      </c>
      <c r="C30" s="56">
        <f>IF(計算用!$K$26="","",IF(計算用!$B$1=1,INDEX(計算用!$F$3:$F$452,計算用!$K$26),INDEX(振り分け!$B$7:$B$456,計算用!$K$26)))</f>
        <v/>
      </c>
      <c r="D30" s="57">
        <f>IF(計算用!$K$26="","",IF(計算用!$B$1=1,INDEX(計算用!$H$3:$H$452,計算用!$K$26),INDEX(振り分け!$D$7:$D$456,計算用!$K$26)))</f>
        <v/>
      </c>
      <c r="E30" s="56">
        <f>IF(計算用!$L$26="","",IF(計算用!$B$1=1,INDEX(計算用!$F$3:$F$452,計算用!$L$26),INDEX(振り分け!$B$7:$B$456,計算用!$L$26)))</f>
        <v/>
      </c>
      <c r="F30" s="57">
        <f>IF(計算用!$L$26="","",IF(計算用!$B$1=1,INDEX(計算用!$H$3:$H$452,計算用!$L$26),INDEX(振り分け!$D$7:$D$456,計算用!$L$26)))</f>
        <v/>
      </c>
      <c r="G30" s="56">
        <f>IF(計算用!$M$26="","",IF(計算用!$B$1=1,INDEX(計算用!$F$3:$F$452,計算用!$M$26),INDEX(振り分け!$B$7:$B$456,計算用!$M$26)))</f>
        <v/>
      </c>
      <c r="H30" s="57">
        <f>IF(計算用!$M$26="","",IF(計算用!$B$1=1,INDEX(計算用!$H$3:$H$452,計算用!$M$26),INDEX(振り分け!$D$7:$D$456,計算用!$M$26)))</f>
        <v/>
      </c>
      <c r="I30" s="56">
        <f>IF(計算用!$N$26="","",IF(計算用!$B$1=1,INDEX(計算用!$F$3:$F$452,計算用!$N$26),INDEX(振り分け!$B$7:$B$456,計算用!$N$26)))</f>
        <v/>
      </c>
      <c r="J30" s="57">
        <f>IF(計算用!$N$26="","",IF(計算用!$B$1=1,INDEX(計算用!$H$3:$H$452,計算用!$N$26),INDEX(振り分け!$D$7:$D$456,計算用!$N$26)))</f>
        <v/>
      </c>
      <c r="K30" s="56">
        <f>IF(計算用!$O$26="","",IF(計算用!$B$1=1,INDEX(計算用!$F$3:$F$452,計算用!$O$26),INDEX(振り分け!$B$7:$B$456,計算用!$O$26)))</f>
        <v/>
      </c>
      <c r="L30" s="57">
        <f>IF(計算用!$O$26="","",IF(計算用!$B$1=1,INDEX(計算用!$H$3:$H$452,計算用!$O$26),INDEX(振り分け!$D$7:$D$456,計算用!$O$26)))</f>
        <v/>
      </c>
      <c r="M30" s="56">
        <f>IF(計算用!$P$26="","",IF(計算用!$B$1=1,INDEX(計算用!$F$3:$F$452,計算用!$P$26),INDEX(振り分け!$B$7:$B$456,計算用!$P$26)))</f>
        <v/>
      </c>
      <c r="N30" s="57">
        <f>IF(計算用!$P$26="","",IF(計算用!$B$1=1,INDEX(計算用!$H$3:$H$452,計算用!$P$26),INDEX(振り分け!$D$7:$D$456,計算用!$P$26)))</f>
        <v/>
      </c>
      <c r="O30" s="56">
        <f>IF(計算用!$Q$26="","",IF(計算用!$B$1=1,INDEX(計算用!$F$3:$F$452,計算用!$Q$26),INDEX(振り分け!$B$7:$B$456,計算用!$Q$26)))</f>
        <v/>
      </c>
      <c r="P30" s="57">
        <f>IF(計算用!$Q$26="","",IF(計算用!$B$1=1,INDEX(計算用!$H$3:$H$452,計算用!$Q$26),INDEX(振り分け!$D$7:$D$456,計算用!$Q$26)))</f>
        <v/>
      </c>
      <c r="Q30" s="56">
        <f>IF(計算用!$R$26="","",IF(計算用!$B$1=1,INDEX(計算用!$F$3:$F$452,計算用!$R$26),INDEX(振り分け!$B$7:$B$456,計算用!$R$26)))</f>
        <v/>
      </c>
      <c r="R30" s="57">
        <f>IF(計算用!$R$26="","",IF(計算用!$B$1=1,INDEX(計算用!$H$3:$H$452,計算用!$R$26),INDEX(振り分け!$D$7:$D$456,計算用!$R$26)))</f>
        <v/>
      </c>
      <c r="S30" s="56">
        <f>IF(計算用!$S$26="","",IF(計算用!$B$1=1,INDEX(計算用!$F$3:$F$452,計算用!$S$26),INDEX(振り分け!$B$7:$B$456,計算用!$S$26)))</f>
        <v/>
      </c>
      <c r="T30" s="57">
        <f>IF(計算用!$S$26="","",IF(計算用!$B$1=1,INDEX(計算用!$H$3:$H$452,計算用!$S$26),INDEX(振り分け!$D$7:$D$456,計算用!$S$26)))</f>
        <v/>
      </c>
    </row>
    <row r="31">
      <c r="A31" s="56">
        <f>IF(計算用!$J$27="","",IF(計算用!$B$1=1,INDEX(計算用!$F$3:$F$452,計算用!$J$27),INDEX(振り分け!$B$7:$B$456,計算用!$J$27)))</f>
        <v/>
      </c>
      <c r="B31" s="57">
        <f>IF(計算用!$J$27="","",IF(計算用!$B$1=1,INDEX(計算用!$H$3:$H$452,計算用!$J$27),INDEX(振り分け!$D$7:$D$456,計算用!$J$27)))</f>
        <v/>
      </c>
      <c r="C31" s="56">
        <f>IF(計算用!$K$27="","",IF(計算用!$B$1=1,INDEX(計算用!$F$3:$F$452,計算用!$K$27),INDEX(振り分け!$B$7:$B$456,計算用!$K$27)))</f>
        <v/>
      </c>
      <c r="D31" s="57">
        <f>IF(計算用!$K$27="","",IF(計算用!$B$1=1,INDEX(計算用!$H$3:$H$452,計算用!$K$27),INDEX(振り分け!$D$7:$D$456,計算用!$K$27)))</f>
        <v/>
      </c>
      <c r="E31" s="56">
        <f>IF(計算用!$L$27="","",IF(計算用!$B$1=1,INDEX(計算用!$F$3:$F$452,計算用!$L$27),INDEX(振り分け!$B$7:$B$456,計算用!$L$27)))</f>
        <v/>
      </c>
      <c r="F31" s="57">
        <f>IF(計算用!$L$27="","",IF(計算用!$B$1=1,INDEX(計算用!$H$3:$H$452,計算用!$L$27),INDEX(振り分け!$D$7:$D$456,計算用!$L$27)))</f>
        <v/>
      </c>
      <c r="G31" s="56">
        <f>IF(計算用!$M$27="","",IF(計算用!$B$1=1,INDEX(計算用!$F$3:$F$452,計算用!$M$27),INDEX(振り分け!$B$7:$B$456,計算用!$M$27)))</f>
        <v/>
      </c>
      <c r="H31" s="57">
        <f>IF(計算用!$M$27="","",IF(計算用!$B$1=1,INDEX(計算用!$H$3:$H$452,計算用!$M$27),INDEX(振り分け!$D$7:$D$456,計算用!$M$27)))</f>
        <v/>
      </c>
      <c r="I31" s="56">
        <f>IF(計算用!$N$27="","",IF(計算用!$B$1=1,INDEX(計算用!$F$3:$F$452,計算用!$N$27),INDEX(振り分け!$B$7:$B$456,計算用!$N$27)))</f>
        <v/>
      </c>
      <c r="J31" s="57">
        <f>IF(計算用!$N$27="","",IF(計算用!$B$1=1,INDEX(計算用!$H$3:$H$452,計算用!$N$27),INDEX(振り分け!$D$7:$D$456,計算用!$N$27)))</f>
        <v/>
      </c>
      <c r="K31" s="56">
        <f>IF(計算用!$O$27="","",IF(計算用!$B$1=1,INDEX(計算用!$F$3:$F$452,計算用!$O$27),INDEX(振り分け!$B$7:$B$456,計算用!$O$27)))</f>
        <v/>
      </c>
      <c r="L31" s="57">
        <f>IF(計算用!$O$27="","",IF(計算用!$B$1=1,INDEX(計算用!$H$3:$H$452,計算用!$O$27),INDEX(振り分け!$D$7:$D$456,計算用!$O$27)))</f>
        <v/>
      </c>
      <c r="M31" s="56">
        <f>IF(計算用!$P$27="","",IF(計算用!$B$1=1,INDEX(計算用!$F$3:$F$452,計算用!$P$27),INDEX(振り分け!$B$7:$B$456,計算用!$P$27)))</f>
        <v/>
      </c>
      <c r="N31" s="57">
        <f>IF(計算用!$P$27="","",IF(計算用!$B$1=1,INDEX(計算用!$H$3:$H$452,計算用!$P$27),INDEX(振り分け!$D$7:$D$456,計算用!$P$27)))</f>
        <v/>
      </c>
      <c r="O31" s="56">
        <f>IF(計算用!$Q$27="","",IF(計算用!$B$1=1,INDEX(計算用!$F$3:$F$452,計算用!$Q$27),INDEX(振り分け!$B$7:$B$456,計算用!$Q$27)))</f>
        <v/>
      </c>
      <c r="P31" s="57">
        <f>IF(計算用!$Q$27="","",IF(計算用!$B$1=1,INDEX(計算用!$H$3:$H$452,計算用!$Q$27),INDEX(振り分け!$D$7:$D$456,計算用!$Q$27)))</f>
        <v/>
      </c>
      <c r="Q31" s="56">
        <f>IF(計算用!$R$27="","",IF(計算用!$B$1=1,INDEX(計算用!$F$3:$F$452,計算用!$R$27),INDEX(振り分け!$B$7:$B$456,計算用!$R$27)))</f>
        <v/>
      </c>
      <c r="R31" s="57">
        <f>IF(計算用!$R$27="","",IF(計算用!$B$1=1,INDEX(計算用!$H$3:$H$452,計算用!$R$27),INDEX(振り分け!$D$7:$D$456,計算用!$R$27)))</f>
        <v/>
      </c>
      <c r="S31" s="56">
        <f>IF(計算用!$S$27="","",IF(計算用!$B$1=1,INDEX(計算用!$F$3:$F$452,計算用!$S$27),INDEX(振り分け!$B$7:$B$456,計算用!$S$27)))</f>
        <v/>
      </c>
      <c r="T31" s="57">
        <f>IF(計算用!$S$27="","",IF(計算用!$B$1=1,INDEX(計算用!$H$3:$H$452,計算用!$S$27),INDEX(振り分け!$D$7:$D$456,計算用!$S$27)))</f>
        <v/>
      </c>
    </row>
    <row r="32">
      <c r="A32" s="56">
        <f>IF(計算用!$J$28="","",IF(計算用!$B$1=1,INDEX(計算用!$F$3:$F$452,計算用!$J$28),INDEX(振り分け!$B$7:$B$456,計算用!$J$28)))</f>
        <v/>
      </c>
      <c r="B32" s="57">
        <f>IF(計算用!$J$28="","",IF(計算用!$B$1=1,INDEX(計算用!$H$3:$H$452,計算用!$J$28),INDEX(振り分け!$D$7:$D$456,計算用!$J$28)))</f>
        <v/>
      </c>
      <c r="C32" s="56">
        <f>IF(計算用!$K$28="","",IF(計算用!$B$1=1,INDEX(計算用!$F$3:$F$452,計算用!$K$28),INDEX(振り分け!$B$7:$B$456,計算用!$K$28)))</f>
        <v/>
      </c>
      <c r="D32" s="57">
        <f>IF(計算用!$K$28="","",IF(計算用!$B$1=1,INDEX(計算用!$H$3:$H$452,計算用!$K$28),INDEX(振り分け!$D$7:$D$456,計算用!$K$28)))</f>
        <v/>
      </c>
      <c r="E32" s="56">
        <f>IF(計算用!$L$28="","",IF(計算用!$B$1=1,INDEX(計算用!$F$3:$F$452,計算用!$L$28),INDEX(振り分け!$B$7:$B$456,計算用!$L$28)))</f>
        <v/>
      </c>
      <c r="F32" s="57">
        <f>IF(計算用!$L$28="","",IF(計算用!$B$1=1,INDEX(計算用!$H$3:$H$452,計算用!$L$28),INDEX(振り分け!$D$7:$D$456,計算用!$L$28)))</f>
        <v/>
      </c>
      <c r="G32" s="56">
        <f>IF(計算用!$M$28="","",IF(計算用!$B$1=1,INDEX(計算用!$F$3:$F$452,計算用!$M$28),INDEX(振り分け!$B$7:$B$456,計算用!$M$28)))</f>
        <v/>
      </c>
      <c r="H32" s="57">
        <f>IF(計算用!$M$28="","",IF(計算用!$B$1=1,INDEX(計算用!$H$3:$H$452,計算用!$M$28),INDEX(振り分け!$D$7:$D$456,計算用!$M$28)))</f>
        <v/>
      </c>
      <c r="I32" s="56">
        <f>IF(計算用!$N$28="","",IF(計算用!$B$1=1,INDEX(計算用!$F$3:$F$452,計算用!$N$28),INDEX(振り分け!$B$7:$B$456,計算用!$N$28)))</f>
        <v/>
      </c>
      <c r="J32" s="57">
        <f>IF(計算用!$N$28="","",IF(計算用!$B$1=1,INDEX(計算用!$H$3:$H$452,計算用!$N$28),INDEX(振り分け!$D$7:$D$456,計算用!$N$28)))</f>
        <v/>
      </c>
      <c r="K32" s="56">
        <f>IF(計算用!$O$28="","",IF(計算用!$B$1=1,INDEX(計算用!$F$3:$F$452,計算用!$O$28),INDEX(振り分け!$B$7:$B$456,計算用!$O$28)))</f>
        <v/>
      </c>
      <c r="L32" s="57">
        <f>IF(計算用!$O$28="","",IF(計算用!$B$1=1,INDEX(計算用!$H$3:$H$452,計算用!$O$28),INDEX(振り分け!$D$7:$D$456,計算用!$O$28)))</f>
        <v/>
      </c>
      <c r="M32" s="56">
        <f>IF(計算用!$P$28="","",IF(計算用!$B$1=1,INDEX(計算用!$F$3:$F$452,計算用!$P$28),INDEX(振り分け!$B$7:$B$456,計算用!$P$28)))</f>
        <v/>
      </c>
      <c r="N32" s="57">
        <f>IF(計算用!$P$28="","",IF(計算用!$B$1=1,INDEX(計算用!$H$3:$H$452,計算用!$P$28),INDEX(振り分け!$D$7:$D$456,計算用!$P$28)))</f>
        <v/>
      </c>
      <c r="O32" s="56">
        <f>IF(計算用!$Q$28="","",IF(計算用!$B$1=1,INDEX(計算用!$F$3:$F$452,計算用!$Q$28),INDEX(振り分け!$B$7:$B$456,計算用!$Q$28)))</f>
        <v/>
      </c>
      <c r="P32" s="57">
        <f>IF(計算用!$Q$28="","",IF(計算用!$B$1=1,INDEX(計算用!$H$3:$H$452,計算用!$Q$28),INDEX(振り分け!$D$7:$D$456,計算用!$Q$28)))</f>
        <v/>
      </c>
      <c r="Q32" s="56">
        <f>IF(計算用!$R$28="","",IF(計算用!$B$1=1,INDEX(計算用!$F$3:$F$452,計算用!$R$28),INDEX(振り分け!$B$7:$B$456,計算用!$R$28)))</f>
        <v/>
      </c>
      <c r="R32" s="57">
        <f>IF(計算用!$R$28="","",IF(計算用!$B$1=1,INDEX(計算用!$H$3:$H$452,計算用!$R$28),INDEX(振り分け!$D$7:$D$456,計算用!$R$28)))</f>
        <v/>
      </c>
      <c r="S32" s="56">
        <f>IF(計算用!$S$28="","",IF(計算用!$B$1=1,INDEX(計算用!$F$3:$F$452,計算用!$S$28),INDEX(振り分け!$B$7:$B$456,計算用!$S$28)))</f>
        <v/>
      </c>
      <c r="T32" s="57">
        <f>IF(計算用!$S$28="","",IF(計算用!$B$1=1,INDEX(計算用!$H$3:$H$452,計算用!$S$28),INDEX(振り分け!$D$7:$D$456,計算用!$S$28)))</f>
        <v/>
      </c>
    </row>
    <row r="33">
      <c r="A33" s="56">
        <f>IF(計算用!$J$29="","",IF(計算用!$B$1=1,INDEX(計算用!$F$3:$F$452,計算用!$J$29),INDEX(振り分け!$B$7:$B$456,計算用!$J$29)))</f>
        <v/>
      </c>
      <c r="B33" s="57">
        <f>IF(計算用!$J$29="","",IF(計算用!$B$1=1,INDEX(計算用!$H$3:$H$452,計算用!$J$29),INDEX(振り分け!$D$7:$D$456,計算用!$J$29)))</f>
        <v/>
      </c>
      <c r="C33" s="56">
        <f>IF(計算用!$K$29="","",IF(計算用!$B$1=1,INDEX(計算用!$F$3:$F$452,計算用!$K$29),INDEX(振り分け!$B$7:$B$456,計算用!$K$29)))</f>
        <v/>
      </c>
      <c r="D33" s="57">
        <f>IF(計算用!$K$29="","",IF(計算用!$B$1=1,INDEX(計算用!$H$3:$H$452,計算用!$K$29),INDEX(振り分け!$D$7:$D$456,計算用!$K$29)))</f>
        <v/>
      </c>
      <c r="E33" s="56">
        <f>IF(計算用!$L$29="","",IF(計算用!$B$1=1,INDEX(計算用!$F$3:$F$452,計算用!$L$29),INDEX(振り分け!$B$7:$B$456,計算用!$L$29)))</f>
        <v/>
      </c>
      <c r="F33" s="57">
        <f>IF(計算用!$L$29="","",IF(計算用!$B$1=1,INDEX(計算用!$H$3:$H$452,計算用!$L$29),INDEX(振り分け!$D$7:$D$456,計算用!$L$29)))</f>
        <v/>
      </c>
      <c r="G33" s="56">
        <f>IF(計算用!$M$29="","",IF(計算用!$B$1=1,INDEX(計算用!$F$3:$F$452,計算用!$M$29),INDEX(振り分け!$B$7:$B$456,計算用!$M$29)))</f>
        <v/>
      </c>
      <c r="H33" s="57">
        <f>IF(計算用!$M$29="","",IF(計算用!$B$1=1,INDEX(計算用!$H$3:$H$452,計算用!$M$29),INDEX(振り分け!$D$7:$D$456,計算用!$M$29)))</f>
        <v/>
      </c>
      <c r="I33" s="56">
        <f>IF(計算用!$N$29="","",IF(計算用!$B$1=1,INDEX(計算用!$F$3:$F$452,計算用!$N$29),INDEX(振り分け!$B$7:$B$456,計算用!$N$29)))</f>
        <v/>
      </c>
      <c r="J33" s="57">
        <f>IF(計算用!$N$29="","",IF(計算用!$B$1=1,INDEX(計算用!$H$3:$H$452,計算用!$N$29),INDEX(振り分け!$D$7:$D$456,計算用!$N$29)))</f>
        <v/>
      </c>
      <c r="K33" s="56">
        <f>IF(計算用!$O$29="","",IF(計算用!$B$1=1,INDEX(計算用!$F$3:$F$452,計算用!$O$29),INDEX(振り分け!$B$7:$B$456,計算用!$O$29)))</f>
        <v/>
      </c>
      <c r="L33" s="57">
        <f>IF(計算用!$O$29="","",IF(計算用!$B$1=1,INDEX(計算用!$H$3:$H$452,計算用!$O$29),INDEX(振り分け!$D$7:$D$456,計算用!$O$29)))</f>
        <v/>
      </c>
      <c r="M33" s="56">
        <f>IF(計算用!$P$29="","",IF(計算用!$B$1=1,INDEX(計算用!$F$3:$F$452,計算用!$P$29),INDEX(振り分け!$B$7:$B$456,計算用!$P$29)))</f>
        <v/>
      </c>
      <c r="N33" s="57">
        <f>IF(計算用!$P$29="","",IF(計算用!$B$1=1,INDEX(計算用!$H$3:$H$452,計算用!$P$29),INDEX(振り分け!$D$7:$D$456,計算用!$P$29)))</f>
        <v/>
      </c>
      <c r="O33" s="56">
        <f>IF(計算用!$Q$29="","",IF(計算用!$B$1=1,INDEX(計算用!$F$3:$F$452,計算用!$Q$29),INDEX(振り分け!$B$7:$B$456,計算用!$Q$29)))</f>
        <v/>
      </c>
      <c r="P33" s="57">
        <f>IF(計算用!$Q$29="","",IF(計算用!$B$1=1,INDEX(計算用!$H$3:$H$452,計算用!$Q$29),INDEX(振り分け!$D$7:$D$456,計算用!$Q$29)))</f>
        <v/>
      </c>
      <c r="Q33" s="56">
        <f>IF(計算用!$R$29="","",IF(計算用!$B$1=1,INDEX(計算用!$F$3:$F$452,計算用!$R$29),INDEX(振り分け!$B$7:$B$456,計算用!$R$29)))</f>
        <v/>
      </c>
      <c r="R33" s="57">
        <f>IF(計算用!$R$29="","",IF(計算用!$B$1=1,INDEX(計算用!$H$3:$H$452,計算用!$R$29),INDEX(振り分け!$D$7:$D$456,計算用!$R$29)))</f>
        <v/>
      </c>
      <c r="S33" s="56">
        <f>IF(計算用!$S$29="","",IF(計算用!$B$1=1,INDEX(計算用!$F$3:$F$452,計算用!$S$29),INDEX(振り分け!$B$7:$B$456,計算用!$S$29)))</f>
        <v/>
      </c>
      <c r="T33" s="57">
        <f>IF(計算用!$S$29="","",IF(計算用!$B$1=1,INDEX(計算用!$H$3:$H$452,計算用!$S$29),INDEX(振り分け!$D$7:$D$456,計算用!$S$29)))</f>
        <v/>
      </c>
    </row>
    <row r="34">
      <c r="A34" s="56">
        <f>IF(計算用!$J$30="","",IF(計算用!$B$1=1,INDEX(計算用!$F$3:$F$452,計算用!$J$30),INDEX(振り分け!$B$7:$B$456,計算用!$J$30)))</f>
        <v/>
      </c>
      <c r="B34" s="57">
        <f>IF(計算用!$J$30="","",IF(計算用!$B$1=1,INDEX(計算用!$H$3:$H$452,計算用!$J$30),INDEX(振り分け!$D$7:$D$456,計算用!$J$30)))</f>
        <v/>
      </c>
      <c r="C34" s="56">
        <f>IF(計算用!$K$30="","",IF(計算用!$B$1=1,INDEX(計算用!$F$3:$F$452,計算用!$K$30),INDEX(振り分け!$B$7:$B$456,計算用!$K$30)))</f>
        <v/>
      </c>
      <c r="D34" s="57">
        <f>IF(計算用!$K$30="","",IF(計算用!$B$1=1,INDEX(計算用!$H$3:$H$452,計算用!$K$30),INDEX(振り分け!$D$7:$D$456,計算用!$K$30)))</f>
        <v/>
      </c>
      <c r="E34" s="56">
        <f>IF(計算用!$L$30="","",IF(計算用!$B$1=1,INDEX(計算用!$F$3:$F$452,計算用!$L$30),INDEX(振り分け!$B$7:$B$456,計算用!$L$30)))</f>
        <v/>
      </c>
      <c r="F34" s="57">
        <f>IF(計算用!$L$30="","",IF(計算用!$B$1=1,INDEX(計算用!$H$3:$H$452,計算用!$L$30),INDEX(振り分け!$D$7:$D$456,計算用!$L$30)))</f>
        <v/>
      </c>
      <c r="G34" s="56">
        <f>IF(計算用!$M$30="","",IF(計算用!$B$1=1,INDEX(計算用!$F$3:$F$452,計算用!$M$30),INDEX(振り分け!$B$7:$B$456,計算用!$M$30)))</f>
        <v/>
      </c>
      <c r="H34" s="57">
        <f>IF(計算用!$M$30="","",IF(計算用!$B$1=1,INDEX(計算用!$H$3:$H$452,計算用!$M$30),INDEX(振り分け!$D$7:$D$456,計算用!$M$30)))</f>
        <v/>
      </c>
      <c r="I34" s="56">
        <f>IF(計算用!$N$30="","",IF(計算用!$B$1=1,INDEX(計算用!$F$3:$F$452,計算用!$N$30),INDEX(振り分け!$B$7:$B$456,計算用!$N$30)))</f>
        <v/>
      </c>
      <c r="J34" s="57">
        <f>IF(計算用!$N$30="","",IF(計算用!$B$1=1,INDEX(計算用!$H$3:$H$452,計算用!$N$30),INDEX(振り分け!$D$7:$D$456,計算用!$N$30)))</f>
        <v/>
      </c>
      <c r="K34" s="56">
        <f>IF(計算用!$O$30="","",IF(計算用!$B$1=1,INDEX(計算用!$F$3:$F$452,計算用!$O$30),INDEX(振り分け!$B$7:$B$456,計算用!$O$30)))</f>
        <v/>
      </c>
      <c r="L34" s="57">
        <f>IF(計算用!$O$30="","",IF(計算用!$B$1=1,INDEX(計算用!$H$3:$H$452,計算用!$O$30),INDEX(振り分け!$D$7:$D$456,計算用!$O$30)))</f>
        <v/>
      </c>
      <c r="M34" s="56">
        <f>IF(計算用!$P$30="","",IF(計算用!$B$1=1,INDEX(計算用!$F$3:$F$452,計算用!$P$30),INDEX(振り分け!$B$7:$B$456,計算用!$P$30)))</f>
        <v/>
      </c>
      <c r="N34" s="57">
        <f>IF(計算用!$P$30="","",IF(計算用!$B$1=1,INDEX(計算用!$H$3:$H$452,計算用!$P$30),INDEX(振り分け!$D$7:$D$456,計算用!$P$30)))</f>
        <v/>
      </c>
      <c r="O34" s="56">
        <f>IF(計算用!$Q$30="","",IF(計算用!$B$1=1,INDEX(計算用!$F$3:$F$452,計算用!$Q$30),INDEX(振り分け!$B$7:$B$456,計算用!$Q$30)))</f>
        <v/>
      </c>
      <c r="P34" s="57">
        <f>IF(計算用!$Q$30="","",IF(計算用!$B$1=1,INDEX(計算用!$H$3:$H$452,計算用!$Q$30),INDEX(振り分け!$D$7:$D$456,計算用!$Q$30)))</f>
        <v/>
      </c>
      <c r="Q34" s="56">
        <f>IF(計算用!$R$30="","",IF(計算用!$B$1=1,INDEX(計算用!$F$3:$F$452,計算用!$R$30),INDEX(振り分け!$B$7:$B$456,計算用!$R$30)))</f>
        <v/>
      </c>
      <c r="R34" s="57">
        <f>IF(計算用!$R$30="","",IF(計算用!$B$1=1,INDEX(計算用!$H$3:$H$452,計算用!$R$30),INDEX(振り分け!$D$7:$D$456,計算用!$R$30)))</f>
        <v/>
      </c>
      <c r="S34" s="56">
        <f>IF(計算用!$S$30="","",IF(計算用!$B$1=1,INDEX(計算用!$F$3:$F$452,計算用!$S$30),INDEX(振り分け!$B$7:$B$456,計算用!$S$30)))</f>
        <v/>
      </c>
      <c r="T34" s="57">
        <f>IF(計算用!$S$30="","",IF(計算用!$B$1=1,INDEX(計算用!$H$3:$H$452,計算用!$S$30),INDEX(振り分け!$D$7:$D$456,計算用!$S$30)))</f>
        <v/>
      </c>
    </row>
    <row r="35">
      <c r="A35" s="56">
        <f>IF(計算用!$J$31="","",IF(計算用!$B$1=1,INDEX(計算用!$F$3:$F$452,計算用!$J$31),INDEX(振り分け!$B$7:$B$456,計算用!$J$31)))</f>
        <v/>
      </c>
      <c r="B35" s="57">
        <f>IF(計算用!$J$31="","",IF(計算用!$B$1=1,INDEX(計算用!$H$3:$H$452,計算用!$J$31),INDEX(振り分け!$D$7:$D$456,計算用!$J$31)))</f>
        <v/>
      </c>
      <c r="C35" s="56">
        <f>IF(計算用!$K$31="","",IF(計算用!$B$1=1,INDEX(計算用!$F$3:$F$452,計算用!$K$31),INDEX(振り分け!$B$7:$B$456,計算用!$K$31)))</f>
        <v/>
      </c>
      <c r="D35" s="57">
        <f>IF(計算用!$K$31="","",IF(計算用!$B$1=1,INDEX(計算用!$H$3:$H$452,計算用!$K$31),INDEX(振り分け!$D$7:$D$456,計算用!$K$31)))</f>
        <v/>
      </c>
      <c r="E35" s="56">
        <f>IF(計算用!$L$31="","",IF(計算用!$B$1=1,INDEX(計算用!$F$3:$F$452,計算用!$L$31),INDEX(振り分け!$B$7:$B$456,計算用!$L$31)))</f>
        <v/>
      </c>
      <c r="F35" s="57">
        <f>IF(計算用!$L$31="","",IF(計算用!$B$1=1,INDEX(計算用!$H$3:$H$452,計算用!$L$31),INDEX(振り分け!$D$7:$D$456,計算用!$L$31)))</f>
        <v/>
      </c>
      <c r="G35" s="56">
        <f>IF(計算用!$M$31="","",IF(計算用!$B$1=1,INDEX(計算用!$F$3:$F$452,計算用!$M$31),INDEX(振り分け!$B$7:$B$456,計算用!$M$31)))</f>
        <v/>
      </c>
      <c r="H35" s="57">
        <f>IF(計算用!$M$31="","",IF(計算用!$B$1=1,INDEX(計算用!$H$3:$H$452,計算用!$M$31),INDEX(振り分け!$D$7:$D$456,計算用!$M$31)))</f>
        <v/>
      </c>
      <c r="I35" s="56">
        <f>IF(計算用!$N$31="","",IF(計算用!$B$1=1,INDEX(計算用!$F$3:$F$452,計算用!$N$31),INDEX(振り分け!$B$7:$B$456,計算用!$N$31)))</f>
        <v/>
      </c>
      <c r="J35" s="57">
        <f>IF(計算用!$N$31="","",IF(計算用!$B$1=1,INDEX(計算用!$H$3:$H$452,計算用!$N$31),INDEX(振り分け!$D$7:$D$456,計算用!$N$31)))</f>
        <v/>
      </c>
      <c r="K35" s="56">
        <f>IF(計算用!$O$31="","",IF(計算用!$B$1=1,INDEX(計算用!$F$3:$F$452,計算用!$O$31),INDEX(振り分け!$B$7:$B$456,計算用!$O$31)))</f>
        <v/>
      </c>
      <c r="L35" s="57">
        <f>IF(計算用!$O$31="","",IF(計算用!$B$1=1,INDEX(計算用!$H$3:$H$452,計算用!$O$31),INDEX(振り分け!$D$7:$D$456,計算用!$O$31)))</f>
        <v/>
      </c>
      <c r="M35" s="56">
        <f>IF(計算用!$P$31="","",IF(計算用!$B$1=1,INDEX(計算用!$F$3:$F$452,計算用!$P$31),INDEX(振り分け!$B$7:$B$456,計算用!$P$31)))</f>
        <v/>
      </c>
      <c r="N35" s="57">
        <f>IF(計算用!$P$31="","",IF(計算用!$B$1=1,INDEX(計算用!$H$3:$H$452,計算用!$P$31),INDEX(振り分け!$D$7:$D$456,計算用!$P$31)))</f>
        <v/>
      </c>
      <c r="O35" s="56">
        <f>IF(計算用!$Q$31="","",IF(計算用!$B$1=1,INDEX(計算用!$F$3:$F$452,計算用!$Q$31),INDEX(振り分け!$B$7:$B$456,計算用!$Q$31)))</f>
        <v/>
      </c>
      <c r="P35" s="57">
        <f>IF(計算用!$Q$31="","",IF(計算用!$B$1=1,INDEX(計算用!$H$3:$H$452,計算用!$Q$31),INDEX(振り分け!$D$7:$D$456,計算用!$Q$31)))</f>
        <v/>
      </c>
      <c r="Q35" s="56">
        <f>IF(計算用!$R$31="","",IF(計算用!$B$1=1,INDEX(計算用!$F$3:$F$452,計算用!$R$31),INDEX(振り分け!$B$7:$B$456,計算用!$R$31)))</f>
        <v/>
      </c>
      <c r="R35" s="57">
        <f>IF(計算用!$R$31="","",IF(計算用!$B$1=1,INDEX(計算用!$H$3:$H$452,計算用!$R$31),INDEX(振り分け!$D$7:$D$456,計算用!$R$31)))</f>
        <v/>
      </c>
      <c r="S35" s="56">
        <f>IF(計算用!$S$31="","",IF(計算用!$B$1=1,INDEX(計算用!$F$3:$F$452,計算用!$S$31),INDEX(振り分け!$B$7:$B$456,計算用!$S$31)))</f>
        <v/>
      </c>
      <c r="T35" s="57">
        <f>IF(計算用!$S$31="","",IF(計算用!$B$1=1,INDEX(計算用!$H$3:$H$452,計算用!$S$31),INDEX(振り分け!$D$7:$D$456,計算用!$S$31)))</f>
        <v/>
      </c>
    </row>
    <row r="36">
      <c r="A36" s="56">
        <f>IF(計算用!$J$32="","",IF(計算用!$B$1=1,INDEX(計算用!$F$3:$F$452,計算用!$J$32),INDEX(振り分け!$B$7:$B$456,計算用!$J$32)))</f>
        <v/>
      </c>
      <c r="B36" s="57">
        <f>IF(計算用!$J$32="","",IF(計算用!$B$1=1,INDEX(計算用!$H$3:$H$452,計算用!$J$32),INDEX(振り分け!$D$7:$D$456,計算用!$J$32)))</f>
        <v/>
      </c>
      <c r="C36" s="56">
        <f>IF(計算用!$K$32="","",IF(計算用!$B$1=1,INDEX(計算用!$F$3:$F$452,計算用!$K$32),INDEX(振り分け!$B$7:$B$456,計算用!$K$32)))</f>
        <v/>
      </c>
      <c r="D36" s="57">
        <f>IF(計算用!$K$32="","",IF(計算用!$B$1=1,INDEX(計算用!$H$3:$H$452,計算用!$K$32),INDEX(振り分け!$D$7:$D$456,計算用!$K$32)))</f>
        <v/>
      </c>
      <c r="E36" s="56">
        <f>IF(計算用!$L$32="","",IF(計算用!$B$1=1,INDEX(計算用!$F$3:$F$452,計算用!$L$32),INDEX(振り分け!$B$7:$B$456,計算用!$L$32)))</f>
        <v/>
      </c>
      <c r="F36" s="57">
        <f>IF(計算用!$L$32="","",IF(計算用!$B$1=1,INDEX(計算用!$H$3:$H$452,計算用!$L$32),INDEX(振り分け!$D$7:$D$456,計算用!$L$32)))</f>
        <v/>
      </c>
      <c r="G36" s="56">
        <f>IF(計算用!$M$32="","",IF(計算用!$B$1=1,INDEX(計算用!$F$3:$F$452,計算用!$M$32),INDEX(振り分け!$B$7:$B$456,計算用!$M$32)))</f>
        <v/>
      </c>
      <c r="H36" s="57">
        <f>IF(計算用!$M$32="","",IF(計算用!$B$1=1,INDEX(計算用!$H$3:$H$452,計算用!$M$32),INDEX(振り分け!$D$7:$D$456,計算用!$M$32)))</f>
        <v/>
      </c>
      <c r="I36" s="56">
        <f>IF(計算用!$N$32="","",IF(計算用!$B$1=1,INDEX(計算用!$F$3:$F$452,計算用!$N$32),INDEX(振り分け!$B$7:$B$456,計算用!$N$32)))</f>
        <v/>
      </c>
      <c r="J36" s="57">
        <f>IF(計算用!$N$32="","",IF(計算用!$B$1=1,INDEX(計算用!$H$3:$H$452,計算用!$N$32),INDEX(振り分け!$D$7:$D$456,計算用!$N$32)))</f>
        <v/>
      </c>
      <c r="K36" s="56">
        <f>IF(計算用!$O$32="","",IF(計算用!$B$1=1,INDEX(計算用!$F$3:$F$452,計算用!$O$32),INDEX(振り分け!$B$7:$B$456,計算用!$O$32)))</f>
        <v/>
      </c>
      <c r="L36" s="57">
        <f>IF(計算用!$O$32="","",IF(計算用!$B$1=1,INDEX(計算用!$H$3:$H$452,計算用!$O$32),INDEX(振り分け!$D$7:$D$456,計算用!$O$32)))</f>
        <v/>
      </c>
      <c r="M36" s="56">
        <f>IF(計算用!$P$32="","",IF(計算用!$B$1=1,INDEX(計算用!$F$3:$F$452,計算用!$P$32),INDEX(振り分け!$B$7:$B$456,計算用!$P$32)))</f>
        <v/>
      </c>
      <c r="N36" s="57">
        <f>IF(計算用!$P$32="","",IF(計算用!$B$1=1,INDEX(計算用!$H$3:$H$452,計算用!$P$32),INDEX(振り分け!$D$7:$D$456,計算用!$P$32)))</f>
        <v/>
      </c>
      <c r="O36" s="56">
        <f>IF(計算用!$Q$32="","",IF(計算用!$B$1=1,INDEX(計算用!$F$3:$F$452,計算用!$Q$32),INDEX(振り分け!$B$7:$B$456,計算用!$Q$32)))</f>
        <v/>
      </c>
      <c r="P36" s="57">
        <f>IF(計算用!$Q$32="","",IF(計算用!$B$1=1,INDEX(計算用!$H$3:$H$452,計算用!$Q$32),INDEX(振り分け!$D$7:$D$456,計算用!$Q$32)))</f>
        <v/>
      </c>
      <c r="Q36" s="56">
        <f>IF(計算用!$R$32="","",IF(計算用!$B$1=1,INDEX(計算用!$F$3:$F$452,計算用!$R$32),INDEX(振り分け!$B$7:$B$456,計算用!$R$32)))</f>
        <v/>
      </c>
      <c r="R36" s="57">
        <f>IF(計算用!$R$32="","",IF(計算用!$B$1=1,INDEX(計算用!$H$3:$H$452,計算用!$R$32),INDEX(振り分け!$D$7:$D$456,計算用!$R$32)))</f>
        <v/>
      </c>
      <c r="S36" s="56">
        <f>IF(計算用!$S$32="","",IF(計算用!$B$1=1,INDEX(計算用!$F$3:$F$452,計算用!$S$32),INDEX(振り分け!$B$7:$B$456,計算用!$S$32)))</f>
        <v/>
      </c>
      <c r="T36" s="57">
        <f>IF(計算用!$S$32="","",IF(計算用!$B$1=1,INDEX(計算用!$H$3:$H$452,計算用!$S$32),INDEX(振り分け!$D$7:$D$456,計算用!$S$32)))</f>
        <v/>
      </c>
    </row>
    <row r="37">
      <c r="A37" s="56">
        <f>IF(計算用!$J$33="","",IF(計算用!$B$1=1,INDEX(計算用!$F$3:$F$452,計算用!$J$33),INDEX(振り分け!$B$7:$B$456,計算用!$J$33)))</f>
        <v/>
      </c>
      <c r="B37" s="57">
        <f>IF(計算用!$J$33="","",IF(計算用!$B$1=1,INDEX(計算用!$H$3:$H$452,計算用!$J$33),INDEX(振り分け!$D$7:$D$456,計算用!$J$33)))</f>
        <v/>
      </c>
      <c r="C37" s="56">
        <f>IF(計算用!$K$33="","",IF(計算用!$B$1=1,INDEX(計算用!$F$3:$F$452,計算用!$K$33),INDEX(振り分け!$B$7:$B$456,計算用!$K$33)))</f>
        <v/>
      </c>
      <c r="D37" s="57">
        <f>IF(計算用!$K$33="","",IF(計算用!$B$1=1,INDEX(計算用!$H$3:$H$452,計算用!$K$33),INDEX(振り分け!$D$7:$D$456,計算用!$K$33)))</f>
        <v/>
      </c>
      <c r="E37" s="56">
        <f>IF(計算用!$L$33="","",IF(計算用!$B$1=1,INDEX(計算用!$F$3:$F$452,計算用!$L$33),INDEX(振り分け!$B$7:$B$456,計算用!$L$33)))</f>
        <v/>
      </c>
      <c r="F37" s="57">
        <f>IF(計算用!$L$33="","",IF(計算用!$B$1=1,INDEX(計算用!$H$3:$H$452,計算用!$L$33),INDEX(振り分け!$D$7:$D$456,計算用!$L$33)))</f>
        <v/>
      </c>
      <c r="G37" s="56">
        <f>IF(計算用!$M$33="","",IF(計算用!$B$1=1,INDEX(計算用!$F$3:$F$452,計算用!$M$33),INDEX(振り分け!$B$7:$B$456,計算用!$M$33)))</f>
        <v/>
      </c>
      <c r="H37" s="57">
        <f>IF(計算用!$M$33="","",IF(計算用!$B$1=1,INDEX(計算用!$H$3:$H$452,計算用!$M$33),INDEX(振り分け!$D$7:$D$456,計算用!$M$33)))</f>
        <v/>
      </c>
      <c r="I37" s="56">
        <f>IF(計算用!$N$33="","",IF(計算用!$B$1=1,INDEX(計算用!$F$3:$F$452,計算用!$N$33),INDEX(振り分け!$B$7:$B$456,計算用!$N$33)))</f>
        <v/>
      </c>
      <c r="J37" s="57">
        <f>IF(計算用!$N$33="","",IF(計算用!$B$1=1,INDEX(計算用!$H$3:$H$452,計算用!$N$33),INDEX(振り分け!$D$7:$D$456,計算用!$N$33)))</f>
        <v/>
      </c>
      <c r="K37" s="56">
        <f>IF(計算用!$O$33="","",IF(計算用!$B$1=1,INDEX(計算用!$F$3:$F$452,計算用!$O$33),INDEX(振り分け!$B$7:$B$456,計算用!$O$33)))</f>
        <v/>
      </c>
      <c r="L37" s="57">
        <f>IF(計算用!$O$33="","",IF(計算用!$B$1=1,INDEX(計算用!$H$3:$H$452,計算用!$O$33),INDEX(振り分け!$D$7:$D$456,計算用!$O$33)))</f>
        <v/>
      </c>
      <c r="M37" s="56">
        <f>IF(計算用!$P$33="","",IF(計算用!$B$1=1,INDEX(計算用!$F$3:$F$452,計算用!$P$33),INDEX(振り分け!$B$7:$B$456,計算用!$P$33)))</f>
        <v/>
      </c>
      <c r="N37" s="57">
        <f>IF(計算用!$P$33="","",IF(計算用!$B$1=1,INDEX(計算用!$H$3:$H$452,計算用!$P$33),INDEX(振り分け!$D$7:$D$456,計算用!$P$33)))</f>
        <v/>
      </c>
      <c r="O37" s="56">
        <f>IF(計算用!$Q$33="","",IF(計算用!$B$1=1,INDEX(計算用!$F$3:$F$452,計算用!$Q$33),INDEX(振り分け!$B$7:$B$456,計算用!$Q$33)))</f>
        <v/>
      </c>
      <c r="P37" s="57">
        <f>IF(計算用!$Q$33="","",IF(計算用!$B$1=1,INDEX(計算用!$H$3:$H$452,計算用!$Q$33),INDEX(振り分け!$D$7:$D$456,計算用!$Q$33)))</f>
        <v/>
      </c>
      <c r="Q37" s="56">
        <f>IF(計算用!$R$33="","",IF(計算用!$B$1=1,INDEX(計算用!$F$3:$F$452,計算用!$R$33),INDEX(振り分け!$B$7:$B$456,計算用!$R$33)))</f>
        <v/>
      </c>
      <c r="R37" s="57">
        <f>IF(計算用!$R$33="","",IF(計算用!$B$1=1,INDEX(計算用!$H$3:$H$452,計算用!$R$33),INDEX(振り分け!$D$7:$D$456,計算用!$R$33)))</f>
        <v/>
      </c>
      <c r="S37" s="56">
        <f>IF(計算用!$S$33="","",IF(計算用!$B$1=1,INDEX(計算用!$F$3:$F$452,計算用!$S$33),INDEX(振り分け!$B$7:$B$456,計算用!$S$33)))</f>
        <v/>
      </c>
      <c r="T37" s="57">
        <f>IF(計算用!$S$33="","",IF(計算用!$B$1=1,INDEX(計算用!$H$3:$H$452,計算用!$S$33),INDEX(振り分け!$D$7:$D$456,計算用!$S$33)))</f>
        <v/>
      </c>
    </row>
    <row r="38">
      <c r="A38" s="56">
        <f>IF(計算用!$J$34="","",IF(計算用!$B$1=1,INDEX(計算用!$F$3:$F$452,計算用!$J$34),INDEX(振り分け!$B$7:$B$456,計算用!$J$34)))</f>
        <v/>
      </c>
      <c r="B38" s="57">
        <f>IF(計算用!$J$34="","",IF(計算用!$B$1=1,INDEX(計算用!$H$3:$H$452,計算用!$J$34),INDEX(振り分け!$D$7:$D$456,計算用!$J$34)))</f>
        <v/>
      </c>
      <c r="C38" s="56">
        <f>IF(計算用!$K$34="","",IF(計算用!$B$1=1,INDEX(計算用!$F$3:$F$452,計算用!$K$34),INDEX(振り分け!$B$7:$B$456,計算用!$K$34)))</f>
        <v/>
      </c>
      <c r="D38" s="57">
        <f>IF(計算用!$K$34="","",IF(計算用!$B$1=1,INDEX(計算用!$H$3:$H$452,計算用!$K$34),INDEX(振り分け!$D$7:$D$456,計算用!$K$34)))</f>
        <v/>
      </c>
      <c r="E38" s="56">
        <f>IF(計算用!$L$34="","",IF(計算用!$B$1=1,INDEX(計算用!$F$3:$F$452,計算用!$L$34),INDEX(振り分け!$B$7:$B$456,計算用!$L$34)))</f>
        <v/>
      </c>
      <c r="F38" s="57">
        <f>IF(計算用!$L$34="","",IF(計算用!$B$1=1,INDEX(計算用!$H$3:$H$452,計算用!$L$34),INDEX(振り分け!$D$7:$D$456,計算用!$L$34)))</f>
        <v/>
      </c>
      <c r="G38" s="56">
        <f>IF(計算用!$M$34="","",IF(計算用!$B$1=1,INDEX(計算用!$F$3:$F$452,計算用!$M$34),INDEX(振り分け!$B$7:$B$456,計算用!$M$34)))</f>
        <v/>
      </c>
      <c r="H38" s="57">
        <f>IF(計算用!$M$34="","",IF(計算用!$B$1=1,INDEX(計算用!$H$3:$H$452,計算用!$M$34),INDEX(振り分け!$D$7:$D$456,計算用!$M$34)))</f>
        <v/>
      </c>
      <c r="I38" s="56">
        <f>IF(計算用!$N$34="","",IF(計算用!$B$1=1,INDEX(計算用!$F$3:$F$452,計算用!$N$34),INDEX(振り分け!$B$7:$B$456,計算用!$N$34)))</f>
        <v/>
      </c>
      <c r="J38" s="57">
        <f>IF(計算用!$N$34="","",IF(計算用!$B$1=1,INDEX(計算用!$H$3:$H$452,計算用!$N$34),INDEX(振り分け!$D$7:$D$456,計算用!$N$34)))</f>
        <v/>
      </c>
      <c r="K38" s="56">
        <f>IF(計算用!$O$34="","",IF(計算用!$B$1=1,INDEX(計算用!$F$3:$F$452,計算用!$O$34),INDEX(振り分け!$B$7:$B$456,計算用!$O$34)))</f>
        <v/>
      </c>
      <c r="L38" s="57">
        <f>IF(計算用!$O$34="","",IF(計算用!$B$1=1,INDEX(計算用!$H$3:$H$452,計算用!$O$34),INDEX(振り分け!$D$7:$D$456,計算用!$O$34)))</f>
        <v/>
      </c>
      <c r="M38" s="56">
        <f>IF(計算用!$P$34="","",IF(計算用!$B$1=1,INDEX(計算用!$F$3:$F$452,計算用!$P$34),INDEX(振り分け!$B$7:$B$456,計算用!$P$34)))</f>
        <v/>
      </c>
      <c r="N38" s="57">
        <f>IF(計算用!$P$34="","",IF(計算用!$B$1=1,INDEX(計算用!$H$3:$H$452,計算用!$P$34),INDEX(振り分け!$D$7:$D$456,計算用!$P$34)))</f>
        <v/>
      </c>
      <c r="O38" s="56">
        <f>IF(計算用!$Q$34="","",IF(計算用!$B$1=1,INDEX(計算用!$F$3:$F$452,計算用!$Q$34),INDEX(振り分け!$B$7:$B$456,計算用!$Q$34)))</f>
        <v/>
      </c>
      <c r="P38" s="57">
        <f>IF(計算用!$Q$34="","",IF(計算用!$B$1=1,INDEX(計算用!$H$3:$H$452,計算用!$Q$34),INDEX(振り分け!$D$7:$D$456,計算用!$Q$34)))</f>
        <v/>
      </c>
      <c r="Q38" s="56">
        <f>IF(計算用!$R$34="","",IF(計算用!$B$1=1,INDEX(計算用!$F$3:$F$452,計算用!$R$34),INDEX(振り分け!$B$7:$B$456,計算用!$R$34)))</f>
        <v/>
      </c>
      <c r="R38" s="57">
        <f>IF(計算用!$R$34="","",IF(計算用!$B$1=1,INDEX(計算用!$H$3:$H$452,計算用!$R$34),INDEX(振り分け!$D$7:$D$456,計算用!$R$34)))</f>
        <v/>
      </c>
      <c r="S38" s="56">
        <f>IF(計算用!$S$34="","",IF(計算用!$B$1=1,INDEX(計算用!$F$3:$F$452,計算用!$S$34),INDEX(振り分け!$B$7:$B$456,計算用!$S$34)))</f>
        <v/>
      </c>
      <c r="T38" s="57">
        <f>IF(計算用!$S$34="","",IF(計算用!$B$1=1,INDEX(計算用!$H$3:$H$452,計算用!$S$34),INDEX(振り分け!$D$7:$D$456,計算用!$S$34)))</f>
        <v/>
      </c>
    </row>
    <row r="39">
      <c r="A39" s="56">
        <f>IF(計算用!$J$35="","",IF(計算用!$B$1=1,INDEX(計算用!$F$3:$F$452,計算用!$J$35),INDEX(振り分け!$B$7:$B$456,計算用!$J$35)))</f>
        <v/>
      </c>
      <c r="B39" s="57">
        <f>IF(計算用!$J$35="","",IF(計算用!$B$1=1,INDEX(計算用!$H$3:$H$452,計算用!$J$35),INDEX(振り分け!$D$7:$D$456,計算用!$J$35)))</f>
        <v/>
      </c>
      <c r="C39" s="56">
        <f>IF(計算用!$K$35="","",IF(計算用!$B$1=1,INDEX(計算用!$F$3:$F$452,計算用!$K$35),INDEX(振り分け!$B$7:$B$456,計算用!$K$35)))</f>
        <v/>
      </c>
      <c r="D39" s="57">
        <f>IF(計算用!$K$35="","",IF(計算用!$B$1=1,INDEX(計算用!$H$3:$H$452,計算用!$K$35),INDEX(振り分け!$D$7:$D$456,計算用!$K$35)))</f>
        <v/>
      </c>
      <c r="E39" s="56">
        <f>IF(計算用!$L$35="","",IF(計算用!$B$1=1,INDEX(計算用!$F$3:$F$452,計算用!$L$35),INDEX(振り分け!$B$7:$B$456,計算用!$L$35)))</f>
        <v/>
      </c>
      <c r="F39" s="57">
        <f>IF(計算用!$L$35="","",IF(計算用!$B$1=1,INDEX(計算用!$H$3:$H$452,計算用!$L$35),INDEX(振り分け!$D$7:$D$456,計算用!$L$35)))</f>
        <v/>
      </c>
      <c r="G39" s="56">
        <f>IF(計算用!$M$35="","",IF(計算用!$B$1=1,INDEX(計算用!$F$3:$F$452,計算用!$M$35),INDEX(振り分け!$B$7:$B$456,計算用!$M$35)))</f>
        <v/>
      </c>
      <c r="H39" s="57">
        <f>IF(計算用!$M$35="","",IF(計算用!$B$1=1,INDEX(計算用!$H$3:$H$452,計算用!$M$35),INDEX(振り分け!$D$7:$D$456,計算用!$M$35)))</f>
        <v/>
      </c>
      <c r="I39" s="56">
        <f>IF(計算用!$N$35="","",IF(計算用!$B$1=1,INDEX(計算用!$F$3:$F$452,計算用!$N$35),INDEX(振り分け!$B$7:$B$456,計算用!$N$35)))</f>
        <v/>
      </c>
      <c r="J39" s="57">
        <f>IF(計算用!$N$35="","",IF(計算用!$B$1=1,INDEX(計算用!$H$3:$H$452,計算用!$N$35),INDEX(振り分け!$D$7:$D$456,計算用!$N$35)))</f>
        <v/>
      </c>
      <c r="K39" s="56">
        <f>IF(計算用!$O$35="","",IF(計算用!$B$1=1,INDEX(計算用!$F$3:$F$452,計算用!$O$35),INDEX(振り分け!$B$7:$B$456,計算用!$O$35)))</f>
        <v/>
      </c>
      <c r="L39" s="57">
        <f>IF(計算用!$O$35="","",IF(計算用!$B$1=1,INDEX(計算用!$H$3:$H$452,計算用!$O$35),INDEX(振り分け!$D$7:$D$456,計算用!$O$35)))</f>
        <v/>
      </c>
      <c r="M39" s="56">
        <f>IF(計算用!$P$35="","",IF(計算用!$B$1=1,INDEX(計算用!$F$3:$F$452,計算用!$P$35),INDEX(振り分け!$B$7:$B$456,計算用!$P$35)))</f>
        <v/>
      </c>
      <c r="N39" s="57">
        <f>IF(計算用!$P$35="","",IF(計算用!$B$1=1,INDEX(計算用!$H$3:$H$452,計算用!$P$35),INDEX(振り分け!$D$7:$D$456,計算用!$P$35)))</f>
        <v/>
      </c>
      <c r="O39" s="56">
        <f>IF(計算用!$Q$35="","",IF(計算用!$B$1=1,INDEX(計算用!$F$3:$F$452,計算用!$Q$35),INDEX(振り分け!$B$7:$B$456,計算用!$Q$35)))</f>
        <v/>
      </c>
      <c r="P39" s="57">
        <f>IF(計算用!$Q$35="","",IF(計算用!$B$1=1,INDEX(計算用!$H$3:$H$452,計算用!$Q$35),INDEX(振り分け!$D$7:$D$456,計算用!$Q$35)))</f>
        <v/>
      </c>
      <c r="Q39" s="56">
        <f>IF(計算用!$R$35="","",IF(計算用!$B$1=1,INDEX(計算用!$F$3:$F$452,計算用!$R$35),INDEX(振り分け!$B$7:$B$456,計算用!$R$35)))</f>
        <v/>
      </c>
      <c r="R39" s="57">
        <f>IF(計算用!$R$35="","",IF(計算用!$B$1=1,INDEX(計算用!$H$3:$H$452,計算用!$R$35),INDEX(振り分け!$D$7:$D$456,計算用!$R$35)))</f>
        <v/>
      </c>
      <c r="S39" s="56">
        <f>IF(計算用!$S$35="","",IF(計算用!$B$1=1,INDEX(計算用!$F$3:$F$452,計算用!$S$35),INDEX(振り分け!$B$7:$B$456,計算用!$S$35)))</f>
        <v/>
      </c>
      <c r="T39" s="57">
        <f>IF(計算用!$S$35="","",IF(計算用!$B$1=1,INDEX(計算用!$H$3:$H$452,計算用!$S$35),INDEX(振り分け!$D$7:$D$456,計算用!$S$35)))</f>
        <v/>
      </c>
    </row>
    <row r="40">
      <c r="A40" s="56">
        <f>IF(計算用!$J$36="","",IF(計算用!$B$1=1,INDEX(計算用!$F$3:$F$452,計算用!$J$36),INDEX(振り分け!$B$7:$B$456,計算用!$J$36)))</f>
        <v/>
      </c>
      <c r="B40" s="57">
        <f>IF(計算用!$J$36="","",IF(計算用!$B$1=1,INDEX(計算用!$H$3:$H$452,計算用!$J$36),INDEX(振り分け!$D$7:$D$456,計算用!$J$36)))</f>
        <v/>
      </c>
      <c r="C40" s="56">
        <f>IF(計算用!$K$36="","",IF(計算用!$B$1=1,INDEX(計算用!$F$3:$F$452,計算用!$K$36),INDEX(振り分け!$B$7:$B$456,計算用!$K$36)))</f>
        <v/>
      </c>
      <c r="D40" s="57">
        <f>IF(計算用!$K$36="","",IF(計算用!$B$1=1,INDEX(計算用!$H$3:$H$452,計算用!$K$36),INDEX(振り分け!$D$7:$D$456,計算用!$K$36)))</f>
        <v/>
      </c>
      <c r="E40" s="56">
        <f>IF(計算用!$L$36="","",IF(計算用!$B$1=1,INDEX(計算用!$F$3:$F$452,計算用!$L$36),INDEX(振り分け!$B$7:$B$456,計算用!$L$36)))</f>
        <v/>
      </c>
      <c r="F40" s="57">
        <f>IF(計算用!$L$36="","",IF(計算用!$B$1=1,INDEX(計算用!$H$3:$H$452,計算用!$L$36),INDEX(振り分け!$D$7:$D$456,計算用!$L$36)))</f>
        <v/>
      </c>
      <c r="G40" s="56">
        <f>IF(計算用!$M$36="","",IF(計算用!$B$1=1,INDEX(計算用!$F$3:$F$452,計算用!$M$36),INDEX(振り分け!$B$7:$B$456,計算用!$M$36)))</f>
        <v/>
      </c>
      <c r="H40" s="57">
        <f>IF(計算用!$M$36="","",IF(計算用!$B$1=1,INDEX(計算用!$H$3:$H$452,計算用!$M$36),INDEX(振り分け!$D$7:$D$456,計算用!$M$36)))</f>
        <v/>
      </c>
      <c r="I40" s="56">
        <f>IF(計算用!$N$36="","",IF(計算用!$B$1=1,INDEX(計算用!$F$3:$F$452,計算用!$N$36),INDEX(振り分け!$B$7:$B$456,計算用!$N$36)))</f>
        <v/>
      </c>
      <c r="J40" s="57">
        <f>IF(計算用!$N$36="","",IF(計算用!$B$1=1,INDEX(計算用!$H$3:$H$452,計算用!$N$36),INDEX(振り分け!$D$7:$D$456,計算用!$N$36)))</f>
        <v/>
      </c>
      <c r="K40" s="56">
        <f>IF(計算用!$O$36="","",IF(計算用!$B$1=1,INDEX(計算用!$F$3:$F$452,計算用!$O$36),INDEX(振り分け!$B$7:$B$456,計算用!$O$36)))</f>
        <v/>
      </c>
      <c r="L40" s="57">
        <f>IF(計算用!$O$36="","",IF(計算用!$B$1=1,INDEX(計算用!$H$3:$H$452,計算用!$O$36),INDEX(振り分け!$D$7:$D$456,計算用!$O$36)))</f>
        <v/>
      </c>
      <c r="M40" s="56">
        <f>IF(計算用!$P$36="","",IF(計算用!$B$1=1,INDEX(計算用!$F$3:$F$452,計算用!$P$36),INDEX(振り分け!$B$7:$B$456,計算用!$P$36)))</f>
        <v/>
      </c>
      <c r="N40" s="57">
        <f>IF(計算用!$P$36="","",IF(計算用!$B$1=1,INDEX(計算用!$H$3:$H$452,計算用!$P$36),INDEX(振り分け!$D$7:$D$456,計算用!$P$36)))</f>
        <v/>
      </c>
      <c r="O40" s="56">
        <f>IF(計算用!$Q$36="","",IF(計算用!$B$1=1,INDEX(計算用!$F$3:$F$452,計算用!$Q$36),INDEX(振り分け!$B$7:$B$456,計算用!$Q$36)))</f>
        <v/>
      </c>
      <c r="P40" s="57">
        <f>IF(計算用!$Q$36="","",IF(計算用!$B$1=1,INDEX(計算用!$H$3:$H$452,計算用!$Q$36),INDEX(振り分け!$D$7:$D$456,計算用!$Q$36)))</f>
        <v/>
      </c>
      <c r="Q40" s="56">
        <f>IF(計算用!$R$36="","",IF(計算用!$B$1=1,INDEX(計算用!$F$3:$F$452,計算用!$R$36),INDEX(振り分け!$B$7:$B$456,計算用!$R$36)))</f>
        <v/>
      </c>
      <c r="R40" s="57">
        <f>IF(計算用!$R$36="","",IF(計算用!$B$1=1,INDEX(計算用!$H$3:$H$452,計算用!$R$36),INDEX(振り分け!$D$7:$D$456,計算用!$R$36)))</f>
        <v/>
      </c>
      <c r="S40" s="56">
        <f>IF(計算用!$S$36="","",IF(計算用!$B$1=1,INDEX(計算用!$F$3:$F$452,計算用!$S$36),INDEX(振り分け!$B$7:$B$456,計算用!$S$36)))</f>
        <v/>
      </c>
      <c r="T40" s="57">
        <f>IF(計算用!$S$36="","",IF(計算用!$B$1=1,INDEX(計算用!$H$3:$H$452,計算用!$S$36),INDEX(振り分け!$D$7:$D$456,計算用!$S$36)))</f>
        <v/>
      </c>
    </row>
    <row r="41">
      <c r="A41" s="56">
        <f>IF(計算用!$J$37="","",IF(計算用!$B$1=1,INDEX(計算用!$F$3:$F$452,計算用!$J$37),INDEX(振り分け!$B$7:$B$456,計算用!$J$37)))</f>
        <v/>
      </c>
      <c r="B41" s="57">
        <f>IF(計算用!$J$37="","",IF(計算用!$B$1=1,INDEX(計算用!$H$3:$H$452,計算用!$J$37),INDEX(振り分け!$D$7:$D$456,計算用!$J$37)))</f>
        <v/>
      </c>
      <c r="C41" s="56">
        <f>IF(計算用!$K$37="","",IF(計算用!$B$1=1,INDEX(計算用!$F$3:$F$452,計算用!$K$37),INDEX(振り分け!$B$7:$B$456,計算用!$K$37)))</f>
        <v/>
      </c>
      <c r="D41" s="57">
        <f>IF(計算用!$K$37="","",IF(計算用!$B$1=1,INDEX(計算用!$H$3:$H$452,計算用!$K$37),INDEX(振り分け!$D$7:$D$456,計算用!$K$37)))</f>
        <v/>
      </c>
      <c r="E41" s="56">
        <f>IF(計算用!$L$37="","",IF(計算用!$B$1=1,INDEX(計算用!$F$3:$F$452,計算用!$L$37),INDEX(振り分け!$B$7:$B$456,計算用!$L$37)))</f>
        <v/>
      </c>
      <c r="F41" s="57">
        <f>IF(計算用!$L$37="","",IF(計算用!$B$1=1,INDEX(計算用!$H$3:$H$452,計算用!$L$37),INDEX(振り分け!$D$7:$D$456,計算用!$L$37)))</f>
        <v/>
      </c>
      <c r="G41" s="56">
        <f>IF(計算用!$M$37="","",IF(計算用!$B$1=1,INDEX(計算用!$F$3:$F$452,計算用!$M$37),INDEX(振り分け!$B$7:$B$456,計算用!$M$37)))</f>
        <v/>
      </c>
      <c r="H41" s="57">
        <f>IF(計算用!$M$37="","",IF(計算用!$B$1=1,INDEX(計算用!$H$3:$H$452,計算用!$M$37),INDEX(振り分け!$D$7:$D$456,計算用!$M$37)))</f>
        <v/>
      </c>
      <c r="I41" s="56">
        <f>IF(計算用!$N$37="","",IF(計算用!$B$1=1,INDEX(計算用!$F$3:$F$452,計算用!$N$37),INDEX(振り分け!$B$7:$B$456,計算用!$N$37)))</f>
        <v/>
      </c>
      <c r="J41" s="57">
        <f>IF(計算用!$N$37="","",IF(計算用!$B$1=1,INDEX(計算用!$H$3:$H$452,計算用!$N$37),INDEX(振り分け!$D$7:$D$456,計算用!$N$37)))</f>
        <v/>
      </c>
      <c r="K41" s="56">
        <f>IF(計算用!$O$37="","",IF(計算用!$B$1=1,INDEX(計算用!$F$3:$F$452,計算用!$O$37),INDEX(振り分け!$B$7:$B$456,計算用!$O$37)))</f>
        <v/>
      </c>
      <c r="L41" s="57">
        <f>IF(計算用!$O$37="","",IF(計算用!$B$1=1,INDEX(計算用!$H$3:$H$452,計算用!$O$37),INDEX(振り分け!$D$7:$D$456,計算用!$O$37)))</f>
        <v/>
      </c>
      <c r="M41" s="56">
        <f>IF(計算用!$P$37="","",IF(計算用!$B$1=1,INDEX(計算用!$F$3:$F$452,計算用!$P$37),INDEX(振り分け!$B$7:$B$456,計算用!$P$37)))</f>
        <v/>
      </c>
      <c r="N41" s="57">
        <f>IF(計算用!$P$37="","",IF(計算用!$B$1=1,INDEX(計算用!$H$3:$H$452,計算用!$P$37),INDEX(振り分け!$D$7:$D$456,計算用!$P$37)))</f>
        <v/>
      </c>
      <c r="O41" s="56">
        <f>IF(計算用!$Q$37="","",IF(計算用!$B$1=1,INDEX(計算用!$F$3:$F$452,計算用!$Q$37),INDEX(振り分け!$B$7:$B$456,計算用!$Q$37)))</f>
        <v/>
      </c>
      <c r="P41" s="57">
        <f>IF(計算用!$Q$37="","",IF(計算用!$B$1=1,INDEX(計算用!$H$3:$H$452,計算用!$Q$37),INDEX(振り分け!$D$7:$D$456,計算用!$Q$37)))</f>
        <v/>
      </c>
      <c r="Q41" s="56">
        <f>IF(計算用!$R$37="","",IF(計算用!$B$1=1,INDEX(計算用!$F$3:$F$452,計算用!$R$37),INDEX(振り分け!$B$7:$B$456,計算用!$R$37)))</f>
        <v/>
      </c>
      <c r="R41" s="57">
        <f>IF(計算用!$R$37="","",IF(計算用!$B$1=1,INDEX(計算用!$H$3:$H$452,計算用!$R$37),INDEX(振り分け!$D$7:$D$456,計算用!$R$37)))</f>
        <v/>
      </c>
      <c r="S41" s="56">
        <f>IF(計算用!$S$37="","",IF(計算用!$B$1=1,INDEX(計算用!$F$3:$F$452,計算用!$S$37),INDEX(振り分け!$B$7:$B$456,計算用!$S$37)))</f>
        <v/>
      </c>
      <c r="T41" s="57">
        <f>IF(計算用!$S$37="","",IF(計算用!$B$1=1,INDEX(計算用!$H$3:$H$452,計算用!$S$37),INDEX(振り分け!$D$7:$D$456,計算用!$S$37)))</f>
        <v/>
      </c>
    </row>
    <row r="42">
      <c r="A42" s="56">
        <f>IF(計算用!$J$38="","",IF(計算用!$B$1=1,INDEX(計算用!$F$3:$F$452,計算用!$J$38),INDEX(振り分け!$B$7:$B$456,計算用!$J$38)))</f>
        <v/>
      </c>
      <c r="B42" s="57">
        <f>IF(計算用!$J$38="","",IF(計算用!$B$1=1,INDEX(計算用!$H$3:$H$452,計算用!$J$38),INDEX(振り分け!$D$7:$D$456,計算用!$J$38)))</f>
        <v/>
      </c>
      <c r="C42" s="56">
        <f>IF(計算用!$K$38="","",IF(計算用!$B$1=1,INDEX(計算用!$F$3:$F$452,計算用!$K$38),INDEX(振り分け!$B$7:$B$456,計算用!$K$38)))</f>
        <v/>
      </c>
      <c r="D42" s="57">
        <f>IF(計算用!$K$38="","",IF(計算用!$B$1=1,INDEX(計算用!$H$3:$H$452,計算用!$K$38),INDEX(振り分け!$D$7:$D$456,計算用!$K$38)))</f>
        <v/>
      </c>
      <c r="E42" s="56">
        <f>IF(計算用!$L$38="","",IF(計算用!$B$1=1,INDEX(計算用!$F$3:$F$452,計算用!$L$38),INDEX(振り分け!$B$7:$B$456,計算用!$L$38)))</f>
        <v/>
      </c>
      <c r="F42" s="57">
        <f>IF(計算用!$L$38="","",IF(計算用!$B$1=1,INDEX(計算用!$H$3:$H$452,計算用!$L$38),INDEX(振り分け!$D$7:$D$456,計算用!$L$38)))</f>
        <v/>
      </c>
      <c r="G42" s="56">
        <f>IF(計算用!$M$38="","",IF(計算用!$B$1=1,INDEX(計算用!$F$3:$F$452,計算用!$M$38),INDEX(振り分け!$B$7:$B$456,計算用!$M$38)))</f>
        <v/>
      </c>
      <c r="H42" s="57">
        <f>IF(計算用!$M$38="","",IF(計算用!$B$1=1,INDEX(計算用!$H$3:$H$452,計算用!$M$38),INDEX(振り分け!$D$7:$D$456,計算用!$M$38)))</f>
        <v/>
      </c>
      <c r="I42" s="56">
        <f>IF(計算用!$N$38="","",IF(計算用!$B$1=1,INDEX(計算用!$F$3:$F$452,計算用!$N$38),INDEX(振り分け!$B$7:$B$456,計算用!$N$38)))</f>
        <v/>
      </c>
      <c r="J42" s="57">
        <f>IF(計算用!$N$38="","",IF(計算用!$B$1=1,INDEX(計算用!$H$3:$H$452,計算用!$N$38),INDEX(振り分け!$D$7:$D$456,計算用!$N$38)))</f>
        <v/>
      </c>
      <c r="K42" s="56">
        <f>IF(計算用!$O$38="","",IF(計算用!$B$1=1,INDEX(計算用!$F$3:$F$452,計算用!$O$38),INDEX(振り分け!$B$7:$B$456,計算用!$O$38)))</f>
        <v/>
      </c>
      <c r="L42" s="57">
        <f>IF(計算用!$O$38="","",IF(計算用!$B$1=1,INDEX(計算用!$H$3:$H$452,計算用!$O$38),INDEX(振り分け!$D$7:$D$456,計算用!$O$38)))</f>
        <v/>
      </c>
      <c r="M42" s="56">
        <f>IF(計算用!$P$38="","",IF(計算用!$B$1=1,INDEX(計算用!$F$3:$F$452,計算用!$P$38),INDEX(振り分け!$B$7:$B$456,計算用!$P$38)))</f>
        <v/>
      </c>
      <c r="N42" s="57">
        <f>IF(計算用!$P$38="","",IF(計算用!$B$1=1,INDEX(計算用!$H$3:$H$452,計算用!$P$38),INDEX(振り分け!$D$7:$D$456,計算用!$P$38)))</f>
        <v/>
      </c>
      <c r="O42" s="56">
        <f>IF(計算用!$Q$38="","",IF(計算用!$B$1=1,INDEX(計算用!$F$3:$F$452,計算用!$Q$38),INDEX(振り分け!$B$7:$B$456,計算用!$Q$38)))</f>
        <v/>
      </c>
      <c r="P42" s="57">
        <f>IF(計算用!$Q$38="","",IF(計算用!$B$1=1,INDEX(計算用!$H$3:$H$452,計算用!$Q$38),INDEX(振り分け!$D$7:$D$456,計算用!$Q$38)))</f>
        <v/>
      </c>
      <c r="Q42" s="56">
        <f>IF(計算用!$R$38="","",IF(計算用!$B$1=1,INDEX(計算用!$F$3:$F$452,計算用!$R$38),INDEX(振り分け!$B$7:$B$456,計算用!$R$38)))</f>
        <v/>
      </c>
      <c r="R42" s="57">
        <f>IF(計算用!$R$38="","",IF(計算用!$B$1=1,INDEX(計算用!$H$3:$H$452,計算用!$R$38),INDEX(振り分け!$D$7:$D$456,計算用!$R$38)))</f>
        <v/>
      </c>
      <c r="S42" s="56">
        <f>IF(計算用!$S$38="","",IF(計算用!$B$1=1,INDEX(計算用!$F$3:$F$452,計算用!$S$38),INDEX(振り分け!$B$7:$B$456,計算用!$S$38)))</f>
        <v/>
      </c>
      <c r="T42" s="57">
        <f>IF(計算用!$S$38="","",IF(計算用!$B$1=1,INDEX(計算用!$H$3:$H$452,計算用!$S$38),INDEX(振り分け!$D$7:$D$456,計算用!$S$38)))</f>
        <v/>
      </c>
    </row>
    <row r="43">
      <c r="A43" s="56">
        <f>IF(計算用!$J$39="","",IF(計算用!$B$1=1,INDEX(計算用!$F$3:$F$452,計算用!$J$39),INDEX(振り分け!$B$7:$B$456,計算用!$J$39)))</f>
        <v/>
      </c>
      <c r="B43" s="57">
        <f>IF(計算用!$J$39="","",IF(計算用!$B$1=1,INDEX(計算用!$H$3:$H$452,計算用!$J$39),INDEX(振り分け!$D$7:$D$456,計算用!$J$39)))</f>
        <v/>
      </c>
      <c r="C43" s="56">
        <f>IF(計算用!$K$39="","",IF(計算用!$B$1=1,INDEX(計算用!$F$3:$F$452,計算用!$K$39),INDEX(振り分け!$B$7:$B$456,計算用!$K$39)))</f>
        <v/>
      </c>
      <c r="D43" s="57">
        <f>IF(計算用!$K$39="","",IF(計算用!$B$1=1,INDEX(計算用!$H$3:$H$452,計算用!$K$39),INDEX(振り分け!$D$7:$D$456,計算用!$K$39)))</f>
        <v/>
      </c>
      <c r="E43" s="56">
        <f>IF(計算用!$L$39="","",IF(計算用!$B$1=1,INDEX(計算用!$F$3:$F$452,計算用!$L$39),INDEX(振り分け!$B$7:$B$456,計算用!$L$39)))</f>
        <v/>
      </c>
      <c r="F43" s="57">
        <f>IF(計算用!$L$39="","",IF(計算用!$B$1=1,INDEX(計算用!$H$3:$H$452,計算用!$L$39),INDEX(振り分け!$D$7:$D$456,計算用!$L$39)))</f>
        <v/>
      </c>
      <c r="G43" s="56">
        <f>IF(計算用!$M$39="","",IF(計算用!$B$1=1,INDEX(計算用!$F$3:$F$452,計算用!$M$39),INDEX(振り分け!$B$7:$B$456,計算用!$M$39)))</f>
        <v/>
      </c>
      <c r="H43" s="57">
        <f>IF(計算用!$M$39="","",IF(計算用!$B$1=1,INDEX(計算用!$H$3:$H$452,計算用!$M$39),INDEX(振り分け!$D$7:$D$456,計算用!$M$39)))</f>
        <v/>
      </c>
      <c r="I43" s="56">
        <f>IF(計算用!$N$39="","",IF(計算用!$B$1=1,INDEX(計算用!$F$3:$F$452,計算用!$N$39),INDEX(振り分け!$B$7:$B$456,計算用!$N$39)))</f>
        <v/>
      </c>
      <c r="J43" s="57">
        <f>IF(計算用!$N$39="","",IF(計算用!$B$1=1,INDEX(計算用!$H$3:$H$452,計算用!$N$39),INDEX(振り分け!$D$7:$D$456,計算用!$N$39)))</f>
        <v/>
      </c>
      <c r="K43" s="56">
        <f>IF(計算用!$O$39="","",IF(計算用!$B$1=1,INDEX(計算用!$F$3:$F$452,計算用!$O$39),INDEX(振り分け!$B$7:$B$456,計算用!$O$39)))</f>
        <v/>
      </c>
      <c r="L43" s="57">
        <f>IF(計算用!$O$39="","",IF(計算用!$B$1=1,INDEX(計算用!$H$3:$H$452,計算用!$O$39),INDEX(振り分け!$D$7:$D$456,計算用!$O$39)))</f>
        <v/>
      </c>
      <c r="M43" s="56">
        <f>IF(計算用!$P$39="","",IF(計算用!$B$1=1,INDEX(計算用!$F$3:$F$452,計算用!$P$39),INDEX(振り分け!$B$7:$B$456,計算用!$P$39)))</f>
        <v/>
      </c>
      <c r="N43" s="57">
        <f>IF(計算用!$P$39="","",IF(計算用!$B$1=1,INDEX(計算用!$H$3:$H$452,計算用!$P$39),INDEX(振り分け!$D$7:$D$456,計算用!$P$39)))</f>
        <v/>
      </c>
      <c r="O43" s="56">
        <f>IF(計算用!$Q$39="","",IF(計算用!$B$1=1,INDEX(計算用!$F$3:$F$452,計算用!$Q$39),INDEX(振り分け!$B$7:$B$456,計算用!$Q$39)))</f>
        <v/>
      </c>
      <c r="P43" s="57">
        <f>IF(計算用!$Q$39="","",IF(計算用!$B$1=1,INDEX(計算用!$H$3:$H$452,計算用!$Q$39),INDEX(振り分け!$D$7:$D$456,計算用!$Q$39)))</f>
        <v/>
      </c>
      <c r="Q43" s="56">
        <f>IF(計算用!$R$39="","",IF(計算用!$B$1=1,INDEX(計算用!$F$3:$F$452,計算用!$R$39),INDEX(振り分け!$B$7:$B$456,計算用!$R$39)))</f>
        <v/>
      </c>
      <c r="R43" s="57">
        <f>IF(計算用!$R$39="","",IF(計算用!$B$1=1,INDEX(計算用!$H$3:$H$452,計算用!$R$39),INDEX(振り分け!$D$7:$D$456,計算用!$R$39)))</f>
        <v/>
      </c>
      <c r="S43" s="56">
        <f>IF(計算用!$S$39="","",IF(計算用!$B$1=1,INDEX(計算用!$F$3:$F$452,計算用!$S$39),INDEX(振り分け!$B$7:$B$456,計算用!$S$39)))</f>
        <v/>
      </c>
      <c r="T43" s="57">
        <f>IF(計算用!$S$39="","",IF(計算用!$B$1=1,INDEX(計算用!$H$3:$H$452,計算用!$S$39),INDEX(振り分け!$D$7:$D$456,計算用!$S$39)))</f>
        <v/>
      </c>
    </row>
    <row r="44">
      <c r="A44" s="56">
        <f>IF(計算用!$J$40="","",IF(計算用!$B$1=1,INDEX(計算用!$F$3:$F$452,計算用!$J$40),INDEX(振り分け!$B$7:$B$456,計算用!$J$40)))</f>
        <v/>
      </c>
      <c r="B44" s="57">
        <f>IF(計算用!$J$40="","",IF(計算用!$B$1=1,INDEX(計算用!$H$3:$H$452,計算用!$J$40),INDEX(振り分け!$D$7:$D$456,計算用!$J$40)))</f>
        <v/>
      </c>
      <c r="C44" s="56">
        <f>IF(計算用!$K$40="","",IF(計算用!$B$1=1,INDEX(計算用!$F$3:$F$452,計算用!$K$40),INDEX(振り分け!$B$7:$B$456,計算用!$K$40)))</f>
        <v/>
      </c>
      <c r="D44" s="57">
        <f>IF(計算用!$K$40="","",IF(計算用!$B$1=1,INDEX(計算用!$H$3:$H$452,計算用!$K$40),INDEX(振り分け!$D$7:$D$456,計算用!$K$40)))</f>
        <v/>
      </c>
      <c r="E44" s="56">
        <f>IF(計算用!$L$40="","",IF(計算用!$B$1=1,INDEX(計算用!$F$3:$F$452,計算用!$L$40),INDEX(振り分け!$B$7:$B$456,計算用!$L$40)))</f>
        <v/>
      </c>
      <c r="F44" s="57">
        <f>IF(計算用!$L$40="","",IF(計算用!$B$1=1,INDEX(計算用!$H$3:$H$452,計算用!$L$40),INDEX(振り分け!$D$7:$D$456,計算用!$L$40)))</f>
        <v/>
      </c>
      <c r="G44" s="56">
        <f>IF(計算用!$M$40="","",IF(計算用!$B$1=1,INDEX(計算用!$F$3:$F$452,計算用!$M$40),INDEX(振り分け!$B$7:$B$456,計算用!$M$40)))</f>
        <v/>
      </c>
      <c r="H44" s="57">
        <f>IF(計算用!$M$40="","",IF(計算用!$B$1=1,INDEX(計算用!$H$3:$H$452,計算用!$M$40),INDEX(振り分け!$D$7:$D$456,計算用!$M$40)))</f>
        <v/>
      </c>
      <c r="I44" s="56">
        <f>IF(計算用!$N$40="","",IF(計算用!$B$1=1,INDEX(計算用!$F$3:$F$452,計算用!$N$40),INDEX(振り分け!$B$7:$B$456,計算用!$N$40)))</f>
        <v/>
      </c>
      <c r="J44" s="57">
        <f>IF(計算用!$N$40="","",IF(計算用!$B$1=1,INDEX(計算用!$H$3:$H$452,計算用!$N$40),INDEX(振り分け!$D$7:$D$456,計算用!$N$40)))</f>
        <v/>
      </c>
      <c r="K44" s="56">
        <f>IF(計算用!$O$40="","",IF(計算用!$B$1=1,INDEX(計算用!$F$3:$F$452,計算用!$O$40),INDEX(振り分け!$B$7:$B$456,計算用!$O$40)))</f>
        <v/>
      </c>
      <c r="L44" s="57">
        <f>IF(計算用!$O$40="","",IF(計算用!$B$1=1,INDEX(計算用!$H$3:$H$452,計算用!$O$40),INDEX(振り分け!$D$7:$D$456,計算用!$O$40)))</f>
        <v/>
      </c>
      <c r="M44" s="56">
        <f>IF(計算用!$P$40="","",IF(計算用!$B$1=1,INDEX(計算用!$F$3:$F$452,計算用!$P$40),INDEX(振り分け!$B$7:$B$456,計算用!$P$40)))</f>
        <v/>
      </c>
      <c r="N44" s="57">
        <f>IF(計算用!$P$40="","",IF(計算用!$B$1=1,INDEX(計算用!$H$3:$H$452,計算用!$P$40),INDEX(振り分け!$D$7:$D$456,計算用!$P$40)))</f>
        <v/>
      </c>
      <c r="O44" s="56">
        <f>IF(計算用!$Q$40="","",IF(計算用!$B$1=1,INDEX(計算用!$F$3:$F$452,計算用!$Q$40),INDEX(振り分け!$B$7:$B$456,計算用!$Q$40)))</f>
        <v/>
      </c>
      <c r="P44" s="57">
        <f>IF(計算用!$Q$40="","",IF(計算用!$B$1=1,INDEX(計算用!$H$3:$H$452,計算用!$Q$40),INDEX(振り分け!$D$7:$D$456,計算用!$Q$40)))</f>
        <v/>
      </c>
      <c r="Q44" s="56">
        <f>IF(計算用!$R$40="","",IF(計算用!$B$1=1,INDEX(計算用!$F$3:$F$452,計算用!$R$40),INDEX(振り分け!$B$7:$B$456,計算用!$R$40)))</f>
        <v/>
      </c>
      <c r="R44" s="57">
        <f>IF(計算用!$R$40="","",IF(計算用!$B$1=1,INDEX(計算用!$H$3:$H$452,計算用!$R$40),INDEX(振り分け!$D$7:$D$456,計算用!$R$40)))</f>
        <v/>
      </c>
      <c r="S44" s="56">
        <f>IF(計算用!$S$40="","",IF(計算用!$B$1=1,INDEX(計算用!$F$3:$F$452,計算用!$S$40),INDEX(振り分け!$B$7:$B$456,計算用!$S$40)))</f>
        <v/>
      </c>
      <c r="T44" s="57">
        <f>IF(計算用!$S$40="","",IF(計算用!$B$1=1,INDEX(計算用!$H$3:$H$452,計算用!$S$40),INDEX(振り分け!$D$7:$D$456,計算用!$S$40)))</f>
        <v/>
      </c>
    </row>
    <row r="45">
      <c r="A45" s="56">
        <f>IF(計算用!$J$41="","",IF(計算用!$B$1=1,INDEX(計算用!$F$3:$F$452,計算用!$J$41),INDEX(振り分け!$B$7:$B$456,計算用!$J$41)))</f>
        <v/>
      </c>
      <c r="B45" s="57">
        <f>IF(計算用!$J$41="","",IF(計算用!$B$1=1,INDEX(計算用!$H$3:$H$452,計算用!$J$41),INDEX(振り分け!$D$7:$D$456,計算用!$J$41)))</f>
        <v/>
      </c>
      <c r="C45" s="56">
        <f>IF(計算用!$K$41="","",IF(計算用!$B$1=1,INDEX(計算用!$F$3:$F$452,計算用!$K$41),INDEX(振り分け!$B$7:$B$456,計算用!$K$41)))</f>
        <v/>
      </c>
      <c r="D45" s="57">
        <f>IF(計算用!$K$41="","",IF(計算用!$B$1=1,INDEX(計算用!$H$3:$H$452,計算用!$K$41),INDEX(振り分け!$D$7:$D$456,計算用!$K$41)))</f>
        <v/>
      </c>
      <c r="E45" s="56">
        <f>IF(計算用!$L$41="","",IF(計算用!$B$1=1,INDEX(計算用!$F$3:$F$452,計算用!$L$41),INDEX(振り分け!$B$7:$B$456,計算用!$L$41)))</f>
        <v/>
      </c>
      <c r="F45" s="57">
        <f>IF(計算用!$L$41="","",IF(計算用!$B$1=1,INDEX(計算用!$H$3:$H$452,計算用!$L$41),INDEX(振り分け!$D$7:$D$456,計算用!$L$41)))</f>
        <v/>
      </c>
      <c r="G45" s="56">
        <f>IF(計算用!$M$41="","",IF(計算用!$B$1=1,INDEX(計算用!$F$3:$F$452,計算用!$M$41),INDEX(振り分け!$B$7:$B$456,計算用!$M$41)))</f>
        <v/>
      </c>
      <c r="H45" s="57">
        <f>IF(計算用!$M$41="","",IF(計算用!$B$1=1,INDEX(計算用!$H$3:$H$452,計算用!$M$41),INDEX(振り分け!$D$7:$D$456,計算用!$M$41)))</f>
        <v/>
      </c>
      <c r="I45" s="56">
        <f>IF(計算用!$N$41="","",IF(計算用!$B$1=1,INDEX(計算用!$F$3:$F$452,計算用!$N$41),INDEX(振り分け!$B$7:$B$456,計算用!$N$41)))</f>
        <v/>
      </c>
      <c r="J45" s="57">
        <f>IF(計算用!$N$41="","",IF(計算用!$B$1=1,INDEX(計算用!$H$3:$H$452,計算用!$N$41),INDEX(振り分け!$D$7:$D$456,計算用!$N$41)))</f>
        <v/>
      </c>
      <c r="K45" s="56">
        <f>IF(計算用!$O$41="","",IF(計算用!$B$1=1,INDEX(計算用!$F$3:$F$452,計算用!$O$41),INDEX(振り分け!$B$7:$B$456,計算用!$O$41)))</f>
        <v/>
      </c>
      <c r="L45" s="57">
        <f>IF(計算用!$O$41="","",IF(計算用!$B$1=1,INDEX(計算用!$H$3:$H$452,計算用!$O$41),INDEX(振り分け!$D$7:$D$456,計算用!$O$41)))</f>
        <v/>
      </c>
      <c r="M45" s="56">
        <f>IF(計算用!$P$41="","",IF(計算用!$B$1=1,INDEX(計算用!$F$3:$F$452,計算用!$P$41),INDEX(振り分け!$B$7:$B$456,計算用!$P$41)))</f>
        <v/>
      </c>
      <c r="N45" s="57">
        <f>IF(計算用!$P$41="","",IF(計算用!$B$1=1,INDEX(計算用!$H$3:$H$452,計算用!$P$41),INDEX(振り分け!$D$7:$D$456,計算用!$P$41)))</f>
        <v/>
      </c>
      <c r="O45" s="56">
        <f>IF(計算用!$Q$41="","",IF(計算用!$B$1=1,INDEX(計算用!$F$3:$F$452,計算用!$Q$41),INDEX(振り分け!$B$7:$B$456,計算用!$Q$41)))</f>
        <v/>
      </c>
      <c r="P45" s="57">
        <f>IF(計算用!$Q$41="","",IF(計算用!$B$1=1,INDEX(計算用!$H$3:$H$452,計算用!$Q$41),INDEX(振り分け!$D$7:$D$456,計算用!$Q$41)))</f>
        <v/>
      </c>
      <c r="Q45" s="56">
        <f>IF(計算用!$R$41="","",IF(計算用!$B$1=1,INDEX(計算用!$F$3:$F$452,計算用!$R$41),INDEX(振り分け!$B$7:$B$456,計算用!$R$41)))</f>
        <v/>
      </c>
      <c r="R45" s="57">
        <f>IF(計算用!$R$41="","",IF(計算用!$B$1=1,INDEX(計算用!$H$3:$H$452,計算用!$R$41),INDEX(振り分け!$D$7:$D$456,計算用!$R$41)))</f>
        <v/>
      </c>
      <c r="S45" s="56">
        <f>IF(計算用!$S$41="","",IF(計算用!$B$1=1,INDEX(計算用!$F$3:$F$452,計算用!$S$41),INDEX(振り分け!$B$7:$B$456,計算用!$S$41)))</f>
        <v/>
      </c>
      <c r="T45" s="57">
        <f>IF(計算用!$S$41="","",IF(計算用!$B$1=1,INDEX(計算用!$H$3:$H$452,計算用!$S$41),INDEX(振り分け!$D$7:$D$456,計算用!$S$41)))</f>
        <v/>
      </c>
    </row>
    <row r="46">
      <c r="A46" s="56">
        <f>IF(計算用!$J$42="","",IF(計算用!$B$1=1,INDEX(計算用!$F$3:$F$452,計算用!$J$42),INDEX(振り分け!$B$7:$B$456,計算用!$J$42)))</f>
        <v/>
      </c>
      <c r="B46" s="57">
        <f>IF(計算用!$J$42="","",IF(計算用!$B$1=1,INDEX(計算用!$H$3:$H$452,計算用!$J$42),INDEX(振り分け!$D$7:$D$456,計算用!$J$42)))</f>
        <v/>
      </c>
      <c r="C46" s="56">
        <f>IF(計算用!$K$42="","",IF(計算用!$B$1=1,INDEX(計算用!$F$3:$F$452,計算用!$K$42),INDEX(振り分け!$B$7:$B$456,計算用!$K$42)))</f>
        <v/>
      </c>
      <c r="D46" s="57">
        <f>IF(計算用!$K$42="","",IF(計算用!$B$1=1,INDEX(計算用!$H$3:$H$452,計算用!$K$42),INDEX(振り分け!$D$7:$D$456,計算用!$K$42)))</f>
        <v/>
      </c>
      <c r="E46" s="56">
        <f>IF(計算用!$L$42="","",IF(計算用!$B$1=1,INDEX(計算用!$F$3:$F$452,計算用!$L$42),INDEX(振り分け!$B$7:$B$456,計算用!$L$42)))</f>
        <v/>
      </c>
      <c r="F46" s="57">
        <f>IF(計算用!$L$42="","",IF(計算用!$B$1=1,INDEX(計算用!$H$3:$H$452,計算用!$L$42),INDEX(振り分け!$D$7:$D$456,計算用!$L$42)))</f>
        <v/>
      </c>
      <c r="G46" s="56">
        <f>IF(計算用!$M$42="","",IF(計算用!$B$1=1,INDEX(計算用!$F$3:$F$452,計算用!$M$42),INDEX(振り分け!$B$7:$B$456,計算用!$M$42)))</f>
        <v/>
      </c>
      <c r="H46" s="57">
        <f>IF(計算用!$M$42="","",IF(計算用!$B$1=1,INDEX(計算用!$H$3:$H$452,計算用!$M$42),INDEX(振り分け!$D$7:$D$456,計算用!$M$42)))</f>
        <v/>
      </c>
      <c r="I46" s="56">
        <f>IF(計算用!$N$42="","",IF(計算用!$B$1=1,INDEX(計算用!$F$3:$F$452,計算用!$N$42),INDEX(振り分け!$B$7:$B$456,計算用!$N$42)))</f>
        <v/>
      </c>
      <c r="J46" s="57">
        <f>IF(計算用!$N$42="","",IF(計算用!$B$1=1,INDEX(計算用!$H$3:$H$452,計算用!$N$42),INDEX(振り分け!$D$7:$D$456,計算用!$N$42)))</f>
        <v/>
      </c>
      <c r="K46" s="56">
        <f>IF(計算用!$O$42="","",IF(計算用!$B$1=1,INDEX(計算用!$F$3:$F$452,計算用!$O$42),INDEX(振り分け!$B$7:$B$456,計算用!$O$42)))</f>
        <v/>
      </c>
      <c r="L46" s="57">
        <f>IF(計算用!$O$42="","",IF(計算用!$B$1=1,INDEX(計算用!$H$3:$H$452,計算用!$O$42),INDEX(振り分け!$D$7:$D$456,計算用!$O$42)))</f>
        <v/>
      </c>
      <c r="M46" s="56">
        <f>IF(計算用!$P$42="","",IF(計算用!$B$1=1,INDEX(計算用!$F$3:$F$452,計算用!$P$42),INDEX(振り分け!$B$7:$B$456,計算用!$P$42)))</f>
        <v/>
      </c>
      <c r="N46" s="57">
        <f>IF(計算用!$P$42="","",IF(計算用!$B$1=1,INDEX(計算用!$H$3:$H$452,計算用!$P$42),INDEX(振り分け!$D$7:$D$456,計算用!$P$42)))</f>
        <v/>
      </c>
      <c r="O46" s="56">
        <f>IF(計算用!$Q$42="","",IF(計算用!$B$1=1,INDEX(計算用!$F$3:$F$452,計算用!$Q$42),INDEX(振り分け!$B$7:$B$456,計算用!$Q$42)))</f>
        <v/>
      </c>
      <c r="P46" s="57">
        <f>IF(計算用!$Q$42="","",IF(計算用!$B$1=1,INDEX(計算用!$H$3:$H$452,計算用!$Q$42),INDEX(振り分け!$D$7:$D$456,計算用!$Q$42)))</f>
        <v/>
      </c>
      <c r="Q46" s="56">
        <f>IF(計算用!$R$42="","",IF(計算用!$B$1=1,INDEX(計算用!$F$3:$F$452,計算用!$R$42),INDEX(振り分け!$B$7:$B$456,計算用!$R$42)))</f>
        <v/>
      </c>
      <c r="R46" s="57">
        <f>IF(計算用!$R$42="","",IF(計算用!$B$1=1,INDEX(計算用!$H$3:$H$452,計算用!$R$42),INDEX(振り分け!$D$7:$D$456,計算用!$R$42)))</f>
        <v/>
      </c>
      <c r="S46" s="56">
        <f>IF(計算用!$S$42="","",IF(計算用!$B$1=1,INDEX(計算用!$F$3:$F$452,計算用!$S$42),INDEX(振り分け!$B$7:$B$456,計算用!$S$42)))</f>
        <v/>
      </c>
      <c r="T46" s="57">
        <f>IF(計算用!$S$42="","",IF(計算用!$B$1=1,INDEX(計算用!$H$3:$H$452,計算用!$S$42),INDEX(振り分け!$D$7:$D$456,計算用!$S$42)))</f>
        <v/>
      </c>
    </row>
    <row r="47">
      <c r="A47" s="56">
        <f>IF(計算用!$J$43="","",IF(計算用!$B$1=1,INDEX(計算用!$F$3:$F$452,計算用!$J$43),INDEX(振り分け!$B$7:$B$456,計算用!$J$43)))</f>
        <v/>
      </c>
      <c r="B47" s="57">
        <f>IF(計算用!$J$43="","",IF(計算用!$B$1=1,INDEX(計算用!$H$3:$H$452,計算用!$J$43),INDEX(振り分け!$D$7:$D$456,計算用!$J$43)))</f>
        <v/>
      </c>
      <c r="C47" s="56">
        <f>IF(計算用!$K$43="","",IF(計算用!$B$1=1,INDEX(計算用!$F$3:$F$452,計算用!$K$43),INDEX(振り分け!$B$7:$B$456,計算用!$K$43)))</f>
        <v/>
      </c>
      <c r="D47" s="57">
        <f>IF(計算用!$K$43="","",IF(計算用!$B$1=1,INDEX(計算用!$H$3:$H$452,計算用!$K$43),INDEX(振り分け!$D$7:$D$456,計算用!$K$43)))</f>
        <v/>
      </c>
      <c r="E47" s="56">
        <f>IF(計算用!$L$43="","",IF(計算用!$B$1=1,INDEX(計算用!$F$3:$F$452,計算用!$L$43),INDEX(振り分け!$B$7:$B$456,計算用!$L$43)))</f>
        <v/>
      </c>
      <c r="F47" s="57">
        <f>IF(計算用!$L$43="","",IF(計算用!$B$1=1,INDEX(計算用!$H$3:$H$452,計算用!$L$43),INDEX(振り分け!$D$7:$D$456,計算用!$L$43)))</f>
        <v/>
      </c>
      <c r="G47" s="56">
        <f>IF(計算用!$M$43="","",IF(計算用!$B$1=1,INDEX(計算用!$F$3:$F$452,計算用!$M$43),INDEX(振り分け!$B$7:$B$456,計算用!$M$43)))</f>
        <v/>
      </c>
      <c r="H47" s="57">
        <f>IF(計算用!$M$43="","",IF(計算用!$B$1=1,INDEX(計算用!$H$3:$H$452,計算用!$M$43),INDEX(振り分け!$D$7:$D$456,計算用!$M$43)))</f>
        <v/>
      </c>
      <c r="I47" s="56">
        <f>IF(計算用!$N$43="","",IF(計算用!$B$1=1,INDEX(計算用!$F$3:$F$452,計算用!$N$43),INDEX(振り分け!$B$7:$B$456,計算用!$N$43)))</f>
        <v/>
      </c>
      <c r="J47" s="57">
        <f>IF(計算用!$N$43="","",IF(計算用!$B$1=1,INDEX(計算用!$H$3:$H$452,計算用!$N$43),INDEX(振り分け!$D$7:$D$456,計算用!$N$43)))</f>
        <v/>
      </c>
      <c r="K47" s="56">
        <f>IF(計算用!$O$43="","",IF(計算用!$B$1=1,INDEX(計算用!$F$3:$F$452,計算用!$O$43),INDEX(振り分け!$B$7:$B$456,計算用!$O$43)))</f>
        <v/>
      </c>
      <c r="L47" s="57">
        <f>IF(計算用!$O$43="","",IF(計算用!$B$1=1,INDEX(計算用!$H$3:$H$452,計算用!$O$43),INDEX(振り分け!$D$7:$D$456,計算用!$O$43)))</f>
        <v/>
      </c>
      <c r="M47" s="56">
        <f>IF(計算用!$P$43="","",IF(計算用!$B$1=1,INDEX(計算用!$F$3:$F$452,計算用!$P$43),INDEX(振り分け!$B$7:$B$456,計算用!$P$43)))</f>
        <v/>
      </c>
      <c r="N47" s="57">
        <f>IF(計算用!$P$43="","",IF(計算用!$B$1=1,INDEX(計算用!$H$3:$H$452,計算用!$P$43),INDEX(振り分け!$D$7:$D$456,計算用!$P$43)))</f>
        <v/>
      </c>
      <c r="O47" s="56">
        <f>IF(計算用!$Q$43="","",IF(計算用!$B$1=1,INDEX(計算用!$F$3:$F$452,計算用!$Q$43),INDEX(振り分け!$B$7:$B$456,計算用!$Q$43)))</f>
        <v/>
      </c>
      <c r="P47" s="57">
        <f>IF(計算用!$Q$43="","",IF(計算用!$B$1=1,INDEX(計算用!$H$3:$H$452,計算用!$Q$43),INDEX(振り分け!$D$7:$D$456,計算用!$Q$43)))</f>
        <v/>
      </c>
      <c r="Q47" s="56">
        <f>IF(計算用!$R$43="","",IF(計算用!$B$1=1,INDEX(計算用!$F$3:$F$452,計算用!$R$43),INDEX(振り分け!$B$7:$B$456,計算用!$R$43)))</f>
        <v/>
      </c>
      <c r="R47" s="57">
        <f>IF(計算用!$R$43="","",IF(計算用!$B$1=1,INDEX(計算用!$H$3:$H$452,計算用!$R$43),INDEX(振り分け!$D$7:$D$456,計算用!$R$43)))</f>
        <v/>
      </c>
      <c r="S47" s="56">
        <f>IF(計算用!$S$43="","",IF(計算用!$B$1=1,INDEX(計算用!$F$3:$F$452,計算用!$S$43),INDEX(振り分け!$B$7:$B$456,計算用!$S$43)))</f>
        <v/>
      </c>
      <c r="T47" s="57">
        <f>IF(計算用!$S$43="","",IF(計算用!$B$1=1,INDEX(計算用!$H$3:$H$452,計算用!$S$43),INDEX(振り分け!$D$7:$D$456,計算用!$S$43)))</f>
        <v/>
      </c>
    </row>
    <row r="48">
      <c r="A48" s="56">
        <f>IF(計算用!$J$44="","",IF(計算用!$B$1=1,INDEX(計算用!$F$3:$F$452,計算用!$J$44),INDEX(振り分け!$B$7:$B$456,計算用!$J$44)))</f>
        <v/>
      </c>
      <c r="B48" s="57">
        <f>IF(計算用!$J$44="","",IF(計算用!$B$1=1,INDEX(計算用!$H$3:$H$452,計算用!$J$44),INDEX(振り分け!$D$7:$D$456,計算用!$J$44)))</f>
        <v/>
      </c>
      <c r="C48" s="56">
        <f>IF(計算用!$K$44="","",IF(計算用!$B$1=1,INDEX(計算用!$F$3:$F$452,計算用!$K$44),INDEX(振り分け!$B$7:$B$456,計算用!$K$44)))</f>
        <v/>
      </c>
      <c r="D48" s="57">
        <f>IF(計算用!$K$44="","",IF(計算用!$B$1=1,INDEX(計算用!$H$3:$H$452,計算用!$K$44),INDEX(振り分け!$D$7:$D$456,計算用!$K$44)))</f>
        <v/>
      </c>
      <c r="E48" s="56">
        <f>IF(計算用!$L$44="","",IF(計算用!$B$1=1,INDEX(計算用!$F$3:$F$452,計算用!$L$44),INDEX(振り分け!$B$7:$B$456,計算用!$L$44)))</f>
        <v/>
      </c>
      <c r="F48" s="57">
        <f>IF(計算用!$L$44="","",IF(計算用!$B$1=1,INDEX(計算用!$H$3:$H$452,計算用!$L$44),INDEX(振り分け!$D$7:$D$456,計算用!$L$44)))</f>
        <v/>
      </c>
      <c r="G48" s="56">
        <f>IF(計算用!$M$44="","",IF(計算用!$B$1=1,INDEX(計算用!$F$3:$F$452,計算用!$M$44),INDEX(振り分け!$B$7:$B$456,計算用!$M$44)))</f>
        <v/>
      </c>
      <c r="H48" s="57">
        <f>IF(計算用!$M$44="","",IF(計算用!$B$1=1,INDEX(計算用!$H$3:$H$452,計算用!$M$44),INDEX(振り分け!$D$7:$D$456,計算用!$M$44)))</f>
        <v/>
      </c>
      <c r="I48" s="56">
        <f>IF(計算用!$N$44="","",IF(計算用!$B$1=1,INDEX(計算用!$F$3:$F$452,計算用!$N$44),INDEX(振り分け!$B$7:$B$456,計算用!$N$44)))</f>
        <v/>
      </c>
      <c r="J48" s="57">
        <f>IF(計算用!$N$44="","",IF(計算用!$B$1=1,INDEX(計算用!$H$3:$H$452,計算用!$N$44),INDEX(振り分け!$D$7:$D$456,計算用!$N$44)))</f>
        <v/>
      </c>
      <c r="K48" s="56">
        <f>IF(計算用!$O$44="","",IF(計算用!$B$1=1,INDEX(計算用!$F$3:$F$452,計算用!$O$44),INDEX(振り分け!$B$7:$B$456,計算用!$O$44)))</f>
        <v/>
      </c>
      <c r="L48" s="57">
        <f>IF(計算用!$O$44="","",IF(計算用!$B$1=1,INDEX(計算用!$H$3:$H$452,計算用!$O$44),INDEX(振り分け!$D$7:$D$456,計算用!$O$44)))</f>
        <v/>
      </c>
      <c r="M48" s="56">
        <f>IF(計算用!$P$44="","",IF(計算用!$B$1=1,INDEX(計算用!$F$3:$F$452,計算用!$P$44),INDEX(振り分け!$B$7:$B$456,計算用!$P$44)))</f>
        <v/>
      </c>
      <c r="N48" s="57">
        <f>IF(計算用!$P$44="","",IF(計算用!$B$1=1,INDEX(計算用!$H$3:$H$452,計算用!$P$44),INDEX(振り分け!$D$7:$D$456,計算用!$P$44)))</f>
        <v/>
      </c>
      <c r="O48" s="56">
        <f>IF(計算用!$Q$44="","",IF(計算用!$B$1=1,INDEX(計算用!$F$3:$F$452,計算用!$Q$44),INDEX(振り分け!$B$7:$B$456,計算用!$Q$44)))</f>
        <v/>
      </c>
      <c r="P48" s="57">
        <f>IF(計算用!$Q$44="","",IF(計算用!$B$1=1,INDEX(計算用!$H$3:$H$452,計算用!$Q$44),INDEX(振り分け!$D$7:$D$456,計算用!$Q$44)))</f>
        <v/>
      </c>
      <c r="Q48" s="56">
        <f>IF(計算用!$R$44="","",IF(計算用!$B$1=1,INDEX(計算用!$F$3:$F$452,計算用!$R$44),INDEX(振り分け!$B$7:$B$456,計算用!$R$44)))</f>
        <v/>
      </c>
      <c r="R48" s="57">
        <f>IF(計算用!$R$44="","",IF(計算用!$B$1=1,INDEX(計算用!$H$3:$H$452,計算用!$R$44),INDEX(振り分け!$D$7:$D$456,計算用!$R$44)))</f>
        <v/>
      </c>
      <c r="S48" s="56">
        <f>IF(計算用!$S$44="","",IF(計算用!$B$1=1,INDEX(計算用!$F$3:$F$452,計算用!$S$44),INDEX(振り分け!$B$7:$B$456,計算用!$S$44)))</f>
        <v/>
      </c>
      <c r="T48" s="57">
        <f>IF(計算用!$S$44="","",IF(計算用!$B$1=1,INDEX(計算用!$H$3:$H$452,計算用!$S$44),INDEX(振り分け!$D$7:$D$456,計算用!$S$44)))</f>
        <v/>
      </c>
    </row>
    <row r="49">
      <c r="A49" s="56">
        <f>IF(計算用!$J$45="","",IF(計算用!$B$1=1,INDEX(計算用!$F$3:$F$452,計算用!$J$45),INDEX(振り分け!$B$7:$B$456,計算用!$J$45)))</f>
        <v/>
      </c>
      <c r="B49" s="57">
        <f>IF(計算用!$J$45="","",IF(計算用!$B$1=1,INDEX(計算用!$H$3:$H$452,計算用!$J$45),INDEX(振り分け!$D$7:$D$456,計算用!$J$45)))</f>
        <v/>
      </c>
      <c r="C49" s="56">
        <f>IF(計算用!$K$45="","",IF(計算用!$B$1=1,INDEX(計算用!$F$3:$F$452,計算用!$K$45),INDEX(振り分け!$B$7:$B$456,計算用!$K$45)))</f>
        <v/>
      </c>
      <c r="D49" s="57">
        <f>IF(計算用!$K$45="","",IF(計算用!$B$1=1,INDEX(計算用!$H$3:$H$452,計算用!$K$45),INDEX(振り分け!$D$7:$D$456,計算用!$K$45)))</f>
        <v/>
      </c>
      <c r="E49" s="56">
        <f>IF(計算用!$L$45="","",IF(計算用!$B$1=1,INDEX(計算用!$F$3:$F$452,計算用!$L$45),INDEX(振り分け!$B$7:$B$456,計算用!$L$45)))</f>
        <v/>
      </c>
      <c r="F49" s="57">
        <f>IF(計算用!$L$45="","",IF(計算用!$B$1=1,INDEX(計算用!$H$3:$H$452,計算用!$L$45),INDEX(振り分け!$D$7:$D$456,計算用!$L$45)))</f>
        <v/>
      </c>
      <c r="G49" s="56">
        <f>IF(計算用!$M$45="","",IF(計算用!$B$1=1,INDEX(計算用!$F$3:$F$452,計算用!$M$45),INDEX(振り分け!$B$7:$B$456,計算用!$M$45)))</f>
        <v/>
      </c>
      <c r="H49" s="57">
        <f>IF(計算用!$M$45="","",IF(計算用!$B$1=1,INDEX(計算用!$H$3:$H$452,計算用!$M$45),INDEX(振り分け!$D$7:$D$456,計算用!$M$45)))</f>
        <v/>
      </c>
      <c r="I49" s="56">
        <f>IF(計算用!$N$45="","",IF(計算用!$B$1=1,INDEX(計算用!$F$3:$F$452,計算用!$N$45),INDEX(振り分け!$B$7:$B$456,計算用!$N$45)))</f>
        <v/>
      </c>
      <c r="J49" s="57">
        <f>IF(計算用!$N$45="","",IF(計算用!$B$1=1,INDEX(計算用!$H$3:$H$452,計算用!$N$45),INDEX(振り分け!$D$7:$D$456,計算用!$N$45)))</f>
        <v/>
      </c>
      <c r="K49" s="56">
        <f>IF(計算用!$O$45="","",IF(計算用!$B$1=1,INDEX(計算用!$F$3:$F$452,計算用!$O$45),INDEX(振り分け!$B$7:$B$456,計算用!$O$45)))</f>
        <v/>
      </c>
      <c r="L49" s="57">
        <f>IF(計算用!$O$45="","",IF(計算用!$B$1=1,INDEX(計算用!$H$3:$H$452,計算用!$O$45),INDEX(振り分け!$D$7:$D$456,計算用!$O$45)))</f>
        <v/>
      </c>
      <c r="M49" s="56">
        <f>IF(計算用!$P$45="","",IF(計算用!$B$1=1,INDEX(計算用!$F$3:$F$452,計算用!$P$45),INDEX(振り分け!$B$7:$B$456,計算用!$P$45)))</f>
        <v/>
      </c>
      <c r="N49" s="57">
        <f>IF(計算用!$P$45="","",IF(計算用!$B$1=1,INDEX(計算用!$H$3:$H$452,計算用!$P$45),INDEX(振り分け!$D$7:$D$456,計算用!$P$45)))</f>
        <v/>
      </c>
      <c r="O49" s="56">
        <f>IF(計算用!$Q$45="","",IF(計算用!$B$1=1,INDEX(計算用!$F$3:$F$452,計算用!$Q$45),INDEX(振り分け!$B$7:$B$456,計算用!$Q$45)))</f>
        <v/>
      </c>
      <c r="P49" s="57">
        <f>IF(計算用!$Q$45="","",IF(計算用!$B$1=1,INDEX(計算用!$H$3:$H$452,計算用!$Q$45),INDEX(振り分け!$D$7:$D$456,計算用!$Q$45)))</f>
        <v/>
      </c>
      <c r="Q49" s="56">
        <f>IF(計算用!$R$45="","",IF(計算用!$B$1=1,INDEX(計算用!$F$3:$F$452,計算用!$R$45),INDEX(振り分け!$B$7:$B$456,計算用!$R$45)))</f>
        <v/>
      </c>
      <c r="R49" s="57">
        <f>IF(計算用!$R$45="","",IF(計算用!$B$1=1,INDEX(計算用!$H$3:$H$452,計算用!$R$45),INDEX(振り分け!$D$7:$D$456,計算用!$R$45)))</f>
        <v/>
      </c>
      <c r="S49" s="56">
        <f>IF(計算用!$S$45="","",IF(計算用!$B$1=1,INDEX(計算用!$F$3:$F$452,計算用!$S$45),INDEX(振り分け!$B$7:$B$456,計算用!$S$45)))</f>
        <v/>
      </c>
      <c r="T49" s="57">
        <f>IF(計算用!$S$45="","",IF(計算用!$B$1=1,INDEX(計算用!$H$3:$H$452,計算用!$S$45),INDEX(振り分け!$D$7:$D$456,計算用!$S$45)))</f>
        <v/>
      </c>
    </row>
    <row r="50">
      <c r="A50" s="56">
        <f>IF(計算用!$J$46="","",IF(計算用!$B$1=1,INDEX(計算用!$F$3:$F$452,計算用!$J$46),INDEX(振り分け!$B$7:$B$456,計算用!$J$46)))</f>
        <v/>
      </c>
      <c r="B50" s="57">
        <f>IF(計算用!$J$46="","",IF(計算用!$B$1=1,INDEX(計算用!$H$3:$H$452,計算用!$J$46),INDEX(振り分け!$D$7:$D$456,計算用!$J$46)))</f>
        <v/>
      </c>
      <c r="C50" s="56">
        <f>IF(計算用!$K$46="","",IF(計算用!$B$1=1,INDEX(計算用!$F$3:$F$452,計算用!$K$46),INDEX(振り分け!$B$7:$B$456,計算用!$K$46)))</f>
        <v/>
      </c>
      <c r="D50" s="57">
        <f>IF(計算用!$K$46="","",IF(計算用!$B$1=1,INDEX(計算用!$H$3:$H$452,計算用!$K$46),INDEX(振り分け!$D$7:$D$456,計算用!$K$46)))</f>
        <v/>
      </c>
      <c r="E50" s="56">
        <f>IF(計算用!$L$46="","",IF(計算用!$B$1=1,INDEX(計算用!$F$3:$F$452,計算用!$L$46),INDEX(振り分け!$B$7:$B$456,計算用!$L$46)))</f>
        <v/>
      </c>
      <c r="F50" s="57">
        <f>IF(計算用!$L$46="","",IF(計算用!$B$1=1,INDEX(計算用!$H$3:$H$452,計算用!$L$46),INDEX(振り分け!$D$7:$D$456,計算用!$L$46)))</f>
        <v/>
      </c>
      <c r="G50" s="56">
        <f>IF(計算用!$M$46="","",IF(計算用!$B$1=1,INDEX(計算用!$F$3:$F$452,計算用!$M$46),INDEX(振り分け!$B$7:$B$456,計算用!$M$46)))</f>
        <v/>
      </c>
      <c r="H50" s="57">
        <f>IF(計算用!$M$46="","",IF(計算用!$B$1=1,INDEX(計算用!$H$3:$H$452,計算用!$M$46),INDEX(振り分け!$D$7:$D$456,計算用!$M$46)))</f>
        <v/>
      </c>
      <c r="I50" s="56">
        <f>IF(計算用!$N$46="","",IF(計算用!$B$1=1,INDEX(計算用!$F$3:$F$452,計算用!$N$46),INDEX(振り分け!$B$7:$B$456,計算用!$N$46)))</f>
        <v/>
      </c>
      <c r="J50" s="57">
        <f>IF(計算用!$N$46="","",IF(計算用!$B$1=1,INDEX(計算用!$H$3:$H$452,計算用!$N$46),INDEX(振り分け!$D$7:$D$456,計算用!$N$46)))</f>
        <v/>
      </c>
      <c r="K50" s="56">
        <f>IF(計算用!$O$46="","",IF(計算用!$B$1=1,INDEX(計算用!$F$3:$F$452,計算用!$O$46),INDEX(振り分け!$B$7:$B$456,計算用!$O$46)))</f>
        <v/>
      </c>
      <c r="L50" s="57">
        <f>IF(計算用!$O$46="","",IF(計算用!$B$1=1,INDEX(計算用!$H$3:$H$452,計算用!$O$46),INDEX(振り分け!$D$7:$D$456,計算用!$O$46)))</f>
        <v/>
      </c>
      <c r="M50" s="56">
        <f>IF(計算用!$P$46="","",IF(計算用!$B$1=1,INDEX(計算用!$F$3:$F$452,計算用!$P$46),INDEX(振り分け!$B$7:$B$456,計算用!$P$46)))</f>
        <v/>
      </c>
      <c r="N50" s="57">
        <f>IF(計算用!$P$46="","",IF(計算用!$B$1=1,INDEX(計算用!$H$3:$H$452,計算用!$P$46),INDEX(振り分け!$D$7:$D$456,計算用!$P$46)))</f>
        <v/>
      </c>
      <c r="O50" s="56">
        <f>IF(計算用!$Q$46="","",IF(計算用!$B$1=1,INDEX(計算用!$F$3:$F$452,計算用!$Q$46),INDEX(振り分け!$B$7:$B$456,計算用!$Q$46)))</f>
        <v/>
      </c>
      <c r="P50" s="57">
        <f>IF(計算用!$Q$46="","",IF(計算用!$B$1=1,INDEX(計算用!$H$3:$H$452,計算用!$Q$46),INDEX(振り分け!$D$7:$D$456,計算用!$Q$46)))</f>
        <v/>
      </c>
      <c r="Q50" s="56">
        <f>IF(計算用!$R$46="","",IF(計算用!$B$1=1,INDEX(計算用!$F$3:$F$452,計算用!$R$46),INDEX(振り分け!$B$7:$B$456,計算用!$R$46)))</f>
        <v/>
      </c>
      <c r="R50" s="57">
        <f>IF(計算用!$R$46="","",IF(計算用!$B$1=1,INDEX(計算用!$H$3:$H$452,計算用!$R$46),INDEX(振り分け!$D$7:$D$456,計算用!$R$46)))</f>
        <v/>
      </c>
      <c r="S50" s="56">
        <f>IF(計算用!$S$46="","",IF(計算用!$B$1=1,INDEX(計算用!$F$3:$F$452,計算用!$S$46),INDEX(振り分け!$B$7:$B$456,計算用!$S$46)))</f>
        <v/>
      </c>
      <c r="T50" s="57">
        <f>IF(計算用!$S$46="","",IF(計算用!$B$1=1,INDEX(計算用!$H$3:$H$452,計算用!$S$46),INDEX(振り分け!$D$7:$D$456,計算用!$S$46)))</f>
        <v/>
      </c>
    </row>
    <row r="51">
      <c r="A51" s="56">
        <f>IF(計算用!$J$47="","",IF(計算用!$B$1=1,INDEX(計算用!$F$3:$F$452,計算用!$J$47),INDEX(振り分け!$B$7:$B$456,計算用!$J$47)))</f>
        <v/>
      </c>
      <c r="B51" s="57">
        <f>IF(計算用!$J$47="","",IF(計算用!$B$1=1,INDEX(計算用!$H$3:$H$452,計算用!$J$47),INDEX(振り分け!$D$7:$D$456,計算用!$J$47)))</f>
        <v/>
      </c>
      <c r="C51" s="56">
        <f>IF(計算用!$K$47="","",IF(計算用!$B$1=1,INDEX(計算用!$F$3:$F$452,計算用!$K$47),INDEX(振り分け!$B$7:$B$456,計算用!$K$47)))</f>
        <v/>
      </c>
      <c r="D51" s="57">
        <f>IF(計算用!$K$47="","",IF(計算用!$B$1=1,INDEX(計算用!$H$3:$H$452,計算用!$K$47),INDEX(振り分け!$D$7:$D$456,計算用!$K$47)))</f>
        <v/>
      </c>
      <c r="E51" s="56">
        <f>IF(計算用!$L$47="","",IF(計算用!$B$1=1,INDEX(計算用!$F$3:$F$452,計算用!$L$47),INDEX(振り分け!$B$7:$B$456,計算用!$L$47)))</f>
        <v/>
      </c>
      <c r="F51" s="57">
        <f>IF(計算用!$L$47="","",IF(計算用!$B$1=1,INDEX(計算用!$H$3:$H$452,計算用!$L$47),INDEX(振り分け!$D$7:$D$456,計算用!$L$47)))</f>
        <v/>
      </c>
      <c r="G51" s="56">
        <f>IF(計算用!$M$47="","",IF(計算用!$B$1=1,INDEX(計算用!$F$3:$F$452,計算用!$M$47),INDEX(振り分け!$B$7:$B$456,計算用!$M$47)))</f>
        <v/>
      </c>
      <c r="H51" s="57">
        <f>IF(計算用!$M$47="","",IF(計算用!$B$1=1,INDEX(計算用!$H$3:$H$452,計算用!$M$47),INDEX(振り分け!$D$7:$D$456,計算用!$M$47)))</f>
        <v/>
      </c>
      <c r="I51" s="56">
        <f>IF(計算用!$N$47="","",IF(計算用!$B$1=1,INDEX(計算用!$F$3:$F$452,計算用!$N$47),INDEX(振り分け!$B$7:$B$456,計算用!$N$47)))</f>
        <v/>
      </c>
      <c r="J51" s="57">
        <f>IF(計算用!$N$47="","",IF(計算用!$B$1=1,INDEX(計算用!$H$3:$H$452,計算用!$N$47),INDEX(振り分け!$D$7:$D$456,計算用!$N$47)))</f>
        <v/>
      </c>
      <c r="K51" s="56">
        <f>IF(計算用!$O$47="","",IF(計算用!$B$1=1,INDEX(計算用!$F$3:$F$452,計算用!$O$47),INDEX(振り分け!$B$7:$B$456,計算用!$O$47)))</f>
        <v/>
      </c>
      <c r="L51" s="57">
        <f>IF(計算用!$O$47="","",IF(計算用!$B$1=1,INDEX(計算用!$H$3:$H$452,計算用!$O$47),INDEX(振り分け!$D$7:$D$456,計算用!$O$47)))</f>
        <v/>
      </c>
      <c r="M51" s="56">
        <f>IF(計算用!$P$47="","",IF(計算用!$B$1=1,INDEX(計算用!$F$3:$F$452,計算用!$P$47),INDEX(振り分け!$B$7:$B$456,計算用!$P$47)))</f>
        <v/>
      </c>
      <c r="N51" s="57">
        <f>IF(計算用!$P$47="","",IF(計算用!$B$1=1,INDEX(計算用!$H$3:$H$452,計算用!$P$47),INDEX(振り分け!$D$7:$D$456,計算用!$P$47)))</f>
        <v/>
      </c>
      <c r="O51" s="56">
        <f>IF(計算用!$Q$47="","",IF(計算用!$B$1=1,INDEX(計算用!$F$3:$F$452,計算用!$Q$47),INDEX(振り分け!$B$7:$B$456,計算用!$Q$47)))</f>
        <v/>
      </c>
      <c r="P51" s="57">
        <f>IF(計算用!$Q$47="","",IF(計算用!$B$1=1,INDEX(計算用!$H$3:$H$452,計算用!$Q$47),INDEX(振り分け!$D$7:$D$456,計算用!$Q$47)))</f>
        <v/>
      </c>
      <c r="Q51" s="56">
        <f>IF(計算用!$R$47="","",IF(計算用!$B$1=1,INDEX(計算用!$F$3:$F$452,計算用!$R$47),INDEX(振り分け!$B$7:$B$456,計算用!$R$47)))</f>
        <v/>
      </c>
      <c r="R51" s="57">
        <f>IF(計算用!$R$47="","",IF(計算用!$B$1=1,INDEX(計算用!$H$3:$H$452,計算用!$R$47),INDEX(振り分け!$D$7:$D$456,計算用!$R$47)))</f>
        <v/>
      </c>
      <c r="S51" s="56">
        <f>IF(計算用!$S$47="","",IF(計算用!$B$1=1,INDEX(計算用!$F$3:$F$452,計算用!$S$47),INDEX(振り分け!$B$7:$B$456,計算用!$S$47)))</f>
        <v/>
      </c>
      <c r="T51" s="57">
        <f>IF(計算用!$S$47="","",IF(計算用!$B$1=1,INDEX(計算用!$H$3:$H$452,計算用!$S$47),INDEX(振り分け!$D$7:$D$456,計算用!$S$47)))</f>
        <v/>
      </c>
    </row>
    <row r="52">
      <c r="A52" s="56">
        <f>IF(計算用!$J$48="","",IF(計算用!$B$1=1,INDEX(計算用!$F$3:$F$452,計算用!$J$48),INDEX(振り分け!$B$7:$B$456,計算用!$J$48)))</f>
        <v/>
      </c>
      <c r="B52" s="57">
        <f>IF(計算用!$J$48="","",IF(計算用!$B$1=1,INDEX(計算用!$H$3:$H$452,計算用!$J$48),INDEX(振り分け!$D$7:$D$456,計算用!$J$48)))</f>
        <v/>
      </c>
      <c r="C52" s="56">
        <f>IF(計算用!$K$48="","",IF(計算用!$B$1=1,INDEX(計算用!$F$3:$F$452,計算用!$K$48),INDEX(振り分け!$B$7:$B$456,計算用!$K$48)))</f>
        <v/>
      </c>
      <c r="D52" s="57">
        <f>IF(計算用!$K$48="","",IF(計算用!$B$1=1,INDEX(計算用!$H$3:$H$452,計算用!$K$48),INDEX(振り分け!$D$7:$D$456,計算用!$K$48)))</f>
        <v/>
      </c>
      <c r="E52" s="56">
        <f>IF(計算用!$L$48="","",IF(計算用!$B$1=1,INDEX(計算用!$F$3:$F$452,計算用!$L$48),INDEX(振り分け!$B$7:$B$456,計算用!$L$48)))</f>
        <v/>
      </c>
      <c r="F52" s="57">
        <f>IF(計算用!$L$48="","",IF(計算用!$B$1=1,INDEX(計算用!$H$3:$H$452,計算用!$L$48),INDEX(振り分け!$D$7:$D$456,計算用!$L$48)))</f>
        <v/>
      </c>
      <c r="G52" s="56">
        <f>IF(計算用!$M$48="","",IF(計算用!$B$1=1,INDEX(計算用!$F$3:$F$452,計算用!$M$48),INDEX(振り分け!$B$7:$B$456,計算用!$M$48)))</f>
        <v/>
      </c>
      <c r="H52" s="57">
        <f>IF(計算用!$M$48="","",IF(計算用!$B$1=1,INDEX(計算用!$H$3:$H$452,計算用!$M$48),INDEX(振り分け!$D$7:$D$456,計算用!$M$48)))</f>
        <v/>
      </c>
      <c r="I52" s="56">
        <f>IF(計算用!$N$48="","",IF(計算用!$B$1=1,INDEX(計算用!$F$3:$F$452,計算用!$N$48),INDEX(振り分け!$B$7:$B$456,計算用!$N$48)))</f>
        <v/>
      </c>
      <c r="J52" s="57">
        <f>IF(計算用!$N$48="","",IF(計算用!$B$1=1,INDEX(計算用!$H$3:$H$452,計算用!$N$48),INDEX(振り分け!$D$7:$D$456,計算用!$N$48)))</f>
        <v/>
      </c>
      <c r="K52" s="56">
        <f>IF(計算用!$O$48="","",IF(計算用!$B$1=1,INDEX(計算用!$F$3:$F$452,計算用!$O$48),INDEX(振り分け!$B$7:$B$456,計算用!$O$48)))</f>
        <v/>
      </c>
      <c r="L52" s="57">
        <f>IF(計算用!$O$48="","",IF(計算用!$B$1=1,INDEX(計算用!$H$3:$H$452,計算用!$O$48),INDEX(振り分け!$D$7:$D$456,計算用!$O$48)))</f>
        <v/>
      </c>
      <c r="M52" s="56">
        <f>IF(計算用!$P$48="","",IF(計算用!$B$1=1,INDEX(計算用!$F$3:$F$452,計算用!$P$48),INDEX(振り分け!$B$7:$B$456,計算用!$P$48)))</f>
        <v/>
      </c>
      <c r="N52" s="57">
        <f>IF(計算用!$P$48="","",IF(計算用!$B$1=1,INDEX(計算用!$H$3:$H$452,計算用!$P$48),INDEX(振り分け!$D$7:$D$456,計算用!$P$48)))</f>
        <v/>
      </c>
      <c r="O52" s="56">
        <f>IF(計算用!$Q$48="","",IF(計算用!$B$1=1,INDEX(計算用!$F$3:$F$452,計算用!$Q$48),INDEX(振り分け!$B$7:$B$456,計算用!$Q$48)))</f>
        <v/>
      </c>
      <c r="P52" s="57">
        <f>IF(計算用!$Q$48="","",IF(計算用!$B$1=1,INDEX(計算用!$H$3:$H$452,計算用!$Q$48),INDEX(振り分け!$D$7:$D$456,計算用!$Q$48)))</f>
        <v/>
      </c>
      <c r="Q52" s="56">
        <f>IF(計算用!$R$48="","",IF(計算用!$B$1=1,INDEX(計算用!$F$3:$F$452,計算用!$R$48),INDEX(振り分け!$B$7:$B$456,計算用!$R$48)))</f>
        <v/>
      </c>
      <c r="R52" s="57">
        <f>IF(計算用!$R$48="","",IF(計算用!$B$1=1,INDEX(計算用!$H$3:$H$452,計算用!$R$48),INDEX(振り分け!$D$7:$D$456,計算用!$R$48)))</f>
        <v/>
      </c>
      <c r="S52" s="56">
        <f>IF(計算用!$S$48="","",IF(計算用!$B$1=1,INDEX(計算用!$F$3:$F$452,計算用!$S$48),INDEX(振り分け!$B$7:$B$456,計算用!$S$48)))</f>
        <v/>
      </c>
      <c r="T52" s="57">
        <f>IF(計算用!$S$48="","",IF(計算用!$B$1=1,INDEX(計算用!$H$3:$H$452,計算用!$S$48),INDEX(振り分け!$D$7:$D$456,計算用!$S$48)))</f>
        <v/>
      </c>
    </row>
    <row r="53">
      <c r="A53" s="56">
        <f>IF(計算用!$J$49="","",IF(計算用!$B$1=1,INDEX(計算用!$F$3:$F$452,計算用!$J$49),INDEX(振り分け!$B$7:$B$456,計算用!$J$49)))</f>
        <v/>
      </c>
      <c r="B53" s="57">
        <f>IF(計算用!$J$49="","",IF(計算用!$B$1=1,INDEX(計算用!$H$3:$H$452,計算用!$J$49),INDEX(振り分け!$D$7:$D$456,計算用!$J$49)))</f>
        <v/>
      </c>
      <c r="C53" s="56">
        <f>IF(計算用!$K$49="","",IF(計算用!$B$1=1,INDEX(計算用!$F$3:$F$452,計算用!$K$49),INDEX(振り分け!$B$7:$B$456,計算用!$K$49)))</f>
        <v/>
      </c>
      <c r="D53" s="57">
        <f>IF(計算用!$K$49="","",IF(計算用!$B$1=1,INDEX(計算用!$H$3:$H$452,計算用!$K$49),INDEX(振り分け!$D$7:$D$456,計算用!$K$49)))</f>
        <v/>
      </c>
      <c r="E53" s="56">
        <f>IF(計算用!$L$49="","",IF(計算用!$B$1=1,INDEX(計算用!$F$3:$F$452,計算用!$L$49),INDEX(振り分け!$B$7:$B$456,計算用!$L$49)))</f>
        <v/>
      </c>
      <c r="F53" s="57">
        <f>IF(計算用!$L$49="","",IF(計算用!$B$1=1,INDEX(計算用!$H$3:$H$452,計算用!$L$49),INDEX(振り分け!$D$7:$D$456,計算用!$L$49)))</f>
        <v/>
      </c>
      <c r="G53" s="56">
        <f>IF(計算用!$M$49="","",IF(計算用!$B$1=1,INDEX(計算用!$F$3:$F$452,計算用!$M$49),INDEX(振り分け!$B$7:$B$456,計算用!$M$49)))</f>
        <v/>
      </c>
      <c r="H53" s="57">
        <f>IF(計算用!$M$49="","",IF(計算用!$B$1=1,INDEX(計算用!$H$3:$H$452,計算用!$M$49),INDEX(振り分け!$D$7:$D$456,計算用!$M$49)))</f>
        <v/>
      </c>
      <c r="I53" s="56">
        <f>IF(計算用!$N$49="","",IF(計算用!$B$1=1,INDEX(計算用!$F$3:$F$452,計算用!$N$49),INDEX(振り分け!$B$7:$B$456,計算用!$N$49)))</f>
        <v/>
      </c>
      <c r="J53" s="57">
        <f>IF(計算用!$N$49="","",IF(計算用!$B$1=1,INDEX(計算用!$H$3:$H$452,計算用!$N$49),INDEX(振り分け!$D$7:$D$456,計算用!$N$49)))</f>
        <v/>
      </c>
      <c r="K53" s="56">
        <f>IF(計算用!$O$49="","",IF(計算用!$B$1=1,INDEX(計算用!$F$3:$F$452,計算用!$O$49),INDEX(振り分け!$B$7:$B$456,計算用!$O$49)))</f>
        <v/>
      </c>
      <c r="L53" s="57">
        <f>IF(計算用!$O$49="","",IF(計算用!$B$1=1,INDEX(計算用!$H$3:$H$452,計算用!$O$49),INDEX(振り分け!$D$7:$D$456,計算用!$O$49)))</f>
        <v/>
      </c>
      <c r="M53" s="56">
        <f>IF(計算用!$P$49="","",IF(計算用!$B$1=1,INDEX(計算用!$F$3:$F$452,計算用!$P$49),INDEX(振り分け!$B$7:$B$456,計算用!$P$49)))</f>
        <v/>
      </c>
      <c r="N53" s="57">
        <f>IF(計算用!$P$49="","",IF(計算用!$B$1=1,INDEX(計算用!$H$3:$H$452,計算用!$P$49),INDEX(振り分け!$D$7:$D$456,計算用!$P$49)))</f>
        <v/>
      </c>
      <c r="O53" s="56">
        <f>IF(計算用!$Q$49="","",IF(計算用!$B$1=1,INDEX(計算用!$F$3:$F$452,計算用!$Q$49),INDEX(振り分け!$B$7:$B$456,計算用!$Q$49)))</f>
        <v/>
      </c>
      <c r="P53" s="57">
        <f>IF(計算用!$Q$49="","",IF(計算用!$B$1=1,INDEX(計算用!$H$3:$H$452,計算用!$Q$49),INDEX(振り分け!$D$7:$D$456,計算用!$Q$49)))</f>
        <v/>
      </c>
      <c r="Q53" s="56">
        <f>IF(計算用!$R$49="","",IF(計算用!$B$1=1,INDEX(計算用!$F$3:$F$452,計算用!$R$49),INDEX(振り分け!$B$7:$B$456,計算用!$R$49)))</f>
        <v/>
      </c>
      <c r="R53" s="57">
        <f>IF(計算用!$R$49="","",IF(計算用!$B$1=1,INDEX(計算用!$H$3:$H$452,計算用!$R$49),INDEX(振り分け!$D$7:$D$456,計算用!$R$49)))</f>
        <v/>
      </c>
      <c r="S53" s="56">
        <f>IF(計算用!$S$49="","",IF(計算用!$B$1=1,INDEX(計算用!$F$3:$F$452,計算用!$S$49),INDEX(振り分け!$B$7:$B$456,計算用!$S$49)))</f>
        <v/>
      </c>
      <c r="T53" s="57">
        <f>IF(計算用!$S$49="","",IF(計算用!$B$1=1,INDEX(計算用!$H$3:$H$452,計算用!$S$49),INDEX(振り分け!$D$7:$D$456,計算用!$S$49)))</f>
        <v/>
      </c>
    </row>
    <row r="54">
      <c r="A54" s="56">
        <f>IF(計算用!$J$50="","",IF(計算用!$B$1=1,INDEX(計算用!$F$3:$F$452,計算用!$J$50),INDEX(振り分け!$B$7:$B$456,計算用!$J$50)))</f>
        <v/>
      </c>
      <c r="B54" s="57">
        <f>IF(計算用!$J$50="","",IF(計算用!$B$1=1,INDEX(計算用!$H$3:$H$452,計算用!$J$50),INDEX(振り分け!$D$7:$D$456,計算用!$J$50)))</f>
        <v/>
      </c>
      <c r="C54" s="56">
        <f>IF(計算用!$K$50="","",IF(計算用!$B$1=1,INDEX(計算用!$F$3:$F$452,計算用!$K$50),INDEX(振り分け!$B$7:$B$456,計算用!$K$50)))</f>
        <v/>
      </c>
      <c r="D54" s="57">
        <f>IF(計算用!$K$50="","",IF(計算用!$B$1=1,INDEX(計算用!$H$3:$H$452,計算用!$K$50),INDEX(振り分け!$D$7:$D$456,計算用!$K$50)))</f>
        <v/>
      </c>
      <c r="E54" s="56">
        <f>IF(計算用!$L$50="","",IF(計算用!$B$1=1,INDEX(計算用!$F$3:$F$452,計算用!$L$50),INDEX(振り分け!$B$7:$B$456,計算用!$L$50)))</f>
        <v/>
      </c>
      <c r="F54" s="57">
        <f>IF(計算用!$L$50="","",IF(計算用!$B$1=1,INDEX(計算用!$H$3:$H$452,計算用!$L$50),INDEX(振り分け!$D$7:$D$456,計算用!$L$50)))</f>
        <v/>
      </c>
      <c r="G54" s="56">
        <f>IF(計算用!$M$50="","",IF(計算用!$B$1=1,INDEX(計算用!$F$3:$F$452,計算用!$M$50),INDEX(振り分け!$B$7:$B$456,計算用!$M$50)))</f>
        <v/>
      </c>
      <c r="H54" s="57">
        <f>IF(計算用!$M$50="","",IF(計算用!$B$1=1,INDEX(計算用!$H$3:$H$452,計算用!$M$50),INDEX(振り分け!$D$7:$D$456,計算用!$M$50)))</f>
        <v/>
      </c>
      <c r="I54" s="56">
        <f>IF(計算用!$N$50="","",IF(計算用!$B$1=1,INDEX(計算用!$F$3:$F$452,計算用!$N$50),INDEX(振り分け!$B$7:$B$456,計算用!$N$50)))</f>
        <v/>
      </c>
      <c r="J54" s="57">
        <f>IF(計算用!$N$50="","",IF(計算用!$B$1=1,INDEX(計算用!$H$3:$H$452,計算用!$N$50),INDEX(振り分け!$D$7:$D$456,計算用!$N$50)))</f>
        <v/>
      </c>
      <c r="K54" s="56">
        <f>IF(計算用!$O$50="","",IF(計算用!$B$1=1,INDEX(計算用!$F$3:$F$452,計算用!$O$50),INDEX(振り分け!$B$7:$B$456,計算用!$O$50)))</f>
        <v/>
      </c>
      <c r="L54" s="57">
        <f>IF(計算用!$O$50="","",IF(計算用!$B$1=1,INDEX(計算用!$H$3:$H$452,計算用!$O$50),INDEX(振り分け!$D$7:$D$456,計算用!$O$50)))</f>
        <v/>
      </c>
      <c r="M54" s="56">
        <f>IF(計算用!$P$50="","",IF(計算用!$B$1=1,INDEX(計算用!$F$3:$F$452,計算用!$P$50),INDEX(振り分け!$B$7:$B$456,計算用!$P$50)))</f>
        <v/>
      </c>
      <c r="N54" s="57">
        <f>IF(計算用!$P$50="","",IF(計算用!$B$1=1,INDEX(計算用!$H$3:$H$452,計算用!$P$50),INDEX(振り分け!$D$7:$D$456,計算用!$P$50)))</f>
        <v/>
      </c>
      <c r="O54" s="56">
        <f>IF(計算用!$Q$50="","",IF(計算用!$B$1=1,INDEX(計算用!$F$3:$F$452,計算用!$Q$50),INDEX(振り分け!$B$7:$B$456,計算用!$Q$50)))</f>
        <v/>
      </c>
      <c r="P54" s="57">
        <f>IF(計算用!$Q$50="","",IF(計算用!$B$1=1,INDEX(計算用!$H$3:$H$452,計算用!$Q$50),INDEX(振り分け!$D$7:$D$456,計算用!$Q$50)))</f>
        <v/>
      </c>
      <c r="Q54" s="56">
        <f>IF(計算用!$R$50="","",IF(計算用!$B$1=1,INDEX(計算用!$F$3:$F$452,計算用!$R$50),INDEX(振り分け!$B$7:$B$456,計算用!$R$50)))</f>
        <v/>
      </c>
      <c r="R54" s="57">
        <f>IF(計算用!$R$50="","",IF(計算用!$B$1=1,INDEX(計算用!$H$3:$H$452,計算用!$R$50),INDEX(振り分け!$D$7:$D$456,計算用!$R$50)))</f>
        <v/>
      </c>
      <c r="S54" s="56">
        <f>IF(計算用!$S$50="","",IF(計算用!$B$1=1,INDEX(計算用!$F$3:$F$452,計算用!$S$50),INDEX(振り分け!$B$7:$B$456,計算用!$S$50)))</f>
        <v/>
      </c>
      <c r="T54" s="57">
        <f>IF(計算用!$S$50="","",IF(計算用!$B$1=1,INDEX(計算用!$H$3:$H$452,計算用!$S$50),INDEX(振り分け!$D$7:$D$456,計算用!$S$50)))</f>
        <v/>
      </c>
    </row>
    <row r="55">
      <c r="A55" s="56">
        <f>IF(計算用!$J$51="","",IF(計算用!$B$1=1,INDEX(計算用!$F$3:$F$452,計算用!$J$51),INDEX(振り分け!$B$7:$B$456,計算用!$J$51)))</f>
        <v/>
      </c>
      <c r="B55" s="57">
        <f>IF(計算用!$J$51="","",IF(計算用!$B$1=1,INDEX(計算用!$H$3:$H$452,計算用!$J$51),INDEX(振り分け!$D$7:$D$456,計算用!$J$51)))</f>
        <v/>
      </c>
      <c r="C55" s="56">
        <f>IF(計算用!$K$51="","",IF(計算用!$B$1=1,INDEX(計算用!$F$3:$F$452,計算用!$K$51),INDEX(振り分け!$B$7:$B$456,計算用!$K$51)))</f>
        <v/>
      </c>
      <c r="D55" s="57">
        <f>IF(計算用!$K$51="","",IF(計算用!$B$1=1,INDEX(計算用!$H$3:$H$452,計算用!$K$51),INDEX(振り分け!$D$7:$D$456,計算用!$K$51)))</f>
        <v/>
      </c>
      <c r="E55" s="56">
        <f>IF(計算用!$L$51="","",IF(計算用!$B$1=1,INDEX(計算用!$F$3:$F$452,計算用!$L$51),INDEX(振り分け!$B$7:$B$456,計算用!$L$51)))</f>
        <v/>
      </c>
      <c r="F55" s="57">
        <f>IF(計算用!$L$51="","",IF(計算用!$B$1=1,INDEX(計算用!$H$3:$H$452,計算用!$L$51),INDEX(振り分け!$D$7:$D$456,計算用!$L$51)))</f>
        <v/>
      </c>
      <c r="G55" s="56">
        <f>IF(計算用!$M$51="","",IF(計算用!$B$1=1,INDEX(計算用!$F$3:$F$452,計算用!$M$51),INDEX(振り分け!$B$7:$B$456,計算用!$M$51)))</f>
        <v/>
      </c>
      <c r="H55" s="57">
        <f>IF(計算用!$M$51="","",IF(計算用!$B$1=1,INDEX(計算用!$H$3:$H$452,計算用!$M$51),INDEX(振り分け!$D$7:$D$456,計算用!$M$51)))</f>
        <v/>
      </c>
      <c r="I55" s="56">
        <f>IF(計算用!$N$51="","",IF(計算用!$B$1=1,INDEX(計算用!$F$3:$F$452,計算用!$N$51),INDEX(振り分け!$B$7:$B$456,計算用!$N$51)))</f>
        <v/>
      </c>
      <c r="J55" s="57">
        <f>IF(計算用!$N$51="","",IF(計算用!$B$1=1,INDEX(計算用!$H$3:$H$452,計算用!$N$51),INDEX(振り分け!$D$7:$D$456,計算用!$N$51)))</f>
        <v/>
      </c>
      <c r="K55" s="56">
        <f>IF(計算用!$O$51="","",IF(計算用!$B$1=1,INDEX(計算用!$F$3:$F$452,計算用!$O$51),INDEX(振り分け!$B$7:$B$456,計算用!$O$51)))</f>
        <v/>
      </c>
      <c r="L55" s="57">
        <f>IF(計算用!$O$51="","",IF(計算用!$B$1=1,INDEX(計算用!$H$3:$H$452,計算用!$O$51),INDEX(振り分け!$D$7:$D$456,計算用!$O$51)))</f>
        <v/>
      </c>
      <c r="M55" s="56">
        <f>IF(計算用!$P$51="","",IF(計算用!$B$1=1,INDEX(計算用!$F$3:$F$452,計算用!$P$51),INDEX(振り分け!$B$7:$B$456,計算用!$P$51)))</f>
        <v/>
      </c>
      <c r="N55" s="57">
        <f>IF(計算用!$P$51="","",IF(計算用!$B$1=1,INDEX(計算用!$H$3:$H$452,計算用!$P$51),INDEX(振り分け!$D$7:$D$456,計算用!$P$51)))</f>
        <v/>
      </c>
      <c r="O55" s="56">
        <f>IF(計算用!$Q$51="","",IF(計算用!$B$1=1,INDEX(計算用!$F$3:$F$452,計算用!$Q$51),INDEX(振り分け!$B$7:$B$456,計算用!$Q$51)))</f>
        <v/>
      </c>
      <c r="P55" s="57">
        <f>IF(計算用!$Q$51="","",IF(計算用!$B$1=1,INDEX(計算用!$H$3:$H$452,計算用!$Q$51),INDEX(振り分け!$D$7:$D$456,計算用!$Q$51)))</f>
        <v/>
      </c>
      <c r="Q55" s="56">
        <f>IF(計算用!$R$51="","",IF(計算用!$B$1=1,INDEX(計算用!$F$3:$F$452,計算用!$R$51),INDEX(振り分け!$B$7:$B$456,計算用!$R$51)))</f>
        <v/>
      </c>
      <c r="R55" s="57">
        <f>IF(計算用!$R$51="","",IF(計算用!$B$1=1,INDEX(計算用!$H$3:$H$452,計算用!$R$51),INDEX(振り分け!$D$7:$D$456,計算用!$R$51)))</f>
        <v/>
      </c>
      <c r="S55" s="56">
        <f>IF(計算用!$S$51="","",IF(計算用!$B$1=1,INDEX(計算用!$F$3:$F$452,計算用!$S$51),INDEX(振り分け!$B$7:$B$456,計算用!$S$51)))</f>
        <v/>
      </c>
      <c r="T55" s="57">
        <f>IF(計算用!$S$51="","",IF(計算用!$B$1=1,INDEX(計算用!$H$3:$H$452,計算用!$S$51),INDEX(振り分け!$D$7:$D$456,計算用!$S$51)))</f>
        <v/>
      </c>
    </row>
    <row r="56">
      <c r="A56" s="56">
        <f>IF(計算用!$J$52="","",IF(計算用!$B$1=1,INDEX(計算用!$F$3:$F$452,計算用!$J$52),INDEX(振り分け!$B$7:$B$456,計算用!$J$52)))</f>
        <v/>
      </c>
      <c r="B56" s="57">
        <f>IF(計算用!$J$52="","",IF(計算用!$B$1=1,INDEX(計算用!$H$3:$H$452,計算用!$J$52),INDEX(振り分け!$D$7:$D$456,計算用!$J$52)))</f>
        <v/>
      </c>
      <c r="C56" s="56">
        <f>IF(計算用!$K$52="","",IF(計算用!$B$1=1,INDEX(計算用!$F$3:$F$452,計算用!$K$52),INDEX(振り分け!$B$7:$B$456,計算用!$K$52)))</f>
        <v/>
      </c>
      <c r="D56" s="57">
        <f>IF(計算用!$K$52="","",IF(計算用!$B$1=1,INDEX(計算用!$H$3:$H$452,計算用!$K$52),INDEX(振り分け!$D$7:$D$456,計算用!$K$52)))</f>
        <v/>
      </c>
      <c r="E56" s="56">
        <f>IF(計算用!$L$52="","",IF(計算用!$B$1=1,INDEX(計算用!$F$3:$F$452,計算用!$L$52),INDEX(振り分け!$B$7:$B$456,計算用!$L$52)))</f>
        <v/>
      </c>
      <c r="F56" s="57">
        <f>IF(計算用!$L$52="","",IF(計算用!$B$1=1,INDEX(計算用!$H$3:$H$452,計算用!$L$52),INDEX(振り分け!$D$7:$D$456,計算用!$L$52)))</f>
        <v/>
      </c>
      <c r="G56" s="56">
        <f>IF(計算用!$M$52="","",IF(計算用!$B$1=1,INDEX(計算用!$F$3:$F$452,計算用!$M$52),INDEX(振り分け!$B$7:$B$456,計算用!$M$52)))</f>
        <v/>
      </c>
      <c r="H56" s="57">
        <f>IF(計算用!$M$52="","",IF(計算用!$B$1=1,INDEX(計算用!$H$3:$H$452,計算用!$M$52),INDEX(振り分け!$D$7:$D$456,計算用!$M$52)))</f>
        <v/>
      </c>
      <c r="I56" s="56">
        <f>IF(計算用!$N$52="","",IF(計算用!$B$1=1,INDEX(計算用!$F$3:$F$452,計算用!$N$52),INDEX(振り分け!$B$7:$B$456,計算用!$N$52)))</f>
        <v/>
      </c>
      <c r="J56" s="57">
        <f>IF(計算用!$N$52="","",IF(計算用!$B$1=1,INDEX(計算用!$H$3:$H$452,計算用!$N$52),INDEX(振り分け!$D$7:$D$456,計算用!$N$52)))</f>
        <v/>
      </c>
      <c r="K56" s="56">
        <f>IF(計算用!$O$52="","",IF(計算用!$B$1=1,INDEX(計算用!$F$3:$F$452,計算用!$O$52),INDEX(振り分け!$B$7:$B$456,計算用!$O$52)))</f>
        <v/>
      </c>
      <c r="L56" s="57">
        <f>IF(計算用!$O$52="","",IF(計算用!$B$1=1,INDEX(計算用!$H$3:$H$452,計算用!$O$52),INDEX(振り分け!$D$7:$D$456,計算用!$O$52)))</f>
        <v/>
      </c>
      <c r="M56" s="56">
        <f>IF(計算用!$P$52="","",IF(計算用!$B$1=1,INDEX(計算用!$F$3:$F$452,計算用!$P$52),INDEX(振り分け!$B$7:$B$456,計算用!$P$52)))</f>
        <v/>
      </c>
      <c r="N56" s="57">
        <f>IF(計算用!$P$52="","",IF(計算用!$B$1=1,INDEX(計算用!$H$3:$H$452,計算用!$P$52),INDEX(振り分け!$D$7:$D$456,計算用!$P$52)))</f>
        <v/>
      </c>
      <c r="O56" s="56">
        <f>IF(計算用!$Q$52="","",IF(計算用!$B$1=1,INDEX(計算用!$F$3:$F$452,計算用!$Q$52),INDEX(振り分け!$B$7:$B$456,計算用!$Q$52)))</f>
        <v/>
      </c>
      <c r="P56" s="57">
        <f>IF(計算用!$Q$52="","",IF(計算用!$B$1=1,INDEX(計算用!$H$3:$H$452,計算用!$Q$52),INDEX(振り分け!$D$7:$D$456,計算用!$Q$52)))</f>
        <v/>
      </c>
      <c r="Q56" s="56">
        <f>IF(計算用!$R$52="","",IF(計算用!$B$1=1,INDEX(計算用!$F$3:$F$452,計算用!$R$52),INDEX(振り分け!$B$7:$B$456,計算用!$R$52)))</f>
        <v/>
      </c>
      <c r="R56" s="57">
        <f>IF(計算用!$R$52="","",IF(計算用!$B$1=1,INDEX(計算用!$H$3:$H$452,計算用!$R$52),INDEX(振り分け!$D$7:$D$456,計算用!$R$52)))</f>
        <v/>
      </c>
      <c r="S56" s="56">
        <f>IF(計算用!$S$52="","",IF(計算用!$B$1=1,INDEX(計算用!$F$3:$F$452,計算用!$S$52),INDEX(振り分け!$B$7:$B$456,計算用!$S$52)))</f>
        <v/>
      </c>
      <c r="T56" s="57">
        <f>IF(計算用!$S$52="","",IF(計算用!$B$1=1,INDEX(計算用!$H$3:$H$452,計算用!$S$52),INDEX(振り分け!$D$7:$D$456,計算用!$S$52)))</f>
        <v/>
      </c>
    </row>
    <row r="58">
      <c r="A58" s="10">
        <f>IF(設定!$P$18="","",設定!$P$18&amp;"（"&amp;定員チェック!$F$17&amp;"名）")</f>
        <v/>
      </c>
      <c r="B58" s="16" t="n"/>
      <c r="C58" s="10">
        <f>IF(設定!$P$19="","",設定!$P$19&amp;"（"&amp;定員チェック!$F$18&amp;"名）")</f>
        <v/>
      </c>
      <c r="D58" s="16" t="n"/>
      <c r="E58" s="10">
        <f>IF(設定!$P$20="","",設定!$P$20&amp;"（"&amp;定員チェック!$F$19&amp;"名）")</f>
        <v/>
      </c>
      <c r="F58" s="16" t="n"/>
      <c r="G58" s="10">
        <f>IF(設定!$P$21="","",設定!$P$21&amp;"（"&amp;定員チェック!$F$20&amp;"名）")</f>
        <v/>
      </c>
      <c r="H58" s="16" t="n"/>
      <c r="I58" s="10">
        <f>IF(設定!$P$22="","",設定!$P$22&amp;"（"&amp;定員チェック!$F$21&amp;"名）")</f>
        <v/>
      </c>
      <c r="J58" s="16" t="n"/>
      <c r="K58" s="10">
        <f>IF(設定!$P$23="","",設定!$P$23&amp;"（"&amp;定員チェック!$F$22&amp;"名）")</f>
        <v/>
      </c>
      <c r="L58" s="16" t="n"/>
      <c r="M58" s="10">
        <f>IF(設定!$P$24="","",設定!$P$24&amp;"（"&amp;定員チェック!$F$23&amp;"名）")</f>
        <v/>
      </c>
      <c r="N58" s="16" t="n"/>
      <c r="O58" s="10">
        <f>IF(設定!$P$25="","",設定!$P$25&amp;"（"&amp;定員チェック!$F$24&amp;"名）")</f>
        <v/>
      </c>
      <c r="P58" s="16" t="n"/>
      <c r="Q58" s="10">
        <f>IF(設定!$P$26="","",設定!$P$26&amp;"（"&amp;定員チェック!$F$25&amp;"名）")</f>
        <v/>
      </c>
      <c r="R58" s="16" t="n"/>
      <c r="S58" s="10">
        <f>IF(設定!$P$27="","",設定!$P$27&amp;"（"&amp;定員チェック!$F$26&amp;"名）")</f>
        <v/>
      </c>
      <c r="T58" s="16" t="n"/>
    </row>
    <row r="59">
      <c r="A59" s="56">
        <f>IF(設定!$P$18="","","担当："&amp;設定!$S$18)</f>
        <v/>
      </c>
      <c r="B59" s="16" t="n"/>
      <c r="C59" s="56">
        <f>IF(設定!$P$19="","","担当："&amp;設定!$S$19)</f>
        <v/>
      </c>
      <c r="D59" s="16" t="n"/>
      <c r="E59" s="56">
        <f>IF(設定!$P$20="","","担当："&amp;設定!$S$20)</f>
        <v/>
      </c>
      <c r="F59" s="16" t="n"/>
      <c r="G59" s="56">
        <f>IF(設定!$P$21="","","担当："&amp;設定!$S$21)</f>
        <v/>
      </c>
      <c r="H59" s="16" t="n"/>
      <c r="I59" s="56">
        <f>IF(設定!$P$22="","","担当："&amp;設定!$S$22)</f>
        <v/>
      </c>
      <c r="J59" s="16" t="n"/>
      <c r="K59" s="56">
        <f>IF(設定!$P$23="","","担当："&amp;設定!$S$23)</f>
        <v/>
      </c>
      <c r="L59" s="16" t="n"/>
      <c r="M59" s="56">
        <f>IF(設定!$P$24="","","担当："&amp;設定!$S$24)</f>
        <v/>
      </c>
      <c r="N59" s="16" t="n"/>
      <c r="O59" s="56">
        <f>IF(設定!$P$25="","","担当："&amp;設定!$S$25)</f>
        <v/>
      </c>
      <c r="P59" s="16" t="n"/>
      <c r="Q59" s="56">
        <f>IF(設定!$P$26="","","担当："&amp;設定!$S$26)</f>
        <v/>
      </c>
      <c r="R59" s="16" t="n"/>
      <c r="S59" s="56">
        <f>IF(設定!$P$27="","","担当："&amp;設定!$S$27)</f>
        <v/>
      </c>
      <c r="T59" s="16" t="n"/>
    </row>
    <row r="60">
      <c r="A60" s="56">
        <f>IF(設定!$P$18="","","場所："&amp;設定!$T$18)</f>
        <v/>
      </c>
      <c r="B60" s="16" t="n"/>
      <c r="C60" s="56">
        <f>IF(設定!$P$19="","","場所："&amp;設定!$T$19)</f>
        <v/>
      </c>
      <c r="D60" s="16" t="n"/>
      <c r="E60" s="56">
        <f>IF(設定!$P$20="","","場所："&amp;設定!$T$20)</f>
        <v/>
      </c>
      <c r="F60" s="16" t="n"/>
      <c r="G60" s="56">
        <f>IF(設定!$P$21="","","場所："&amp;設定!$T$21)</f>
        <v/>
      </c>
      <c r="H60" s="16" t="n"/>
      <c r="I60" s="56">
        <f>IF(設定!$P$22="","","場所："&amp;設定!$T$22)</f>
        <v/>
      </c>
      <c r="J60" s="16" t="n"/>
      <c r="K60" s="56">
        <f>IF(設定!$P$23="","","場所："&amp;設定!$T$23)</f>
        <v/>
      </c>
      <c r="L60" s="16" t="n"/>
      <c r="M60" s="56">
        <f>IF(設定!$P$24="","","場所："&amp;設定!$T$24)</f>
        <v/>
      </c>
      <c r="N60" s="16" t="n"/>
      <c r="O60" s="56">
        <f>IF(設定!$P$25="","","場所："&amp;設定!$T$25)</f>
        <v/>
      </c>
      <c r="P60" s="16" t="n"/>
      <c r="Q60" s="56">
        <f>IF(設定!$P$26="","","場所："&amp;設定!$T$26)</f>
        <v/>
      </c>
      <c r="R60" s="16" t="n"/>
      <c r="S60" s="56">
        <f>IF(設定!$P$27="","","場所："&amp;設定!$T$27)</f>
        <v/>
      </c>
      <c r="T60" s="16" t="n"/>
    </row>
    <row r="61">
      <c r="A61" s="10" t="inlineStr">
        <is>
          <t>組</t>
        </is>
      </c>
      <c r="B61" s="10" t="inlineStr">
        <is>
          <t>名前</t>
        </is>
      </c>
      <c r="C61" s="10" t="inlineStr">
        <is>
          <t>組</t>
        </is>
      </c>
      <c r="D61" s="10" t="inlineStr">
        <is>
          <t>名前</t>
        </is>
      </c>
      <c r="E61" s="10" t="inlineStr">
        <is>
          <t>組</t>
        </is>
      </c>
      <c r="F61" s="10" t="inlineStr">
        <is>
          <t>名前</t>
        </is>
      </c>
      <c r="G61" s="10" t="inlineStr">
        <is>
          <t>組</t>
        </is>
      </c>
      <c r="H61" s="10" t="inlineStr">
        <is>
          <t>名前</t>
        </is>
      </c>
      <c r="I61" s="10" t="inlineStr">
        <is>
          <t>組</t>
        </is>
      </c>
      <c r="J61" s="10" t="inlineStr">
        <is>
          <t>名前</t>
        </is>
      </c>
      <c r="K61" s="10" t="inlineStr">
        <is>
          <t>組</t>
        </is>
      </c>
      <c r="L61" s="10" t="inlineStr">
        <is>
          <t>名前</t>
        </is>
      </c>
      <c r="M61" s="10" t="inlineStr">
        <is>
          <t>組</t>
        </is>
      </c>
      <c r="N61" s="10" t="inlineStr">
        <is>
          <t>名前</t>
        </is>
      </c>
      <c r="O61" s="10" t="inlineStr">
        <is>
          <t>組</t>
        </is>
      </c>
      <c r="P61" s="10" t="inlineStr">
        <is>
          <t>名前</t>
        </is>
      </c>
      <c r="Q61" s="10" t="inlineStr">
        <is>
          <t>組</t>
        </is>
      </c>
      <c r="R61" s="10" t="inlineStr">
        <is>
          <t>名前</t>
        </is>
      </c>
      <c r="S61" s="10" t="inlineStr">
        <is>
          <t>組</t>
        </is>
      </c>
      <c r="T61" s="10" t="inlineStr">
        <is>
          <t>名前</t>
        </is>
      </c>
    </row>
    <row r="62">
      <c r="A62" s="56">
        <f>IF(計算用!$T$3="","",IF(計算用!$B$1=1,INDEX(計算用!$F$3:$F$452,計算用!$T$3),INDEX(振り分け!$B$7:$B$456,計算用!$T$3)))</f>
        <v/>
      </c>
      <c r="B62" s="57">
        <f>IF(計算用!$T$3="","",IF(計算用!$B$1=1,INDEX(計算用!$H$3:$H$452,計算用!$T$3),INDEX(振り分け!$D$7:$D$456,計算用!$T$3)))</f>
        <v/>
      </c>
      <c r="C62" s="56">
        <f>IF(計算用!$U$3="","",IF(計算用!$B$1=1,INDEX(計算用!$F$3:$F$452,計算用!$U$3),INDEX(振り分け!$B$7:$B$456,計算用!$U$3)))</f>
        <v/>
      </c>
      <c r="D62" s="57">
        <f>IF(計算用!$U$3="","",IF(計算用!$B$1=1,INDEX(計算用!$H$3:$H$452,計算用!$U$3),INDEX(振り分け!$D$7:$D$456,計算用!$U$3)))</f>
        <v/>
      </c>
      <c r="E62" s="56">
        <f>IF(計算用!$V$3="","",IF(計算用!$B$1=1,INDEX(計算用!$F$3:$F$452,計算用!$V$3),INDEX(振り分け!$B$7:$B$456,計算用!$V$3)))</f>
        <v/>
      </c>
      <c r="F62" s="57">
        <f>IF(計算用!$V$3="","",IF(計算用!$B$1=1,INDEX(計算用!$H$3:$H$452,計算用!$V$3),INDEX(振り分け!$D$7:$D$456,計算用!$V$3)))</f>
        <v/>
      </c>
      <c r="G62" s="56">
        <f>IF(計算用!$W$3="","",IF(計算用!$B$1=1,INDEX(計算用!$F$3:$F$452,計算用!$W$3),INDEX(振り分け!$B$7:$B$456,計算用!$W$3)))</f>
        <v/>
      </c>
      <c r="H62" s="57">
        <f>IF(計算用!$W$3="","",IF(計算用!$B$1=1,INDEX(計算用!$H$3:$H$452,計算用!$W$3),INDEX(振り分け!$D$7:$D$456,計算用!$W$3)))</f>
        <v/>
      </c>
      <c r="I62" s="56">
        <f>IF(計算用!$X$3="","",IF(計算用!$B$1=1,INDEX(計算用!$F$3:$F$452,計算用!$X$3),INDEX(振り分け!$B$7:$B$456,計算用!$X$3)))</f>
        <v/>
      </c>
      <c r="J62" s="57">
        <f>IF(計算用!$X$3="","",IF(計算用!$B$1=1,INDEX(計算用!$H$3:$H$452,計算用!$X$3),INDEX(振り分け!$D$7:$D$456,計算用!$X$3)))</f>
        <v/>
      </c>
      <c r="K62" s="56">
        <f>IF(計算用!$Y$3="","",IF(計算用!$B$1=1,INDEX(計算用!$F$3:$F$452,計算用!$Y$3),INDEX(振り分け!$B$7:$B$456,計算用!$Y$3)))</f>
        <v/>
      </c>
      <c r="L62" s="57">
        <f>IF(計算用!$Y$3="","",IF(計算用!$B$1=1,INDEX(計算用!$H$3:$H$452,計算用!$Y$3),INDEX(振り分け!$D$7:$D$456,計算用!$Y$3)))</f>
        <v/>
      </c>
      <c r="M62" s="56">
        <f>IF(計算用!$Z$3="","",IF(計算用!$B$1=1,INDEX(計算用!$F$3:$F$452,計算用!$Z$3),INDEX(振り分け!$B$7:$B$456,計算用!$Z$3)))</f>
        <v/>
      </c>
      <c r="N62" s="57">
        <f>IF(計算用!$Z$3="","",IF(計算用!$B$1=1,INDEX(計算用!$H$3:$H$452,計算用!$Z$3),INDEX(振り分け!$D$7:$D$456,計算用!$Z$3)))</f>
        <v/>
      </c>
      <c r="O62" s="56">
        <f>IF(計算用!$AA$3="","",IF(計算用!$B$1=1,INDEX(計算用!$F$3:$F$452,計算用!$AA$3),INDEX(振り分け!$B$7:$B$456,計算用!$AA$3)))</f>
        <v/>
      </c>
      <c r="P62" s="57">
        <f>IF(計算用!$AA$3="","",IF(計算用!$B$1=1,INDEX(計算用!$H$3:$H$452,計算用!$AA$3),INDEX(振り分け!$D$7:$D$456,計算用!$AA$3)))</f>
        <v/>
      </c>
      <c r="Q62" s="56">
        <f>IF(計算用!$AB$3="","",IF(計算用!$B$1=1,INDEX(計算用!$F$3:$F$452,計算用!$AB$3),INDEX(振り分け!$B$7:$B$456,計算用!$AB$3)))</f>
        <v/>
      </c>
      <c r="R62" s="57">
        <f>IF(計算用!$AB$3="","",IF(計算用!$B$1=1,INDEX(計算用!$H$3:$H$452,計算用!$AB$3),INDEX(振り分け!$D$7:$D$456,計算用!$AB$3)))</f>
        <v/>
      </c>
      <c r="S62" s="56">
        <f>IF(計算用!$AC$3="","",IF(計算用!$B$1=1,INDEX(計算用!$F$3:$F$452,計算用!$AC$3),INDEX(振り分け!$B$7:$B$456,計算用!$AC$3)))</f>
        <v/>
      </c>
      <c r="T62" s="57">
        <f>IF(計算用!$AC$3="","",IF(計算用!$B$1=1,INDEX(計算用!$H$3:$H$452,計算用!$AC$3),INDEX(振り分け!$D$7:$D$456,計算用!$AC$3)))</f>
        <v/>
      </c>
    </row>
    <row r="63">
      <c r="A63" s="56">
        <f>IF(計算用!$T$4="","",IF(計算用!$B$1=1,INDEX(計算用!$F$3:$F$452,計算用!$T$4),INDEX(振り分け!$B$7:$B$456,計算用!$T$4)))</f>
        <v/>
      </c>
      <c r="B63" s="57">
        <f>IF(計算用!$T$4="","",IF(計算用!$B$1=1,INDEX(計算用!$H$3:$H$452,計算用!$T$4),INDEX(振り分け!$D$7:$D$456,計算用!$T$4)))</f>
        <v/>
      </c>
      <c r="C63" s="56">
        <f>IF(計算用!$U$4="","",IF(計算用!$B$1=1,INDEX(計算用!$F$3:$F$452,計算用!$U$4),INDEX(振り分け!$B$7:$B$456,計算用!$U$4)))</f>
        <v/>
      </c>
      <c r="D63" s="57">
        <f>IF(計算用!$U$4="","",IF(計算用!$B$1=1,INDEX(計算用!$H$3:$H$452,計算用!$U$4),INDEX(振り分け!$D$7:$D$456,計算用!$U$4)))</f>
        <v/>
      </c>
      <c r="E63" s="56">
        <f>IF(計算用!$V$4="","",IF(計算用!$B$1=1,INDEX(計算用!$F$3:$F$452,計算用!$V$4),INDEX(振り分け!$B$7:$B$456,計算用!$V$4)))</f>
        <v/>
      </c>
      <c r="F63" s="57">
        <f>IF(計算用!$V$4="","",IF(計算用!$B$1=1,INDEX(計算用!$H$3:$H$452,計算用!$V$4),INDEX(振り分け!$D$7:$D$456,計算用!$V$4)))</f>
        <v/>
      </c>
      <c r="G63" s="56">
        <f>IF(計算用!$W$4="","",IF(計算用!$B$1=1,INDEX(計算用!$F$3:$F$452,計算用!$W$4),INDEX(振り分け!$B$7:$B$456,計算用!$W$4)))</f>
        <v/>
      </c>
      <c r="H63" s="57">
        <f>IF(計算用!$W$4="","",IF(計算用!$B$1=1,INDEX(計算用!$H$3:$H$452,計算用!$W$4),INDEX(振り分け!$D$7:$D$456,計算用!$W$4)))</f>
        <v/>
      </c>
      <c r="I63" s="56">
        <f>IF(計算用!$X$4="","",IF(計算用!$B$1=1,INDEX(計算用!$F$3:$F$452,計算用!$X$4),INDEX(振り分け!$B$7:$B$456,計算用!$X$4)))</f>
        <v/>
      </c>
      <c r="J63" s="57">
        <f>IF(計算用!$X$4="","",IF(計算用!$B$1=1,INDEX(計算用!$H$3:$H$452,計算用!$X$4),INDEX(振り分け!$D$7:$D$456,計算用!$X$4)))</f>
        <v/>
      </c>
      <c r="K63" s="56">
        <f>IF(計算用!$Y$4="","",IF(計算用!$B$1=1,INDEX(計算用!$F$3:$F$452,計算用!$Y$4),INDEX(振り分け!$B$7:$B$456,計算用!$Y$4)))</f>
        <v/>
      </c>
      <c r="L63" s="57">
        <f>IF(計算用!$Y$4="","",IF(計算用!$B$1=1,INDEX(計算用!$H$3:$H$452,計算用!$Y$4),INDEX(振り分け!$D$7:$D$456,計算用!$Y$4)))</f>
        <v/>
      </c>
      <c r="M63" s="56">
        <f>IF(計算用!$Z$4="","",IF(計算用!$B$1=1,INDEX(計算用!$F$3:$F$452,計算用!$Z$4),INDEX(振り分け!$B$7:$B$456,計算用!$Z$4)))</f>
        <v/>
      </c>
      <c r="N63" s="57">
        <f>IF(計算用!$Z$4="","",IF(計算用!$B$1=1,INDEX(計算用!$H$3:$H$452,計算用!$Z$4),INDEX(振り分け!$D$7:$D$456,計算用!$Z$4)))</f>
        <v/>
      </c>
      <c r="O63" s="56">
        <f>IF(計算用!$AA$4="","",IF(計算用!$B$1=1,INDEX(計算用!$F$3:$F$452,計算用!$AA$4),INDEX(振り分け!$B$7:$B$456,計算用!$AA$4)))</f>
        <v/>
      </c>
      <c r="P63" s="57">
        <f>IF(計算用!$AA$4="","",IF(計算用!$B$1=1,INDEX(計算用!$H$3:$H$452,計算用!$AA$4),INDEX(振り分け!$D$7:$D$456,計算用!$AA$4)))</f>
        <v/>
      </c>
      <c r="Q63" s="56">
        <f>IF(計算用!$AB$4="","",IF(計算用!$B$1=1,INDEX(計算用!$F$3:$F$452,計算用!$AB$4),INDEX(振り分け!$B$7:$B$456,計算用!$AB$4)))</f>
        <v/>
      </c>
      <c r="R63" s="57">
        <f>IF(計算用!$AB$4="","",IF(計算用!$B$1=1,INDEX(計算用!$H$3:$H$452,計算用!$AB$4),INDEX(振り分け!$D$7:$D$456,計算用!$AB$4)))</f>
        <v/>
      </c>
      <c r="S63" s="56">
        <f>IF(計算用!$AC$4="","",IF(計算用!$B$1=1,INDEX(計算用!$F$3:$F$452,計算用!$AC$4),INDEX(振り分け!$B$7:$B$456,計算用!$AC$4)))</f>
        <v/>
      </c>
      <c r="T63" s="57">
        <f>IF(計算用!$AC$4="","",IF(計算用!$B$1=1,INDEX(計算用!$H$3:$H$452,計算用!$AC$4),INDEX(振り分け!$D$7:$D$456,計算用!$AC$4)))</f>
        <v/>
      </c>
    </row>
    <row r="64">
      <c r="A64" s="56">
        <f>IF(計算用!$T$5="","",IF(計算用!$B$1=1,INDEX(計算用!$F$3:$F$452,計算用!$T$5),INDEX(振り分け!$B$7:$B$456,計算用!$T$5)))</f>
        <v/>
      </c>
      <c r="B64" s="57">
        <f>IF(計算用!$T$5="","",IF(計算用!$B$1=1,INDEX(計算用!$H$3:$H$452,計算用!$T$5),INDEX(振り分け!$D$7:$D$456,計算用!$T$5)))</f>
        <v/>
      </c>
      <c r="C64" s="56">
        <f>IF(計算用!$U$5="","",IF(計算用!$B$1=1,INDEX(計算用!$F$3:$F$452,計算用!$U$5),INDEX(振り分け!$B$7:$B$456,計算用!$U$5)))</f>
        <v/>
      </c>
      <c r="D64" s="57">
        <f>IF(計算用!$U$5="","",IF(計算用!$B$1=1,INDEX(計算用!$H$3:$H$452,計算用!$U$5),INDEX(振り分け!$D$7:$D$456,計算用!$U$5)))</f>
        <v/>
      </c>
      <c r="E64" s="56">
        <f>IF(計算用!$V$5="","",IF(計算用!$B$1=1,INDEX(計算用!$F$3:$F$452,計算用!$V$5),INDEX(振り分け!$B$7:$B$456,計算用!$V$5)))</f>
        <v/>
      </c>
      <c r="F64" s="57">
        <f>IF(計算用!$V$5="","",IF(計算用!$B$1=1,INDEX(計算用!$H$3:$H$452,計算用!$V$5),INDEX(振り分け!$D$7:$D$456,計算用!$V$5)))</f>
        <v/>
      </c>
      <c r="G64" s="56">
        <f>IF(計算用!$W$5="","",IF(計算用!$B$1=1,INDEX(計算用!$F$3:$F$452,計算用!$W$5),INDEX(振り分け!$B$7:$B$456,計算用!$W$5)))</f>
        <v/>
      </c>
      <c r="H64" s="57">
        <f>IF(計算用!$W$5="","",IF(計算用!$B$1=1,INDEX(計算用!$H$3:$H$452,計算用!$W$5),INDEX(振り分け!$D$7:$D$456,計算用!$W$5)))</f>
        <v/>
      </c>
      <c r="I64" s="56">
        <f>IF(計算用!$X$5="","",IF(計算用!$B$1=1,INDEX(計算用!$F$3:$F$452,計算用!$X$5),INDEX(振り分け!$B$7:$B$456,計算用!$X$5)))</f>
        <v/>
      </c>
      <c r="J64" s="57">
        <f>IF(計算用!$X$5="","",IF(計算用!$B$1=1,INDEX(計算用!$H$3:$H$452,計算用!$X$5),INDEX(振り分け!$D$7:$D$456,計算用!$X$5)))</f>
        <v/>
      </c>
      <c r="K64" s="56">
        <f>IF(計算用!$Y$5="","",IF(計算用!$B$1=1,INDEX(計算用!$F$3:$F$452,計算用!$Y$5),INDEX(振り分け!$B$7:$B$456,計算用!$Y$5)))</f>
        <v/>
      </c>
      <c r="L64" s="57">
        <f>IF(計算用!$Y$5="","",IF(計算用!$B$1=1,INDEX(計算用!$H$3:$H$452,計算用!$Y$5),INDEX(振り分け!$D$7:$D$456,計算用!$Y$5)))</f>
        <v/>
      </c>
      <c r="M64" s="56">
        <f>IF(計算用!$Z$5="","",IF(計算用!$B$1=1,INDEX(計算用!$F$3:$F$452,計算用!$Z$5),INDEX(振り分け!$B$7:$B$456,計算用!$Z$5)))</f>
        <v/>
      </c>
      <c r="N64" s="57">
        <f>IF(計算用!$Z$5="","",IF(計算用!$B$1=1,INDEX(計算用!$H$3:$H$452,計算用!$Z$5),INDEX(振り分け!$D$7:$D$456,計算用!$Z$5)))</f>
        <v/>
      </c>
      <c r="O64" s="56">
        <f>IF(計算用!$AA$5="","",IF(計算用!$B$1=1,INDEX(計算用!$F$3:$F$452,計算用!$AA$5),INDEX(振り分け!$B$7:$B$456,計算用!$AA$5)))</f>
        <v/>
      </c>
      <c r="P64" s="57">
        <f>IF(計算用!$AA$5="","",IF(計算用!$B$1=1,INDEX(計算用!$H$3:$H$452,計算用!$AA$5),INDEX(振り分け!$D$7:$D$456,計算用!$AA$5)))</f>
        <v/>
      </c>
      <c r="Q64" s="56">
        <f>IF(計算用!$AB$5="","",IF(計算用!$B$1=1,INDEX(計算用!$F$3:$F$452,計算用!$AB$5),INDEX(振り分け!$B$7:$B$456,計算用!$AB$5)))</f>
        <v/>
      </c>
      <c r="R64" s="57">
        <f>IF(計算用!$AB$5="","",IF(計算用!$B$1=1,INDEX(計算用!$H$3:$H$452,計算用!$AB$5),INDEX(振り分け!$D$7:$D$456,計算用!$AB$5)))</f>
        <v/>
      </c>
      <c r="S64" s="56">
        <f>IF(計算用!$AC$5="","",IF(計算用!$B$1=1,INDEX(計算用!$F$3:$F$452,計算用!$AC$5),INDEX(振り分け!$B$7:$B$456,計算用!$AC$5)))</f>
        <v/>
      </c>
      <c r="T64" s="57">
        <f>IF(計算用!$AC$5="","",IF(計算用!$B$1=1,INDEX(計算用!$H$3:$H$452,計算用!$AC$5),INDEX(振り分け!$D$7:$D$456,計算用!$AC$5)))</f>
        <v/>
      </c>
    </row>
    <row r="65">
      <c r="A65" s="56">
        <f>IF(計算用!$T$6="","",IF(計算用!$B$1=1,INDEX(計算用!$F$3:$F$452,計算用!$T$6),INDEX(振り分け!$B$7:$B$456,計算用!$T$6)))</f>
        <v/>
      </c>
      <c r="B65" s="57">
        <f>IF(計算用!$T$6="","",IF(計算用!$B$1=1,INDEX(計算用!$H$3:$H$452,計算用!$T$6),INDEX(振り分け!$D$7:$D$456,計算用!$T$6)))</f>
        <v/>
      </c>
      <c r="C65" s="56">
        <f>IF(計算用!$U$6="","",IF(計算用!$B$1=1,INDEX(計算用!$F$3:$F$452,計算用!$U$6),INDEX(振り分け!$B$7:$B$456,計算用!$U$6)))</f>
        <v/>
      </c>
      <c r="D65" s="57">
        <f>IF(計算用!$U$6="","",IF(計算用!$B$1=1,INDEX(計算用!$H$3:$H$452,計算用!$U$6),INDEX(振り分け!$D$7:$D$456,計算用!$U$6)))</f>
        <v/>
      </c>
      <c r="E65" s="56">
        <f>IF(計算用!$V$6="","",IF(計算用!$B$1=1,INDEX(計算用!$F$3:$F$452,計算用!$V$6),INDEX(振り分け!$B$7:$B$456,計算用!$V$6)))</f>
        <v/>
      </c>
      <c r="F65" s="57">
        <f>IF(計算用!$V$6="","",IF(計算用!$B$1=1,INDEX(計算用!$H$3:$H$452,計算用!$V$6),INDEX(振り分け!$D$7:$D$456,計算用!$V$6)))</f>
        <v/>
      </c>
      <c r="G65" s="56">
        <f>IF(計算用!$W$6="","",IF(計算用!$B$1=1,INDEX(計算用!$F$3:$F$452,計算用!$W$6),INDEX(振り分け!$B$7:$B$456,計算用!$W$6)))</f>
        <v/>
      </c>
      <c r="H65" s="57">
        <f>IF(計算用!$W$6="","",IF(計算用!$B$1=1,INDEX(計算用!$H$3:$H$452,計算用!$W$6),INDEX(振り分け!$D$7:$D$456,計算用!$W$6)))</f>
        <v/>
      </c>
      <c r="I65" s="56">
        <f>IF(計算用!$X$6="","",IF(計算用!$B$1=1,INDEX(計算用!$F$3:$F$452,計算用!$X$6),INDEX(振り分け!$B$7:$B$456,計算用!$X$6)))</f>
        <v/>
      </c>
      <c r="J65" s="57">
        <f>IF(計算用!$X$6="","",IF(計算用!$B$1=1,INDEX(計算用!$H$3:$H$452,計算用!$X$6),INDEX(振り分け!$D$7:$D$456,計算用!$X$6)))</f>
        <v/>
      </c>
      <c r="K65" s="56">
        <f>IF(計算用!$Y$6="","",IF(計算用!$B$1=1,INDEX(計算用!$F$3:$F$452,計算用!$Y$6),INDEX(振り分け!$B$7:$B$456,計算用!$Y$6)))</f>
        <v/>
      </c>
      <c r="L65" s="57">
        <f>IF(計算用!$Y$6="","",IF(計算用!$B$1=1,INDEX(計算用!$H$3:$H$452,計算用!$Y$6),INDEX(振り分け!$D$7:$D$456,計算用!$Y$6)))</f>
        <v/>
      </c>
      <c r="M65" s="56">
        <f>IF(計算用!$Z$6="","",IF(計算用!$B$1=1,INDEX(計算用!$F$3:$F$452,計算用!$Z$6),INDEX(振り分け!$B$7:$B$456,計算用!$Z$6)))</f>
        <v/>
      </c>
      <c r="N65" s="57">
        <f>IF(計算用!$Z$6="","",IF(計算用!$B$1=1,INDEX(計算用!$H$3:$H$452,計算用!$Z$6),INDEX(振り分け!$D$7:$D$456,計算用!$Z$6)))</f>
        <v/>
      </c>
      <c r="O65" s="56">
        <f>IF(計算用!$AA$6="","",IF(計算用!$B$1=1,INDEX(計算用!$F$3:$F$452,計算用!$AA$6),INDEX(振り分け!$B$7:$B$456,計算用!$AA$6)))</f>
        <v/>
      </c>
      <c r="P65" s="57">
        <f>IF(計算用!$AA$6="","",IF(計算用!$B$1=1,INDEX(計算用!$H$3:$H$452,計算用!$AA$6),INDEX(振り分け!$D$7:$D$456,計算用!$AA$6)))</f>
        <v/>
      </c>
      <c r="Q65" s="56">
        <f>IF(計算用!$AB$6="","",IF(計算用!$B$1=1,INDEX(計算用!$F$3:$F$452,計算用!$AB$6),INDEX(振り分け!$B$7:$B$456,計算用!$AB$6)))</f>
        <v/>
      </c>
      <c r="R65" s="57">
        <f>IF(計算用!$AB$6="","",IF(計算用!$B$1=1,INDEX(計算用!$H$3:$H$452,計算用!$AB$6),INDEX(振り分け!$D$7:$D$456,計算用!$AB$6)))</f>
        <v/>
      </c>
      <c r="S65" s="56">
        <f>IF(計算用!$AC$6="","",IF(計算用!$B$1=1,INDEX(計算用!$F$3:$F$452,計算用!$AC$6),INDEX(振り分け!$B$7:$B$456,計算用!$AC$6)))</f>
        <v/>
      </c>
      <c r="T65" s="57">
        <f>IF(計算用!$AC$6="","",IF(計算用!$B$1=1,INDEX(計算用!$H$3:$H$452,計算用!$AC$6),INDEX(振り分け!$D$7:$D$456,計算用!$AC$6)))</f>
        <v/>
      </c>
    </row>
    <row r="66">
      <c r="A66" s="56">
        <f>IF(計算用!$T$7="","",IF(計算用!$B$1=1,INDEX(計算用!$F$3:$F$452,計算用!$T$7),INDEX(振り分け!$B$7:$B$456,計算用!$T$7)))</f>
        <v/>
      </c>
      <c r="B66" s="57">
        <f>IF(計算用!$T$7="","",IF(計算用!$B$1=1,INDEX(計算用!$H$3:$H$452,計算用!$T$7),INDEX(振り分け!$D$7:$D$456,計算用!$T$7)))</f>
        <v/>
      </c>
      <c r="C66" s="56">
        <f>IF(計算用!$U$7="","",IF(計算用!$B$1=1,INDEX(計算用!$F$3:$F$452,計算用!$U$7),INDEX(振り分け!$B$7:$B$456,計算用!$U$7)))</f>
        <v/>
      </c>
      <c r="D66" s="57">
        <f>IF(計算用!$U$7="","",IF(計算用!$B$1=1,INDEX(計算用!$H$3:$H$452,計算用!$U$7),INDEX(振り分け!$D$7:$D$456,計算用!$U$7)))</f>
        <v/>
      </c>
      <c r="E66" s="56">
        <f>IF(計算用!$V$7="","",IF(計算用!$B$1=1,INDEX(計算用!$F$3:$F$452,計算用!$V$7),INDEX(振り分け!$B$7:$B$456,計算用!$V$7)))</f>
        <v/>
      </c>
      <c r="F66" s="57">
        <f>IF(計算用!$V$7="","",IF(計算用!$B$1=1,INDEX(計算用!$H$3:$H$452,計算用!$V$7),INDEX(振り分け!$D$7:$D$456,計算用!$V$7)))</f>
        <v/>
      </c>
      <c r="G66" s="56">
        <f>IF(計算用!$W$7="","",IF(計算用!$B$1=1,INDEX(計算用!$F$3:$F$452,計算用!$W$7),INDEX(振り分け!$B$7:$B$456,計算用!$W$7)))</f>
        <v/>
      </c>
      <c r="H66" s="57">
        <f>IF(計算用!$W$7="","",IF(計算用!$B$1=1,INDEX(計算用!$H$3:$H$452,計算用!$W$7),INDEX(振り分け!$D$7:$D$456,計算用!$W$7)))</f>
        <v/>
      </c>
      <c r="I66" s="56">
        <f>IF(計算用!$X$7="","",IF(計算用!$B$1=1,INDEX(計算用!$F$3:$F$452,計算用!$X$7),INDEX(振り分け!$B$7:$B$456,計算用!$X$7)))</f>
        <v/>
      </c>
      <c r="J66" s="57">
        <f>IF(計算用!$X$7="","",IF(計算用!$B$1=1,INDEX(計算用!$H$3:$H$452,計算用!$X$7),INDEX(振り分け!$D$7:$D$456,計算用!$X$7)))</f>
        <v/>
      </c>
      <c r="K66" s="56">
        <f>IF(計算用!$Y$7="","",IF(計算用!$B$1=1,INDEX(計算用!$F$3:$F$452,計算用!$Y$7),INDEX(振り分け!$B$7:$B$456,計算用!$Y$7)))</f>
        <v/>
      </c>
      <c r="L66" s="57">
        <f>IF(計算用!$Y$7="","",IF(計算用!$B$1=1,INDEX(計算用!$H$3:$H$452,計算用!$Y$7),INDEX(振り分け!$D$7:$D$456,計算用!$Y$7)))</f>
        <v/>
      </c>
      <c r="M66" s="56">
        <f>IF(計算用!$Z$7="","",IF(計算用!$B$1=1,INDEX(計算用!$F$3:$F$452,計算用!$Z$7),INDEX(振り分け!$B$7:$B$456,計算用!$Z$7)))</f>
        <v/>
      </c>
      <c r="N66" s="57">
        <f>IF(計算用!$Z$7="","",IF(計算用!$B$1=1,INDEX(計算用!$H$3:$H$452,計算用!$Z$7),INDEX(振り分け!$D$7:$D$456,計算用!$Z$7)))</f>
        <v/>
      </c>
      <c r="O66" s="56">
        <f>IF(計算用!$AA$7="","",IF(計算用!$B$1=1,INDEX(計算用!$F$3:$F$452,計算用!$AA$7),INDEX(振り分け!$B$7:$B$456,計算用!$AA$7)))</f>
        <v/>
      </c>
      <c r="P66" s="57">
        <f>IF(計算用!$AA$7="","",IF(計算用!$B$1=1,INDEX(計算用!$H$3:$H$452,計算用!$AA$7),INDEX(振り分け!$D$7:$D$456,計算用!$AA$7)))</f>
        <v/>
      </c>
      <c r="Q66" s="56">
        <f>IF(計算用!$AB$7="","",IF(計算用!$B$1=1,INDEX(計算用!$F$3:$F$452,計算用!$AB$7),INDEX(振り分け!$B$7:$B$456,計算用!$AB$7)))</f>
        <v/>
      </c>
      <c r="R66" s="57">
        <f>IF(計算用!$AB$7="","",IF(計算用!$B$1=1,INDEX(計算用!$H$3:$H$452,計算用!$AB$7),INDEX(振り分け!$D$7:$D$456,計算用!$AB$7)))</f>
        <v/>
      </c>
      <c r="S66" s="56">
        <f>IF(計算用!$AC$7="","",IF(計算用!$B$1=1,INDEX(計算用!$F$3:$F$452,計算用!$AC$7),INDEX(振り分け!$B$7:$B$456,計算用!$AC$7)))</f>
        <v/>
      </c>
      <c r="T66" s="57">
        <f>IF(計算用!$AC$7="","",IF(計算用!$B$1=1,INDEX(計算用!$H$3:$H$452,計算用!$AC$7),INDEX(振り分け!$D$7:$D$456,計算用!$AC$7)))</f>
        <v/>
      </c>
    </row>
    <row r="67">
      <c r="A67" s="56">
        <f>IF(計算用!$T$8="","",IF(計算用!$B$1=1,INDEX(計算用!$F$3:$F$452,計算用!$T$8),INDEX(振り分け!$B$7:$B$456,計算用!$T$8)))</f>
        <v/>
      </c>
      <c r="B67" s="57">
        <f>IF(計算用!$T$8="","",IF(計算用!$B$1=1,INDEX(計算用!$H$3:$H$452,計算用!$T$8),INDEX(振り分け!$D$7:$D$456,計算用!$T$8)))</f>
        <v/>
      </c>
      <c r="C67" s="56">
        <f>IF(計算用!$U$8="","",IF(計算用!$B$1=1,INDEX(計算用!$F$3:$F$452,計算用!$U$8),INDEX(振り分け!$B$7:$B$456,計算用!$U$8)))</f>
        <v/>
      </c>
      <c r="D67" s="57">
        <f>IF(計算用!$U$8="","",IF(計算用!$B$1=1,INDEX(計算用!$H$3:$H$452,計算用!$U$8),INDEX(振り分け!$D$7:$D$456,計算用!$U$8)))</f>
        <v/>
      </c>
      <c r="E67" s="56">
        <f>IF(計算用!$V$8="","",IF(計算用!$B$1=1,INDEX(計算用!$F$3:$F$452,計算用!$V$8),INDEX(振り分け!$B$7:$B$456,計算用!$V$8)))</f>
        <v/>
      </c>
      <c r="F67" s="57">
        <f>IF(計算用!$V$8="","",IF(計算用!$B$1=1,INDEX(計算用!$H$3:$H$452,計算用!$V$8),INDEX(振り分け!$D$7:$D$456,計算用!$V$8)))</f>
        <v/>
      </c>
      <c r="G67" s="56">
        <f>IF(計算用!$W$8="","",IF(計算用!$B$1=1,INDEX(計算用!$F$3:$F$452,計算用!$W$8),INDEX(振り分け!$B$7:$B$456,計算用!$W$8)))</f>
        <v/>
      </c>
      <c r="H67" s="57">
        <f>IF(計算用!$W$8="","",IF(計算用!$B$1=1,INDEX(計算用!$H$3:$H$452,計算用!$W$8),INDEX(振り分け!$D$7:$D$456,計算用!$W$8)))</f>
        <v/>
      </c>
      <c r="I67" s="56">
        <f>IF(計算用!$X$8="","",IF(計算用!$B$1=1,INDEX(計算用!$F$3:$F$452,計算用!$X$8),INDEX(振り分け!$B$7:$B$456,計算用!$X$8)))</f>
        <v/>
      </c>
      <c r="J67" s="57">
        <f>IF(計算用!$X$8="","",IF(計算用!$B$1=1,INDEX(計算用!$H$3:$H$452,計算用!$X$8),INDEX(振り分け!$D$7:$D$456,計算用!$X$8)))</f>
        <v/>
      </c>
      <c r="K67" s="56">
        <f>IF(計算用!$Y$8="","",IF(計算用!$B$1=1,INDEX(計算用!$F$3:$F$452,計算用!$Y$8),INDEX(振り分け!$B$7:$B$456,計算用!$Y$8)))</f>
        <v/>
      </c>
      <c r="L67" s="57">
        <f>IF(計算用!$Y$8="","",IF(計算用!$B$1=1,INDEX(計算用!$H$3:$H$452,計算用!$Y$8),INDEX(振り分け!$D$7:$D$456,計算用!$Y$8)))</f>
        <v/>
      </c>
      <c r="M67" s="56">
        <f>IF(計算用!$Z$8="","",IF(計算用!$B$1=1,INDEX(計算用!$F$3:$F$452,計算用!$Z$8),INDEX(振り分け!$B$7:$B$456,計算用!$Z$8)))</f>
        <v/>
      </c>
      <c r="N67" s="57">
        <f>IF(計算用!$Z$8="","",IF(計算用!$B$1=1,INDEX(計算用!$H$3:$H$452,計算用!$Z$8),INDEX(振り分け!$D$7:$D$456,計算用!$Z$8)))</f>
        <v/>
      </c>
      <c r="O67" s="56">
        <f>IF(計算用!$AA$8="","",IF(計算用!$B$1=1,INDEX(計算用!$F$3:$F$452,計算用!$AA$8),INDEX(振り分け!$B$7:$B$456,計算用!$AA$8)))</f>
        <v/>
      </c>
      <c r="P67" s="57">
        <f>IF(計算用!$AA$8="","",IF(計算用!$B$1=1,INDEX(計算用!$H$3:$H$452,計算用!$AA$8),INDEX(振り分け!$D$7:$D$456,計算用!$AA$8)))</f>
        <v/>
      </c>
      <c r="Q67" s="56">
        <f>IF(計算用!$AB$8="","",IF(計算用!$B$1=1,INDEX(計算用!$F$3:$F$452,計算用!$AB$8),INDEX(振り分け!$B$7:$B$456,計算用!$AB$8)))</f>
        <v/>
      </c>
      <c r="R67" s="57">
        <f>IF(計算用!$AB$8="","",IF(計算用!$B$1=1,INDEX(計算用!$H$3:$H$452,計算用!$AB$8),INDEX(振り分け!$D$7:$D$456,計算用!$AB$8)))</f>
        <v/>
      </c>
      <c r="S67" s="56">
        <f>IF(計算用!$AC$8="","",IF(計算用!$B$1=1,INDEX(計算用!$F$3:$F$452,計算用!$AC$8),INDEX(振り分け!$B$7:$B$456,計算用!$AC$8)))</f>
        <v/>
      </c>
      <c r="T67" s="57">
        <f>IF(計算用!$AC$8="","",IF(計算用!$B$1=1,INDEX(計算用!$H$3:$H$452,計算用!$AC$8),INDEX(振り分け!$D$7:$D$456,計算用!$AC$8)))</f>
        <v/>
      </c>
    </row>
    <row r="68">
      <c r="A68" s="56">
        <f>IF(計算用!$T$9="","",IF(計算用!$B$1=1,INDEX(計算用!$F$3:$F$452,計算用!$T$9),INDEX(振り分け!$B$7:$B$456,計算用!$T$9)))</f>
        <v/>
      </c>
      <c r="B68" s="57">
        <f>IF(計算用!$T$9="","",IF(計算用!$B$1=1,INDEX(計算用!$H$3:$H$452,計算用!$T$9),INDEX(振り分け!$D$7:$D$456,計算用!$T$9)))</f>
        <v/>
      </c>
      <c r="C68" s="56">
        <f>IF(計算用!$U$9="","",IF(計算用!$B$1=1,INDEX(計算用!$F$3:$F$452,計算用!$U$9),INDEX(振り分け!$B$7:$B$456,計算用!$U$9)))</f>
        <v/>
      </c>
      <c r="D68" s="57">
        <f>IF(計算用!$U$9="","",IF(計算用!$B$1=1,INDEX(計算用!$H$3:$H$452,計算用!$U$9),INDEX(振り分け!$D$7:$D$456,計算用!$U$9)))</f>
        <v/>
      </c>
      <c r="E68" s="56">
        <f>IF(計算用!$V$9="","",IF(計算用!$B$1=1,INDEX(計算用!$F$3:$F$452,計算用!$V$9),INDEX(振り分け!$B$7:$B$456,計算用!$V$9)))</f>
        <v/>
      </c>
      <c r="F68" s="57">
        <f>IF(計算用!$V$9="","",IF(計算用!$B$1=1,INDEX(計算用!$H$3:$H$452,計算用!$V$9),INDEX(振り分け!$D$7:$D$456,計算用!$V$9)))</f>
        <v/>
      </c>
      <c r="G68" s="56">
        <f>IF(計算用!$W$9="","",IF(計算用!$B$1=1,INDEX(計算用!$F$3:$F$452,計算用!$W$9),INDEX(振り分け!$B$7:$B$456,計算用!$W$9)))</f>
        <v/>
      </c>
      <c r="H68" s="57">
        <f>IF(計算用!$W$9="","",IF(計算用!$B$1=1,INDEX(計算用!$H$3:$H$452,計算用!$W$9),INDEX(振り分け!$D$7:$D$456,計算用!$W$9)))</f>
        <v/>
      </c>
      <c r="I68" s="56">
        <f>IF(計算用!$X$9="","",IF(計算用!$B$1=1,INDEX(計算用!$F$3:$F$452,計算用!$X$9),INDEX(振り分け!$B$7:$B$456,計算用!$X$9)))</f>
        <v/>
      </c>
      <c r="J68" s="57">
        <f>IF(計算用!$X$9="","",IF(計算用!$B$1=1,INDEX(計算用!$H$3:$H$452,計算用!$X$9),INDEX(振り分け!$D$7:$D$456,計算用!$X$9)))</f>
        <v/>
      </c>
      <c r="K68" s="56">
        <f>IF(計算用!$Y$9="","",IF(計算用!$B$1=1,INDEX(計算用!$F$3:$F$452,計算用!$Y$9),INDEX(振り分け!$B$7:$B$456,計算用!$Y$9)))</f>
        <v/>
      </c>
      <c r="L68" s="57">
        <f>IF(計算用!$Y$9="","",IF(計算用!$B$1=1,INDEX(計算用!$H$3:$H$452,計算用!$Y$9),INDEX(振り分け!$D$7:$D$456,計算用!$Y$9)))</f>
        <v/>
      </c>
      <c r="M68" s="56">
        <f>IF(計算用!$Z$9="","",IF(計算用!$B$1=1,INDEX(計算用!$F$3:$F$452,計算用!$Z$9),INDEX(振り分け!$B$7:$B$456,計算用!$Z$9)))</f>
        <v/>
      </c>
      <c r="N68" s="57">
        <f>IF(計算用!$Z$9="","",IF(計算用!$B$1=1,INDEX(計算用!$H$3:$H$452,計算用!$Z$9),INDEX(振り分け!$D$7:$D$456,計算用!$Z$9)))</f>
        <v/>
      </c>
      <c r="O68" s="56">
        <f>IF(計算用!$AA$9="","",IF(計算用!$B$1=1,INDEX(計算用!$F$3:$F$452,計算用!$AA$9),INDEX(振り分け!$B$7:$B$456,計算用!$AA$9)))</f>
        <v/>
      </c>
      <c r="P68" s="57">
        <f>IF(計算用!$AA$9="","",IF(計算用!$B$1=1,INDEX(計算用!$H$3:$H$452,計算用!$AA$9),INDEX(振り分け!$D$7:$D$456,計算用!$AA$9)))</f>
        <v/>
      </c>
      <c r="Q68" s="56">
        <f>IF(計算用!$AB$9="","",IF(計算用!$B$1=1,INDEX(計算用!$F$3:$F$452,計算用!$AB$9),INDEX(振り分け!$B$7:$B$456,計算用!$AB$9)))</f>
        <v/>
      </c>
      <c r="R68" s="57">
        <f>IF(計算用!$AB$9="","",IF(計算用!$B$1=1,INDEX(計算用!$H$3:$H$452,計算用!$AB$9),INDEX(振り分け!$D$7:$D$456,計算用!$AB$9)))</f>
        <v/>
      </c>
      <c r="S68" s="56">
        <f>IF(計算用!$AC$9="","",IF(計算用!$B$1=1,INDEX(計算用!$F$3:$F$452,計算用!$AC$9),INDEX(振り分け!$B$7:$B$456,計算用!$AC$9)))</f>
        <v/>
      </c>
      <c r="T68" s="57">
        <f>IF(計算用!$AC$9="","",IF(計算用!$B$1=1,INDEX(計算用!$H$3:$H$452,計算用!$AC$9),INDEX(振り分け!$D$7:$D$456,計算用!$AC$9)))</f>
        <v/>
      </c>
    </row>
    <row r="69">
      <c r="A69" s="56">
        <f>IF(計算用!$T$10="","",IF(計算用!$B$1=1,INDEX(計算用!$F$3:$F$452,計算用!$T$10),INDEX(振り分け!$B$7:$B$456,計算用!$T$10)))</f>
        <v/>
      </c>
      <c r="B69" s="57">
        <f>IF(計算用!$T$10="","",IF(計算用!$B$1=1,INDEX(計算用!$H$3:$H$452,計算用!$T$10),INDEX(振り分け!$D$7:$D$456,計算用!$T$10)))</f>
        <v/>
      </c>
      <c r="C69" s="56">
        <f>IF(計算用!$U$10="","",IF(計算用!$B$1=1,INDEX(計算用!$F$3:$F$452,計算用!$U$10),INDEX(振り分け!$B$7:$B$456,計算用!$U$10)))</f>
        <v/>
      </c>
      <c r="D69" s="57">
        <f>IF(計算用!$U$10="","",IF(計算用!$B$1=1,INDEX(計算用!$H$3:$H$452,計算用!$U$10),INDEX(振り分け!$D$7:$D$456,計算用!$U$10)))</f>
        <v/>
      </c>
      <c r="E69" s="56">
        <f>IF(計算用!$V$10="","",IF(計算用!$B$1=1,INDEX(計算用!$F$3:$F$452,計算用!$V$10),INDEX(振り分け!$B$7:$B$456,計算用!$V$10)))</f>
        <v/>
      </c>
      <c r="F69" s="57">
        <f>IF(計算用!$V$10="","",IF(計算用!$B$1=1,INDEX(計算用!$H$3:$H$452,計算用!$V$10),INDEX(振り分け!$D$7:$D$456,計算用!$V$10)))</f>
        <v/>
      </c>
      <c r="G69" s="56">
        <f>IF(計算用!$W$10="","",IF(計算用!$B$1=1,INDEX(計算用!$F$3:$F$452,計算用!$W$10),INDEX(振り分け!$B$7:$B$456,計算用!$W$10)))</f>
        <v/>
      </c>
      <c r="H69" s="57">
        <f>IF(計算用!$W$10="","",IF(計算用!$B$1=1,INDEX(計算用!$H$3:$H$452,計算用!$W$10),INDEX(振り分け!$D$7:$D$456,計算用!$W$10)))</f>
        <v/>
      </c>
      <c r="I69" s="56">
        <f>IF(計算用!$X$10="","",IF(計算用!$B$1=1,INDEX(計算用!$F$3:$F$452,計算用!$X$10),INDEX(振り分け!$B$7:$B$456,計算用!$X$10)))</f>
        <v/>
      </c>
      <c r="J69" s="57">
        <f>IF(計算用!$X$10="","",IF(計算用!$B$1=1,INDEX(計算用!$H$3:$H$452,計算用!$X$10),INDEX(振り分け!$D$7:$D$456,計算用!$X$10)))</f>
        <v/>
      </c>
      <c r="K69" s="56">
        <f>IF(計算用!$Y$10="","",IF(計算用!$B$1=1,INDEX(計算用!$F$3:$F$452,計算用!$Y$10),INDEX(振り分け!$B$7:$B$456,計算用!$Y$10)))</f>
        <v/>
      </c>
      <c r="L69" s="57">
        <f>IF(計算用!$Y$10="","",IF(計算用!$B$1=1,INDEX(計算用!$H$3:$H$452,計算用!$Y$10),INDEX(振り分け!$D$7:$D$456,計算用!$Y$10)))</f>
        <v/>
      </c>
      <c r="M69" s="56">
        <f>IF(計算用!$Z$10="","",IF(計算用!$B$1=1,INDEX(計算用!$F$3:$F$452,計算用!$Z$10),INDEX(振り分け!$B$7:$B$456,計算用!$Z$10)))</f>
        <v/>
      </c>
      <c r="N69" s="57">
        <f>IF(計算用!$Z$10="","",IF(計算用!$B$1=1,INDEX(計算用!$H$3:$H$452,計算用!$Z$10),INDEX(振り分け!$D$7:$D$456,計算用!$Z$10)))</f>
        <v/>
      </c>
      <c r="O69" s="56">
        <f>IF(計算用!$AA$10="","",IF(計算用!$B$1=1,INDEX(計算用!$F$3:$F$452,計算用!$AA$10),INDEX(振り分け!$B$7:$B$456,計算用!$AA$10)))</f>
        <v/>
      </c>
      <c r="P69" s="57">
        <f>IF(計算用!$AA$10="","",IF(計算用!$B$1=1,INDEX(計算用!$H$3:$H$452,計算用!$AA$10),INDEX(振り分け!$D$7:$D$456,計算用!$AA$10)))</f>
        <v/>
      </c>
      <c r="Q69" s="56">
        <f>IF(計算用!$AB$10="","",IF(計算用!$B$1=1,INDEX(計算用!$F$3:$F$452,計算用!$AB$10),INDEX(振り分け!$B$7:$B$456,計算用!$AB$10)))</f>
        <v/>
      </c>
      <c r="R69" s="57">
        <f>IF(計算用!$AB$10="","",IF(計算用!$B$1=1,INDEX(計算用!$H$3:$H$452,計算用!$AB$10),INDEX(振り分け!$D$7:$D$456,計算用!$AB$10)))</f>
        <v/>
      </c>
      <c r="S69" s="56">
        <f>IF(計算用!$AC$10="","",IF(計算用!$B$1=1,INDEX(計算用!$F$3:$F$452,計算用!$AC$10),INDEX(振り分け!$B$7:$B$456,計算用!$AC$10)))</f>
        <v/>
      </c>
      <c r="T69" s="57">
        <f>IF(計算用!$AC$10="","",IF(計算用!$B$1=1,INDEX(計算用!$H$3:$H$452,計算用!$AC$10),INDEX(振り分け!$D$7:$D$456,計算用!$AC$10)))</f>
        <v/>
      </c>
    </row>
    <row r="70">
      <c r="A70" s="56">
        <f>IF(計算用!$T$11="","",IF(計算用!$B$1=1,INDEX(計算用!$F$3:$F$452,計算用!$T$11),INDEX(振り分け!$B$7:$B$456,計算用!$T$11)))</f>
        <v/>
      </c>
      <c r="B70" s="57">
        <f>IF(計算用!$T$11="","",IF(計算用!$B$1=1,INDEX(計算用!$H$3:$H$452,計算用!$T$11),INDEX(振り分け!$D$7:$D$456,計算用!$T$11)))</f>
        <v/>
      </c>
      <c r="C70" s="56">
        <f>IF(計算用!$U$11="","",IF(計算用!$B$1=1,INDEX(計算用!$F$3:$F$452,計算用!$U$11),INDEX(振り分け!$B$7:$B$456,計算用!$U$11)))</f>
        <v/>
      </c>
      <c r="D70" s="57">
        <f>IF(計算用!$U$11="","",IF(計算用!$B$1=1,INDEX(計算用!$H$3:$H$452,計算用!$U$11),INDEX(振り分け!$D$7:$D$456,計算用!$U$11)))</f>
        <v/>
      </c>
      <c r="E70" s="56">
        <f>IF(計算用!$V$11="","",IF(計算用!$B$1=1,INDEX(計算用!$F$3:$F$452,計算用!$V$11),INDEX(振り分け!$B$7:$B$456,計算用!$V$11)))</f>
        <v/>
      </c>
      <c r="F70" s="57">
        <f>IF(計算用!$V$11="","",IF(計算用!$B$1=1,INDEX(計算用!$H$3:$H$452,計算用!$V$11),INDEX(振り分け!$D$7:$D$456,計算用!$V$11)))</f>
        <v/>
      </c>
      <c r="G70" s="56">
        <f>IF(計算用!$W$11="","",IF(計算用!$B$1=1,INDEX(計算用!$F$3:$F$452,計算用!$W$11),INDEX(振り分け!$B$7:$B$456,計算用!$W$11)))</f>
        <v/>
      </c>
      <c r="H70" s="57">
        <f>IF(計算用!$W$11="","",IF(計算用!$B$1=1,INDEX(計算用!$H$3:$H$452,計算用!$W$11),INDEX(振り分け!$D$7:$D$456,計算用!$W$11)))</f>
        <v/>
      </c>
      <c r="I70" s="56">
        <f>IF(計算用!$X$11="","",IF(計算用!$B$1=1,INDEX(計算用!$F$3:$F$452,計算用!$X$11),INDEX(振り分け!$B$7:$B$456,計算用!$X$11)))</f>
        <v/>
      </c>
      <c r="J70" s="57">
        <f>IF(計算用!$X$11="","",IF(計算用!$B$1=1,INDEX(計算用!$H$3:$H$452,計算用!$X$11),INDEX(振り分け!$D$7:$D$456,計算用!$X$11)))</f>
        <v/>
      </c>
      <c r="K70" s="56">
        <f>IF(計算用!$Y$11="","",IF(計算用!$B$1=1,INDEX(計算用!$F$3:$F$452,計算用!$Y$11),INDEX(振り分け!$B$7:$B$456,計算用!$Y$11)))</f>
        <v/>
      </c>
      <c r="L70" s="57">
        <f>IF(計算用!$Y$11="","",IF(計算用!$B$1=1,INDEX(計算用!$H$3:$H$452,計算用!$Y$11),INDEX(振り分け!$D$7:$D$456,計算用!$Y$11)))</f>
        <v/>
      </c>
      <c r="M70" s="56">
        <f>IF(計算用!$Z$11="","",IF(計算用!$B$1=1,INDEX(計算用!$F$3:$F$452,計算用!$Z$11),INDEX(振り分け!$B$7:$B$456,計算用!$Z$11)))</f>
        <v/>
      </c>
      <c r="N70" s="57">
        <f>IF(計算用!$Z$11="","",IF(計算用!$B$1=1,INDEX(計算用!$H$3:$H$452,計算用!$Z$11),INDEX(振り分け!$D$7:$D$456,計算用!$Z$11)))</f>
        <v/>
      </c>
      <c r="O70" s="56">
        <f>IF(計算用!$AA$11="","",IF(計算用!$B$1=1,INDEX(計算用!$F$3:$F$452,計算用!$AA$11),INDEX(振り分け!$B$7:$B$456,計算用!$AA$11)))</f>
        <v/>
      </c>
      <c r="P70" s="57">
        <f>IF(計算用!$AA$11="","",IF(計算用!$B$1=1,INDEX(計算用!$H$3:$H$452,計算用!$AA$11),INDEX(振り分け!$D$7:$D$456,計算用!$AA$11)))</f>
        <v/>
      </c>
      <c r="Q70" s="56">
        <f>IF(計算用!$AB$11="","",IF(計算用!$B$1=1,INDEX(計算用!$F$3:$F$452,計算用!$AB$11),INDEX(振り分け!$B$7:$B$456,計算用!$AB$11)))</f>
        <v/>
      </c>
      <c r="R70" s="57">
        <f>IF(計算用!$AB$11="","",IF(計算用!$B$1=1,INDEX(計算用!$H$3:$H$452,計算用!$AB$11),INDEX(振り分け!$D$7:$D$456,計算用!$AB$11)))</f>
        <v/>
      </c>
      <c r="S70" s="56">
        <f>IF(計算用!$AC$11="","",IF(計算用!$B$1=1,INDEX(計算用!$F$3:$F$452,計算用!$AC$11),INDEX(振り分け!$B$7:$B$456,計算用!$AC$11)))</f>
        <v/>
      </c>
      <c r="T70" s="57">
        <f>IF(計算用!$AC$11="","",IF(計算用!$B$1=1,INDEX(計算用!$H$3:$H$452,計算用!$AC$11),INDEX(振り分け!$D$7:$D$456,計算用!$AC$11)))</f>
        <v/>
      </c>
    </row>
    <row r="71">
      <c r="A71" s="56">
        <f>IF(計算用!$T$12="","",IF(計算用!$B$1=1,INDEX(計算用!$F$3:$F$452,計算用!$T$12),INDEX(振り分け!$B$7:$B$456,計算用!$T$12)))</f>
        <v/>
      </c>
      <c r="B71" s="57">
        <f>IF(計算用!$T$12="","",IF(計算用!$B$1=1,INDEX(計算用!$H$3:$H$452,計算用!$T$12),INDEX(振り分け!$D$7:$D$456,計算用!$T$12)))</f>
        <v/>
      </c>
      <c r="C71" s="56">
        <f>IF(計算用!$U$12="","",IF(計算用!$B$1=1,INDEX(計算用!$F$3:$F$452,計算用!$U$12),INDEX(振り分け!$B$7:$B$456,計算用!$U$12)))</f>
        <v/>
      </c>
      <c r="D71" s="57">
        <f>IF(計算用!$U$12="","",IF(計算用!$B$1=1,INDEX(計算用!$H$3:$H$452,計算用!$U$12),INDEX(振り分け!$D$7:$D$456,計算用!$U$12)))</f>
        <v/>
      </c>
      <c r="E71" s="56">
        <f>IF(計算用!$V$12="","",IF(計算用!$B$1=1,INDEX(計算用!$F$3:$F$452,計算用!$V$12),INDEX(振り分け!$B$7:$B$456,計算用!$V$12)))</f>
        <v/>
      </c>
      <c r="F71" s="57">
        <f>IF(計算用!$V$12="","",IF(計算用!$B$1=1,INDEX(計算用!$H$3:$H$452,計算用!$V$12),INDEX(振り分け!$D$7:$D$456,計算用!$V$12)))</f>
        <v/>
      </c>
      <c r="G71" s="56">
        <f>IF(計算用!$W$12="","",IF(計算用!$B$1=1,INDEX(計算用!$F$3:$F$452,計算用!$W$12),INDEX(振り分け!$B$7:$B$456,計算用!$W$12)))</f>
        <v/>
      </c>
      <c r="H71" s="57">
        <f>IF(計算用!$W$12="","",IF(計算用!$B$1=1,INDEX(計算用!$H$3:$H$452,計算用!$W$12),INDEX(振り分け!$D$7:$D$456,計算用!$W$12)))</f>
        <v/>
      </c>
      <c r="I71" s="56">
        <f>IF(計算用!$X$12="","",IF(計算用!$B$1=1,INDEX(計算用!$F$3:$F$452,計算用!$X$12),INDEX(振り分け!$B$7:$B$456,計算用!$X$12)))</f>
        <v/>
      </c>
      <c r="J71" s="57">
        <f>IF(計算用!$X$12="","",IF(計算用!$B$1=1,INDEX(計算用!$H$3:$H$452,計算用!$X$12),INDEX(振り分け!$D$7:$D$456,計算用!$X$12)))</f>
        <v/>
      </c>
      <c r="K71" s="56">
        <f>IF(計算用!$Y$12="","",IF(計算用!$B$1=1,INDEX(計算用!$F$3:$F$452,計算用!$Y$12),INDEX(振り分け!$B$7:$B$456,計算用!$Y$12)))</f>
        <v/>
      </c>
      <c r="L71" s="57">
        <f>IF(計算用!$Y$12="","",IF(計算用!$B$1=1,INDEX(計算用!$H$3:$H$452,計算用!$Y$12),INDEX(振り分け!$D$7:$D$456,計算用!$Y$12)))</f>
        <v/>
      </c>
      <c r="M71" s="56">
        <f>IF(計算用!$Z$12="","",IF(計算用!$B$1=1,INDEX(計算用!$F$3:$F$452,計算用!$Z$12),INDEX(振り分け!$B$7:$B$456,計算用!$Z$12)))</f>
        <v/>
      </c>
      <c r="N71" s="57">
        <f>IF(計算用!$Z$12="","",IF(計算用!$B$1=1,INDEX(計算用!$H$3:$H$452,計算用!$Z$12),INDEX(振り分け!$D$7:$D$456,計算用!$Z$12)))</f>
        <v/>
      </c>
      <c r="O71" s="56">
        <f>IF(計算用!$AA$12="","",IF(計算用!$B$1=1,INDEX(計算用!$F$3:$F$452,計算用!$AA$12),INDEX(振り分け!$B$7:$B$456,計算用!$AA$12)))</f>
        <v/>
      </c>
      <c r="P71" s="57">
        <f>IF(計算用!$AA$12="","",IF(計算用!$B$1=1,INDEX(計算用!$H$3:$H$452,計算用!$AA$12),INDEX(振り分け!$D$7:$D$456,計算用!$AA$12)))</f>
        <v/>
      </c>
      <c r="Q71" s="56">
        <f>IF(計算用!$AB$12="","",IF(計算用!$B$1=1,INDEX(計算用!$F$3:$F$452,計算用!$AB$12),INDEX(振り分け!$B$7:$B$456,計算用!$AB$12)))</f>
        <v/>
      </c>
      <c r="R71" s="57">
        <f>IF(計算用!$AB$12="","",IF(計算用!$B$1=1,INDEX(計算用!$H$3:$H$452,計算用!$AB$12),INDEX(振り分け!$D$7:$D$456,計算用!$AB$12)))</f>
        <v/>
      </c>
      <c r="S71" s="56">
        <f>IF(計算用!$AC$12="","",IF(計算用!$B$1=1,INDEX(計算用!$F$3:$F$452,計算用!$AC$12),INDEX(振り分け!$B$7:$B$456,計算用!$AC$12)))</f>
        <v/>
      </c>
      <c r="T71" s="57">
        <f>IF(計算用!$AC$12="","",IF(計算用!$B$1=1,INDEX(計算用!$H$3:$H$452,計算用!$AC$12),INDEX(振り分け!$D$7:$D$456,計算用!$AC$12)))</f>
        <v/>
      </c>
    </row>
    <row r="72">
      <c r="A72" s="56">
        <f>IF(計算用!$T$13="","",IF(計算用!$B$1=1,INDEX(計算用!$F$3:$F$452,計算用!$T$13),INDEX(振り分け!$B$7:$B$456,計算用!$T$13)))</f>
        <v/>
      </c>
      <c r="B72" s="57">
        <f>IF(計算用!$T$13="","",IF(計算用!$B$1=1,INDEX(計算用!$H$3:$H$452,計算用!$T$13),INDEX(振り分け!$D$7:$D$456,計算用!$T$13)))</f>
        <v/>
      </c>
      <c r="C72" s="56">
        <f>IF(計算用!$U$13="","",IF(計算用!$B$1=1,INDEX(計算用!$F$3:$F$452,計算用!$U$13),INDEX(振り分け!$B$7:$B$456,計算用!$U$13)))</f>
        <v/>
      </c>
      <c r="D72" s="57">
        <f>IF(計算用!$U$13="","",IF(計算用!$B$1=1,INDEX(計算用!$H$3:$H$452,計算用!$U$13),INDEX(振り分け!$D$7:$D$456,計算用!$U$13)))</f>
        <v/>
      </c>
      <c r="E72" s="56">
        <f>IF(計算用!$V$13="","",IF(計算用!$B$1=1,INDEX(計算用!$F$3:$F$452,計算用!$V$13),INDEX(振り分け!$B$7:$B$456,計算用!$V$13)))</f>
        <v/>
      </c>
      <c r="F72" s="57">
        <f>IF(計算用!$V$13="","",IF(計算用!$B$1=1,INDEX(計算用!$H$3:$H$452,計算用!$V$13),INDEX(振り分け!$D$7:$D$456,計算用!$V$13)))</f>
        <v/>
      </c>
      <c r="G72" s="56">
        <f>IF(計算用!$W$13="","",IF(計算用!$B$1=1,INDEX(計算用!$F$3:$F$452,計算用!$W$13),INDEX(振り分け!$B$7:$B$456,計算用!$W$13)))</f>
        <v/>
      </c>
      <c r="H72" s="57">
        <f>IF(計算用!$W$13="","",IF(計算用!$B$1=1,INDEX(計算用!$H$3:$H$452,計算用!$W$13),INDEX(振り分け!$D$7:$D$456,計算用!$W$13)))</f>
        <v/>
      </c>
      <c r="I72" s="56">
        <f>IF(計算用!$X$13="","",IF(計算用!$B$1=1,INDEX(計算用!$F$3:$F$452,計算用!$X$13),INDEX(振り分け!$B$7:$B$456,計算用!$X$13)))</f>
        <v/>
      </c>
      <c r="J72" s="57">
        <f>IF(計算用!$X$13="","",IF(計算用!$B$1=1,INDEX(計算用!$H$3:$H$452,計算用!$X$13),INDEX(振り分け!$D$7:$D$456,計算用!$X$13)))</f>
        <v/>
      </c>
      <c r="K72" s="56">
        <f>IF(計算用!$Y$13="","",IF(計算用!$B$1=1,INDEX(計算用!$F$3:$F$452,計算用!$Y$13),INDEX(振り分け!$B$7:$B$456,計算用!$Y$13)))</f>
        <v/>
      </c>
      <c r="L72" s="57">
        <f>IF(計算用!$Y$13="","",IF(計算用!$B$1=1,INDEX(計算用!$H$3:$H$452,計算用!$Y$13),INDEX(振り分け!$D$7:$D$456,計算用!$Y$13)))</f>
        <v/>
      </c>
      <c r="M72" s="56">
        <f>IF(計算用!$Z$13="","",IF(計算用!$B$1=1,INDEX(計算用!$F$3:$F$452,計算用!$Z$13),INDEX(振り分け!$B$7:$B$456,計算用!$Z$13)))</f>
        <v/>
      </c>
      <c r="N72" s="57">
        <f>IF(計算用!$Z$13="","",IF(計算用!$B$1=1,INDEX(計算用!$H$3:$H$452,計算用!$Z$13),INDEX(振り分け!$D$7:$D$456,計算用!$Z$13)))</f>
        <v/>
      </c>
      <c r="O72" s="56">
        <f>IF(計算用!$AA$13="","",IF(計算用!$B$1=1,INDEX(計算用!$F$3:$F$452,計算用!$AA$13),INDEX(振り分け!$B$7:$B$456,計算用!$AA$13)))</f>
        <v/>
      </c>
      <c r="P72" s="57">
        <f>IF(計算用!$AA$13="","",IF(計算用!$B$1=1,INDEX(計算用!$H$3:$H$452,計算用!$AA$13),INDEX(振り分け!$D$7:$D$456,計算用!$AA$13)))</f>
        <v/>
      </c>
      <c r="Q72" s="56">
        <f>IF(計算用!$AB$13="","",IF(計算用!$B$1=1,INDEX(計算用!$F$3:$F$452,計算用!$AB$13),INDEX(振り分け!$B$7:$B$456,計算用!$AB$13)))</f>
        <v/>
      </c>
      <c r="R72" s="57">
        <f>IF(計算用!$AB$13="","",IF(計算用!$B$1=1,INDEX(計算用!$H$3:$H$452,計算用!$AB$13),INDEX(振り分け!$D$7:$D$456,計算用!$AB$13)))</f>
        <v/>
      </c>
      <c r="S72" s="56">
        <f>IF(計算用!$AC$13="","",IF(計算用!$B$1=1,INDEX(計算用!$F$3:$F$452,計算用!$AC$13),INDEX(振り分け!$B$7:$B$456,計算用!$AC$13)))</f>
        <v/>
      </c>
      <c r="T72" s="57">
        <f>IF(計算用!$AC$13="","",IF(計算用!$B$1=1,INDEX(計算用!$H$3:$H$452,計算用!$AC$13),INDEX(振り分け!$D$7:$D$456,計算用!$AC$13)))</f>
        <v/>
      </c>
    </row>
    <row r="73">
      <c r="A73" s="56">
        <f>IF(計算用!$T$14="","",IF(計算用!$B$1=1,INDEX(計算用!$F$3:$F$452,計算用!$T$14),INDEX(振り分け!$B$7:$B$456,計算用!$T$14)))</f>
        <v/>
      </c>
      <c r="B73" s="57">
        <f>IF(計算用!$T$14="","",IF(計算用!$B$1=1,INDEX(計算用!$H$3:$H$452,計算用!$T$14),INDEX(振り分け!$D$7:$D$456,計算用!$T$14)))</f>
        <v/>
      </c>
      <c r="C73" s="56">
        <f>IF(計算用!$U$14="","",IF(計算用!$B$1=1,INDEX(計算用!$F$3:$F$452,計算用!$U$14),INDEX(振り分け!$B$7:$B$456,計算用!$U$14)))</f>
        <v/>
      </c>
      <c r="D73" s="57">
        <f>IF(計算用!$U$14="","",IF(計算用!$B$1=1,INDEX(計算用!$H$3:$H$452,計算用!$U$14),INDEX(振り分け!$D$7:$D$456,計算用!$U$14)))</f>
        <v/>
      </c>
      <c r="E73" s="56">
        <f>IF(計算用!$V$14="","",IF(計算用!$B$1=1,INDEX(計算用!$F$3:$F$452,計算用!$V$14),INDEX(振り分け!$B$7:$B$456,計算用!$V$14)))</f>
        <v/>
      </c>
      <c r="F73" s="57">
        <f>IF(計算用!$V$14="","",IF(計算用!$B$1=1,INDEX(計算用!$H$3:$H$452,計算用!$V$14),INDEX(振り分け!$D$7:$D$456,計算用!$V$14)))</f>
        <v/>
      </c>
      <c r="G73" s="56">
        <f>IF(計算用!$W$14="","",IF(計算用!$B$1=1,INDEX(計算用!$F$3:$F$452,計算用!$W$14),INDEX(振り分け!$B$7:$B$456,計算用!$W$14)))</f>
        <v/>
      </c>
      <c r="H73" s="57">
        <f>IF(計算用!$W$14="","",IF(計算用!$B$1=1,INDEX(計算用!$H$3:$H$452,計算用!$W$14),INDEX(振り分け!$D$7:$D$456,計算用!$W$14)))</f>
        <v/>
      </c>
      <c r="I73" s="56">
        <f>IF(計算用!$X$14="","",IF(計算用!$B$1=1,INDEX(計算用!$F$3:$F$452,計算用!$X$14),INDEX(振り分け!$B$7:$B$456,計算用!$X$14)))</f>
        <v/>
      </c>
      <c r="J73" s="57">
        <f>IF(計算用!$X$14="","",IF(計算用!$B$1=1,INDEX(計算用!$H$3:$H$452,計算用!$X$14),INDEX(振り分け!$D$7:$D$456,計算用!$X$14)))</f>
        <v/>
      </c>
      <c r="K73" s="56">
        <f>IF(計算用!$Y$14="","",IF(計算用!$B$1=1,INDEX(計算用!$F$3:$F$452,計算用!$Y$14),INDEX(振り分け!$B$7:$B$456,計算用!$Y$14)))</f>
        <v/>
      </c>
      <c r="L73" s="57">
        <f>IF(計算用!$Y$14="","",IF(計算用!$B$1=1,INDEX(計算用!$H$3:$H$452,計算用!$Y$14),INDEX(振り分け!$D$7:$D$456,計算用!$Y$14)))</f>
        <v/>
      </c>
      <c r="M73" s="56">
        <f>IF(計算用!$Z$14="","",IF(計算用!$B$1=1,INDEX(計算用!$F$3:$F$452,計算用!$Z$14),INDEX(振り分け!$B$7:$B$456,計算用!$Z$14)))</f>
        <v/>
      </c>
      <c r="N73" s="57">
        <f>IF(計算用!$Z$14="","",IF(計算用!$B$1=1,INDEX(計算用!$H$3:$H$452,計算用!$Z$14),INDEX(振り分け!$D$7:$D$456,計算用!$Z$14)))</f>
        <v/>
      </c>
      <c r="O73" s="56">
        <f>IF(計算用!$AA$14="","",IF(計算用!$B$1=1,INDEX(計算用!$F$3:$F$452,計算用!$AA$14),INDEX(振り分け!$B$7:$B$456,計算用!$AA$14)))</f>
        <v/>
      </c>
      <c r="P73" s="57">
        <f>IF(計算用!$AA$14="","",IF(計算用!$B$1=1,INDEX(計算用!$H$3:$H$452,計算用!$AA$14),INDEX(振り分け!$D$7:$D$456,計算用!$AA$14)))</f>
        <v/>
      </c>
      <c r="Q73" s="56">
        <f>IF(計算用!$AB$14="","",IF(計算用!$B$1=1,INDEX(計算用!$F$3:$F$452,計算用!$AB$14),INDEX(振り分け!$B$7:$B$456,計算用!$AB$14)))</f>
        <v/>
      </c>
      <c r="R73" s="57">
        <f>IF(計算用!$AB$14="","",IF(計算用!$B$1=1,INDEX(計算用!$H$3:$H$452,計算用!$AB$14),INDEX(振り分け!$D$7:$D$456,計算用!$AB$14)))</f>
        <v/>
      </c>
      <c r="S73" s="56">
        <f>IF(計算用!$AC$14="","",IF(計算用!$B$1=1,INDEX(計算用!$F$3:$F$452,計算用!$AC$14),INDEX(振り分け!$B$7:$B$456,計算用!$AC$14)))</f>
        <v/>
      </c>
      <c r="T73" s="57">
        <f>IF(計算用!$AC$14="","",IF(計算用!$B$1=1,INDEX(計算用!$H$3:$H$452,計算用!$AC$14),INDEX(振り分け!$D$7:$D$456,計算用!$AC$14)))</f>
        <v/>
      </c>
    </row>
    <row r="74">
      <c r="A74" s="56">
        <f>IF(計算用!$T$15="","",IF(計算用!$B$1=1,INDEX(計算用!$F$3:$F$452,計算用!$T$15),INDEX(振り分け!$B$7:$B$456,計算用!$T$15)))</f>
        <v/>
      </c>
      <c r="B74" s="57">
        <f>IF(計算用!$T$15="","",IF(計算用!$B$1=1,INDEX(計算用!$H$3:$H$452,計算用!$T$15),INDEX(振り分け!$D$7:$D$456,計算用!$T$15)))</f>
        <v/>
      </c>
      <c r="C74" s="56">
        <f>IF(計算用!$U$15="","",IF(計算用!$B$1=1,INDEX(計算用!$F$3:$F$452,計算用!$U$15),INDEX(振り分け!$B$7:$B$456,計算用!$U$15)))</f>
        <v/>
      </c>
      <c r="D74" s="57">
        <f>IF(計算用!$U$15="","",IF(計算用!$B$1=1,INDEX(計算用!$H$3:$H$452,計算用!$U$15),INDEX(振り分け!$D$7:$D$456,計算用!$U$15)))</f>
        <v/>
      </c>
      <c r="E74" s="56">
        <f>IF(計算用!$V$15="","",IF(計算用!$B$1=1,INDEX(計算用!$F$3:$F$452,計算用!$V$15),INDEX(振り分け!$B$7:$B$456,計算用!$V$15)))</f>
        <v/>
      </c>
      <c r="F74" s="57">
        <f>IF(計算用!$V$15="","",IF(計算用!$B$1=1,INDEX(計算用!$H$3:$H$452,計算用!$V$15),INDEX(振り分け!$D$7:$D$456,計算用!$V$15)))</f>
        <v/>
      </c>
      <c r="G74" s="56">
        <f>IF(計算用!$W$15="","",IF(計算用!$B$1=1,INDEX(計算用!$F$3:$F$452,計算用!$W$15),INDEX(振り分け!$B$7:$B$456,計算用!$W$15)))</f>
        <v/>
      </c>
      <c r="H74" s="57">
        <f>IF(計算用!$W$15="","",IF(計算用!$B$1=1,INDEX(計算用!$H$3:$H$452,計算用!$W$15),INDEX(振り分け!$D$7:$D$456,計算用!$W$15)))</f>
        <v/>
      </c>
      <c r="I74" s="56">
        <f>IF(計算用!$X$15="","",IF(計算用!$B$1=1,INDEX(計算用!$F$3:$F$452,計算用!$X$15),INDEX(振り分け!$B$7:$B$456,計算用!$X$15)))</f>
        <v/>
      </c>
      <c r="J74" s="57">
        <f>IF(計算用!$X$15="","",IF(計算用!$B$1=1,INDEX(計算用!$H$3:$H$452,計算用!$X$15),INDEX(振り分け!$D$7:$D$456,計算用!$X$15)))</f>
        <v/>
      </c>
      <c r="K74" s="56">
        <f>IF(計算用!$Y$15="","",IF(計算用!$B$1=1,INDEX(計算用!$F$3:$F$452,計算用!$Y$15),INDEX(振り分け!$B$7:$B$456,計算用!$Y$15)))</f>
        <v/>
      </c>
      <c r="L74" s="57">
        <f>IF(計算用!$Y$15="","",IF(計算用!$B$1=1,INDEX(計算用!$H$3:$H$452,計算用!$Y$15),INDEX(振り分け!$D$7:$D$456,計算用!$Y$15)))</f>
        <v/>
      </c>
      <c r="M74" s="56">
        <f>IF(計算用!$Z$15="","",IF(計算用!$B$1=1,INDEX(計算用!$F$3:$F$452,計算用!$Z$15),INDEX(振り分け!$B$7:$B$456,計算用!$Z$15)))</f>
        <v/>
      </c>
      <c r="N74" s="57">
        <f>IF(計算用!$Z$15="","",IF(計算用!$B$1=1,INDEX(計算用!$H$3:$H$452,計算用!$Z$15),INDEX(振り分け!$D$7:$D$456,計算用!$Z$15)))</f>
        <v/>
      </c>
      <c r="O74" s="56">
        <f>IF(計算用!$AA$15="","",IF(計算用!$B$1=1,INDEX(計算用!$F$3:$F$452,計算用!$AA$15),INDEX(振り分け!$B$7:$B$456,計算用!$AA$15)))</f>
        <v/>
      </c>
      <c r="P74" s="57">
        <f>IF(計算用!$AA$15="","",IF(計算用!$B$1=1,INDEX(計算用!$H$3:$H$452,計算用!$AA$15),INDEX(振り分け!$D$7:$D$456,計算用!$AA$15)))</f>
        <v/>
      </c>
      <c r="Q74" s="56">
        <f>IF(計算用!$AB$15="","",IF(計算用!$B$1=1,INDEX(計算用!$F$3:$F$452,計算用!$AB$15),INDEX(振り分け!$B$7:$B$456,計算用!$AB$15)))</f>
        <v/>
      </c>
      <c r="R74" s="57">
        <f>IF(計算用!$AB$15="","",IF(計算用!$B$1=1,INDEX(計算用!$H$3:$H$452,計算用!$AB$15),INDEX(振り分け!$D$7:$D$456,計算用!$AB$15)))</f>
        <v/>
      </c>
      <c r="S74" s="56">
        <f>IF(計算用!$AC$15="","",IF(計算用!$B$1=1,INDEX(計算用!$F$3:$F$452,計算用!$AC$15),INDEX(振り分け!$B$7:$B$456,計算用!$AC$15)))</f>
        <v/>
      </c>
      <c r="T74" s="57">
        <f>IF(計算用!$AC$15="","",IF(計算用!$B$1=1,INDEX(計算用!$H$3:$H$452,計算用!$AC$15),INDEX(振り分け!$D$7:$D$456,計算用!$AC$15)))</f>
        <v/>
      </c>
    </row>
    <row r="75">
      <c r="A75" s="56">
        <f>IF(計算用!$T$16="","",IF(計算用!$B$1=1,INDEX(計算用!$F$3:$F$452,計算用!$T$16),INDEX(振り分け!$B$7:$B$456,計算用!$T$16)))</f>
        <v/>
      </c>
      <c r="B75" s="57">
        <f>IF(計算用!$T$16="","",IF(計算用!$B$1=1,INDEX(計算用!$H$3:$H$452,計算用!$T$16),INDEX(振り分け!$D$7:$D$456,計算用!$T$16)))</f>
        <v/>
      </c>
      <c r="C75" s="56">
        <f>IF(計算用!$U$16="","",IF(計算用!$B$1=1,INDEX(計算用!$F$3:$F$452,計算用!$U$16),INDEX(振り分け!$B$7:$B$456,計算用!$U$16)))</f>
        <v/>
      </c>
      <c r="D75" s="57">
        <f>IF(計算用!$U$16="","",IF(計算用!$B$1=1,INDEX(計算用!$H$3:$H$452,計算用!$U$16),INDEX(振り分け!$D$7:$D$456,計算用!$U$16)))</f>
        <v/>
      </c>
      <c r="E75" s="56">
        <f>IF(計算用!$V$16="","",IF(計算用!$B$1=1,INDEX(計算用!$F$3:$F$452,計算用!$V$16),INDEX(振り分け!$B$7:$B$456,計算用!$V$16)))</f>
        <v/>
      </c>
      <c r="F75" s="57">
        <f>IF(計算用!$V$16="","",IF(計算用!$B$1=1,INDEX(計算用!$H$3:$H$452,計算用!$V$16),INDEX(振り分け!$D$7:$D$456,計算用!$V$16)))</f>
        <v/>
      </c>
      <c r="G75" s="56">
        <f>IF(計算用!$W$16="","",IF(計算用!$B$1=1,INDEX(計算用!$F$3:$F$452,計算用!$W$16),INDEX(振り分け!$B$7:$B$456,計算用!$W$16)))</f>
        <v/>
      </c>
      <c r="H75" s="57">
        <f>IF(計算用!$W$16="","",IF(計算用!$B$1=1,INDEX(計算用!$H$3:$H$452,計算用!$W$16),INDEX(振り分け!$D$7:$D$456,計算用!$W$16)))</f>
        <v/>
      </c>
      <c r="I75" s="56">
        <f>IF(計算用!$X$16="","",IF(計算用!$B$1=1,INDEX(計算用!$F$3:$F$452,計算用!$X$16),INDEX(振り分け!$B$7:$B$456,計算用!$X$16)))</f>
        <v/>
      </c>
      <c r="J75" s="57">
        <f>IF(計算用!$X$16="","",IF(計算用!$B$1=1,INDEX(計算用!$H$3:$H$452,計算用!$X$16),INDEX(振り分け!$D$7:$D$456,計算用!$X$16)))</f>
        <v/>
      </c>
      <c r="K75" s="56">
        <f>IF(計算用!$Y$16="","",IF(計算用!$B$1=1,INDEX(計算用!$F$3:$F$452,計算用!$Y$16),INDEX(振り分け!$B$7:$B$456,計算用!$Y$16)))</f>
        <v/>
      </c>
      <c r="L75" s="57">
        <f>IF(計算用!$Y$16="","",IF(計算用!$B$1=1,INDEX(計算用!$H$3:$H$452,計算用!$Y$16),INDEX(振り分け!$D$7:$D$456,計算用!$Y$16)))</f>
        <v/>
      </c>
      <c r="M75" s="56">
        <f>IF(計算用!$Z$16="","",IF(計算用!$B$1=1,INDEX(計算用!$F$3:$F$452,計算用!$Z$16),INDEX(振り分け!$B$7:$B$456,計算用!$Z$16)))</f>
        <v/>
      </c>
      <c r="N75" s="57">
        <f>IF(計算用!$Z$16="","",IF(計算用!$B$1=1,INDEX(計算用!$H$3:$H$452,計算用!$Z$16),INDEX(振り分け!$D$7:$D$456,計算用!$Z$16)))</f>
        <v/>
      </c>
      <c r="O75" s="56">
        <f>IF(計算用!$AA$16="","",IF(計算用!$B$1=1,INDEX(計算用!$F$3:$F$452,計算用!$AA$16),INDEX(振り分け!$B$7:$B$456,計算用!$AA$16)))</f>
        <v/>
      </c>
      <c r="P75" s="57">
        <f>IF(計算用!$AA$16="","",IF(計算用!$B$1=1,INDEX(計算用!$H$3:$H$452,計算用!$AA$16),INDEX(振り分け!$D$7:$D$456,計算用!$AA$16)))</f>
        <v/>
      </c>
      <c r="Q75" s="56">
        <f>IF(計算用!$AB$16="","",IF(計算用!$B$1=1,INDEX(計算用!$F$3:$F$452,計算用!$AB$16),INDEX(振り分け!$B$7:$B$456,計算用!$AB$16)))</f>
        <v/>
      </c>
      <c r="R75" s="57">
        <f>IF(計算用!$AB$16="","",IF(計算用!$B$1=1,INDEX(計算用!$H$3:$H$452,計算用!$AB$16),INDEX(振り分け!$D$7:$D$456,計算用!$AB$16)))</f>
        <v/>
      </c>
      <c r="S75" s="56">
        <f>IF(計算用!$AC$16="","",IF(計算用!$B$1=1,INDEX(計算用!$F$3:$F$452,計算用!$AC$16),INDEX(振り分け!$B$7:$B$456,計算用!$AC$16)))</f>
        <v/>
      </c>
      <c r="T75" s="57">
        <f>IF(計算用!$AC$16="","",IF(計算用!$B$1=1,INDEX(計算用!$H$3:$H$452,計算用!$AC$16),INDEX(振り分け!$D$7:$D$456,計算用!$AC$16)))</f>
        <v/>
      </c>
    </row>
    <row r="76">
      <c r="A76" s="56">
        <f>IF(計算用!$T$17="","",IF(計算用!$B$1=1,INDEX(計算用!$F$3:$F$452,計算用!$T$17),INDEX(振り分け!$B$7:$B$456,計算用!$T$17)))</f>
        <v/>
      </c>
      <c r="B76" s="57">
        <f>IF(計算用!$T$17="","",IF(計算用!$B$1=1,INDEX(計算用!$H$3:$H$452,計算用!$T$17),INDEX(振り分け!$D$7:$D$456,計算用!$T$17)))</f>
        <v/>
      </c>
      <c r="C76" s="56">
        <f>IF(計算用!$U$17="","",IF(計算用!$B$1=1,INDEX(計算用!$F$3:$F$452,計算用!$U$17),INDEX(振り分け!$B$7:$B$456,計算用!$U$17)))</f>
        <v/>
      </c>
      <c r="D76" s="57">
        <f>IF(計算用!$U$17="","",IF(計算用!$B$1=1,INDEX(計算用!$H$3:$H$452,計算用!$U$17),INDEX(振り分け!$D$7:$D$456,計算用!$U$17)))</f>
        <v/>
      </c>
      <c r="E76" s="56">
        <f>IF(計算用!$V$17="","",IF(計算用!$B$1=1,INDEX(計算用!$F$3:$F$452,計算用!$V$17),INDEX(振り分け!$B$7:$B$456,計算用!$V$17)))</f>
        <v/>
      </c>
      <c r="F76" s="57">
        <f>IF(計算用!$V$17="","",IF(計算用!$B$1=1,INDEX(計算用!$H$3:$H$452,計算用!$V$17),INDEX(振り分け!$D$7:$D$456,計算用!$V$17)))</f>
        <v/>
      </c>
      <c r="G76" s="56">
        <f>IF(計算用!$W$17="","",IF(計算用!$B$1=1,INDEX(計算用!$F$3:$F$452,計算用!$W$17),INDEX(振り分け!$B$7:$B$456,計算用!$W$17)))</f>
        <v/>
      </c>
      <c r="H76" s="57">
        <f>IF(計算用!$W$17="","",IF(計算用!$B$1=1,INDEX(計算用!$H$3:$H$452,計算用!$W$17),INDEX(振り分け!$D$7:$D$456,計算用!$W$17)))</f>
        <v/>
      </c>
      <c r="I76" s="56">
        <f>IF(計算用!$X$17="","",IF(計算用!$B$1=1,INDEX(計算用!$F$3:$F$452,計算用!$X$17),INDEX(振り分け!$B$7:$B$456,計算用!$X$17)))</f>
        <v/>
      </c>
      <c r="J76" s="57">
        <f>IF(計算用!$X$17="","",IF(計算用!$B$1=1,INDEX(計算用!$H$3:$H$452,計算用!$X$17),INDEX(振り分け!$D$7:$D$456,計算用!$X$17)))</f>
        <v/>
      </c>
      <c r="K76" s="56">
        <f>IF(計算用!$Y$17="","",IF(計算用!$B$1=1,INDEX(計算用!$F$3:$F$452,計算用!$Y$17),INDEX(振り分け!$B$7:$B$456,計算用!$Y$17)))</f>
        <v/>
      </c>
      <c r="L76" s="57">
        <f>IF(計算用!$Y$17="","",IF(計算用!$B$1=1,INDEX(計算用!$H$3:$H$452,計算用!$Y$17),INDEX(振り分け!$D$7:$D$456,計算用!$Y$17)))</f>
        <v/>
      </c>
      <c r="M76" s="56">
        <f>IF(計算用!$Z$17="","",IF(計算用!$B$1=1,INDEX(計算用!$F$3:$F$452,計算用!$Z$17),INDEX(振り分け!$B$7:$B$456,計算用!$Z$17)))</f>
        <v/>
      </c>
      <c r="N76" s="57">
        <f>IF(計算用!$Z$17="","",IF(計算用!$B$1=1,INDEX(計算用!$H$3:$H$452,計算用!$Z$17),INDEX(振り分け!$D$7:$D$456,計算用!$Z$17)))</f>
        <v/>
      </c>
      <c r="O76" s="56">
        <f>IF(計算用!$AA$17="","",IF(計算用!$B$1=1,INDEX(計算用!$F$3:$F$452,計算用!$AA$17),INDEX(振り分け!$B$7:$B$456,計算用!$AA$17)))</f>
        <v/>
      </c>
      <c r="P76" s="57">
        <f>IF(計算用!$AA$17="","",IF(計算用!$B$1=1,INDEX(計算用!$H$3:$H$452,計算用!$AA$17),INDEX(振り分け!$D$7:$D$456,計算用!$AA$17)))</f>
        <v/>
      </c>
      <c r="Q76" s="56">
        <f>IF(計算用!$AB$17="","",IF(計算用!$B$1=1,INDEX(計算用!$F$3:$F$452,計算用!$AB$17),INDEX(振り分け!$B$7:$B$456,計算用!$AB$17)))</f>
        <v/>
      </c>
      <c r="R76" s="57">
        <f>IF(計算用!$AB$17="","",IF(計算用!$B$1=1,INDEX(計算用!$H$3:$H$452,計算用!$AB$17),INDEX(振り分け!$D$7:$D$456,計算用!$AB$17)))</f>
        <v/>
      </c>
      <c r="S76" s="56">
        <f>IF(計算用!$AC$17="","",IF(計算用!$B$1=1,INDEX(計算用!$F$3:$F$452,計算用!$AC$17),INDEX(振り分け!$B$7:$B$456,計算用!$AC$17)))</f>
        <v/>
      </c>
      <c r="T76" s="57">
        <f>IF(計算用!$AC$17="","",IF(計算用!$B$1=1,INDEX(計算用!$H$3:$H$452,計算用!$AC$17),INDEX(振り分け!$D$7:$D$456,計算用!$AC$17)))</f>
        <v/>
      </c>
    </row>
    <row r="77">
      <c r="A77" s="56">
        <f>IF(計算用!$T$18="","",IF(計算用!$B$1=1,INDEX(計算用!$F$3:$F$452,計算用!$T$18),INDEX(振り分け!$B$7:$B$456,計算用!$T$18)))</f>
        <v/>
      </c>
      <c r="B77" s="57">
        <f>IF(計算用!$T$18="","",IF(計算用!$B$1=1,INDEX(計算用!$H$3:$H$452,計算用!$T$18),INDEX(振り分け!$D$7:$D$456,計算用!$T$18)))</f>
        <v/>
      </c>
      <c r="C77" s="56">
        <f>IF(計算用!$U$18="","",IF(計算用!$B$1=1,INDEX(計算用!$F$3:$F$452,計算用!$U$18),INDEX(振り分け!$B$7:$B$456,計算用!$U$18)))</f>
        <v/>
      </c>
      <c r="D77" s="57">
        <f>IF(計算用!$U$18="","",IF(計算用!$B$1=1,INDEX(計算用!$H$3:$H$452,計算用!$U$18),INDEX(振り分け!$D$7:$D$456,計算用!$U$18)))</f>
        <v/>
      </c>
      <c r="E77" s="56">
        <f>IF(計算用!$V$18="","",IF(計算用!$B$1=1,INDEX(計算用!$F$3:$F$452,計算用!$V$18),INDEX(振り分け!$B$7:$B$456,計算用!$V$18)))</f>
        <v/>
      </c>
      <c r="F77" s="57">
        <f>IF(計算用!$V$18="","",IF(計算用!$B$1=1,INDEX(計算用!$H$3:$H$452,計算用!$V$18),INDEX(振り分け!$D$7:$D$456,計算用!$V$18)))</f>
        <v/>
      </c>
      <c r="G77" s="56">
        <f>IF(計算用!$W$18="","",IF(計算用!$B$1=1,INDEX(計算用!$F$3:$F$452,計算用!$W$18),INDEX(振り分け!$B$7:$B$456,計算用!$W$18)))</f>
        <v/>
      </c>
      <c r="H77" s="57">
        <f>IF(計算用!$W$18="","",IF(計算用!$B$1=1,INDEX(計算用!$H$3:$H$452,計算用!$W$18),INDEX(振り分け!$D$7:$D$456,計算用!$W$18)))</f>
        <v/>
      </c>
      <c r="I77" s="56">
        <f>IF(計算用!$X$18="","",IF(計算用!$B$1=1,INDEX(計算用!$F$3:$F$452,計算用!$X$18),INDEX(振り分け!$B$7:$B$456,計算用!$X$18)))</f>
        <v/>
      </c>
      <c r="J77" s="57">
        <f>IF(計算用!$X$18="","",IF(計算用!$B$1=1,INDEX(計算用!$H$3:$H$452,計算用!$X$18),INDEX(振り分け!$D$7:$D$456,計算用!$X$18)))</f>
        <v/>
      </c>
      <c r="K77" s="56">
        <f>IF(計算用!$Y$18="","",IF(計算用!$B$1=1,INDEX(計算用!$F$3:$F$452,計算用!$Y$18),INDEX(振り分け!$B$7:$B$456,計算用!$Y$18)))</f>
        <v/>
      </c>
      <c r="L77" s="57">
        <f>IF(計算用!$Y$18="","",IF(計算用!$B$1=1,INDEX(計算用!$H$3:$H$452,計算用!$Y$18),INDEX(振り分け!$D$7:$D$456,計算用!$Y$18)))</f>
        <v/>
      </c>
      <c r="M77" s="56">
        <f>IF(計算用!$Z$18="","",IF(計算用!$B$1=1,INDEX(計算用!$F$3:$F$452,計算用!$Z$18),INDEX(振り分け!$B$7:$B$456,計算用!$Z$18)))</f>
        <v/>
      </c>
      <c r="N77" s="57">
        <f>IF(計算用!$Z$18="","",IF(計算用!$B$1=1,INDEX(計算用!$H$3:$H$452,計算用!$Z$18),INDEX(振り分け!$D$7:$D$456,計算用!$Z$18)))</f>
        <v/>
      </c>
      <c r="O77" s="56">
        <f>IF(計算用!$AA$18="","",IF(計算用!$B$1=1,INDEX(計算用!$F$3:$F$452,計算用!$AA$18),INDEX(振り分け!$B$7:$B$456,計算用!$AA$18)))</f>
        <v/>
      </c>
      <c r="P77" s="57">
        <f>IF(計算用!$AA$18="","",IF(計算用!$B$1=1,INDEX(計算用!$H$3:$H$452,計算用!$AA$18),INDEX(振り分け!$D$7:$D$456,計算用!$AA$18)))</f>
        <v/>
      </c>
      <c r="Q77" s="56">
        <f>IF(計算用!$AB$18="","",IF(計算用!$B$1=1,INDEX(計算用!$F$3:$F$452,計算用!$AB$18),INDEX(振り分け!$B$7:$B$456,計算用!$AB$18)))</f>
        <v/>
      </c>
      <c r="R77" s="57">
        <f>IF(計算用!$AB$18="","",IF(計算用!$B$1=1,INDEX(計算用!$H$3:$H$452,計算用!$AB$18),INDEX(振り分け!$D$7:$D$456,計算用!$AB$18)))</f>
        <v/>
      </c>
      <c r="S77" s="56">
        <f>IF(計算用!$AC$18="","",IF(計算用!$B$1=1,INDEX(計算用!$F$3:$F$452,計算用!$AC$18),INDEX(振り分け!$B$7:$B$456,計算用!$AC$18)))</f>
        <v/>
      </c>
      <c r="T77" s="57">
        <f>IF(計算用!$AC$18="","",IF(計算用!$B$1=1,INDEX(計算用!$H$3:$H$452,計算用!$AC$18),INDEX(振り分け!$D$7:$D$456,計算用!$AC$18)))</f>
        <v/>
      </c>
    </row>
    <row r="78">
      <c r="A78" s="56">
        <f>IF(計算用!$T$19="","",IF(計算用!$B$1=1,INDEX(計算用!$F$3:$F$452,計算用!$T$19),INDEX(振り分け!$B$7:$B$456,計算用!$T$19)))</f>
        <v/>
      </c>
      <c r="B78" s="57">
        <f>IF(計算用!$T$19="","",IF(計算用!$B$1=1,INDEX(計算用!$H$3:$H$452,計算用!$T$19),INDEX(振り分け!$D$7:$D$456,計算用!$T$19)))</f>
        <v/>
      </c>
      <c r="C78" s="56">
        <f>IF(計算用!$U$19="","",IF(計算用!$B$1=1,INDEX(計算用!$F$3:$F$452,計算用!$U$19),INDEX(振り分け!$B$7:$B$456,計算用!$U$19)))</f>
        <v/>
      </c>
      <c r="D78" s="57">
        <f>IF(計算用!$U$19="","",IF(計算用!$B$1=1,INDEX(計算用!$H$3:$H$452,計算用!$U$19),INDEX(振り分け!$D$7:$D$456,計算用!$U$19)))</f>
        <v/>
      </c>
      <c r="E78" s="56">
        <f>IF(計算用!$V$19="","",IF(計算用!$B$1=1,INDEX(計算用!$F$3:$F$452,計算用!$V$19),INDEX(振り分け!$B$7:$B$456,計算用!$V$19)))</f>
        <v/>
      </c>
      <c r="F78" s="57">
        <f>IF(計算用!$V$19="","",IF(計算用!$B$1=1,INDEX(計算用!$H$3:$H$452,計算用!$V$19),INDEX(振り分け!$D$7:$D$456,計算用!$V$19)))</f>
        <v/>
      </c>
      <c r="G78" s="56">
        <f>IF(計算用!$W$19="","",IF(計算用!$B$1=1,INDEX(計算用!$F$3:$F$452,計算用!$W$19),INDEX(振り分け!$B$7:$B$456,計算用!$W$19)))</f>
        <v/>
      </c>
      <c r="H78" s="57">
        <f>IF(計算用!$W$19="","",IF(計算用!$B$1=1,INDEX(計算用!$H$3:$H$452,計算用!$W$19),INDEX(振り分け!$D$7:$D$456,計算用!$W$19)))</f>
        <v/>
      </c>
      <c r="I78" s="56">
        <f>IF(計算用!$X$19="","",IF(計算用!$B$1=1,INDEX(計算用!$F$3:$F$452,計算用!$X$19),INDEX(振り分け!$B$7:$B$456,計算用!$X$19)))</f>
        <v/>
      </c>
      <c r="J78" s="57">
        <f>IF(計算用!$X$19="","",IF(計算用!$B$1=1,INDEX(計算用!$H$3:$H$452,計算用!$X$19),INDEX(振り分け!$D$7:$D$456,計算用!$X$19)))</f>
        <v/>
      </c>
      <c r="K78" s="56">
        <f>IF(計算用!$Y$19="","",IF(計算用!$B$1=1,INDEX(計算用!$F$3:$F$452,計算用!$Y$19),INDEX(振り分け!$B$7:$B$456,計算用!$Y$19)))</f>
        <v/>
      </c>
      <c r="L78" s="57">
        <f>IF(計算用!$Y$19="","",IF(計算用!$B$1=1,INDEX(計算用!$H$3:$H$452,計算用!$Y$19),INDEX(振り分け!$D$7:$D$456,計算用!$Y$19)))</f>
        <v/>
      </c>
      <c r="M78" s="56">
        <f>IF(計算用!$Z$19="","",IF(計算用!$B$1=1,INDEX(計算用!$F$3:$F$452,計算用!$Z$19),INDEX(振り分け!$B$7:$B$456,計算用!$Z$19)))</f>
        <v/>
      </c>
      <c r="N78" s="57">
        <f>IF(計算用!$Z$19="","",IF(計算用!$B$1=1,INDEX(計算用!$H$3:$H$452,計算用!$Z$19),INDEX(振り分け!$D$7:$D$456,計算用!$Z$19)))</f>
        <v/>
      </c>
      <c r="O78" s="56">
        <f>IF(計算用!$AA$19="","",IF(計算用!$B$1=1,INDEX(計算用!$F$3:$F$452,計算用!$AA$19),INDEX(振り分け!$B$7:$B$456,計算用!$AA$19)))</f>
        <v/>
      </c>
      <c r="P78" s="57">
        <f>IF(計算用!$AA$19="","",IF(計算用!$B$1=1,INDEX(計算用!$H$3:$H$452,計算用!$AA$19),INDEX(振り分け!$D$7:$D$456,計算用!$AA$19)))</f>
        <v/>
      </c>
      <c r="Q78" s="56">
        <f>IF(計算用!$AB$19="","",IF(計算用!$B$1=1,INDEX(計算用!$F$3:$F$452,計算用!$AB$19),INDEX(振り分け!$B$7:$B$456,計算用!$AB$19)))</f>
        <v/>
      </c>
      <c r="R78" s="57">
        <f>IF(計算用!$AB$19="","",IF(計算用!$B$1=1,INDEX(計算用!$H$3:$H$452,計算用!$AB$19),INDEX(振り分け!$D$7:$D$456,計算用!$AB$19)))</f>
        <v/>
      </c>
      <c r="S78" s="56">
        <f>IF(計算用!$AC$19="","",IF(計算用!$B$1=1,INDEX(計算用!$F$3:$F$452,計算用!$AC$19),INDEX(振り分け!$B$7:$B$456,計算用!$AC$19)))</f>
        <v/>
      </c>
      <c r="T78" s="57">
        <f>IF(計算用!$AC$19="","",IF(計算用!$B$1=1,INDEX(計算用!$H$3:$H$452,計算用!$AC$19),INDEX(振り分け!$D$7:$D$456,計算用!$AC$19)))</f>
        <v/>
      </c>
    </row>
    <row r="79">
      <c r="A79" s="56">
        <f>IF(計算用!$T$20="","",IF(計算用!$B$1=1,INDEX(計算用!$F$3:$F$452,計算用!$T$20),INDEX(振り分け!$B$7:$B$456,計算用!$T$20)))</f>
        <v/>
      </c>
      <c r="B79" s="57">
        <f>IF(計算用!$T$20="","",IF(計算用!$B$1=1,INDEX(計算用!$H$3:$H$452,計算用!$T$20),INDEX(振り分け!$D$7:$D$456,計算用!$T$20)))</f>
        <v/>
      </c>
      <c r="C79" s="56">
        <f>IF(計算用!$U$20="","",IF(計算用!$B$1=1,INDEX(計算用!$F$3:$F$452,計算用!$U$20),INDEX(振り分け!$B$7:$B$456,計算用!$U$20)))</f>
        <v/>
      </c>
      <c r="D79" s="57">
        <f>IF(計算用!$U$20="","",IF(計算用!$B$1=1,INDEX(計算用!$H$3:$H$452,計算用!$U$20),INDEX(振り分け!$D$7:$D$456,計算用!$U$20)))</f>
        <v/>
      </c>
      <c r="E79" s="56">
        <f>IF(計算用!$V$20="","",IF(計算用!$B$1=1,INDEX(計算用!$F$3:$F$452,計算用!$V$20),INDEX(振り分け!$B$7:$B$456,計算用!$V$20)))</f>
        <v/>
      </c>
      <c r="F79" s="57">
        <f>IF(計算用!$V$20="","",IF(計算用!$B$1=1,INDEX(計算用!$H$3:$H$452,計算用!$V$20),INDEX(振り分け!$D$7:$D$456,計算用!$V$20)))</f>
        <v/>
      </c>
      <c r="G79" s="56">
        <f>IF(計算用!$W$20="","",IF(計算用!$B$1=1,INDEX(計算用!$F$3:$F$452,計算用!$W$20),INDEX(振り分け!$B$7:$B$456,計算用!$W$20)))</f>
        <v/>
      </c>
      <c r="H79" s="57">
        <f>IF(計算用!$W$20="","",IF(計算用!$B$1=1,INDEX(計算用!$H$3:$H$452,計算用!$W$20),INDEX(振り分け!$D$7:$D$456,計算用!$W$20)))</f>
        <v/>
      </c>
      <c r="I79" s="56">
        <f>IF(計算用!$X$20="","",IF(計算用!$B$1=1,INDEX(計算用!$F$3:$F$452,計算用!$X$20),INDEX(振り分け!$B$7:$B$456,計算用!$X$20)))</f>
        <v/>
      </c>
      <c r="J79" s="57">
        <f>IF(計算用!$X$20="","",IF(計算用!$B$1=1,INDEX(計算用!$H$3:$H$452,計算用!$X$20),INDEX(振り分け!$D$7:$D$456,計算用!$X$20)))</f>
        <v/>
      </c>
      <c r="K79" s="56">
        <f>IF(計算用!$Y$20="","",IF(計算用!$B$1=1,INDEX(計算用!$F$3:$F$452,計算用!$Y$20),INDEX(振り分け!$B$7:$B$456,計算用!$Y$20)))</f>
        <v/>
      </c>
      <c r="L79" s="57">
        <f>IF(計算用!$Y$20="","",IF(計算用!$B$1=1,INDEX(計算用!$H$3:$H$452,計算用!$Y$20),INDEX(振り分け!$D$7:$D$456,計算用!$Y$20)))</f>
        <v/>
      </c>
      <c r="M79" s="56">
        <f>IF(計算用!$Z$20="","",IF(計算用!$B$1=1,INDEX(計算用!$F$3:$F$452,計算用!$Z$20),INDEX(振り分け!$B$7:$B$456,計算用!$Z$20)))</f>
        <v/>
      </c>
      <c r="N79" s="57">
        <f>IF(計算用!$Z$20="","",IF(計算用!$B$1=1,INDEX(計算用!$H$3:$H$452,計算用!$Z$20),INDEX(振り分け!$D$7:$D$456,計算用!$Z$20)))</f>
        <v/>
      </c>
      <c r="O79" s="56">
        <f>IF(計算用!$AA$20="","",IF(計算用!$B$1=1,INDEX(計算用!$F$3:$F$452,計算用!$AA$20),INDEX(振り分け!$B$7:$B$456,計算用!$AA$20)))</f>
        <v/>
      </c>
      <c r="P79" s="57">
        <f>IF(計算用!$AA$20="","",IF(計算用!$B$1=1,INDEX(計算用!$H$3:$H$452,計算用!$AA$20),INDEX(振り分け!$D$7:$D$456,計算用!$AA$20)))</f>
        <v/>
      </c>
      <c r="Q79" s="56">
        <f>IF(計算用!$AB$20="","",IF(計算用!$B$1=1,INDEX(計算用!$F$3:$F$452,計算用!$AB$20),INDEX(振り分け!$B$7:$B$456,計算用!$AB$20)))</f>
        <v/>
      </c>
      <c r="R79" s="57">
        <f>IF(計算用!$AB$20="","",IF(計算用!$B$1=1,INDEX(計算用!$H$3:$H$452,計算用!$AB$20),INDEX(振り分け!$D$7:$D$456,計算用!$AB$20)))</f>
        <v/>
      </c>
      <c r="S79" s="56">
        <f>IF(計算用!$AC$20="","",IF(計算用!$B$1=1,INDEX(計算用!$F$3:$F$452,計算用!$AC$20),INDEX(振り分け!$B$7:$B$456,計算用!$AC$20)))</f>
        <v/>
      </c>
      <c r="T79" s="57">
        <f>IF(計算用!$AC$20="","",IF(計算用!$B$1=1,INDEX(計算用!$H$3:$H$452,計算用!$AC$20),INDEX(振り分け!$D$7:$D$456,計算用!$AC$20)))</f>
        <v/>
      </c>
    </row>
    <row r="80">
      <c r="A80" s="56">
        <f>IF(計算用!$T$21="","",IF(計算用!$B$1=1,INDEX(計算用!$F$3:$F$452,計算用!$T$21),INDEX(振り分け!$B$7:$B$456,計算用!$T$21)))</f>
        <v/>
      </c>
      <c r="B80" s="57">
        <f>IF(計算用!$T$21="","",IF(計算用!$B$1=1,INDEX(計算用!$H$3:$H$452,計算用!$T$21),INDEX(振り分け!$D$7:$D$456,計算用!$T$21)))</f>
        <v/>
      </c>
      <c r="C80" s="56">
        <f>IF(計算用!$U$21="","",IF(計算用!$B$1=1,INDEX(計算用!$F$3:$F$452,計算用!$U$21),INDEX(振り分け!$B$7:$B$456,計算用!$U$21)))</f>
        <v/>
      </c>
      <c r="D80" s="57">
        <f>IF(計算用!$U$21="","",IF(計算用!$B$1=1,INDEX(計算用!$H$3:$H$452,計算用!$U$21),INDEX(振り分け!$D$7:$D$456,計算用!$U$21)))</f>
        <v/>
      </c>
      <c r="E80" s="56">
        <f>IF(計算用!$V$21="","",IF(計算用!$B$1=1,INDEX(計算用!$F$3:$F$452,計算用!$V$21),INDEX(振り分け!$B$7:$B$456,計算用!$V$21)))</f>
        <v/>
      </c>
      <c r="F80" s="57">
        <f>IF(計算用!$V$21="","",IF(計算用!$B$1=1,INDEX(計算用!$H$3:$H$452,計算用!$V$21),INDEX(振り分け!$D$7:$D$456,計算用!$V$21)))</f>
        <v/>
      </c>
      <c r="G80" s="56">
        <f>IF(計算用!$W$21="","",IF(計算用!$B$1=1,INDEX(計算用!$F$3:$F$452,計算用!$W$21),INDEX(振り分け!$B$7:$B$456,計算用!$W$21)))</f>
        <v/>
      </c>
      <c r="H80" s="57">
        <f>IF(計算用!$W$21="","",IF(計算用!$B$1=1,INDEX(計算用!$H$3:$H$452,計算用!$W$21),INDEX(振り分け!$D$7:$D$456,計算用!$W$21)))</f>
        <v/>
      </c>
      <c r="I80" s="56">
        <f>IF(計算用!$X$21="","",IF(計算用!$B$1=1,INDEX(計算用!$F$3:$F$452,計算用!$X$21),INDEX(振り分け!$B$7:$B$456,計算用!$X$21)))</f>
        <v/>
      </c>
      <c r="J80" s="57">
        <f>IF(計算用!$X$21="","",IF(計算用!$B$1=1,INDEX(計算用!$H$3:$H$452,計算用!$X$21),INDEX(振り分け!$D$7:$D$456,計算用!$X$21)))</f>
        <v/>
      </c>
      <c r="K80" s="56">
        <f>IF(計算用!$Y$21="","",IF(計算用!$B$1=1,INDEX(計算用!$F$3:$F$452,計算用!$Y$21),INDEX(振り分け!$B$7:$B$456,計算用!$Y$21)))</f>
        <v/>
      </c>
      <c r="L80" s="57">
        <f>IF(計算用!$Y$21="","",IF(計算用!$B$1=1,INDEX(計算用!$H$3:$H$452,計算用!$Y$21),INDEX(振り分け!$D$7:$D$456,計算用!$Y$21)))</f>
        <v/>
      </c>
      <c r="M80" s="56">
        <f>IF(計算用!$Z$21="","",IF(計算用!$B$1=1,INDEX(計算用!$F$3:$F$452,計算用!$Z$21),INDEX(振り分け!$B$7:$B$456,計算用!$Z$21)))</f>
        <v/>
      </c>
      <c r="N80" s="57">
        <f>IF(計算用!$Z$21="","",IF(計算用!$B$1=1,INDEX(計算用!$H$3:$H$452,計算用!$Z$21),INDEX(振り分け!$D$7:$D$456,計算用!$Z$21)))</f>
        <v/>
      </c>
      <c r="O80" s="56">
        <f>IF(計算用!$AA$21="","",IF(計算用!$B$1=1,INDEX(計算用!$F$3:$F$452,計算用!$AA$21),INDEX(振り分け!$B$7:$B$456,計算用!$AA$21)))</f>
        <v/>
      </c>
      <c r="P80" s="57">
        <f>IF(計算用!$AA$21="","",IF(計算用!$B$1=1,INDEX(計算用!$H$3:$H$452,計算用!$AA$21),INDEX(振り分け!$D$7:$D$456,計算用!$AA$21)))</f>
        <v/>
      </c>
      <c r="Q80" s="56">
        <f>IF(計算用!$AB$21="","",IF(計算用!$B$1=1,INDEX(計算用!$F$3:$F$452,計算用!$AB$21),INDEX(振り分け!$B$7:$B$456,計算用!$AB$21)))</f>
        <v/>
      </c>
      <c r="R80" s="57">
        <f>IF(計算用!$AB$21="","",IF(計算用!$B$1=1,INDEX(計算用!$H$3:$H$452,計算用!$AB$21),INDEX(振り分け!$D$7:$D$456,計算用!$AB$21)))</f>
        <v/>
      </c>
      <c r="S80" s="56">
        <f>IF(計算用!$AC$21="","",IF(計算用!$B$1=1,INDEX(計算用!$F$3:$F$452,計算用!$AC$21),INDEX(振り分け!$B$7:$B$456,計算用!$AC$21)))</f>
        <v/>
      </c>
      <c r="T80" s="57">
        <f>IF(計算用!$AC$21="","",IF(計算用!$B$1=1,INDEX(計算用!$H$3:$H$452,計算用!$AC$21),INDEX(振り分け!$D$7:$D$456,計算用!$AC$21)))</f>
        <v/>
      </c>
    </row>
    <row r="81">
      <c r="A81" s="56">
        <f>IF(計算用!$T$22="","",IF(計算用!$B$1=1,INDEX(計算用!$F$3:$F$452,計算用!$T$22),INDEX(振り分け!$B$7:$B$456,計算用!$T$22)))</f>
        <v/>
      </c>
      <c r="B81" s="57">
        <f>IF(計算用!$T$22="","",IF(計算用!$B$1=1,INDEX(計算用!$H$3:$H$452,計算用!$T$22),INDEX(振り分け!$D$7:$D$456,計算用!$T$22)))</f>
        <v/>
      </c>
      <c r="C81" s="56">
        <f>IF(計算用!$U$22="","",IF(計算用!$B$1=1,INDEX(計算用!$F$3:$F$452,計算用!$U$22),INDEX(振り分け!$B$7:$B$456,計算用!$U$22)))</f>
        <v/>
      </c>
      <c r="D81" s="57">
        <f>IF(計算用!$U$22="","",IF(計算用!$B$1=1,INDEX(計算用!$H$3:$H$452,計算用!$U$22),INDEX(振り分け!$D$7:$D$456,計算用!$U$22)))</f>
        <v/>
      </c>
      <c r="E81" s="56">
        <f>IF(計算用!$V$22="","",IF(計算用!$B$1=1,INDEX(計算用!$F$3:$F$452,計算用!$V$22),INDEX(振り分け!$B$7:$B$456,計算用!$V$22)))</f>
        <v/>
      </c>
      <c r="F81" s="57">
        <f>IF(計算用!$V$22="","",IF(計算用!$B$1=1,INDEX(計算用!$H$3:$H$452,計算用!$V$22),INDEX(振り分け!$D$7:$D$456,計算用!$V$22)))</f>
        <v/>
      </c>
      <c r="G81" s="56">
        <f>IF(計算用!$W$22="","",IF(計算用!$B$1=1,INDEX(計算用!$F$3:$F$452,計算用!$W$22),INDEX(振り分け!$B$7:$B$456,計算用!$W$22)))</f>
        <v/>
      </c>
      <c r="H81" s="57">
        <f>IF(計算用!$W$22="","",IF(計算用!$B$1=1,INDEX(計算用!$H$3:$H$452,計算用!$W$22),INDEX(振り分け!$D$7:$D$456,計算用!$W$22)))</f>
        <v/>
      </c>
      <c r="I81" s="56">
        <f>IF(計算用!$X$22="","",IF(計算用!$B$1=1,INDEX(計算用!$F$3:$F$452,計算用!$X$22),INDEX(振り分け!$B$7:$B$456,計算用!$X$22)))</f>
        <v/>
      </c>
      <c r="J81" s="57">
        <f>IF(計算用!$X$22="","",IF(計算用!$B$1=1,INDEX(計算用!$H$3:$H$452,計算用!$X$22),INDEX(振り分け!$D$7:$D$456,計算用!$X$22)))</f>
        <v/>
      </c>
      <c r="K81" s="56">
        <f>IF(計算用!$Y$22="","",IF(計算用!$B$1=1,INDEX(計算用!$F$3:$F$452,計算用!$Y$22),INDEX(振り分け!$B$7:$B$456,計算用!$Y$22)))</f>
        <v/>
      </c>
      <c r="L81" s="57">
        <f>IF(計算用!$Y$22="","",IF(計算用!$B$1=1,INDEX(計算用!$H$3:$H$452,計算用!$Y$22),INDEX(振り分け!$D$7:$D$456,計算用!$Y$22)))</f>
        <v/>
      </c>
      <c r="M81" s="56">
        <f>IF(計算用!$Z$22="","",IF(計算用!$B$1=1,INDEX(計算用!$F$3:$F$452,計算用!$Z$22),INDEX(振り分け!$B$7:$B$456,計算用!$Z$22)))</f>
        <v/>
      </c>
      <c r="N81" s="57">
        <f>IF(計算用!$Z$22="","",IF(計算用!$B$1=1,INDEX(計算用!$H$3:$H$452,計算用!$Z$22),INDEX(振り分け!$D$7:$D$456,計算用!$Z$22)))</f>
        <v/>
      </c>
      <c r="O81" s="56">
        <f>IF(計算用!$AA$22="","",IF(計算用!$B$1=1,INDEX(計算用!$F$3:$F$452,計算用!$AA$22),INDEX(振り分け!$B$7:$B$456,計算用!$AA$22)))</f>
        <v/>
      </c>
      <c r="P81" s="57">
        <f>IF(計算用!$AA$22="","",IF(計算用!$B$1=1,INDEX(計算用!$H$3:$H$452,計算用!$AA$22),INDEX(振り分け!$D$7:$D$456,計算用!$AA$22)))</f>
        <v/>
      </c>
      <c r="Q81" s="56">
        <f>IF(計算用!$AB$22="","",IF(計算用!$B$1=1,INDEX(計算用!$F$3:$F$452,計算用!$AB$22),INDEX(振り分け!$B$7:$B$456,計算用!$AB$22)))</f>
        <v/>
      </c>
      <c r="R81" s="57">
        <f>IF(計算用!$AB$22="","",IF(計算用!$B$1=1,INDEX(計算用!$H$3:$H$452,計算用!$AB$22),INDEX(振り分け!$D$7:$D$456,計算用!$AB$22)))</f>
        <v/>
      </c>
      <c r="S81" s="56">
        <f>IF(計算用!$AC$22="","",IF(計算用!$B$1=1,INDEX(計算用!$F$3:$F$452,計算用!$AC$22),INDEX(振り分け!$B$7:$B$456,計算用!$AC$22)))</f>
        <v/>
      </c>
      <c r="T81" s="57">
        <f>IF(計算用!$AC$22="","",IF(計算用!$B$1=1,INDEX(計算用!$H$3:$H$452,計算用!$AC$22),INDEX(振り分け!$D$7:$D$456,計算用!$AC$22)))</f>
        <v/>
      </c>
    </row>
    <row r="82">
      <c r="A82" s="56">
        <f>IF(計算用!$T$23="","",IF(計算用!$B$1=1,INDEX(計算用!$F$3:$F$452,計算用!$T$23),INDEX(振り分け!$B$7:$B$456,計算用!$T$23)))</f>
        <v/>
      </c>
      <c r="B82" s="57">
        <f>IF(計算用!$T$23="","",IF(計算用!$B$1=1,INDEX(計算用!$H$3:$H$452,計算用!$T$23),INDEX(振り分け!$D$7:$D$456,計算用!$T$23)))</f>
        <v/>
      </c>
      <c r="C82" s="56">
        <f>IF(計算用!$U$23="","",IF(計算用!$B$1=1,INDEX(計算用!$F$3:$F$452,計算用!$U$23),INDEX(振り分け!$B$7:$B$456,計算用!$U$23)))</f>
        <v/>
      </c>
      <c r="D82" s="57">
        <f>IF(計算用!$U$23="","",IF(計算用!$B$1=1,INDEX(計算用!$H$3:$H$452,計算用!$U$23),INDEX(振り分け!$D$7:$D$456,計算用!$U$23)))</f>
        <v/>
      </c>
      <c r="E82" s="56">
        <f>IF(計算用!$V$23="","",IF(計算用!$B$1=1,INDEX(計算用!$F$3:$F$452,計算用!$V$23),INDEX(振り分け!$B$7:$B$456,計算用!$V$23)))</f>
        <v/>
      </c>
      <c r="F82" s="57">
        <f>IF(計算用!$V$23="","",IF(計算用!$B$1=1,INDEX(計算用!$H$3:$H$452,計算用!$V$23),INDEX(振り分け!$D$7:$D$456,計算用!$V$23)))</f>
        <v/>
      </c>
      <c r="G82" s="56">
        <f>IF(計算用!$W$23="","",IF(計算用!$B$1=1,INDEX(計算用!$F$3:$F$452,計算用!$W$23),INDEX(振り分け!$B$7:$B$456,計算用!$W$23)))</f>
        <v/>
      </c>
      <c r="H82" s="57">
        <f>IF(計算用!$W$23="","",IF(計算用!$B$1=1,INDEX(計算用!$H$3:$H$452,計算用!$W$23),INDEX(振り分け!$D$7:$D$456,計算用!$W$23)))</f>
        <v/>
      </c>
      <c r="I82" s="56">
        <f>IF(計算用!$X$23="","",IF(計算用!$B$1=1,INDEX(計算用!$F$3:$F$452,計算用!$X$23),INDEX(振り分け!$B$7:$B$456,計算用!$X$23)))</f>
        <v/>
      </c>
      <c r="J82" s="57">
        <f>IF(計算用!$X$23="","",IF(計算用!$B$1=1,INDEX(計算用!$H$3:$H$452,計算用!$X$23),INDEX(振り分け!$D$7:$D$456,計算用!$X$23)))</f>
        <v/>
      </c>
      <c r="K82" s="56">
        <f>IF(計算用!$Y$23="","",IF(計算用!$B$1=1,INDEX(計算用!$F$3:$F$452,計算用!$Y$23),INDEX(振り分け!$B$7:$B$456,計算用!$Y$23)))</f>
        <v/>
      </c>
      <c r="L82" s="57">
        <f>IF(計算用!$Y$23="","",IF(計算用!$B$1=1,INDEX(計算用!$H$3:$H$452,計算用!$Y$23),INDEX(振り分け!$D$7:$D$456,計算用!$Y$23)))</f>
        <v/>
      </c>
      <c r="M82" s="56">
        <f>IF(計算用!$Z$23="","",IF(計算用!$B$1=1,INDEX(計算用!$F$3:$F$452,計算用!$Z$23),INDEX(振り分け!$B$7:$B$456,計算用!$Z$23)))</f>
        <v/>
      </c>
      <c r="N82" s="57">
        <f>IF(計算用!$Z$23="","",IF(計算用!$B$1=1,INDEX(計算用!$H$3:$H$452,計算用!$Z$23),INDEX(振り分け!$D$7:$D$456,計算用!$Z$23)))</f>
        <v/>
      </c>
      <c r="O82" s="56">
        <f>IF(計算用!$AA$23="","",IF(計算用!$B$1=1,INDEX(計算用!$F$3:$F$452,計算用!$AA$23),INDEX(振り分け!$B$7:$B$456,計算用!$AA$23)))</f>
        <v/>
      </c>
      <c r="P82" s="57">
        <f>IF(計算用!$AA$23="","",IF(計算用!$B$1=1,INDEX(計算用!$H$3:$H$452,計算用!$AA$23),INDEX(振り分け!$D$7:$D$456,計算用!$AA$23)))</f>
        <v/>
      </c>
      <c r="Q82" s="56">
        <f>IF(計算用!$AB$23="","",IF(計算用!$B$1=1,INDEX(計算用!$F$3:$F$452,計算用!$AB$23),INDEX(振り分け!$B$7:$B$456,計算用!$AB$23)))</f>
        <v/>
      </c>
      <c r="R82" s="57">
        <f>IF(計算用!$AB$23="","",IF(計算用!$B$1=1,INDEX(計算用!$H$3:$H$452,計算用!$AB$23),INDEX(振り分け!$D$7:$D$456,計算用!$AB$23)))</f>
        <v/>
      </c>
      <c r="S82" s="56">
        <f>IF(計算用!$AC$23="","",IF(計算用!$B$1=1,INDEX(計算用!$F$3:$F$452,計算用!$AC$23),INDEX(振り分け!$B$7:$B$456,計算用!$AC$23)))</f>
        <v/>
      </c>
      <c r="T82" s="57">
        <f>IF(計算用!$AC$23="","",IF(計算用!$B$1=1,INDEX(計算用!$H$3:$H$452,計算用!$AC$23),INDEX(振り分け!$D$7:$D$456,計算用!$AC$23)))</f>
        <v/>
      </c>
    </row>
    <row r="83">
      <c r="A83" s="56">
        <f>IF(計算用!$T$24="","",IF(計算用!$B$1=1,INDEX(計算用!$F$3:$F$452,計算用!$T$24),INDEX(振り分け!$B$7:$B$456,計算用!$T$24)))</f>
        <v/>
      </c>
      <c r="B83" s="57">
        <f>IF(計算用!$T$24="","",IF(計算用!$B$1=1,INDEX(計算用!$H$3:$H$452,計算用!$T$24),INDEX(振り分け!$D$7:$D$456,計算用!$T$24)))</f>
        <v/>
      </c>
      <c r="C83" s="56">
        <f>IF(計算用!$U$24="","",IF(計算用!$B$1=1,INDEX(計算用!$F$3:$F$452,計算用!$U$24),INDEX(振り分け!$B$7:$B$456,計算用!$U$24)))</f>
        <v/>
      </c>
      <c r="D83" s="57">
        <f>IF(計算用!$U$24="","",IF(計算用!$B$1=1,INDEX(計算用!$H$3:$H$452,計算用!$U$24),INDEX(振り分け!$D$7:$D$456,計算用!$U$24)))</f>
        <v/>
      </c>
      <c r="E83" s="56">
        <f>IF(計算用!$V$24="","",IF(計算用!$B$1=1,INDEX(計算用!$F$3:$F$452,計算用!$V$24),INDEX(振り分け!$B$7:$B$456,計算用!$V$24)))</f>
        <v/>
      </c>
      <c r="F83" s="57">
        <f>IF(計算用!$V$24="","",IF(計算用!$B$1=1,INDEX(計算用!$H$3:$H$452,計算用!$V$24),INDEX(振り分け!$D$7:$D$456,計算用!$V$24)))</f>
        <v/>
      </c>
      <c r="G83" s="56">
        <f>IF(計算用!$W$24="","",IF(計算用!$B$1=1,INDEX(計算用!$F$3:$F$452,計算用!$W$24),INDEX(振り分け!$B$7:$B$456,計算用!$W$24)))</f>
        <v/>
      </c>
      <c r="H83" s="57">
        <f>IF(計算用!$W$24="","",IF(計算用!$B$1=1,INDEX(計算用!$H$3:$H$452,計算用!$W$24),INDEX(振り分け!$D$7:$D$456,計算用!$W$24)))</f>
        <v/>
      </c>
      <c r="I83" s="56">
        <f>IF(計算用!$X$24="","",IF(計算用!$B$1=1,INDEX(計算用!$F$3:$F$452,計算用!$X$24),INDEX(振り分け!$B$7:$B$456,計算用!$X$24)))</f>
        <v/>
      </c>
      <c r="J83" s="57">
        <f>IF(計算用!$X$24="","",IF(計算用!$B$1=1,INDEX(計算用!$H$3:$H$452,計算用!$X$24),INDEX(振り分け!$D$7:$D$456,計算用!$X$24)))</f>
        <v/>
      </c>
      <c r="K83" s="56">
        <f>IF(計算用!$Y$24="","",IF(計算用!$B$1=1,INDEX(計算用!$F$3:$F$452,計算用!$Y$24),INDEX(振り分け!$B$7:$B$456,計算用!$Y$24)))</f>
        <v/>
      </c>
      <c r="L83" s="57">
        <f>IF(計算用!$Y$24="","",IF(計算用!$B$1=1,INDEX(計算用!$H$3:$H$452,計算用!$Y$24),INDEX(振り分け!$D$7:$D$456,計算用!$Y$24)))</f>
        <v/>
      </c>
      <c r="M83" s="56">
        <f>IF(計算用!$Z$24="","",IF(計算用!$B$1=1,INDEX(計算用!$F$3:$F$452,計算用!$Z$24),INDEX(振り分け!$B$7:$B$456,計算用!$Z$24)))</f>
        <v/>
      </c>
      <c r="N83" s="57">
        <f>IF(計算用!$Z$24="","",IF(計算用!$B$1=1,INDEX(計算用!$H$3:$H$452,計算用!$Z$24),INDEX(振り分け!$D$7:$D$456,計算用!$Z$24)))</f>
        <v/>
      </c>
      <c r="O83" s="56">
        <f>IF(計算用!$AA$24="","",IF(計算用!$B$1=1,INDEX(計算用!$F$3:$F$452,計算用!$AA$24),INDEX(振り分け!$B$7:$B$456,計算用!$AA$24)))</f>
        <v/>
      </c>
      <c r="P83" s="57">
        <f>IF(計算用!$AA$24="","",IF(計算用!$B$1=1,INDEX(計算用!$H$3:$H$452,計算用!$AA$24),INDEX(振り分け!$D$7:$D$456,計算用!$AA$24)))</f>
        <v/>
      </c>
      <c r="Q83" s="56">
        <f>IF(計算用!$AB$24="","",IF(計算用!$B$1=1,INDEX(計算用!$F$3:$F$452,計算用!$AB$24),INDEX(振り分け!$B$7:$B$456,計算用!$AB$24)))</f>
        <v/>
      </c>
      <c r="R83" s="57">
        <f>IF(計算用!$AB$24="","",IF(計算用!$B$1=1,INDEX(計算用!$H$3:$H$452,計算用!$AB$24),INDEX(振り分け!$D$7:$D$456,計算用!$AB$24)))</f>
        <v/>
      </c>
      <c r="S83" s="56">
        <f>IF(計算用!$AC$24="","",IF(計算用!$B$1=1,INDEX(計算用!$F$3:$F$452,計算用!$AC$24),INDEX(振り分け!$B$7:$B$456,計算用!$AC$24)))</f>
        <v/>
      </c>
      <c r="T83" s="57">
        <f>IF(計算用!$AC$24="","",IF(計算用!$B$1=1,INDEX(計算用!$H$3:$H$452,計算用!$AC$24),INDEX(振り分け!$D$7:$D$456,計算用!$AC$24)))</f>
        <v/>
      </c>
    </row>
    <row r="84">
      <c r="A84" s="56">
        <f>IF(計算用!$T$25="","",IF(計算用!$B$1=1,INDEX(計算用!$F$3:$F$452,計算用!$T$25),INDEX(振り分け!$B$7:$B$456,計算用!$T$25)))</f>
        <v/>
      </c>
      <c r="B84" s="57">
        <f>IF(計算用!$T$25="","",IF(計算用!$B$1=1,INDEX(計算用!$H$3:$H$452,計算用!$T$25),INDEX(振り分け!$D$7:$D$456,計算用!$T$25)))</f>
        <v/>
      </c>
      <c r="C84" s="56">
        <f>IF(計算用!$U$25="","",IF(計算用!$B$1=1,INDEX(計算用!$F$3:$F$452,計算用!$U$25),INDEX(振り分け!$B$7:$B$456,計算用!$U$25)))</f>
        <v/>
      </c>
      <c r="D84" s="57">
        <f>IF(計算用!$U$25="","",IF(計算用!$B$1=1,INDEX(計算用!$H$3:$H$452,計算用!$U$25),INDEX(振り分け!$D$7:$D$456,計算用!$U$25)))</f>
        <v/>
      </c>
      <c r="E84" s="56">
        <f>IF(計算用!$V$25="","",IF(計算用!$B$1=1,INDEX(計算用!$F$3:$F$452,計算用!$V$25),INDEX(振り分け!$B$7:$B$456,計算用!$V$25)))</f>
        <v/>
      </c>
      <c r="F84" s="57">
        <f>IF(計算用!$V$25="","",IF(計算用!$B$1=1,INDEX(計算用!$H$3:$H$452,計算用!$V$25),INDEX(振り分け!$D$7:$D$456,計算用!$V$25)))</f>
        <v/>
      </c>
      <c r="G84" s="56">
        <f>IF(計算用!$W$25="","",IF(計算用!$B$1=1,INDEX(計算用!$F$3:$F$452,計算用!$W$25),INDEX(振り分け!$B$7:$B$456,計算用!$W$25)))</f>
        <v/>
      </c>
      <c r="H84" s="57">
        <f>IF(計算用!$W$25="","",IF(計算用!$B$1=1,INDEX(計算用!$H$3:$H$452,計算用!$W$25),INDEX(振り分け!$D$7:$D$456,計算用!$W$25)))</f>
        <v/>
      </c>
      <c r="I84" s="56">
        <f>IF(計算用!$X$25="","",IF(計算用!$B$1=1,INDEX(計算用!$F$3:$F$452,計算用!$X$25),INDEX(振り分け!$B$7:$B$456,計算用!$X$25)))</f>
        <v/>
      </c>
      <c r="J84" s="57">
        <f>IF(計算用!$X$25="","",IF(計算用!$B$1=1,INDEX(計算用!$H$3:$H$452,計算用!$X$25),INDEX(振り分け!$D$7:$D$456,計算用!$X$25)))</f>
        <v/>
      </c>
      <c r="K84" s="56">
        <f>IF(計算用!$Y$25="","",IF(計算用!$B$1=1,INDEX(計算用!$F$3:$F$452,計算用!$Y$25),INDEX(振り分け!$B$7:$B$456,計算用!$Y$25)))</f>
        <v/>
      </c>
      <c r="L84" s="57">
        <f>IF(計算用!$Y$25="","",IF(計算用!$B$1=1,INDEX(計算用!$H$3:$H$452,計算用!$Y$25),INDEX(振り分け!$D$7:$D$456,計算用!$Y$25)))</f>
        <v/>
      </c>
      <c r="M84" s="56">
        <f>IF(計算用!$Z$25="","",IF(計算用!$B$1=1,INDEX(計算用!$F$3:$F$452,計算用!$Z$25),INDEX(振り分け!$B$7:$B$456,計算用!$Z$25)))</f>
        <v/>
      </c>
      <c r="N84" s="57">
        <f>IF(計算用!$Z$25="","",IF(計算用!$B$1=1,INDEX(計算用!$H$3:$H$452,計算用!$Z$25),INDEX(振り分け!$D$7:$D$456,計算用!$Z$25)))</f>
        <v/>
      </c>
      <c r="O84" s="56">
        <f>IF(計算用!$AA$25="","",IF(計算用!$B$1=1,INDEX(計算用!$F$3:$F$452,計算用!$AA$25),INDEX(振り分け!$B$7:$B$456,計算用!$AA$25)))</f>
        <v/>
      </c>
      <c r="P84" s="57">
        <f>IF(計算用!$AA$25="","",IF(計算用!$B$1=1,INDEX(計算用!$H$3:$H$452,計算用!$AA$25),INDEX(振り分け!$D$7:$D$456,計算用!$AA$25)))</f>
        <v/>
      </c>
      <c r="Q84" s="56">
        <f>IF(計算用!$AB$25="","",IF(計算用!$B$1=1,INDEX(計算用!$F$3:$F$452,計算用!$AB$25),INDEX(振り分け!$B$7:$B$456,計算用!$AB$25)))</f>
        <v/>
      </c>
      <c r="R84" s="57">
        <f>IF(計算用!$AB$25="","",IF(計算用!$B$1=1,INDEX(計算用!$H$3:$H$452,計算用!$AB$25),INDEX(振り分け!$D$7:$D$456,計算用!$AB$25)))</f>
        <v/>
      </c>
      <c r="S84" s="56">
        <f>IF(計算用!$AC$25="","",IF(計算用!$B$1=1,INDEX(計算用!$F$3:$F$452,計算用!$AC$25),INDEX(振り分け!$B$7:$B$456,計算用!$AC$25)))</f>
        <v/>
      </c>
      <c r="T84" s="57">
        <f>IF(計算用!$AC$25="","",IF(計算用!$B$1=1,INDEX(計算用!$H$3:$H$452,計算用!$AC$25),INDEX(振り分け!$D$7:$D$456,計算用!$AC$25)))</f>
        <v/>
      </c>
    </row>
    <row r="85">
      <c r="A85" s="56">
        <f>IF(計算用!$T$26="","",IF(計算用!$B$1=1,INDEX(計算用!$F$3:$F$452,計算用!$T$26),INDEX(振り分け!$B$7:$B$456,計算用!$T$26)))</f>
        <v/>
      </c>
      <c r="B85" s="57">
        <f>IF(計算用!$T$26="","",IF(計算用!$B$1=1,INDEX(計算用!$H$3:$H$452,計算用!$T$26),INDEX(振り分け!$D$7:$D$456,計算用!$T$26)))</f>
        <v/>
      </c>
      <c r="C85" s="56">
        <f>IF(計算用!$U$26="","",IF(計算用!$B$1=1,INDEX(計算用!$F$3:$F$452,計算用!$U$26),INDEX(振り分け!$B$7:$B$456,計算用!$U$26)))</f>
        <v/>
      </c>
      <c r="D85" s="57">
        <f>IF(計算用!$U$26="","",IF(計算用!$B$1=1,INDEX(計算用!$H$3:$H$452,計算用!$U$26),INDEX(振り分け!$D$7:$D$456,計算用!$U$26)))</f>
        <v/>
      </c>
      <c r="E85" s="56">
        <f>IF(計算用!$V$26="","",IF(計算用!$B$1=1,INDEX(計算用!$F$3:$F$452,計算用!$V$26),INDEX(振り分け!$B$7:$B$456,計算用!$V$26)))</f>
        <v/>
      </c>
      <c r="F85" s="57">
        <f>IF(計算用!$V$26="","",IF(計算用!$B$1=1,INDEX(計算用!$H$3:$H$452,計算用!$V$26),INDEX(振り分け!$D$7:$D$456,計算用!$V$26)))</f>
        <v/>
      </c>
      <c r="G85" s="56">
        <f>IF(計算用!$W$26="","",IF(計算用!$B$1=1,INDEX(計算用!$F$3:$F$452,計算用!$W$26),INDEX(振り分け!$B$7:$B$456,計算用!$W$26)))</f>
        <v/>
      </c>
      <c r="H85" s="57">
        <f>IF(計算用!$W$26="","",IF(計算用!$B$1=1,INDEX(計算用!$H$3:$H$452,計算用!$W$26),INDEX(振り分け!$D$7:$D$456,計算用!$W$26)))</f>
        <v/>
      </c>
      <c r="I85" s="56">
        <f>IF(計算用!$X$26="","",IF(計算用!$B$1=1,INDEX(計算用!$F$3:$F$452,計算用!$X$26),INDEX(振り分け!$B$7:$B$456,計算用!$X$26)))</f>
        <v/>
      </c>
      <c r="J85" s="57">
        <f>IF(計算用!$X$26="","",IF(計算用!$B$1=1,INDEX(計算用!$H$3:$H$452,計算用!$X$26),INDEX(振り分け!$D$7:$D$456,計算用!$X$26)))</f>
        <v/>
      </c>
      <c r="K85" s="56">
        <f>IF(計算用!$Y$26="","",IF(計算用!$B$1=1,INDEX(計算用!$F$3:$F$452,計算用!$Y$26),INDEX(振り分け!$B$7:$B$456,計算用!$Y$26)))</f>
        <v/>
      </c>
      <c r="L85" s="57">
        <f>IF(計算用!$Y$26="","",IF(計算用!$B$1=1,INDEX(計算用!$H$3:$H$452,計算用!$Y$26),INDEX(振り分け!$D$7:$D$456,計算用!$Y$26)))</f>
        <v/>
      </c>
      <c r="M85" s="56">
        <f>IF(計算用!$Z$26="","",IF(計算用!$B$1=1,INDEX(計算用!$F$3:$F$452,計算用!$Z$26),INDEX(振り分け!$B$7:$B$456,計算用!$Z$26)))</f>
        <v/>
      </c>
      <c r="N85" s="57">
        <f>IF(計算用!$Z$26="","",IF(計算用!$B$1=1,INDEX(計算用!$H$3:$H$452,計算用!$Z$26),INDEX(振り分け!$D$7:$D$456,計算用!$Z$26)))</f>
        <v/>
      </c>
      <c r="O85" s="56">
        <f>IF(計算用!$AA$26="","",IF(計算用!$B$1=1,INDEX(計算用!$F$3:$F$452,計算用!$AA$26),INDEX(振り分け!$B$7:$B$456,計算用!$AA$26)))</f>
        <v/>
      </c>
      <c r="P85" s="57">
        <f>IF(計算用!$AA$26="","",IF(計算用!$B$1=1,INDEX(計算用!$H$3:$H$452,計算用!$AA$26),INDEX(振り分け!$D$7:$D$456,計算用!$AA$26)))</f>
        <v/>
      </c>
      <c r="Q85" s="56">
        <f>IF(計算用!$AB$26="","",IF(計算用!$B$1=1,INDEX(計算用!$F$3:$F$452,計算用!$AB$26),INDEX(振り分け!$B$7:$B$456,計算用!$AB$26)))</f>
        <v/>
      </c>
      <c r="R85" s="57">
        <f>IF(計算用!$AB$26="","",IF(計算用!$B$1=1,INDEX(計算用!$H$3:$H$452,計算用!$AB$26),INDEX(振り分け!$D$7:$D$456,計算用!$AB$26)))</f>
        <v/>
      </c>
      <c r="S85" s="56">
        <f>IF(計算用!$AC$26="","",IF(計算用!$B$1=1,INDEX(計算用!$F$3:$F$452,計算用!$AC$26),INDEX(振り分け!$B$7:$B$456,計算用!$AC$26)))</f>
        <v/>
      </c>
      <c r="T85" s="57">
        <f>IF(計算用!$AC$26="","",IF(計算用!$B$1=1,INDEX(計算用!$H$3:$H$452,計算用!$AC$26),INDEX(振り分け!$D$7:$D$456,計算用!$AC$26)))</f>
        <v/>
      </c>
    </row>
    <row r="86">
      <c r="A86" s="56">
        <f>IF(計算用!$T$27="","",IF(計算用!$B$1=1,INDEX(計算用!$F$3:$F$452,計算用!$T$27),INDEX(振り分け!$B$7:$B$456,計算用!$T$27)))</f>
        <v/>
      </c>
      <c r="B86" s="57">
        <f>IF(計算用!$T$27="","",IF(計算用!$B$1=1,INDEX(計算用!$H$3:$H$452,計算用!$T$27),INDEX(振り分け!$D$7:$D$456,計算用!$T$27)))</f>
        <v/>
      </c>
      <c r="C86" s="56">
        <f>IF(計算用!$U$27="","",IF(計算用!$B$1=1,INDEX(計算用!$F$3:$F$452,計算用!$U$27),INDEX(振り分け!$B$7:$B$456,計算用!$U$27)))</f>
        <v/>
      </c>
      <c r="D86" s="57">
        <f>IF(計算用!$U$27="","",IF(計算用!$B$1=1,INDEX(計算用!$H$3:$H$452,計算用!$U$27),INDEX(振り分け!$D$7:$D$456,計算用!$U$27)))</f>
        <v/>
      </c>
      <c r="E86" s="56">
        <f>IF(計算用!$V$27="","",IF(計算用!$B$1=1,INDEX(計算用!$F$3:$F$452,計算用!$V$27),INDEX(振り分け!$B$7:$B$456,計算用!$V$27)))</f>
        <v/>
      </c>
      <c r="F86" s="57">
        <f>IF(計算用!$V$27="","",IF(計算用!$B$1=1,INDEX(計算用!$H$3:$H$452,計算用!$V$27),INDEX(振り分け!$D$7:$D$456,計算用!$V$27)))</f>
        <v/>
      </c>
      <c r="G86" s="56">
        <f>IF(計算用!$W$27="","",IF(計算用!$B$1=1,INDEX(計算用!$F$3:$F$452,計算用!$W$27),INDEX(振り分け!$B$7:$B$456,計算用!$W$27)))</f>
        <v/>
      </c>
      <c r="H86" s="57">
        <f>IF(計算用!$W$27="","",IF(計算用!$B$1=1,INDEX(計算用!$H$3:$H$452,計算用!$W$27),INDEX(振り分け!$D$7:$D$456,計算用!$W$27)))</f>
        <v/>
      </c>
      <c r="I86" s="56">
        <f>IF(計算用!$X$27="","",IF(計算用!$B$1=1,INDEX(計算用!$F$3:$F$452,計算用!$X$27),INDEX(振り分け!$B$7:$B$456,計算用!$X$27)))</f>
        <v/>
      </c>
      <c r="J86" s="57">
        <f>IF(計算用!$X$27="","",IF(計算用!$B$1=1,INDEX(計算用!$H$3:$H$452,計算用!$X$27),INDEX(振り分け!$D$7:$D$456,計算用!$X$27)))</f>
        <v/>
      </c>
      <c r="K86" s="56">
        <f>IF(計算用!$Y$27="","",IF(計算用!$B$1=1,INDEX(計算用!$F$3:$F$452,計算用!$Y$27),INDEX(振り分け!$B$7:$B$456,計算用!$Y$27)))</f>
        <v/>
      </c>
      <c r="L86" s="57">
        <f>IF(計算用!$Y$27="","",IF(計算用!$B$1=1,INDEX(計算用!$H$3:$H$452,計算用!$Y$27),INDEX(振り分け!$D$7:$D$456,計算用!$Y$27)))</f>
        <v/>
      </c>
      <c r="M86" s="56">
        <f>IF(計算用!$Z$27="","",IF(計算用!$B$1=1,INDEX(計算用!$F$3:$F$452,計算用!$Z$27),INDEX(振り分け!$B$7:$B$456,計算用!$Z$27)))</f>
        <v/>
      </c>
      <c r="N86" s="57">
        <f>IF(計算用!$Z$27="","",IF(計算用!$B$1=1,INDEX(計算用!$H$3:$H$452,計算用!$Z$27),INDEX(振り分け!$D$7:$D$456,計算用!$Z$27)))</f>
        <v/>
      </c>
      <c r="O86" s="56">
        <f>IF(計算用!$AA$27="","",IF(計算用!$B$1=1,INDEX(計算用!$F$3:$F$452,計算用!$AA$27),INDEX(振り分け!$B$7:$B$456,計算用!$AA$27)))</f>
        <v/>
      </c>
      <c r="P86" s="57">
        <f>IF(計算用!$AA$27="","",IF(計算用!$B$1=1,INDEX(計算用!$H$3:$H$452,計算用!$AA$27),INDEX(振り分け!$D$7:$D$456,計算用!$AA$27)))</f>
        <v/>
      </c>
      <c r="Q86" s="56">
        <f>IF(計算用!$AB$27="","",IF(計算用!$B$1=1,INDEX(計算用!$F$3:$F$452,計算用!$AB$27),INDEX(振り分け!$B$7:$B$456,計算用!$AB$27)))</f>
        <v/>
      </c>
      <c r="R86" s="57">
        <f>IF(計算用!$AB$27="","",IF(計算用!$B$1=1,INDEX(計算用!$H$3:$H$452,計算用!$AB$27),INDEX(振り分け!$D$7:$D$456,計算用!$AB$27)))</f>
        <v/>
      </c>
      <c r="S86" s="56">
        <f>IF(計算用!$AC$27="","",IF(計算用!$B$1=1,INDEX(計算用!$F$3:$F$452,計算用!$AC$27),INDEX(振り分け!$B$7:$B$456,計算用!$AC$27)))</f>
        <v/>
      </c>
      <c r="T86" s="57">
        <f>IF(計算用!$AC$27="","",IF(計算用!$B$1=1,INDEX(計算用!$H$3:$H$452,計算用!$AC$27),INDEX(振り分け!$D$7:$D$456,計算用!$AC$27)))</f>
        <v/>
      </c>
    </row>
    <row r="87">
      <c r="A87" s="56">
        <f>IF(計算用!$T$28="","",IF(計算用!$B$1=1,INDEX(計算用!$F$3:$F$452,計算用!$T$28),INDEX(振り分け!$B$7:$B$456,計算用!$T$28)))</f>
        <v/>
      </c>
      <c r="B87" s="57">
        <f>IF(計算用!$T$28="","",IF(計算用!$B$1=1,INDEX(計算用!$H$3:$H$452,計算用!$T$28),INDEX(振り分け!$D$7:$D$456,計算用!$T$28)))</f>
        <v/>
      </c>
      <c r="C87" s="56">
        <f>IF(計算用!$U$28="","",IF(計算用!$B$1=1,INDEX(計算用!$F$3:$F$452,計算用!$U$28),INDEX(振り分け!$B$7:$B$456,計算用!$U$28)))</f>
        <v/>
      </c>
      <c r="D87" s="57">
        <f>IF(計算用!$U$28="","",IF(計算用!$B$1=1,INDEX(計算用!$H$3:$H$452,計算用!$U$28),INDEX(振り分け!$D$7:$D$456,計算用!$U$28)))</f>
        <v/>
      </c>
      <c r="E87" s="56">
        <f>IF(計算用!$V$28="","",IF(計算用!$B$1=1,INDEX(計算用!$F$3:$F$452,計算用!$V$28),INDEX(振り分け!$B$7:$B$456,計算用!$V$28)))</f>
        <v/>
      </c>
      <c r="F87" s="57">
        <f>IF(計算用!$V$28="","",IF(計算用!$B$1=1,INDEX(計算用!$H$3:$H$452,計算用!$V$28),INDEX(振り分け!$D$7:$D$456,計算用!$V$28)))</f>
        <v/>
      </c>
      <c r="G87" s="56">
        <f>IF(計算用!$W$28="","",IF(計算用!$B$1=1,INDEX(計算用!$F$3:$F$452,計算用!$W$28),INDEX(振り分け!$B$7:$B$456,計算用!$W$28)))</f>
        <v/>
      </c>
      <c r="H87" s="57">
        <f>IF(計算用!$W$28="","",IF(計算用!$B$1=1,INDEX(計算用!$H$3:$H$452,計算用!$W$28),INDEX(振り分け!$D$7:$D$456,計算用!$W$28)))</f>
        <v/>
      </c>
      <c r="I87" s="56">
        <f>IF(計算用!$X$28="","",IF(計算用!$B$1=1,INDEX(計算用!$F$3:$F$452,計算用!$X$28),INDEX(振り分け!$B$7:$B$456,計算用!$X$28)))</f>
        <v/>
      </c>
      <c r="J87" s="57">
        <f>IF(計算用!$X$28="","",IF(計算用!$B$1=1,INDEX(計算用!$H$3:$H$452,計算用!$X$28),INDEX(振り分け!$D$7:$D$456,計算用!$X$28)))</f>
        <v/>
      </c>
      <c r="K87" s="56">
        <f>IF(計算用!$Y$28="","",IF(計算用!$B$1=1,INDEX(計算用!$F$3:$F$452,計算用!$Y$28),INDEX(振り分け!$B$7:$B$456,計算用!$Y$28)))</f>
        <v/>
      </c>
      <c r="L87" s="57">
        <f>IF(計算用!$Y$28="","",IF(計算用!$B$1=1,INDEX(計算用!$H$3:$H$452,計算用!$Y$28),INDEX(振り分け!$D$7:$D$456,計算用!$Y$28)))</f>
        <v/>
      </c>
      <c r="M87" s="56">
        <f>IF(計算用!$Z$28="","",IF(計算用!$B$1=1,INDEX(計算用!$F$3:$F$452,計算用!$Z$28),INDEX(振り分け!$B$7:$B$456,計算用!$Z$28)))</f>
        <v/>
      </c>
      <c r="N87" s="57">
        <f>IF(計算用!$Z$28="","",IF(計算用!$B$1=1,INDEX(計算用!$H$3:$H$452,計算用!$Z$28),INDEX(振り分け!$D$7:$D$456,計算用!$Z$28)))</f>
        <v/>
      </c>
      <c r="O87" s="56">
        <f>IF(計算用!$AA$28="","",IF(計算用!$B$1=1,INDEX(計算用!$F$3:$F$452,計算用!$AA$28),INDEX(振り分け!$B$7:$B$456,計算用!$AA$28)))</f>
        <v/>
      </c>
      <c r="P87" s="57">
        <f>IF(計算用!$AA$28="","",IF(計算用!$B$1=1,INDEX(計算用!$H$3:$H$452,計算用!$AA$28),INDEX(振り分け!$D$7:$D$456,計算用!$AA$28)))</f>
        <v/>
      </c>
      <c r="Q87" s="56">
        <f>IF(計算用!$AB$28="","",IF(計算用!$B$1=1,INDEX(計算用!$F$3:$F$452,計算用!$AB$28),INDEX(振り分け!$B$7:$B$456,計算用!$AB$28)))</f>
        <v/>
      </c>
      <c r="R87" s="57">
        <f>IF(計算用!$AB$28="","",IF(計算用!$B$1=1,INDEX(計算用!$H$3:$H$452,計算用!$AB$28),INDEX(振り分け!$D$7:$D$456,計算用!$AB$28)))</f>
        <v/>
      </c>
      <c r="S87" s="56">
        <f>IF(計算用!$AC$28="","",IF(計算用!$B$1=1,INDEX(計算用!$F$3:$F$452,計算用!$AC$28),INDEX(振り分け!$B$7:$B$456,計算用!$AC$28)))</f>
        <v/>
      </c>
      <c r="T87" s="57">
        <f>IF(計算用!$AC$28="","",IF(計算用!$B$1=1,INDEX(計算用!$H$3:$H$452,計算用!$AC$28),INDEX(振り分け!$D$7:$D$456,計算用!$AC$28)))</f>
        <v/>
      </c>
    </row>
    <row r="88">
      <c r="A88" s="56">
        <f>IF(計算用!$T$29="","",IF(計算用!$B$1=1,INDEX(計算用!$F$3:$F$452,計算用!$T$29),INDEX(振り分け!$B$7:$B$456,計算用!$T$29)))</f>
        <v/>
      </c>
      <c r="B88" s="57">
        <f>IF(計算用!$T$29="","",IF(計算用!$B$1=1,INDEX(計算用!$H$3:$H$452,計算用!$T$29),INDEX(振り分け!$D$7:$D$456,計算用!$T$29)))</f>
        <v/>
      </c>
      <c r="C88" s="56">
        <f>IF(計算用!$U$29="","",IF(計算用!$B$1=1,INDEX(計算用!$F$3:$F$452,計算用!$U$29),INDEX(振り分け!$B$7:$B$456,計算用!$U$29)))</f>
        <v/>
      </c>
      <c r="D88" s="57">
        <f>IF(計算用!$U$29="","",IF(計算用!$B$1=1,INDEX(計算用!$H$3:$H$452,計算用!$U$29),INDEX(振り分け!$D$7:$D$456,計算用!$U$29)))</f>
        <v/>
      </c>
      <c r="E88" s="56">
        <f>IF(計算用!$V$29="","",IF(計算用!$B$1=1,INDEX(計算用!$F$3:$F$452,計算用!$V$29),INDEX(振り分け!$B$7:$B$456,計算用!$V$29)))</f>
        <v/>
      </c>
      <c r="F88" s="57">
        <f>IF(計算用!$V$29="","",IF(計算用!$B$1=1,INDEX(計算用!$H$3:$H$452,計算用!$V$29),INDEX(振り分け!$D$7:$D$456,計算用!$V$29)))</f>
        <v/>
      </c>
      <c r="G88" s="56">
        <f>IF(計算用!$W$29="","",IF(計算用!$B$1=1,INDEX(計算用!$F$3:$F$452,計算用!$W$29),INDEX(振り分け!$B$7:$B$456,計算用!$W$29)))</f>
        <v/>
      </c>
      <c r="H88" s="57">
        <f>IF(計算用!$W$29="","",IF(計算用!$B$1=1,INDEX(計算用!$H$3:$H$452,計算用!$W$29),INDEX(振り分け!$D$7:$D$456,計算用!$W$29)))</f>
        <v/>
      </c>
      <c r="I88" s="56">
        <f>IF(計算用!$X$29="","",IF(計算用!$B$1=1,INDEX(計算用!$F$3:$F$452,計算用!$X$29),INDEX(振り分け!$B$7:$B$456,計算用!$X$29)))</f>
        <v/>
      </c>
      <c r="J88" s="57">
        <f>IF(計算用!$X$29="","",IF(計算用!$B$1=1,INDEX(計算用!$H$3:$H$452,計算用!$X$29),INDEX(振り分け!$D$7:$D$456,計算用!$X$29)))</f>
        <v/>
      </c>
      <c r="K88" s="56">
        <f>IF(計算用!$Y$29="","",IF(計算用!$B$1=1,INDEX(計算用!$F$3:$F$452,計算用!$Y$29),INDEX(振り分け!$B$7:$B$456,計算用!$Y$29)))</f>
        <v/>
      </c>
      <c r="L88" s="57">
        <f>IF(計算用!$Y$29="","",IF(計算用!$B$1=1,INDEX(計算用!$H$3:$H$452,計算用!$Y$29),INDEX(振り分け!$D$7:$D$456,計算用!$Y$29)))</f>
        <v/>
      </c>
      <c r="M88" s="56">
        <f>IF(計算用!$Z$29="","",IF(計算用!$B$1=1,INDEX(計算用!$F$3:$F$452,計算用!$Z$29),INDEX(振り分け!$B$7:$B$456,計算用!$Z$29)))</f>
        <v/>
      </c>
      <c r="N88" s="57">
        <f>IF(計算用!$Z$29="","",IF(計算用!$B$1=1,INDEX(計算用!$H$3:$H$452,計算用!$Z$29),INDEX(振り分け!$D$7:$D$456,計算用!$Z$29)))</f>
        <v/>
      </c>
      <c r="O88" s="56">
        <f>IF(計算用!$AA$29="","",IF(計算用!$B$1=1,INDEX(計算用!$F$3:$F$452,計算用!$AA$29),INDEX(振り分け!$B$7:$B$456,計算用!$AA$29)))</f>
        <v/>
      </c>
      <c r="P88" s="57">
        <f>IF(計算用!$AA$29="","",IF(計算用!$B$1=1,INDEX(計算用!$H$3:$H$452,計算用!$AA$29),INDEX(振り分け!$D$7:$D$456,計算用!$AA$29)))</f>
        <v/>
      </c>
      <c r="Q88" s="56">
        <f>IF(計算用!$AB$29="","",IF(計算用!$B$1=1,INDEX(計算用!$F$3:$F$452,計算用!$AB$29),INDEX(振り分け!$B$7:$B$456,計算用!$AB$29)))</f>
        <v/>
      </c>
      <c r="R88" s="57">
        <f>IF(計算用!$AB$29="","",IF(計算用!$B$1=1,INDEX(計算用!$H$3:$H$452,計算用!$AB$29),INDEX(振り分け!$D$7:$D$456,計算用!$AB$29)))</f>
        <v/>
      </c>
      <c r="S88" s="56">
        <f>IF(計算用!$AC$29="","",IF(計算用!$B$1=1,INDEX(計算用!$F$3:$F$452,計算用!$AC$29),INDEX(振り分け!$B$7:$B$456,計算用!$AC$29)))</f>
        <v/>
      </c>
      <c r="T88" s="57">
        <f>IF(計算用!$AC$29="","",IF(計算用!$B$1=1,INDEX(計算用!$H$3:$H$452,計算用!$AC$29),INDEX(振り分け!$D$7:$D$456,計算用!$AC$29)))</f>
        <v/>
      </c>
    </row>
    <row r="89">
      <c r="A89" s="56">
        <f>IF(計算用!$T$30="","",IF(計算用!$B$1=1,INDEX(計算用!$F$3:$F$452,計算用!$T$30),INDEX(振り分け!$B$7:$B$456,計算用!$T$30)))</f>
        <v/>
      </c>
      <c r="B89" s="57">
        <f>IF(計算用!$T$30="","",IF(計算用!$B$1=1,INDEX(計算用!$H$3:$H$452,計算用!$T$30),INDEX(振り分け!$D$7:$D$456,計算用!$T$30)))</f>
        <v/>
      </c>
      <c r="C89" s="56">
        <f>IF(計算用!$U$30="","",IF(計算用!$B$1=1,INDEX(計算用!$F$3:$F$452,計算用!$U$30),INDEX(振り分け!$B$7:$B$456,計算用!$U$30)))</f>
        <v/>
      </c>
      <c r="D89" s="57">
        <f>IF(計算用!$U$30="","",IF(計算用!$B$1=1,INDEX(計算用!$H$3:$H$452,計算用!$U$30),INDEX(振り分け!$D$7:$D$456,計算用!$U$30)))</f>
        <v/>
      </c>
      <c r="E89" s="56">
        <f>IF(計算用!$V$30="","",IF(計算用!$B$1=1,INDEX(計算用!$F$3:$F$452,計算用!$V$30),INDEX(振り分け!$B$7:$B$456,計算用!$V$30)))</f>
        <v/>
      </c>
      <c r="F89" s="57">
        <f>IF(計算用!$V$30="","",IF(計算用!$B$1=1,INDEX(計算用!$H$3:$H$452,計算用!$V$30),INDEX(振り分け!$D$7:$D$456,計算用!$V$30)))</f>
        <v/>
      </c>
      <c r="G89" s="56">
        <f>IF(計算用!$W$30="","",IF(計算用!$B$1=1,INDEX(計算用!$F$3:$F$452,計算用!$W$30),INDEX(振り分け!$B$7:$B$456,計算用!$W$30)))</f>
        <v/>
      </c>
      <c r="H89" s="57">
        <f>IF(計算用!$W$30="","",IF(計算用!$B$1=1,INDEX(計算用!$H$3:$H$452,計算用!$W$30),INDEX(振り分け!$D$7:$D$456,計算用!$W$30)))</f>
        <v/>
      </c>
      <c r="I89" s="56">
        <f>IF(計算用!$X$30="","",IF(計算用!$B$1=1,INDEX(計算用!$F$3:$F$452,計算用!$X$30),INDEX(振り分け!$B$7:$B$456,計算用!$X$30)))</f>
        <v/>
      </c>
      <c r="J89" s="57">
        <f>IF(計算用!$X$30="","",IF(計算用!$B$1=1,INDEX(計算用!$H$3:$H$452,計算用!$X$30),INDEX(振り分け!$D$7:$D$456,計算用!$X$30)))</f>
        <v/>
      </c>
      <c r="K89" s="56">
        <f>IF(計算用!$Y$30="","",IF(計算用!$B$1=1,INDEX(計算用!$F$3:$F$452,計算用!$Y$30),INDEX(振り分け!$B$7:$B$456,計算用!$Y$30)))</f>
        <v/>
      </c>
      <c r="L89" s="57">
        <f>IF(計算用!$Y$30="","",IF(計算用!$B$1=1,INDEX(計算用!$H$3:$H$452,計算用!$Y$30),INDEX(振り分け!$D$7:$D$456,計算用!$Y$30)))</f>
        <v/>
      </c>
      <c r="M89" s="56">
        <f>IF(計算用!$Z$30="","",IF(計算用!$B$1=1,INDEX(計算用!$F$3:$F$452,計算用!$Z$30),INDEX(振り分け!$B$7:$B$456,計算用!$Z$30)))</f>
        <v/>
      </c>
      <c r="N89" s="57">
        <f>IF(計算用!$Z$30="","",IF(計算用!$B$1=1,INDEX(計算用!$H$3:$H$452,計算用!$Z$30),INDEX(振り分け!$D$7:$D$456,計算用!$Z$30)))</f>
        <v/>
      </c>
      <c r="O89" s="56">
        <f>IF(計算用!$AA$30="","",IF(計算用!$B$1=1,INDEX(計算用!$F$3:$F$452,計算用!$AA$30),INDEX(振り分け!$B$7:$B$456,計算用!$AA$30)))</f>
        <v/>
      </c>
      <c r="P89" s="57">
        <f>IF(計算用!$AA$30="","",IF(計算用!$B$1=1,INDEX(計算用!$H$3:$H$452,計算用!$AA$30),INDEX(振り分け!$D$7:$D$456,計算用!$AA$30)))</f>
        <v/>
      </c>
      <c r="Q89" s="56">
        <f>IF(計算用!$AB$30="","",IF(計算用!$B$1=1,INDEX(計算用!$F$3:$F$452,計算用!$AB$30),INDEX(振り分け!$B$7:$B$456,計算用!$AB$30)))</f>
        <v/>
      </c>
      <c r="R89" s="57">
        <f>IF(計算用!$AB$30="","",IF(計算用!$B$1=1,INDEX(計算用!$H$3:$H$452,計算用!$AB$30),INDEX(振り分け!$D$7:$D$456,計算用!$AB$30)))</f>
        <v/>
      </c>
      <c r="S89" s="56">
        <f>IF(計算用!$AC$30="","",IF(計算用!$B$1=1,INDEX(計算用!$F$3:$F$452,計算用!$AC$30),INDEX(振り分け!$B$7:$B$456,計算用!$AC$30)))</f>
        <v/>
      </c>
      <c r="T89" s="57">
        <f>IF(計算用!$AC$30="","",IF(計算用!$B$1=1,INDEX(計算用!$H$3:$H$452,計算用!$AC$30),INDEX(振り分け!$D$7:$D$456,計算用!$AC$30)))</f>
        <v/>
      </c>
    </row>
    <row r="90">
      <c r="A90" s="56">
        <f>IF(計算用!$T$31="","",IF(計算用!$B$1=1,INDEX(計算用!$F$3:$F$452,計算用!$T$31),INDEX(振り分け!$B$7:$B$456,計算用!$T$31)))</f>
        <v/>
      </c>
      <c r="B90" s="57">
        <f>IF(計算用!$T$31="","",IF(計算用!$B$1=1,INDEX(計算用!$H$3:$H$452,計算用!$T$31),INDEX(振り分け!$D$7:$D$456,計算用!$T$31)))</f>
        <v/>
      </c>
      <c r="C90" s="56">
        <f>IF(計算用!$U$31="","",IF(計算用!$B$1=1,INDEX(計算用!$F$3:$F$452,計算用!$U$31),INDEX(振り分け!$B$7:$B$456,計算用!$U$31)))</f>
        <v/>
      </c>
      <c r="D90" s="57">
        <f>IF(計算用!$U$31="","",IF(計算用!$B$1=1,INDEX(計算用!$H$3:$H$452,計算用!$U$31),INDEX(振り分け!$D$7:$D$456,計算用!$U$31)))</f>
        <v/>
      </c>
      <c r="E90" s="56">
        <f>IF(計算用!$V$31="","",IF(計算用!$B$1=1,INDEX(計算用!$F$3:$F$452,計算用!$V$31),INDEX(振り分け!$B$7:$B$456,計算用!$V$31)))</f>
        <v/>
      </c>
      <c r="F90" s="57">
        <f>IF(計算用!$V$31="","",IF(計算用!$B$1=1,INDEX(計算用!$H$3:$H$452,計算用!$V$31),INDEX(振り分け!$D$7:$D$456,計算用!$V$31)))</f>
        <v/>
      </c>
      <c r="G90" s="56">
        <f>IF(計算用!$W$31="","",IF(計算用!$B$1=1,INDEX(計算用!$F$3:$F$452,計算用!$W$31),INDEX(振り分け!$B$7:$B$456,計算用!$W$31)))</f>
        <v/>
      </c>
      <c r="H90" s="57">
        <f>IF(計算用!$W$31="","",IF(計算用!$B$1=1,INDEX(計算用!$H$3:$H$452,計算用!$W$31),INDEX(振り分け!$D$7:$D$456,計算用!$W$31)))</f>
        <v/>
      </c>
      <c r="I90" s="56">
        <f>IF(計算用!$X$31="","",IF(計算用!$B$1=1,INDEX(計算用!$F$3:$F$452,計算用!$X$31),INDEX(振り分け!$B$7:$B$456,計算用!$X$31)))</f>
        <v/>
      </c>
      <c r="J90" s="57">
        <f>IF(計算用!$X$31="","",IF(計算用!$B$1=1,INDEX(計算用!$H$3:$H$452,計算用!$X$31),INDEX(振り分け!$D$7:$D$456,計算用!$X$31)))</f>
        <v/>
      </c>
      <c r="K90" s="56">
        <f>IF(計算用!$Y$31="","",IF(計算用!$B$1=1,INDEX(計算用!$F$3:$F$452,計算用!$Y$31),INDEX(振り分け!$B$7:$B$456,計算用!$Y$31)))</f>
        <v/>
      </c>
      <c r="L90" s="57">
        <f>IF(計算用!$Y$31="","",IF(計算用!$B$1=1,INDEX(計算用!$H$3:$H$452,計算用!$Y$31),INDEX(振り分け!$D$7:$D$456,計算用!$Y$31)))</f>
        <v/>
      </c>
      <c r="M90" s="56">
        <f>IF(計算用!$Z$31="","",IF(計算用!$B$1=1,INDEX(計算用!$F$3:$F$452,計算用!$Z$31),INDEX(振り分け!$B$7:$B$456,計算用!$Z$31)))</f>
        <v/>
      </c>
      <c r="N90" s="57">
        <f>IF(計算用!$Z$31="","",IF(計算用!$B$1=1,INDEX(計算用!$H$3:$H$452,計算用!$Z$31),INDEX(振り分け!$D$7:$D$456,計算用!$Z$31)))</f>
        <v/>
      </c>
      <c r="O90" s="56">
        <f>IF(計算用!$AA$31="","",IF(計算用!$B$1=1,INDEX(計算用!$F$3:$F$452,計算用!$AA$31),INDEX(振り分け!$B$7:$B$456,計算用!$AA$31)))</f>
        <v/>
      </c>
      <c r="P90" s="57">
        <f>IF(計算用!$AA$31="","",IF(計算用!$B$1=1,INDEX(計算用!$H$3:$H$452,計算用!$AA$31),INDEX(振り分け!$D$7:$D$456,計算用!$AA$31)))</f>
        <v/>
      </c>
      <c r="Q90" s="56">
        <f>IF(計算用!$AB$31="","",IF(計算用!$B$1=1,INDEX(計算用!$F$3:$F$452,計算用!$AB$31),INDEX(振り分け!$B$7:$B$456,計算用!$AB$31)))</f>
        <v/>
      </c>
      <c r="R90" s="57">
        <f>IF(計算用!$AB$31="","",IF(計算用!$B$1=1,INDEX(計算用!$H$3:$H$452,計算用!$AB$31),INDEX(振り分け!$D$7:$D$456,計算用!$AB$31)))</f>
        <v/>
      </c>
      <c r="S90" s="56">
        <f>IF(計算用!$AC$31="","",IF(計算用!$B$1=1,INDEX(計算用!$F$3:$F$452,計算用!$AC$31),INDEX(振り分け!$B$7:$B$456,計算用!$AC$31)))</f>
        <v/>
      </c>
      <c r="T90" s="57">
        <f>IF(計算用!$AC$31="","",IF(計算用!$B$1=1,INDEX(計算用!$H$3:$H$452,計算用!$AC$31),INDEX(振り分け!$D$7:$D$456,計算用!$AC$31)))</f>
        <v/>
      </c>
    </row>
    <row r="91">
      <c r="A91" s="56">
        <f>IF(計算用!$T$32="","",IF(計算用!$B$1=1,INDEX(計算用!$F$3:$F$452,計算用!$T$32),INDEX(振り分け!$B$7:$B$456,計算用!$T$32)))</f>
        <v/>
      </c>
      <c r="B91" s="57">
        <f>IF(計算用!$T$32="","",IF(計算用!$B$1=1,INDEX(計算用!$H$3:$H$452,計算用!$T$32),INDEX(振り分け!$D$7:$D$456,計算用!$T$32)))</f>
        <v/>
      </c>
      <c r="C91" s="56">
        <f>IF(計算用!$U$32="","",IF(計算用!$B$1=1,INDEX(計算用!$F$3:$F$452,計算用!$U$32),INDEX(振り分け!$B$7:$B$456,計算用!$U$32)))</f>
        <v/>
      </c>
      <c r="D91" s="57">
        <f>IF(計算用!$U$32="","",IF(計算用!$B$1=1,INDEX(計算用!$H$3:$H$452,計算用!$U$32),INDEX(振り分け!$D$7:$D$456,計算用!$U$32)))</f>
        <v/>
      </c>
      <c r="E91" s="56">
        <f>IF(計算用!$V$32="","",IF(計算用!$B$1=1,INDEX(計算用!$F$3:$F$452,計算用!$V$32),INDEX(振り分け!$B$7:$B$456,計算用!$V$32)))</f>
        <v/>
      </c>
      <c r="F91" s="57">
        <f>IF(計算用!$V$32="","",IF(計算用!$B$1=1,INDEX(計算用!$H$3:$H$452,計算用!$V$32),INDEX(振り分け!$D$7:$D$456,計算用!$V$32)))</f>
        <v/>
      </c>
      <c r="G91" s="56">
        <f>IF(計算用!$W$32="","",IF(計算用!$B$1=1,INDEX(計算用!$F$3:$F$452,計算用!$W$32),INDEX(振り分け!$B$7:$B$456,計算用!$W$32)))</f>
        <v/>
      </c>
      <c r="H91" s="57">
        <f>IF(計算用!$W$32="","",IF(計算用!$B$1=1,INDEX(計算用!$H$3:$H$452,計算用!$W$32),INDEX(振り分け!$D$7:$D$456,計算用!$W$32)))</f>
        <v/>
      </c>
      <c r="I91" s="56">
        <f>IF(計算用!$X$32="","",IF(計算用!$B$1=1,INDEX(計算用!$F$3:$F$452,計算用!$X$32),INDEX(振り分け!$B$7:$B$456,計算用!$X$32)))</f>
        <v/>
      </c>
      <c r="J91" s="57">
        <f>IF(計算用!$X$32="","",IF(計算用!$B$1=1,INDEX(計算用!$H$3:$H$452,計算用!$X$32),INDEX(振り分け!$D$7:$D$456,計算用!$X$32)))</f>
        <v/>
      </c>
      <c r="K91" s="56">
        <f>IF(計算用!$Y$32="","",IF(計算用!$B$1=1,INDEX(計算用!$F$3:$F$452,計算用!$Y$32),INDEX(振り分け!$B$7:$B$456,計算用!$Y$32)))</f>
        <v/>
      </c>
      <c r="L91" s="57">
        <f>IF(計算用!$Y$32="","",IF(計算用!$B$1=1,INDEX(計算用!$H$3:$H$452,計算用!$Y$32),INDEX(振り分け!$D$7:$D$456,計算用!$Y$32)))</f>
        <v/>
      </c>
      <c r="M91" s="56">
        <f>IF(計算用!$Z$32="","",IF(計算用!$B$1=1,INDEX(計算用!$F$3:$F$452,計算用!$Z$32),INDEX(振り分け!$B$7:$B$456,計算用!$Z$32)))</f>
        <v/>
      </c>
      <c r="N91" s="57">
        <f>IF(計算用!$Z$32="","",IF(計算用!$B$1=1,INDEX(計算用!$H$3:$H$452,計算用!$Z$32),INDEX(振り分け!$D$7:$D$456,計算用!$Z$32)))</f>
        <v/>
      </c>
      <c r="O91" s="56">
        <f>IF(計算用!$AA$32="","",IF(計算用!$B$1=1,INDEX(計算用!$F$3:$F$452,計算用!$AA$32),INDEX(振り分け!$B$7:$B$456,計算用!$AA$32)))</f>
        <v/>
      </c>
      <c r="P91" s="57">
        <f>IF(計算用!$AA$32="","",IF(計算用!$B$1=1,INDEX(計算用!$H$3:$H$452,計算用!$AA$32),INDEX(振り分け!$D$7:$D$456,計算用!$AA$32)))</f>
        <v/>
      </c>
      <c r="Q91" s="56">
        <f>IF(計算用!$AB$32="","",IF(計算用!$B$1=1,INDEX(計算用!$F$3:$F$452,計算用!$AB$32),INDEX(振り分け!$B$7:$B$456,計算用!$AB$32)))</f>
        <v/>
      </c>
      <c r="R91" s="57">
        <f>IF(計算用!$AB$32="","",IF(計算用!$B$1=1,INDEX(計算用!$H$3:$H$452,計算用!$AB$32),INDEX(振り分け!$D$7:$D$456,計算用!$AB$32)))</f>
        <v/>
      </c>
      <c r="S91" s="56">
        <f>IF(計算用!$AC$32="","",IF(計算用!$B$1=1,INDEX(計算用!$F$3:$F$452,計算用!$AC$32),INDEX(振り分け!$B$7:$B$456,計算用!$AC$32)))</f>
        <v/>
      </c>
      <c r="T91" s="57">
        <f>IF(計算用!$AC$32="","",IF(計算用!$B$1=1,INDEX(計算用!$H$3:$H$452,計算用!$AC$32),INDEX(振り分け!$D$7:$D$456,計算用!$AC$32)))</f>
        <v/>
      </c>
    </row>
    <row r="92">
      <c r="A92" s="56">
        <f>IF(計算用!$T$33="","",IF(計算用!$B$1=1,INDEX(計算用!$F$3:$F$452,計算用!$T$33),INDEX(振り分け!$B$7:$B$456,計算用!$T$33)))</f>
        <v/>
      </c>
      <c r="B92" s="57">
        <f>IF(計算用!$T$33="","",IF(計算用!$B$1=1,INDEX(計算用!$H$3:$H$452,計算用!$T$33),INDEX(振り分け!$D$7:$D$456,計算用!$T$33)))</f>
        <v/>
      </c>
      <c r="C92" s="56">
        <f>IF(計算用!$U$33="","",IF(計算用!$B$1=1,INDEX(計算用!$F$3:$F$452,計算用!$U$33),INDEX(振り分け!$B$7:$B$456,計算用!$U$33)))</f>
        <v/>
      </c>
      <c r="D92" s="57">
        <f>IF(計算用!$U$33="","",IF(計算用!$B$1=1,INDEX(計算用!$H$3:$H$452,計算用!$U$33),INDEX(振り分け!$D$7:$D$456,計算用!$U$33)))</f>
        <v/>
      </c>
      <c r="E92" s="56">
        <f>IF(計算用!$V$33="","",IF(計算用!$B$1=1,INDEX(計算用!$F$3:$F$452,計算用!$V$33),INDEX(振り分け!$B$7:$B$456,計算用!$V$33)))</f>
        <v/>
      </c>
      <c r="F92" s="57">
        <f>IF(計算用!$V$33="","",IF(計算用!$B$1=1,INDEX(計算用!$H$3:$H$452,計算用!$V$33),INDEX(振り分け!$D$7:$D$456,計算用!$V$33)))</f>
        <v/>
      </c>
      <c r="G92" s="56">
        <f>IF(計算用!$W$33="","",IF(計算用!$B$1=1,INDEX(計算用!$F$3:$F$452,計算用!$W$33),INDEX(振り分け!$B$7:$B$456,計算用!$W$33)))</f>
        <v/>
      </c>
      <c r="H92" s="57">
        <f>IF(計算用!$W$33="","",IF(計算用!$B$1=1,INDEX(計算用!$H$3:$H$452,計算用!$W$33),INDEX(振り分け!$D$7:$D$456,計算用!$W$33)))</f>
        <v/>
      </c>
      <c r="I92" s="56">
        <f>IF(計算用!$X$33="","",IF(計算用!$B$1=1,INDEX(計算用!$F$3:$F$452,計算用!$X$33),INDEX(振り分け!$B$7:$B$456,計算用!$X$33)))</f>
        <v/>
      </c>
      <c r="J92" s="57">
        <f>IF(計算用!$X$33="","",IF(計算用!$B$1=1,INDEX(計算用!$H$3:$H$452,計算用!$X$33),INDEX(振り分け!$D$7:$D$456,計算用!$X$33)))</f>
        <v/>
      </c>
      <c r="K92" s="56">
        <f>IF(計算用!$Y$33="","",IF(計算用!$B$1=1,INDEX(計算用!$F$3:$F$452,計算用!$Y$33),INDEX(振り分け!$B$7:$B$456,計算用!$Y$33)))</f>
        <v/>
      </c>
      <c r="L92" s="57">
        <f>IF(計算用!$Y$33="","",IF(計算用!$B$1=1,INDEX(計算用!$H$3:$H$452,計算用!$Y$33),INDEX(振り分け!$D$7:$D$456,計算用!$Y$33)))</f>
        <v/>
      </c>
      <c r="M92" s="56">
        <f>IF(計算用!$Z$33="","",IF(計算用!$B$1=1,INDEX(計算用!$F$3:$F$452,計算用!$Z$33),INDEX(振り分け!$B$7:$B$456,計算用!$Z$33)))</f>
        <v/>
      </c>
      <c r="N92" s="57">
        <f>IF(計算用!$Z$33="","",IF(計算用!$B$1=1,INDEX(計算用!$H$3:$H$452,計算用!$Z$33),INDEX(振り分け!$D$7:$D$456,計算用!$Z$33)))</f>
        <v/>
      </c>
      <c r="O92" s="56">
        <f>IF(計算用!$AA$33="","",IF(計算用!$B$1=1,INDEX(計算用!$F$3:$F$452,計算用!$AA$33),INDEX(振り分け!$B$7:$B$456,計算用!$AA$33)))</f>
        <v/>
      </c>
      <c r="P92" s="57">
        <f>IF(計算用!$AA$33="","",IF(計算用!$B$1=1,INDEX(計算用!$H$3:$H$452,計算用!$AA$33),INDEX(振り分け!$D$7:$D$456,計算用!$AA$33)))</f>
        <v/>
      </c>
      <c r="Q92" s="56">
        <f>IF(計算用!$AB$33="","",IF(計算用!$B$1=1,INDEX(計算用!$F$3:$F$452,計算用!$AB$33),INDEX(振り分け!$B$7:$B$456,計算用!$AB$33)))</f>
        <v/>
      </c>
      <c r="R92" s="57">
        <f>IF(計算用!$AB$33="","",IF(計算用!$B$1=1,INDEX(計算用!$H$3:$H$452,計算用!$AB$33),INDEX(振り分け!$D$7:$D$456,計算用!$AB$33)))</f>
        <v/>
      </c>
      <c r="S92" s="56">
        <f>IF(計算用!$AC$33="","",IF(計算用!$B$1=1,INDEX(計算用!$F$3:$F$452,計算用!$AC$33),INDEX(振り分け!$B$7:$B$456,計算用!$AC$33)))</f>
        <v/>
      </c>
      <c r="T92" s="57">
        <f>IF(計算用!$AC$33="","",IF(計算用!$B$1=1,INDEX(計算用!$H$3:$H$452,計算用!$AC$33),INDEX(振り分け!$D$7:$D$456,計算用!$AC$33)))</f>
        <v/>
      </c>
    </row>
    <row r="93">
      <c r="A93" s="56">
        <f>IF(計算用!$T$34="","",IF(計算用!$B$1=1,INDEX(計算用!$F$3:$F$452,計算用!$T$34),INDEX(振り分け!$B$7:$B$456,計算用!$T$34)))</f>
        <v/>
      </c>
      <c r="B93" s="57">
        <f>IF(計算用!$T$34="","",IF(計算用!$B$1=1,INDEX(計算用!$H$3:$H$452,計算用!$T$34),INDEX(振り分け!$D$7:$D$456,計算用!$T$34)))</f>
        <v/>
      </c>
      <c r="C93" s="56">
        <f>IF(計算用!$U$34="","",IF(計算用!$B$1=1,INDEX(計算用!$F$3:$F$452,計算用!$U$34),INDEX(振り分け!$B$7:$B$456,計算用!$U$34)))</f>
        <v/>
      </c>
      <c r="D93" s="57">
        <f>IF(計算用!$U$34="","",IF(計算用!$B$1=1,INDEX(計算用!$H$3:$H$452,計算用!$U$34),INDEX(振り分け!$D$7:$D$456,計算用!$U$34)))</f>
        <v/>
      </c>
      <c r="E93" s="56">
        <f>IF(計算用!$V$34="","",IF(計算用!$B$1=1,INDEX(計算用!$F$3:$F$452,計算用!$V$34),INDEX(振り分け!$B$7:$B$456,計算用!$V$34)))</f>
        <v/>
      </c>
      <c r="F93" s="57">
        <f>IF(計算用!$V$34="","",IF(計算用!$B$1=1,INDEX(計算用!$H$3:$H$452,計算用!$V$34),INDEX(振り分け!$D$7:$D$456,計算用!$V$34)))</f>
        <v/>
      </c>
      <c r="G93" s="56">
        <f>IF(計算用!$W$34="","",IF(計算用!$B$1=1,INDEX(計算用!$F$3:$F$452,計算用!$W$34),INDEX(振り分け!$B$7:$B$456,計算用!$W$34)))</f>
        <v/>
      </c>
      <c r="H93" s="57">
        <f>IF(計算用!$W$34="","",IF(計算用!$B$1=1,INDEX(計算用!$H$3:$H$452,計算用!$W$34),INDEX(振り分け!$D$7:$D$456,計算用!$W$34)))</f>
        <v/>
      </c>
      <c r="I93" s="56">
        <f>IF(計算用!$X$34="","",IF(計算用!$B$1=1,INDEX(計算用!$F$3:$F$452,計算用!$X$34),INDEX(振り分け!$B$7:$B$456,計算用!$X$34)))</f>
        <v/>
      </c>
      <c r="J93" s="57">
        <f>IF(計算用!$X$34="","",IF(計算用!$B$1=1,INDEX(計算用!$H$3:$H$452,計算用!$X$34),INDEX(振り分け!$D$7:$D$456,計算用!$X$34)))</f>
        <v/>
      </c>
      <c r="K93" s="56">
        <f>IF(計算用!$Y$34="","",IF(計算用!$B$1=1,INDEX(計算用!$F$3:$F$452,計算用!$Y$34),INDEX(振り分け!$B$7:$B$456,計算用!$Y$34)))</f>
        <v/>
      </c>
      <c r="L93" s="57">
        <f>IF(計算用!$Y$34="","",IF(計算用!$B$1=1,INDEX(計算用!$H$3:$H$452,計算用!$Y$34),INDEX(振り分け!$D$7:$D$456,計算用!$Y$34)))</f>
        <v/>
      </c>
      <c r="M93" s="56">
        <f>IF(計算用!$Z$34="","",IF(計算用!$B$1=1,INDEX(計算用!$F$3:$F$452,計算用!$Z$34),INDEX(振り分け!$B$7:$B$456,計算用!$Z$34)))</f>
        <v/>
      </c>
      <c r="N93" s="57">
        <f>IF(計算用!$Z$34="","",IF(計算用!$B$1=1,INDEX(計算用!$H$3:$H$452,計算用!$Z$34),INDEX(振り分け!$D$7:$D$456,計算用!$Z$34)))</f>
        <v/>
      </c>
      <c r="O93" s="56">
        <f>IF(計算用!$AA$34="","",IF(計算用!$B$1=1,INDEX(計算用!$F$3:$F$452,計算用!$AA$34),INDEX(振り分け!$B$7:$B$456,計算用!$AA$34)))</f>
        <v/>
      </c>
      <c r="P93" s="57">
        <f>IF(計算用!$AA$34="","",IF(計算用!$B$1=1,INDEX(計算用!$H$3:$H$452,計算用!$AA$34),INDEX(振り分け!$D$7:$D$456,計算用!$AA$34)))</f>
        <v/>
      </c>
      <c r="Q93" s="56">
        <f>IF(計算用!$AB$34="","",IF(計算用!$B$1=1,INDEX(計算用!$F$3:$F$452,計算用!$AB$34),INDEX(振り分け!$B$7:$B$456,計算用!$AB$34)))</f>
        <v/>
      </c>
      <c r="R93" s="57">
        <f>IF(計算用!$AB$34="","",IF(計算用!$B$1=1,INDEX(計算用!$H$3:$H$452,計算用!$AB$34),INDEX(振り分け!$D$7:$D$456,計算用!$AB$34)))</f>
        <v/>
      </c>
      <c r="S93" s="56">
        <f>IF(計算用!$AC$34="","",IF(計算用!$B$1=1,INDEX(計算用!$F$3:$F$452,計算用!$AC$34),INDEX(振り分け!$B$7:$B$456,計算用!$AC$34)))</f>
        <v/>
      </c>
      <c r="T93" s="57">
        <f>IF(計算用!$AC$34="","",IF(計算用!$B$1=1,INDEX(計算用!$H$3:$H$452,計算用!$AC$34),INDEX(振り分け!$D$7:$D$456,計算用!$AC$34)))</f>
        <v/>
      </c>
    </row>
    <row r="94">
      <c r="A94" s="56">
        <f>IF(計算用!$T$35="","",IF(計算用!$B$1=1,INDEX(計算用!$F$3:$F$452,計算用!$T$35),INDEX(振り分け!$B$7:$B$456,計算用!$T$35)))</f>
        <v/>
      </c>
      <c r="B94" s="57">
        <f>IF(計算用!$T$35="","",IF(計算用!$B$1=1,INDEX(計算用!$H$3:$H$452,計算用!$T$35),INDEX(振り分け!$D$7:$D$456,計算用!$T$35)))</f>
        <v/>
      </c>
      <c r="C94" s="56">
        <f>IF(計算用!$U$35="","",IF(計算用!$B$1=1,INDEX(計算用!$F$3:$F$452,計算用!$U$35),INDEX(振り分け!$B$7:$B$456,計算用!$U$35)))</f>
        <v/>
      </c>
      <c r="D94" s="57">
        <f>IF(計算用!$U$35="","",IF(計算用!$B$1=1,INDEX(計算用!$H$3:$H$452,計算用!$U$35),INDEX(振り分け!$D$7:$D$456,計算用!$U$35)))</f>
        <v/>
      </c>
      <c r="E94" s="56">
        <f>IF(計算用!$V$35="","",IF(計算用!$B$1=1,INDEX(計算用!$F$3:$F$452,計算用!$V$35),INDEX(振り分け!$B$7:$B$456,計算用!$V$35)))</f>
        <v/>
      </c>
      <c r="F94" s="57">
        <f>IF(計算用!$V$35="","",IF(計算用!$B$1=1,INDEX(計算用!$H$3:$H$452,計算用!$V$35),INDEX(振り分け!$D$7:$D$456,計算用!$V$35)))</f>
        <v/>
      </c>
      <c r="G94" s="56">
        <f>IF(計算用!$W$35="","",IF(計算用!$B$1=1,INDEX(計算用!$F$3:$F$452,計算用!$W$35),INDEX(振り分け!$B$7:$B$456,計算用!$W$35)))</f>
        <v/>
      </c>
      <c r="H94" s="57">
        <f>IF(計算用!$W$35="","",IF(計算用!$B$1=1,INDEX(計算用!$H$3:$H$452,計算用!$W$35),INDEX(振り分け!$D$7:$D$456,計算用!$W$35)))</f>
        <v/>
      </c>
      <c r="I94" s="56">
        <f>IF(計算用!$X$35="","",IF(計算用!$B$1=1,INDEX(計算用!$F$3:$F$452,計算用!$X$35),INDEX(振り分け!$B$7:$B$456,計算用!$X$35)))</f>
        <v/>
      </c>
      <c r="J94" s="57">
        <f>IF(計算用!$X$35="","",IF(計算用!$B$1=1,INDEX(計算用!$H$3:$H$452,計算用!$X$35),INDEX(振り分け!$D$7:$D$456,計算用!$X$35)))</f>
        <v/>
      </c>
      <c r="K94" s="56">
        <f>IF(計算用!$Y$35="","",IF(計算用!$B$1=1,INDEX(計算用!$F$3:$F$452,計算用!$Y$35),INDEX(振り分け!$B$7:$B$456,計算用!$Y$35)))</f>
        <v/>
      </c>
      <c r="L94" s="57">
        <f>IF(計算用!$Y$35="","",IF(計算用!$B$1=1,INDEX(計算用!$H$3:$H$452,計算用!$Y$35),INDEX(振り分け!$D$7:$D$456,計算用!$Y$35)))</f>
        <v/>
      </c>
      <c r="M94" s="56">
        <f>IF(計算用!$Z$35="","",IF(計算用!$B$1=1,INDEX(計算用!$F$3:$F$452,計算用!$Z$35),INDEX(振り分け!$B$7:$B$456,計算用!$Z$35)))</f>
        <v/>
      </c>
      <c r="N94" s="57">
        <f>IF(計算用!$Z$35="","",IF(計算用!$B$1=1,INDEX(計算用!$H$3:$H$452,計算用!$Z$35),INDEX(振り分け!$D$7:$D$456,計算用!$Z$35)))</f>
        <v/>
      </c>
      <c r="O94" s="56">
        <f>IF(計算用!$AA$35="","",IF(計算用!$B$1=1,INDEX(計算用!$F$3:$F$452,計算用!$AA$35),INDEX(振り分け!$B$7:$B$456,計算用!$AA$35)))</f>
        <v/>
      </c>
      <c r="P94" s="57">
        <f>IF(計算用!$AA$35="","",IF(計算用!$B$1=1,INDEX(計算用!$H$3:$H$452,計算用!$AA$35),INDEX(振り分け!$D$7:$D$456,計算用!$AA$35)))</f>
        <v/>
      </c>
      <c r="Q94" s="56">
        <f>IF(計算用!$AB$35="","",IF(計算用!$B$1=1,INDEX(計算用!$F$3:$F$452,計算用!$AB$35),INDEX(振り分け!$B$7:$B$456,計算用!$AB$35)))</f>
        <v/>
      </c>
      <c r="R94" s="57">
        <f>IF(計算用!$AB$35="","",IF(計算用!$B$1=1,INDEX(計算用!$H$3:$H$452,計算用!$AB$35),INDEX(振り分け!$D$7:$D$456,計算用!$AB$35)))</f>
        <v/>
      </c>
      <c r="S94" s="56">
        <f>IF(計算用!$AC$35="","",IF(計算用!$B$1=1,INDEX(計算用!$F$3:$F$452,計算用!$AC$35),INDEX(振り分け!$B$7:$B$456,計算用!$AC$35)))</f>
        <v/>
      </c>
      <c r="T94" s="57">
        <f>IF(計算用!$AC$35="","",IF(計算用!$B$1=1,INDEX(計算用!$H$3:$H$452,計算用!$AC$35),INDEX(振り分け!$D$7:$D$456,計算用!$AC$35)))</f>
        <v/>
      </c>
    </row>
    <row r="95">
      <c r="A95" s="56">
        <f>IF(計算用!$T$36="","",IF(計算用!$B$1=1,INDEX(計算用!$F$3:$F$452,計算用!$T$36),INDEX(振り分け!$B$7:$B$456,計算用!$T$36)))</f>
        <v/>
      </c>
      <c r="B95" s="57">
        <f>IF(計算用!$T$36="","",IF(計算用!$B$1=1,INDEX(計算用!$H$3:$H$452,計算用!$T$36),INDEX(振り分け!$D$7:$D$456,計算用!$T$36)))</f>
        <v/>
      </c>
      <c r="C95" s="56">
        <f>IF(計算用!$U$36="","",IF(計算用!$B$1=1,INDEX(計算用!$F$3:$F$452,計算用!$U$36),INDEX(振り分け!$B$7:$B$456,計算用!$U$36)))</f>
        <v/>
      </c>
      <c r="D95" s="57">
        <f>IF(計算用!$U$36="","",IF(計算用!$B$1=1,INDEX(計算用!$H$3:$H$452,計算用!$U$36),INDEX(振り分け!$D$7:$D$456,計算用!$U$36)))</f>
        <v/>
      </c>
      <c r="E95" s="56">
        <f>IF(計算用!$V$36="","",IF(計算用!$B$1=1,INDEX(計算用!$F$3:$F$452,計算用!$V$36),INDEX(振り分け!$B$7:$B$456,計算用!$V$36)))</f>
        <v/>
      </c>
      <c r="F95" s="57">
        <f>IF(計算用!$V$36="","",IF(計算用!$B$1=1,INDEX(計算用!$H$3:$H$452,計算用!$V$36),INDEX(振り分け!$D$7:$D$456,計算用!$V$36)))</f>
        <v/>
      </c>
      <c r="G95" s="56">
        <f>IF(計算用!$W$36="","",IF(計算用!$B$1=1,INDEX(計算用!$F$3:$F$452,計算用!$W$36),INDEX(振り分け!$B$7:$B$456,計算用!$W$36)))</f>
        <v/>
      </c>
      <c r="H95" s="57">
        <f>IF(計算用!$W$36="","",IF(計算用!$B$1=1,INDEX(計算用!$H$3:$H$452,計算用!$W$36),INDEX(振り分け!$D$7:$D$456,計算用!$W$36)))</f>
        <v/>
      </c>
      <c r="I95" s="56">
        <f>IF(計算用!$X$36="","",IF(計算用!$B$1=1,INDEX(計算用!$F$3:$F$452,計算用!$X$36),INDEX(振り分け!$B$7:$B$456,計算用!$X$36)))</f>
        <v/>
      </c>
      <c r="J95" s="57">
        <f>IF(計算用!$X$36="","",IF(計算用!$B$1=1,INDEX(計算用!$H$3:$H$452,計算用!$X$36),INDEX(振り分け!$D$7:$D$456,計算用!$X$36)))</f>
        <v/>
      </c>
      <c r="K95" s="56">
        <f>IF(計算用!$Y$36="","",IF(計算用!$B$1=1,INDEX(計算用!$F$3:$F$452,計算用!$Y$36),INDEX(振り分け!$B$7:$B$456,計算用!$Y$36)))</f>
        <v/>
      </c>
      <c r="L95" s="57">
        <f>IF(計算用!$Y$36="","",IF(計算用!$B$1=1,INDEX(計算用!$H$3:$H$452,計算用!$Y$36),INDEX(振り分け!$D$7:$D$456,計算用!$Y$36)))</f>
        <v/>
      </c>
      <c r="M95" s="56">
        <f>IF(計算用!$Z$36="","",IF(計算用!$B$1=1,INDEX(計算用!$F$3:$F$452,計算用!$Z$36),INDEX(振り分け!$B$7:$B$456,計算用!$Z$36)))</f>
        <v/>
      </c>
      <c r="N95" s="57">
        <f>IF(計算用!$Z$36="","",IF(計算用!$B$1=1,INDEX(計算用!$H$3:$H$452,計算用!$Z$36),INDEX(振り分け!$D$7:$D$456,計算用!$Z$36)))</f>
        <v/>
      </c>
      <c r="O95" s="56">
        <f>IF(計算用!$AA$36="","",IF(計算用!$B$1=1,INDEX(計算用!$F$3:$F$452,計算用!$AA$36),INDEX(振り分け!$B$7:$B$456,計算用!$AA$36)))</f>
        <v/>
      </c>
      <c r="P95" s="57">
        <f>IF(計算用!$AA$36="","",IF(計算用!$B$1=1,INDEX(計算用!$H$3:$H$452,計算用!$AA$36),INDEX(振り分け!$D$7:$D$456,計算用!$AA$36)))</f>
        <v/>
      </c>
      <c r="Q95" s="56">
        <f>IF(計算用!$AB$36="","",IF(計算用!$B$1=1,INDEX(計算用!$F$3:$F$452,計算用!$AB$36),INDEX(振り分け!$B$7:$B$456,計算用!$AB$36)))</f>
        <v/>
      </c>
      <c r="R95" s="57">
        <f>IF(計算用!$AB$36="","",IF(計算用!$B$1=1,INDEX(計算用!$H$3:$H$452,計算用!$AB$36),INDEX(振り分け!$D$7:$D$456,計算用!$AB$36)))</f>
        <v/>
      </c>
      <c r="S95" s="56">
        <f>IF(計算用!$AC$36="","",IF(計算用!$B$1=1,INDEX(計算用!$F$3:$F$452,計算用!$AC$36),INDEX(振り分け!$B$7:$B$456,計算用!$AC$36)))</f>
        <v/>
      </c>
      <c r="T95" s="57">
        <f>IF(計算用!$AC$36="","",IF(計算用!$B$1=1,INDEX(計算用!$H$3:$H$452,計算用!$AC$36),INDEX(振り分け!$D$7:$D$456,計算用!$AC$36)))</f>
        <v/>
      </c>
    </row>
    <row r="96">
      <c r="A96" s="56">
        <f>IF(計算用!$T$37="","",IF(計算用!$B$1=1,INDEX(計算用!$F$3:$F$452,計算用!$T$37),INDEX(振り分け!$B$7:$B$456,計算用!$T$37)))</f>
        <v/>
      </c>
      <c r="B96" s="57">
        <f>IF(計算用!$T$37="","",IF(計算用!$B$1=1,INDEX(計算用!$H$3:$H$452,計算用!$T$37),INDEX(振り分け!$D$7:$D$456,計算用!$T$37)))</f>
        <v/>
      </c>
      <c r="C96" s="56">
        <f>IF(計算用!$U$37="","",IF(計算用!$B$1=1,INDEX(計算用!$F$3:$F$452,計算用!$U$37),INDEX(振り分け!$B$7:$B$456,計算用!$U$37)))</f>
        <v/>
      </c>
      <c r="D96" s="57">
        <f>IF(計算用!$U$37="","",IF(計算用!$B$1=1,INDEX(計算用!$H$3:$H$452,計算用!$U$37),INDEX(振り分け!$D$7:$D$456,計算用!$U$37)))</f>
        <v/>
      </c>
      <c r="E96" s="56">
        <f>IF(計算用!$V$37="","",IF(計算用!$B$1=1,INDEX(計算用!$F$3:$F$452,計算用!$V$37),INDEX(振り分け!$B$7:$B$456,計算用!$V$37)))</f>
        <v/>
      </c>
      <c r="F96" s="57">
        <f>IF(計算用!$V$37="","",IF(計算用!$B$1=1,INDEX(計算用!$H$3:$H$452,計算用!$V$37),INDEX(振り分け!$D$7:$D$456,計算用!$V$37)))</f>
        <v/>
      </c>
      <c r="G96" s="56">
        <f>IF(計算用!$W$37="","",IF(計算用!$B$1=1,INDEX(計算用!$F$3:$F$452,計算用!$W$37),INDEX(振り分け!$B$7:$B$456,計算用!$W$37)))</f>
        <v/>
      </c>
      <c r="H96" s="57">
        <f>IF(計算用!$W$37="","",IF(計算用!$B$1=1,INDEX(計算用!$H$3:$H$452,計算用!$W$37),INDEX(振り分け!$D$7:$D$456,計算用!$W$37)))</f>
        <v/>
      </c>
      <c r="I96" s="56">
        <f>IF(計算用!$X$37="","",IF(計算用!$B$1=1,INDEX(計算用!$F$3:$F$452,計算用!$X$37),INDEX(振り分け!$B$7:$B$456,計算用!$X$37)))</f>
        <v/>
      </c>
      <c r="J96" s="57">
        <f>IF(計算用!$X$37="","",IF(計算用!$B$1=1,INDEX(計算用!$H$3:$H$452,計算用!$X$37),INDEX(振り分け!$D$7:$D$456,計算用!$X$37)))</f>
        <v/>
      </c>
      <c r="K96" s="56">
        <f>IF(計算用!$Y$37="","",IF(計算用!$B$1=1,INDEX(計算用!$F$3:$F$452,計算用!$Y$37),INDEX(振り分け!$B$7:$B$456,計算用!$Y$37)))</f>
        <v/>
      </c>
      <c r="L96" s="57">
        <f>IF(計算用!$Y$37="","",IF(計算用!$B$1=1,INDEX(計算用!$H$3:$H$452,計算用!$Y$37),INDEX(振り分け!$D$7:$D$456,計算用!$Y$37)))</f>
        <v/>
      </c>
      <c r="M96" s="56">
        <f>IF(計算用!$Z$37="","",IF(計算用!$B$1=1,INDEX(計算用!$F$3:$F$452,計算用!$Z$37),INDEX(振り分け!$B$7:$B$456,計算用!$Z$37)))</f>
        <v/>
      </c>
      <c r="N96" s="57">
        <f>IF(計算用!$Z$37="","",IF(計算用!$B$1=1,INDEX(計算用!$H$3:$H$452,計算用!$Z$37),INDEX(振り分け!$D$7:$D$456,計算用!$Z$37)))</f>
        <v/>
      </c>
      <c r="O96" s="56">
        <f>IF(計算用!$AA$37="","",IF(計算用!$B$1=1,INDEX(計算用!$F$3:$F$452,計算用!$AA$37),INDEX(振り分け!$B$7:$B$456,計算用!$AA$37)))</f>
        <v/>
      </c>
      <c r="P96" s="57">
        <f>IF(計算用!$AA$37="","",IF(計算用!$B$1=1,INDEX(計算用!$H$3:$H$452,計算用!$AA$37),INDEX(振り分け!$D$7:$D$456,計算用!$AA$37)))</f>
        <v/>
      </c>
      <c r="Q96" s="56">
        <f>IF(計算用!$AB$37="","",IF(計算用!$B$1=1,INDEX(計算用!$F$3:$F$452,計算用!$AB$37),INDEX(振り分け!$B$7:$B$456,計算用!$AB$37)))</f>
        <v/>
      </c>
      <c r="R96" s="57">
        <f>IF(計算用!$AB$37="","",IF(計算用!$B$1=1,INDEX(計算用!$H$3:$H$452,計算用!$AB$37),INDEX(振り分け!$D$7:$D$456,計算用!$AB$37)))</f>
        <v/>
      </c>
      <c r="S96" s="56">
        <f>IF(計算用!$AC$37="","",IF(計算用!$B$1=1,INDEX(計算用!$F$3:$F$452,計算用!$AC$37),INDEX(振り分け!$B$7:$B$456,計算用!$AC$37)))</f>
        <v/>
      </c>
      <c r="T96" s="57">
        <f>IF(計算用!$AC$37="","",IF(計算用!$B$1=1,INDEX(計算用!$H$3:$H$452,計算用!$AC$37),INDEX(振り分け!$D$7:$D$456,計算用!$AC$37)))</f>
        <v/>
      </c>
    </row>
    <row r="97">
      <c r="A97" s="56">
        <f>IF(計算用!$T$38="","",IF(計算用!$B$1=1,INDEX(計算用!$F$3:$F$452,計算用!$T$38),INDEX(振り分け!$B$7:$B$456,計算用!$T$38)))</f>
        <v/>
      </c>
      <c r="B97" s="57">
        <f>IF(計算用!$T$38="","",IF(計算用!$B$1=1,INDEX(計算用!$H$3:$H$452,計算用!$T$38),INDEX(振り分け!$D$7:$D$456,計算用!$T$38)))</f>
        <v/>
      </c>
      <c r="C97" s="56">
        <f>IF(計算用!$U$38="","",IF(計算用!$B$1=1,INDEX(計算用!$F$3:$F$452,計算用!$U$38),INDEX(振り分け!$B$7:$B$456,計算用!$U$38)))</f>
        <v/>
      </c>
      <c r="D97" s="57">
        <f>IF(計算用!$U$38="","",IF(計算用!$B$1=1,INDEX(計算用!$H$3:$H$452,計算用!$U$38),INDEX(振り分け!$D$7:$D$456,計算用!$U$38)))</f>
        <v/>
      </c>
      <c r="E97" s="56">
        <f>IF(計算用!$V$38="","",IF(計算用!$B$1=1,INDEX(計算用!$F$3:$F$452,計算用!$V$38),INDEX(振り分け!$B$7:$B$456,計算用!$V$38)))</f>
        <v/>
      </c>
      <c r="F97" s="57">
        <f>IF(計算用!$V$38="","",IF(計算用!$B$1=1,INDEX(計算用!$H$3:$H$452,計算用!$V$38),INDEX(振り分け!$D$7:$D$456,計算用!$V$38)))</f>
        <v/>
      </c>
      <c r="G97" s="56">
        <f>IF(計算用!$W$38="","",IF(計算用!$B$1=1,INDEX(計算用!$F$3:$F$452,計算用!$W$38),INDEX(振り分け!$B$7:$B$456,計算用!$W$38)))</f>
        <v/>
      </c>
      <c r="H97" s="57">
        <f>IF(計算用!$W$38="","",IF(計算用!$B$1=1,INDEX(計算用!$H$3:$H$452,計算用!$W$38),INDEX(振り分け!$D$7:$D$456,計算用!$W$38)))</f>
        <v/>
      </c>
      <c r="I97" s="56">
        <f>IF(計算用!$X$38="","",IF(計算用!$B$1=1,INDEX(計算用!$F$3:$F$452,計算用!$X$38),INDEX(振り分け!$B$7:$B$456,計算用!$X$38)))</f>
        <v/>
      </c>
      <c r="J97" s="57">
        <f>IF(計算用!$X$38="","",IF(計算用!$B$1=1,INDEX(計算用!$H$3:$H$452,計算用!$X$38),INDEX(振り分け!$D$7:$D$456,計算用!$X$38)))</f>
        <v/>
      </c>
      <c r="K97" s="56">
        <f>IF(計算用!$Y$38="","",IF(計算用!$B$1=1,INDEX(計算用!$F$3:$F$452,計算用!$Y$38),INDEX(振り分け!$B$7:$B$456,計算用!$Y$38)))</f>
        <v/>
      </c>
      <c r="L97" s="57">
        <f>IF(計算用!$Y$38="","",IF(計算用!$B$1=1,INDEX(計算用!$H$3:$H$452,計算用!$Y$38),INDEX(振り分け!$D$7:$D$456,計算用!$Y$38)))</f>
        <v/>
      </c>
      <c r="M97" s="56">
        <f>IF(計算用!$Z$38="","",IF(計算用!$B$1=1,INDEX(計算用!$F$3:$F$452,計算用!$Z$38),INDEX(振り分け!$B$7:$B$456,計算用!$Z$38)))</f>
        <v/>
      </c>
      <c r="N97" s="57">
        <f>IF(計算用!$Z$38="","",IF(計算用!$B$1=1,INDEX(計算用!$H$3:$H$452,計算用!$Z$38),INDEX(振り分け!$D$7:$D$456,計算用!$Z$38)))</f>
        <v/>
      </c>
      <c r="O97" s="56">
        <f>IF(計算用!$AA$38="","",IF(計算用!$B$1=1,INDEX(計算用!$F$3:$F$452,計算用!$AA$38),INDEX(振り分け!$B$7:$B$456,計算用!$AA$38)))</f>
        <v/>
      </c>
      <c r="P97" s="57">
        <f>IF(計算用!$AA$38="","",IF(計算用!$B$1=1,INDEX(計算用!$H$3:$H$452,計算用!$AA$38),INDEX(振り分け!$D$7:$D$456,計算用!$AA$38)))</f>
        <v/>
      </c>
      <c r="Q97" s="56">
        <f>IF(計算用!$AB$38="","",IF(計算用!$B$1=1,INDEX(計算用!$F$3:$F$452,計算用!$AB$38),INDEX(振り分け!$B$7:$B$456,計算用!$AB$38)))</f>
        <v/>
      </c>
      <c r="R97" s="57">
        <f>IF(計算用!$AB$38="","",IF(計算用!$B$1=1,INDEX(計算用!$H$3:$H$452,計算用!$AB$38),INDEX(振り分け!$D$7:$D$456,計算用!$AB$38)))</f>
        <v/>
      </c>
      <c r="S97" s="56">
        <f>IF(計算用!$AC$38="","",IF(計算用!$B$1=1,INDEX(計算用!$F$3:$F$452,計算用!$AC$38),INDEX(振り分け!$B$7:$B$456,計算用!$AC$38)))</f>
        <v/>
      </c>
      <c r="T97" s="57">
        <f>IF(計算用!$AC$38="","",IF(計算用!$B$1=1,INDEX(計算用!$H$3:$H$452,計算用!$AC$38),INDEX(振り分け!$D$7:$D$456,計算用!$AC$38)))</f>
        <v/>
      </c>
    </row>
    <row r="98">
      <c r="A98" s="56">
        <f>IF(計算用!$T$39="","",IF(計算用!$B$1=1,INDEX(計算用!$F$3:$F$452,計算用!$T$39),INDEX(振り分け!$B$7:$B$456,計算用!$T$39)))</f>
        <v/>
      </c>
      <c r="B98" s="57">
        <f>IF(計算用!$T$39="","",IF(計算用!$B$1=1,INDEX(計算用!$H$3:$H$452,計算用!$T$39),INDEX(振り分け!$D$7:$D$456,計算用!$T$39)))</f>
        <v/>
      </c>
      <c r="C98" s="56">
        <f>IF(計算用!$U$39="","",IF(計算用!$B$1=1,INDEX(計算用!$F$3:$F$452,計算用!$U$39),INDEX(振り分け!$B$7:$B$456,計算用!$U$39)))</f>
        <v/>
      </c>
      <c r="D98" s="57">
        <f>IF(計算用!$U$39="","",IF(計算用!$B$1=1,INDEX(計算用!$H$3:$H$452,計算用!$U$39),INDEX(振り分け!$D$7:$D$456,計算用!$U$39)))</f>
        <v/>
      </c>
      <c r="E98" s="56">
        <f>IF(計算用!$V$39="","",IF(計算用!$B$1=1,INDEX(計算用!$F$3:$F$452,計算用!$V$39),INDEX(振り分け!$B$7:$B$456,計算用!$V$39)))</f>
        <v/>
      </c>
      <c r="F98" s="57">
        <f>IF(計算用!$V$39="","",IF(計算用!$B$1=1,INDEX(計算用!$H$3:$H$452,計算用!$V$39),INDEX(振り分け!$D$7:$D$456,計算用!$V$39)))</f>
        <v/>
      </c>
      <c r="G98" s="56">
        <f>IF(計算用!$W$39="","",IF(計算用!$B$1=1,INDEX(計算用!$F$3:$F$452,計算用!$W$39),INDEX(振り分け!$B$7:$B$456,計算用!$W$39)))</f>
        <v/>
      </c>
      <c r="H98" s="57">
        <f>IF(計算用!$W$39="","",IF(計算用!$B$1=1,INDEX(計算用!$H$3:$H$452,計算用!$W$39),INDEX(振り分け!$D$7:$D$456,計算用!$W$39)))</f>
        <v/>
      </c>
      <c r="I98" s="56">
        <f>IF(計算用!$X$39="","",IF(計算用!$B$1=1,INDEX(計算用!$F$3:$F$452,計算用!$X$39),INDEX(振り分け!$B$7:$B$456,計算用!$X$39)))</f>
        <v/>
      </c>
      <c r="J98" s="57">
        <f>IF(計算用!$X$39="","",IF(計算用!$B$1=1,INDEX(計算用!$H$3:$H$452,計算用!$X$39),INDEX(振り分け!$D$7:$D$456,計算用!$X$39)))</f>
        <v/>
      </c>
      <c r="K98" s="56">
        <f>IF(計算用!$Y$39="","",IF(計算用!$B$1=1,INDEX(計算用!$F$3:$F$452,計算用!$Y$39),INDEX(振り分け!$B$7:$B$456,計算用!$Y$39)))</f>
        <v/>
      </c>
      <c r="L98" s="57">
        <f>IF(計算用!$Y$39="","",IF(計算用!$B$1=1,INDEX(計算用!$H$3:$H$452,計算用!$Y$39),INDEX(振り分け!$D$7:$D$456,計算用!$Y$39)))</f>
        <v/>
      </c>
      <c r="M98" s="56">
        <f>IF(計算用!$Z$39="","",IF(計算用!$B$1=1,INDEX(計算用!$F$3:$F$452,計算用!$Z$39),INDEX(振り分け!$B$7:$B$456,計算用!$Z$39)))</f>
        <v/>
      </c>
      <c r="N98" s="57">
        <f>IF(計算用!$Z$39="","",IF(計算用!$B$1=1,INDEX(計算用!$H$3:$H$452,計算用!$Z$39),INDEX(振り分け!$D$7:$D$456,計算用!$Z$39)))</f>
        <v/>
      </c>
      <c r="O98" s="56">
        <f>IF(計算用!$AA$39="","",IF(計算用!$B$1=1,INDEX(計算用!$F$3:$F$452,計算用!$AA$39),INDEX(振り分け!$B$7:$B$456,計算用!$AA$39)))</f>
        <v/>
      </c>
      <c r="P98" s="57">
        <f>IF(計算用!$AA$39="","",IF(計算用!$B$1=1,INDEX(計算用!$H$3:$H$452,計算用!$AA$39),INDEX(振り分け!$D$7:$D$456,計算用!$AA$39)))</f>
        <v/>
      </c>
      <c r="Q98" s="56">
        <f>IF(計算用!$AB$39="","",IF(計算用!$B$1=1,INDEX(計算用!$F$3:$F$452,計算用!$AB$39),INDEX(振り分け!$B$7:$B$456,計算用!$AB$39)))</f>
        <v/>
      </c>
      <c r="R98" s="57">
        <f>IF(計算用!$AB$39="","",IF(計算用!$B$1=1,INDEX(計算用!$H$3:$H$452,計算用!$AB$39),INDEX(振り分け!$D$7:$D$456,計算用!$AB$39)))</f>
        <v/>
      </c>
      <c r="S98" s="56">
        <f>IF(計算用!$AC$39="","",IF(計算用!$B$1=1,INDEX(計算用!$F$3:$F$452,計算用!$AC$39),INDEX(振り分け!$B$7:$B$456,計算用!$AC$39)))</f>
        <v/>
      </c>
      <c r="T98" s="57">
        <f>IF(計算用!$AC$39="","",IF(計算用!$B$1=1,INDEX(計算用!$H$3:$H$452,計算用!$AC$39),INDEX(振り分け!$D$7:$D$456,計算用!$AC$39)))</f>
        <v/>
      </c>
    </row>
    <row r="99">
      <c r="A99" s="56">
        <f>IF(計算用!$T$40="","",IF(計算用!$B$1=1,INDEX(計算用!$F$3:$F$452,計算用!$T$40),INDEX(振り分け!$B$7:$B$456,計算用!$T$40)))</f>
        <v/>
      </c>
      <c r="B99" s="57">
        <f>IF(計算用!$T$40="","",IF(計算用!$B$1=1,INDEX(計算用!$H$3:$H$452,計算用!$T$40),INDEX(振り分け!$D$7:$D$456,計算用!$T$40)))</f>
        <v/>
      </c>
      <c r="C99" s="56">
        <f>IF(計算用!$U$40="","",IF(計算用!$B$1=1,INDEX(計算用!$F$3:$F$452,計算用!$U$40),INDEX(振り分け!$B$7:$B$456,計算用!$U$40)))</f>
        <v/>
      </c>
      <c r="D99" s="57">
        <f>IF(計算用!$U$40="","",IF(計算用!$B$1=1,INDEX(計算用!$H$3:$H$452,計算用!$U$40),INDEX(振り分け!$D$7:$D$456,計算用!$U$40)))</f>
        <v/>
      </c>
      <c r="E99" s="56">
        <f>IF(計算用!$V$40="","",IF(計算用!$B$1=1,INDEX(計算用!$F$3:$F$452,計算用!$V$40),INDEX(振り分け!$B$7:$B$456,計算用!$V$40)))</f>
        <v/>
      </c>
      <c r="F99" s="57">
        <f>IF(計算用!$V$40="","",IF(計算用!$B$1=1,INDEX(計算用!$H$3:$H$452,計算用!$V$40),INDEX(振り分け!$D$7:$D$456,計算用!$V$40)))</f>
        <v/>
      </c>
      <c r="G99" s="56">
        <f>IF(計算用!$W$40="","",IF(計算用!$B$1=1,INDEX(計算用!$F$3:$F$452,計算用!$W$40),INDEX(振り分け!$B$7:$B$456,計算用!$W$40)))</f>
        <v/>
      </c>
      <c r="H99" s="57">
        <f>IF(計算用!$W$40="","",IF(計算用!$B$1=1,INDEX(計算用!$H$3:$H$452,計算用!$W$40),INDEX(振り分け!$D$7:$D$456,計算用!$W$40)))</f>
        <v/>
      </c>
      <c r="I99" s="56">
        <f>IF(計算用!$X$40="","",IF(計算用!$B$1=1,INDEX(計算用!$F$3:$F$452,計算用!$X$40),INDEX(振り分け!$B$7:$B$456,計算用!$X$40)))</f>
        <v/>
      </c>
      <c r="J99" s="57">
        <f>IF(計算用!$X$40="","",IF(計算用!$B$1=1,INDEX(計算用!$H$3:$H$452,計算用!$X$40),INDEX(振り分け!$D$7:$D$456,計算用!$X$40)))</f>
        <v/>
      </c>
      <c r="K99" s="56">
        <f>IF(計算用!$Y$40="","",IF(計算用!$B$1=1,INDEX(計算用!$F$3:$F$452,計算用!$Y$40),INDEX(振り分け!$B$7:$B$456,計算用!$Y$40)))</f>
        <v/>
      </c>
      <c r="L99" s="57">
        <f>IF(計算用!$Y$40="","",IF(計算用!$B$1=1,INDEX(計算用!$H$3:$H$452,計算用!$Y$40),INDEX(振り分け!$D$7:$D$456,計算用!$Y$40)))</f>
        <v/>
      </c>
      <c r="M99" s="56">
        <f>IF(計算用!$Z$40="","",IF(計算用!$B$1=1,INDEX(計算用!$F$3:$F$452,計算用!$Z$40),INDEX(振り分け!$B$7:$B$456,計算用!$Z$40)))</f>
        <v/>
      </c>
      <c r="N99" s="57">
        <f>IF(計算用!$Z$40="","",IF(計算用!$B$1=1,INDEX(計算用!$H$3:$H$452,計算用!$Z$40),INDEX(振り分け!$D$7:$D$456,計算用!$Z$40)))</f>
        <v/>
      </c>
      <c r="O99" s="56">
        <f>IF(計算用!$AA$40="","",IF(計算用!$B$1=1,INDEX(計算用!$F$3:$F$452,計算用!$AA$40),INDEX(振り分け!$B$7:$B$456,計算用!$AA$40)))</f>
        <v/>
      </c>
      <c r="P99" s="57">
        <f>IF(計算用!$AA$40="","",IF(計算用!$B$1=1,INDEX(計算用!$H$3:$H$452,計算用!$AA$40),INDEX(振り分け!$D$7:$D$456,計算用!$AA$40)))</f>
        <v/>
      </c>
      <c r="Q99" s="56">
        <f>IF(計算用!$AB$40="","",IF(計算用!$B$1=1,INDEX(計算用!$F$3:$F$452,計算用!$AB$40),INDEX(振り分け!$B$7:$B$456,計算用!$AB$40)))</f>
        <v/>
      </c>
      <c r="R99" s="57">
        <f>IF(計算用!$AB$40="","",IF(計算用!$B$1=1,INDEX(計算用!$H$3:$H$452,計算用!$AB$40),INDEX(振り分け!$D$7:$D$456,計算用!$AB$40)))</f>
        <v/>
      </c>
      <c r="S99" s="56">
        <f>IF(計算用!$AC$40="","",IF(計算用!$B$1=1,INDEX(計算用!$F$3:$F$452,計算用!$AC$40),INDEX(振り分け!$B$7:$B$456,計算用!$AC$40)))</f>
        <v/>
      </c>
      <c r="T99" s="57">
        <f>IF(計算用!$AC$40="","",IF(計算用!$B$1=1,INDEX(計算用!$H$3:$H$452,計算用!$AC$40),INDEX(振り分け!$D$7:$D$456,計算用!$AC$40)))</f>
        <v/>
      </c>
    </row>
    <row r="100">
      <c r="A100" s="56">
        <f>IF(計算用!$T$41="","",IF(計算用!$B$1=1,INDEX(計算用!$F$3:$F$452,計算用!$T$41),INDEX(振り分け!$B$7:$B$456,計算用!$T$41)))</f>
        <v/>
      </c>
      <c r="B100" s="57">
        <f>IF(計算用!$T$41="","",IF(計算用!$B$1=1,INDEX(計算用!$H$3:$H$452,計算用!$T$41),INDEX(振り分け!$D$7:$D$456,計算用!$T$41)))</f>
        <v/>
      </c>
      <c r="C100" s="56">
        <f>IF(計算用!$U$41="","",IF(計算用!$B$1=1,INDEX(計算用!$F$3:$F$452,計算用!$U$41),INDEX(振り分け!$B$7:$B$456,計算用!$U$41)))</f>
        <v/>
      </c>
      <c r="D100" s="57">
        <f>IF(計算用!$U$41="","",IF(計算用!$B$1=1,INDEX(計算用!$H$3:$H$452,計算用!$U$41),INDEX(振り分け!$D$7:$D$456,計算用!$U$41)))</f>
        <v/>
      </c>
      <c r="E100" s="56">
        <f>IF(計算用!$V$41="","",IF(計算用!$B$1=1,INDEX(計算用!$F$3:$F$452,計算用!$V$41),INDEX(振り分け!$B$7:$B$456,計算用!$V$41)))</f>
        <v/>
      </c>
      <c r="F100" s="57">
        <f>IF(計算用!$V$41="","",IF(計算用!$B$1=1,INDEX(計算用!$H$3:$H$452,計算用!$V$41),INDEX(振り分け!$D$7:$D$456,計算用!$V$41)))</f>
        <v/>
      </c>
      <c r="G100" s="56">
        <f>IF(計算用!$W$41="","",IF(計算用!$B$1=1,INDEX(計算用!$F$3:$F$452,計算用!$W$41),INDEX(振り分け!$B$7:$B$456,計算用!$W$41)))</f>
        <v/>
      </c>
      <c r="H100" s="57">
        <f>IF(計算用!$W$41="","",IF(計算用!$B$1=1,INDEX(計算用!$H$3:$H$452,計算用!$W$41),INDEX(振り分け!$D$7:$D$456,計算用!$W$41)))</f>
        <v/>
      </c>
      <c r="I100" s="56">
        <f>IF(計算用!$X$41="","",IF(計算用!$B$1=1,INDEX(計算用!$F$3:$F$452,計算用!$X$41),INDEX(振り分け!$B$7:$B$456,計算用!$X$41)))</f>
        <v/>
      </c>
      <c r="J100" s="57">
        <f>IF(計算用!$X$41="","",IF(計算用!$B$1=1,INDEX(計算用!$H$3:$H$452,計算用!$X$41),INDEX(振り分け!$D$7:$D$456,計算用!$X$41)))</f>
        <v/>
      </c>
      <c r="K100" s="56">
        <f>IF(計算用!$Y$41="","",IF(計算用!$B$1=1,INDEX(計算用!$F$3:$F$452,計算用!$Y$41),INDEX(振り分け!$B$7:$B$456,計算用!$Y$41)))</f>
        <v/>
      </c>
      <c r="L100" s="57">
        <f>IF(計算用!$Y$41="","",IF(計算用!$B$1=1,INDEX(計算用!$H$3:$H$452,計算用!$Y$41),INDEX(振り分け!$D$7:$D$456,計算用!$Y$41)))</f>
        <v/>
      </c>
      <c r="M100" s="56">
        <f>IF(計算用!$Z$41="","",IF(計算用!$B$1=1,INDEX(計算用!$F$3:$F$452,計算用!$Z$41),INDEX(振り分け!$B$7:$B$456,計算用!$Z$41)))</f>
        <v/>
      </c>
      <c r="N100" s="57">
        <f>IF(計算用!$Z$41="","",IF(計算用!$B$1=1,INDEX(計算用!$H$3:$H$452,計算用!$Z$41),INDEX(振り分け!$D$7:$D$456,計算用!$Z$41)))</f>
        <v/>
      </c>
      <c r="O100" s="56">
        <f>IF(計算用!$AA$41="","",IF(計算用!$B$1=1,INDEX(計算用!$F$3:$F$452,計算用!$AA$41),INDEX(振り分け!$B$7:$B$456,計算用!$AA$41)))</f>
        <v/>
      </c>
      <c r="P100" s="57">
        <f>IF(計算用!$AA$41="","",IF(計算用!$B$1=1,INDEX(計算用!$H$3:$H$452,計算用!$AA$41),INDEX(振り分け!$D$7:$D$456,計算用!$AA$41)))</f>
        <v/>
      </c>
      <c r="Q100" s="56">
        <f>IF(計算用!$AB$41="","",IF(計算用!$B$1=1,INDEX(計算用!$F$3:$F$452,計算用!$AB$41),INDEX(振り分け!$B$7:$B$456,計算用!$AB$41)))</f>
        <v/>
      </c>
      <c r="R100" s="57">
        <f>IF(計算用!$AB$41="","",IF(計算用!$B$1=1,INDEX(計算用!$H$3:$H$452,計算用!$AB$41),INDEX(振り分け!$D$7:$D$456,計算用!$AB$41)))</f>
        <v/>
      </c>
      <c r="S100" s="56">
        <f>IF(計算用!$AC$41="","",IF(計算用!$B$1=1,INDEX(計算用!$F$3:$F$452,計算用!$AC$41),INDEX(振り分け!$B$7:$B$456,計算用!$AC$41)))</f>
        <v/>
      </c>
      <c r="T100" s="57">
        <f>IF(計算用!$AC$41="","",IF(計算用!$B$1=1,INDEX(計算用!$H$3:$H$452,計算用!$AC$41),INDEX(振り分け!$D$7:$D$456,計算用!$AC$41)))</f>
        <v/>
      </c>
    </row>
    <row r="101">
      <c r="A101" s="56">
        <f>IF(計算用!$T$42="","",IF(計算用!$B$1=1,INDEX(計算用!$F$3:$F$452,計算用!$T$42),INDEX(振り分け!$B$7:$B$456,計算用!$T$42)))</f>
        <v/>
      </c>
      <c r="B101" s="57">
        <f>IF(計算用!$T$42="","",IF(計算用!$B$1=1,INDEX(計算用!$H$3:$H$452,計算用!$T$42),INDEX(振り分け!$D$7:$D$456,計算用!$T$42)))</f>
        <v/>
      </c>
      <c r="C101" s="56">
        <f>IF(計算用!$U$42="","",IF(計算用!$B$1=1,INDEX(計算用!$F$3:$F$452,計算用!$U$42),INDEX(振り分け!$B$7:$B$456,計算用!$U$42)))</f>
        <v/>
      </c>
      <c r="D101" s="57">
        <f>IF(計算用!$U$42="","",IF(計算用!$B$1=1,INDEX(計算用!$H$3:$H$452,計算用!$U$42),INDEX(振り分け!$D$7:$D$456,計算用!$U$42)))</f>
        <v/>
      </c>
      <c r="E101" s="56">
        <f>IF(計算用!$V$42="","",IF(計算用!$B$1=1,INDEX(計算用!$F$3:$F$452,計算用!$V$42),INDEX(振り分け!$B$7:$B$456,計算用!$V$42)))</f>
        <v/>
      </c>
      <c r="F101" s="57">
        <f>IF(計算用!$V$42="","",IF(計算用!$B$1=1,INDEX(計算用!$H$3:$H$452,計算用!$V$42),INDEX(振り分け!$D$7:$D$456,計算用!$V$42)))</f>
        <v/>
      </c>
      <c r="G101" s="56">
        <f>IF(計算用!$W$42="","",IF(計算用!$B$1=1,INDEX(計算用!$F$3:$F$452,計算用!$W$42),INDEX(振り分け!$B$7:$B$456,計算用!$W$42)))</f>
        <v/>
      </c>
      <c r="H101" s="57">
        <f>IF(計算用!$W$42="","",IF(計算用!$B$1=1,INDEX(計算用!$H$3:$H$452,計算用!$W$42),INDEX(振り分け!$D$7:$D$456,計算用!$W$42)))</f>
        <v/>
      </c>
      <c r="I101" s="56">
        <f>IF(計算用!$X$42="","",IF(計算用!$B$1=1,INDEX(計算用!$F$3:$F$452,計算用!$X$42),INDEX(振り分け!$B$7:$B$456,計算用!$X$42)))</f>
        <v/>
      </c>
      <c r="J101" s="57">
        <f>IF(計算用!$X$42="","",IF(計算用!$B$1=1,INDEX(計算用!$H$3:$H$452,計算用!$X$42),INDEX(振り分け!$D$7:$D$456,計算用!$X$42)))</f>
        <v/>
      </c>
      <c r="K101" s="56">
        <f>IF(計算用!$Y$42="","",IF(計算用!$B$1=1,INDEX(計算用!$F$3:$F$452,計算用!$Y$42),INDEX(振り分け!$B$7:$B$456,計算用!$Y$42)))</f>
        <v/>
      </c>
      <c r="L101" s="57">
        <f>IF(計算用!$Y$42="","",IF(計算用!$B$1=1,INDEX(計算用!$H$3:$H$452,計算用!$Y$42),INDEX(振り分け!$D$7:$D$456,計算用!$Y$42)))</f>
        <v/>
      </c>
      <c r="M101" s="56">
        <f>IF(計算用!$Z$42="","",IF(計算用!$B$1=1,INDEX(計算用!$F$3:$F$452,計算用!$Z$42),INDEX(振り分け!$B$7:$B$456,計算用!$Z$42)))</f>
        <v/>
      </c>
      <c r="N101" s="57">
        <f>IF(計算用!$Z$42="","",IF(計算用!$B$1=1,INDEX(計算用!$H$3:$H$452,計算用!$Z$42),INDEX(振り分け!$D$7:$D$456,計算用!$Z$42)))</f>
        <v/>
      </c>
      <c r="O101" s="56">
        <f>IF(計算用!$AA$42="","",IF(計算用!$B$1=1,INDEX(計算用!$F$3:$F$452,計算用!$AA$42),INDEX(振り分け!$B$7:$B$456,計算用!$AA$42)))</f>
        <v/>
      </c>
      <c r="P101" s="57">
        <f>IF(計算用!$AA$42="","",IF(計算用!$B$1=1,INDEX(計算用!$H$3:$H$452,計算用!$AA$42),INDEX(振り分け!$D$7:$D$456,計算用!$AA$42)))</f>
        <v/>
      </c>
      <c r="Q101" s="56">
        <f>IF(計算用!$AB$42="","",IF(計算用!$B$1=1,INDEX(計算用!$F$3:$F$452,計算用!$AB$42),INDEX(振り分け!$B$7:$B$456,計算用!$AB$42)))</f>
        <v/>
      </c>
      <c r="R101" s="57">
        <f>IF(計算用!$AB$42="","",IF(計算用!$B$1=1,INDEX(計算用!$H$3:$H$452,計算用!$AB$42),INDEX(振り分け!$D$7:$D$456,計算用!$AB$42)))</f>
        <v/>
      </c>
      <c r="S101" s="56">
        <f>IF(計算用!$AC$42="","",IF(計算用!$B$1=1,INDEX(計算用!$F$3:$F$452,計算用!$AC$42),INDEX(振り分け!$B$7:$B$456,計算用!$AC$42)))</f>
        <v/>
      </c>
      <c r="T101" s="57">
        <f>IF(計算用!$AC$42="","",IF(計算用!$B$1=1,INDEX(計算用!$H$3:$H$452,計算用!$AC$42),INDEX(振り分け!$D$7:$D$456,計算用!$AC$42)))</f>
        <v/>
      </c>
    </row>
    <row r="102">
      <c r="A102" s="56">
        <f>IF(計算用!$T$43="","",IF(計算用!$B$1=1,INDEX(計算用!$F$3:$F$452,計算用!$T$43),INDEX(振り分け!$B$7:$B$456,計算用!$T$43)))</f>
        <v/>
      </c>
      <c r="B102" s="57">
        <f>IF(計算用!$T$43="","",IF(計算用!$B$1=1,INDEX(計算用!$H$3:$H$452,計算用!$T$43),INDEX(振り分け!$D$7:$D$456,計算用!$T$43)))</f>
        <v/>
      </c>
      <c r="C102" s="56">
        <f>IF(計算用!$U$43="","",IF(計算用!$B$1=1,INDEX(計算用!$F$3:$F$452,計算用!$U$43),INDEX(振り分け!$B$7:$B$456,計算用!$U$43)))</f>
        <v/>
      </c>
      <c r="D102" s="57">
        <f>IF(計算用!$U$43="","",IF(計算用!$B$1=1,INDEX(計算用!$H$3:$H$452,計算用!$U$43),INDEX(振り分け!$D$7:$D$456,計算用!$U$43)))</f>
        <v/>
      </c>
      <c r="E102" s="56">
        <f>IF(計算用!$V$43="","",IF(計算用!$B$1=1,INDEX(計算用!$F$3:$F$452,計算用!$V$43),INDEX(振り分け!$B$7:$B$456,計算用!$V$43)))</f>
        <v/>
      </c>
      <c r="F102" s="57">
        <f>IF(計算用!$V$43="","",IF(計算用!$B$1=1,INDEX(計算用!$H$3:$H$452,計算用!$V$43),INDEX(振り分け!$D$7:$D$456,計算用!$V$43)))</f>
        <v/>
      </c>
      <c r="G102" s="56">
        <f>IF(計算用!$W$43="","",IF(計算用!$B$1=1,INDEX(計算用!$F$3:$F$452,計算用!$W$43),INDEX(振り分け!$B$7:$B$456,計算用!$W$43)))</f>
        <v/>
      </c>
      <c r="H102" s="57">
        <f>IF(計算用!$W$43="","",IF(計算用!$B$1=1,INDEX(計算用!$H$3:$H$452,計算用!$W$43),INDEX(振り分け!$D$7:$D$456,計算用!$W$43)))</f>
        <v/>
      </c>
      <c r="I102" s="56">
        <f>IF(計算用!$X$43="","",IF(計算用!$B$1=1,INDEX(計算用!$F$3:$F$452,計算用!$X$43),INDEX(振り分け!$B$7:$B$456,計算用!$X$43)))</f>
        <v/>
      </c>
      <c r="J102" s="57">
        <f>IF(計算用!$X$43="","",IF(計算用!$B$1=1,INDEX(計算用!$H$3:$H$452,計算用!$X$43),INDEX(振り分け!$D$7:$D$456,計算用!$X$43)))</f>
        <v/>
      </c>
      <c r="K102" s="56">
        <f>IF(計算用!$Y$43="","",IF(計算用!$B$1=1,INDEX(計算用!$F$3:$F$452,計算用!$Y$43),INDEX(振り分け!$B$7:$B$456,計算用!$Y$43)))</f>
        <v/>
      </c>
      <c r="L102" s="57">
        <f>IF(計算用!$Y$43="","",IF(計算用!$B$1=1,INDEX(計算用!$H$3:$H$452,計算用!$Y$43),INDEX(振り分け!$D$7:$D$456,計算用!$Y$43)))</f>
        <v/>
      </c>
      <c r="M102" s="56">
        <f>IF(計算用!$Z$43="","",IF(計算用!$B$1=1,INDEX(計算用!$F$3:$F$452,計算用!$Z$43),INDEX(振り分け!$B$7:$B$456,計算用!$Z$43)))</f>
        <v/>
      </c>
      <c r="N102" s="57">
        <f>IF(計算用!$Z$43="","",IF(計算用!$B$1=1,INDEX(計算用!$H$3:$H$452,計算用!$Z$43),INDEX(振り分け!$D$7:$D$456,計算用!$Z$43)))</f>
        <v/>
      </c>
      <c r="O102" s="56">
        <f>IF(計算用!$AA$43="","",IF(計算用!$B$1=1,INDEX(計算用!$F$3:$F$452,計算用!$AA$43),INDEX(振り分け!$B$7:$B$456,計算用!$AA$43)))</f>
        <v/>
      </c>
      <c r="P102" s="57">
        <f>IF(計算用!$AA$43="","",IF(計算用!$B$1=1,INDEX(計算用!$H$3:$H$452,計算用!$AA$43),INDEX(振り分け!$D$7:$D$456,計算用!$AA$43)))</f>
        <v/>
      </c>
      <c r="Q102" s="56">
        <f>IF(計算用!$AB$43="","",IF(計算用!$B$1=1,INDEX(計算用!$F$3:$F$452,計算用!$AB$43),INDEX(振り分け!$B$7:$B$456,計算用!$AB$43)))</f>
        <v/>
      </c>
      <c r="R102" s="57">
        <f>IF(計算用!$AB$43="","",IF(計算用!$B$1=1,INDEX(計算用!$H$3:$H$452,計算用!$AB$43),INDEX(振り分け!$D$7:$D$456,計算用!$AB$43)))</f>
        <v/>
      </c>
      <c r="S102" s="56">
        <f>IF(計算用!$AC$43="","",IF(計算用!$B$1=1,INDEX(計算用!$F$3:$F$452,計算用!$AC$43),INDEX(振り分け!$B$7:$B$456,計算用!$AC$43)))</f>
        <v/>
      </c>
      <c r="T102" s="57">
        <f>IF(計算用!$AC$43="","",IF(計算用!$B$1=1,INDEX(計算用!$H$3:$H$452,計算用!$AC$43),INDEX(振り分け!$D$7:$D$456,計算用!$AC$43)))</f>
        <v/>
      </c>
    </row>
    <row r="103">
      <c r="A103" s="56">
        <f>IF(計算用!$T$44="","",IF(計算用!$B$1=1,INDEX(計算用!$F$3:$F$452,計算用!$T$44),INDEX(振り分け!$B$7:$B$456,計算用!$T$44)))</f>
        <v/>
      </c>
      <c r="B103" s="57">
        <f>IF(計算用!$T$44="","",IF(計算用!$B$1=1,INDEX(計算用!$H$3:$H$452,計算用!$T$44),INDEX(振り分け!$D$7:$D$456,計算用!$T$44)))</f>
        <v/>
      </c>
      <c r="C103" s="56">
        <f>IF(計算用!$U$44="","",IF(計算用!$B$1=1,INDEX(計算用!$F$3:$F$452,計算用!$U$44),INDEX(振り分け!$B$7:$B$456,計算用!$U$44)))</f>
        <v/>
      </c>
      <c r="D103" s="57">
        <f>IF(計算用!$U$44="","",IF(計算用!$B$1=1,INDEX(計算用!$H$3:$H$452,計算用!$U$44),INDEX(振り分け!$D$7:$D$456,計算用!$U$44)))</f>
        <v/>
      </c>
      <c r="E103" s="56">
        <f>IF(計算用!$V$44="","",IF(計算用!$B$1=1,INDEX(計算用!$F$3:$F$452,計算用!$V$44),INDEX(振り分け!$B$7:$B$456,計算用!$V$44)))</f>
        <v/>
      </c>
      <c r="F103" s="57">
        <f>IF(計算用!$V$44="","",IF(計算用!$B$1=1,INDEX(計算用!$H$3:$H$452,計算用!$V$44),INDEX(振り分け!$D$7:$D$456,計算用!$V$44)))</f>
        <v/>
      </c>
      <c r="G103" s="56">
        <f>IF(計算用!$W$44="","",IF(計算用!$B$1=1,INDEX(計算用!$F$3:$F$452,計算用!$W$44),INDEX(振り分け!$B$7:$B$456,計算用!$W$44)))</f>
        <v/>
      </c>
      <c r="H103" s="57">
        <f>IF(計算用!$W$44="","",IF(計算用!$B$1=1,INDEX(計算用!$H$3:$H$452,計算用!$W$44),INDEX(振り分け!$D$7:$D$456,計算用!$W$44)))</f>
        <v/>
      </c>
      <c r="I103" s="56">
        <f>IF(計算用!$X$44="","",IF(計算用!$B$1=1,INDEX(計算用!$F$3:$F$452,計算用!$X$44),INDEX(振り分け!$B$7:$B$456,計算用!$X$44)))</f>
        <v/>
      </c>
      <c r="J103" s="57">
        <f>IF(計算用!$X$44="","",IF(計算用!$B$1=1,INDEX(計算用!$H$3:$H$452,計算用!$X$44),INDEX(振り分け!$D$7:$D$456,計算用!$X$44)))</f>
        <v/>
      </c>
      <c r="K103" s="56">
        <f>IF(計算用!$Y$44="","",IF(計算用!$B$1=1,INDEX(計算用!$F$3:$F$452,計算用!$Y$44),INDEX(振り分け!$B$7:$B$456,計算用!$Y$44)))</f>
        <v/>
      </c>
      <c r="L103" s="57">
        <f>IF(計算用!$Y$44="","",IF(計算用!$B$1=1,INDEX(計算用!$H$3:$H$452,計算用!$Y$44),INDEX(振り分け!$D$7:$D$456,計算用!$Y$44)))</f>
        <v/>
      </c>
      <c r="M103" s="56">
        <f>IF(計算用!$Z$44="","",IF(計算用!$B$1=1,INDEX(計算用!$F$3:$F$452,計算用!$Z$44),INDEX(振り分け!$B$7:$B$456,計算用!$Z$44)))</f>
        <v/>
      </c>
      <c r="N103" s="57">
        <f>IF(計算用!$Z$44="","",IF(計算用!$B$1=1,INDEX(計算用!$H$3:$H$452,計算用!$Z$44),INDEX(振り分け!$D$7:$D$456,計算用!$Z$44)))</f>
        <v/>
      </c>
      <c r="O103" s="56">
        <f>IF(計算用!$AA$44="","",IF(計算用!$B$1=1,INDEX(計算用!$F$3:$F$452,計算用!$AA$44),INDEX(振り分け!$B$7:$B$456,計算用!$AA$44)))</f>
        <v/>
      </c>
      <c r="P103" s="57">
        <f>IF(計算用!$AA$44="","",IF(計算用!$B$1=1,INDEX(計算用!$H$3:$H$452,計算用!$AA$44),INDEX(振り分け!$D$7:$D$456,計算用!$AA$44)))</f>
        <v/>
      </c>
      <c r="Q103" s="56">
        <f>IF(計算用!$AB$44="","",IF(計算用!$B$1=1,INDEX(計算用!$F$3:$F$452,計算用!$AB$44),INDEX(振り分け!$B$7:$B$456,計算用!$AB$44)))</f>
        <v/>
      </c>
      <c r="R103" s="57">
        <f>IF(計算用!$AB$44="","",IF(計算用!$B$1=1,INDEX(計算用!$H$3:$H$452,計算用!$AB$44),INDEX(振り分け!$D$7:$D$456,計算用!$AB$44)))</f>
        <v/>
      </c>
      <c r="S103" s="56">
        <f>IF(計算用!$AC$44="","",IF(計算用!$B$1=1,INDEX(計算用!$F$3:$F$452,計算用!$AC$44),INDEX(振り分け!$B$7:$B$456,計算用!$AC$44)))</f>
        <v/>
      </c>
      <c r="T103" s="57">
        <f>IF(計算用!$AC$44="","",IF(計算用!$B$1=1,INDEX(計算用!$H$3:$H$452,計算用!$AC$44),INDEX(振り分け!$D$7:$D$456,計算用!$AC$44)))</f>
        <v/>
      </c>
    </row>
    <row r="104">
      <c r="A104" s="56">
        <f>IF(計算用!$T$45="","",IF(計算用!$B$1=1,INDEX(計算用!$F$3:$F$452,計算用!$T$45),INDEX(振り分け!$B$7:$B$456,計算用!$T$45)))</f>
        <v/>
      </c>
      <c r="B104" s="57">
        <f>IF(計算用!$T$45="","",IF(計算用!$B$1=1,INDEX(計算用!$H$3:$H$452,計算用!$T$45),INDEX(振り分け!$D$7:$D$456,計算用!$T$45)))</f>
        <v/>
      </c>
      <c r="C104" s="56">
        <f>IF(計算用!$U$45="","",IF(計算用!$B$1=1,INDEX(計算用!$F$3:$F$452,計算用!$U$45),INDEX(振り分け!$B$7:$B$456,計算用!$U$45)))</f>
        <v/>
      </c>
      <c r="D104" s="57">
        <f>IF(計算用!$U$45="","",IF(計算用!$B$1=1,INDEX(計算用!$H$3:$H$452,計算用!$U$45),INDEX(振り分け!$D$7:$D$456,計算用!$U$45)))</f>
        <v/>
      </c>
      <c r="E104" s="56">
        <f>IF(計算用!$V$45="","",IF(計算用!$B$1=1,INDEX(計算用!$F$3:$F$452,計算用!$V$45),INDEX(振り分け!$B$7:$B$456,計算用!$V$45)))</f>
        <v/>
      </c>
      <c r="F104" s="57">
        <f>IF(計算用!$V$45="","",IF(計算用!$B$1=1,INDEX(計算用!$H$3:$H$452,計算用!$V$45),INDEX(振り分け!$D$7:$D$456,計算用!$V$45)))</f>
        <v/>
      </c>
      <c r="G104" s="56">
        <f>IF(計算用!$W$45="","",IF(計算用!$B$1=1,INDEX(計算用!$F$3:$F$452,計算用!$W$45),INDEX(振り分け!$B$7:$B$456,計算用!$W$45)))</f>
        <v/>
      </c>
      <c r="H104" s="57">
        <f>IF(計算用!$W$45="","",IF(計算用!$B$1=1,INDEX(計算用!$H$3:$H$452,計算用!$W$45),INDEX(振り分け!$D$7:$D$456,計算用!$W$45)))</f>
        <v/>
      </c>
      <c r="I104" s="56">
        <f>IF(計算用!$X$45="","",IF(計算用!$B$1=1,INDEX(計算用!$F$3:$F$452,計算用!$X$45),INDEX(振り分け!$B$7:$B$456,計算用!$X$45)))</f>
        <v/>
      </c>
      <c r="J104" s="57">
        <f>IF(計算用!$X$45="","",IF(計算用!$B$1=1,INDEX(計算用!$H$3:$H$452,計算用!$X$45),INDEX(振り分け!$D$7:$D$456,計算用!$X$45)))</f>
        <v/>
      </c>
      <c r="K104" s="56">
        <f>IF(計算用!$Y$45="","",IF(計算用!$B$1=1,INDEX(計算用!$F$3:$F$452,計算用!$Y$45),INDEX(振り分け!$B$7:$B$456,計算用!$Y$45)))</f>
        <v/>
      </c>
      <c r="L104" s="57">
        <f>IF(計算用!$Y$45="","",IF(計算用!$B$1=1,INDEX(計算用!$H$3:$H$452,計算用!$Y$45),INDEX(振り分け!$D$7:$D$456,計算用!$Y$45)))</f>
        <v/>
      </c>
      <c r="M104" s="56">
        <f>IF(計算用!$Z$45="","",IF(計算用!$B$1=1,INDEX(計算用!$F$3:$F$452,計算用!$Z$45),INDEX(振り分け!$B$7:$B$456,計算用!$Z$45)))</f>
        <v/>
      </c>
      <c r="N104" s="57">
        <f>IF(計算用!$Z$45="","",IF(計算用!$B$1=1,INDEX(計算用!$H$3:$H$452,計算用!$Z$45),INDEX(振り分け!$D$7:$D$456,計算用!$Z$45)))</f>
        <v/>
      </c>
      <c r="O104" s="56">
        <f>IF(計算用!$AA$45="","",IF(計算用!$B$1=1,INDEX(計算用!$F$3:$F$452,計算用!$AA$45),INDEX(振り分け!$B$7:$B$456,計算用!$AA$45)))</f>
        <v/>
      </c>
      <c r="P104" s="57">
        <f>IF(計算用!$AA$45="","",IF(計算用!$B$1=1,INDEX(計算用!$H$3:$H$452,計算用!$AA$45),INDEX(振り分け!$D$7:$D$456,計算用!$AA$45)))</f>
        <v/>
      </c>
      <c r="Q104" s="56">
        <f>IF(計算用!$AB$45="","",IF(計算用!$B$1=1,INDEX(計算用!$F$3:$F$452,計算用!$AB$45),INDEX(振り分け!$B$7:$B$456,計算用!$AB$45)))</f>
        <v/>
      </c>
      <c r="R104" s="57">
        <f>IF(計算用!$AB$45="","",IF(計算用!$B$1=1,INDEX(計算用!$H$3:$H$452,計算用!$AB$45),INDEX(振り分け!$D$7:$D$456,計算用!$AB$45)))</f>
        <v/>
      </c>
      <c r="S104" s="56">
        <f>IF(計算用!$AC$45="","",IF(計算用!$B$1=1,INDEX(計算用!$F$3:$F$452,計算用!$AC$45),INDEX(振り分け!$B$7:$B$456,計算用!$AC$45)))</f>
        <v/>
      </c>
      <c r="T104" s="57">
        <f>IF(計算用!$AC$45="","",IF(計算用!$B$1=1,INDEX(計算用!$H$3:$H$452,計算用!$AC$45),INDEX(振り分け!$D$7:$D$456,計算用!$AC$45)))</f>
        <v/>
      </c>
    </row>
    <row r="105">
      <c r="A105" s="56">
        <f>IF(計算用!$T$46="","",IF(計算用!$B$1=1,INDEX(計算用!$F$3:$F$452,計算用!$T$46),INDEX(振り分け!$B$7:$B$456,計算用!$T$46)))</f>
        <v/>
      </c>
      <c r="B105" s="57">
        <f>IF(計算用!$T$46="","",IF(計算用!$B$1=1,INDEX(計算用!$H$3:$H$452,計算用!$T$46),INDEX(振り分け!$D$7:$D$456,計算用!$T$46)))</f>
        <v/>
      </c>
      <c r="C105" s="56">
        <f>IF(計算用!$U$46="","",IF(計算用!$B$1=1,INDEX(計算用!$F$3:$F$452,計算用!$U$46),INDEX(振り分け!$B$7:$B$456,計算用!$U$46)))</f>
        <v/>
      </c>
      <c r="D105" s="57">
        <f>IF(計算用!$U$46="","",IF(計算用!$B$1=1,INDEX(計算用!$H$3:$H$452,計算用!$U$46),INDEX(振り分け!$D$7:$D$456,計算用!$U$46)))</f>
        <v/>
      </c>
      <c r="E105" s="56">
        <f>IF(計算用!$V$46="","",IF(計算用!$B$1=1,INDEX(計算用!$F$3:$F$452,計算用!$V$46),INDEX(振り分け!$B$7:$B$456,計算用!$V$46)))</f>
        <v/>
      </c>
      <c r="F105" s="57">
        <f>IF(計算用!$V$46="","",IF(計算用!$B$1=1,INDEX(計算用!$H$3:$H$452,計算用!$V$46),INDEX(振り分け!$D$7:$D$456,計算用!$V$46)))</f>
        <v/>
      </c>
      <c r="G105" s="56">
        <f>IF(計算用!$W$46="","",IF(計算用!$B$1=1,INDEX(計算用!$F$3:$F$452,計算用!$W$46),INDEX(振り分け!$B$7:$B$456,計算用!$W$46)))</f>
        <v/>
      </c>
      <c r="H105" s="57">
        <f>IF(計算用!$W$46="","",IF(計算用!$B$1=1,INDEX(計算用!$H$3:$H$452,計算用!$W$46),INDEX(振り分け!$D$7:$D$456,計算用!$W$46)))</f>
        <v/>
      </c>
      <c r="I105" s="56">
        <f>IF(計算用!$X$46="","",IF(計算用!$B$1=1,INDEX(計算用!$F$3:$F$452,計算用!$X$46),INDEX(振り分け!$B$7:$B$456,計算用!$X$46)))</f>
        <v/>
      </c>
      <c r="J105" s="57">
        <f>IF(計算用!$X$46="","",IF(計算用!$B$1=1,INDEX(計算用!$H$3:$H$452,計算用!$X$46),INDEX(振り分け!$D$7:$D$456,計算用!$X$46)))</f>
        <v/>
      </c>
      <c r="K105" s="56">
        <f>IF(計算用!$Y$46="","",IF(計算用!$B$1=1,INDEX(計算用!$F$3:$F$452,計算用!$Y$46),INDEX(振り分け!$B$7:$B$456,計算用!$Y$46)))</f>
        <v/>
      </c>
      <c r="L105" s="57">
        <f>IF(計算用!$Y$46="","",IF(計算用!$B$1=1,INDEX(計算用!$H$3:$H$452,計算用!$Y$46),INDEX(振り分け!$D$7:$D$456,計算用!$Y$46)))</f>
        <v/>
      </c>
      <c r="M105" s="56">
        <f>IF(計算用!$Z$46="","",IF(計算用!$B$1=1,INDEX(計算用!$F$3:$F$452,計算用!$Z$46),INDEX(振り分け!$B$7:$B$456,計算用!$Z$46)))</f>
        <v/>
      </c>
      <c r="N105" s="57">
        <f>IF(計算用!$Z$46="","",IF(計算用!$B$1=1,INDEX(計算用!$H$3:$H$452,計算用!$Z$46),INDEX(振り分け!$D$7:$D$456,計算用!$Z$46)))</f>
        <v/>
      </c>
      <c r="O105" s="56">
        <f>IF(計算用!$AA$46="","",IF(計算用!$B$1=1,INDEX(計算用!$F$3:$F$452,計算用!$AA$46),INDEX(振り分け!$B$7:$B$456,計算用!$AA$46)))</f>
        <v/>
      </c>
      <c r="P105" s="57">
        <f>IF(計算用!$AA$46="","",IF(計算用!$B$1=1,INDEX(計算用!$H$3:$H$452,計算用!$AA$46),INDEX(振り分け!$D$7:$D$456,計算用!$AA$46)))</f>
        <v/>
      </c>
      <c r="Q105" s="56">
        <f>IF(計算用!$AB$46="","",IF(計算用!$B$1=1,INDEX(計算用!$F$3:$F$452,計算用!$AB$46),INDEX(振り分け!$B$7:$B$456,計算用!$AB$46)))</f>
        <v/>
      </c>
      <c r="R105" s="57">
        <f>IF(計算用!$AB$46="","",IF(計算用!$B$1=1,INDEX(計算用!$H$3:$H$452,計算用!$AB$46),INDEX(振り分け!$D$7:$D$456,計算用!$AB$46)))</f>
        <v/>
      </c>
      <c r="S105" s="56">
        <f>IF(計算用!$AC$46="","",IF(計算用!$B$1=1,INDEX(計算用!$F$3:$F$452,計算用!$AC$46),INDEX(振り分け!$B$7:$B$456,計算用!$AC$46)))</f>
        <v/>
      </c>
      <c r="T105" s="57">
        <f>IF(計算用!$AC$46="","",IF(計算用!$B$1=1,INDEX(計算用!$H$3:$H$452,計算用!$AC$46),INDEX(振り分け!$D$7:$D$456,計算用!$AC$46)))</f>
        <v/>
      </c>
    </row>
    <row r="106">
      <c r="A106" s="56">
        <f>IF(計算用!$T$47="","",IF(計算用!$B$1=1,INDEX(計算用!$F$3:$F$452,計算用!$T$47),INDEX(振り分け!$B$7:$B$456,計算用!$T$47)))</f>
        <v/>
      </c>
      <c r="B106" s="57">
        <f>IF(計算用!$T$47="","",IF(計算用!$B$1=1,INDEX(計算用!$H$3:$H$452,計算用!$T$47),INDEX(振り分け!$D$7:$D$456,計算用!$T$47)))</f>
        <v/>
      </c>
      <c r="C106" s="56">
        <f>IF(計算用!$U$47="","",IF(計算用!$B$1=1,INDEX(計算用!$F$3:$F$452,計算用!$U$47),INDEX(振り分け!$B$7:$B$456,計算用!$U$47)))</f>
        <v/>
      </c>
      <c r="D106" s="57">
        <f>IF(計算用!$U$47="","",IF(計算用!$B$1=1,INDEX(計算用!$H$3:$H$452,計算用!$U$47),INDEX(振り分け!$D$7:$D$456,計算用!$U$47)))</f>
        <v/>
      </c>
      <c r="E106" s="56">
        <f>IF(計算用!$V$47="","",IF(計算用!$B$1=1,INDEX(計算用!$F$3:$F$452,計算用!$V$47),INDEX(振り分け!$B$7:$B$456,計算用!$V$47)))</f>
        <v/>
      </c>
      <c r="F106" s="57">
        <f>IF(計算用!$V$47="","",IF(計算用!$B$1=1,INDEX(計算用!$H$3:$H$452,計算用!$V$47),INDEX(振り分け!$D$7:$D$456,計算用!$V$47)))</f>
        <v/>
      </c>
      <c r="G106" s="56">
        <f>IF(計算用!$W$47="","",IF(計算用!$B$1=1,INDEX(計算用!$F$3:$F$452,計算用!$W$47),INDEX(振り分け!$B$7:$B$456,計算用!$W$47)))</f>
        <v/>
      </c>
      <c r="H106" s="57">
        <f>IF(計算用!$W$47="","",IF(計算用!$B$1=1,INDEX(計算用!$H$3:$H$452,計算用!$W$47),INDEX(振り分け!$D$7:$D$456,計算用!$W$47)))</f>
        <v/>
      </c>
      <c r="I106" s="56">
        <f>IF(計算用!$X$47="","",IF(計算用!$B$1=1,INDEX(計算用!$F$3:$F$452,計算用!$X$47),INDEX(振り分け!$B$7:$B$456,計算用!$X$47)))</f>
        <v/>
      </c>
      <c r="J106" s="57">
        <f>IF(計算用!$X$47="","",IF(計算用!$B$1=1,INDEX(計算用!$H$3:$H$452,計算用!$X$47),INDEX(振り分け!$D$7:$D$456,計算用!$X$47)))</f>
        <v/>
      </c>
      <c r="K106" s="56">
        <f>IF(計算用!$Y$47="","",IF(計算用!$B$1=1,INDEX(計算用!$F$3:$F$452,計算用!$Y$47),INDEX(振り分け!$B$7:$B$456,計算用!$Y$47)))</f>
        <v/>
      </c>
      <c r="L106" s="57">
        <f>IF(計算用!$Y$47="","",IF(計算用!$B$1=1,INDEX(計算用!$H$3:$H$452,計算用!$Y$47),INDEX(振り分け!$D$7:$D$456,計算用!$Y$47)))</f>
        <v/>
      </c>
      <c r="M106" s="56">
        <f>IF(計算用!$Z$47="","",IF(計算用!$B$1=1,INDEX(計算用!$F$3:$F$452,計算用!$Z$47),INDEX(振り分け!$B$7:$B$456,計算用!$Z$47)))</f>
        <v/>
      </c>
      <c r="N106" s="57">
        <f>IF(計算用!$Z$47="","",IF(計算用!$B$1=1,INDEX(計算用!$H$3:$H$452,計算用!$Z$47),INDEX(振り分け!$D$7:$D$456,計算用!$Z$47)))</f>
        <v/>
      </c>
      <c r="O106" s="56">
        <f>IF(計算用!$AA$47="","",IF(計算用!$B$1=1,INDEX(計算用!$F$3:$F$452,計算用!$AA$47),INDEX(振り分け!$B$7:$B$456,計算用!$AA$47)))</f>
        <v/>
      </c>
      <c r="P106" s="57">
        <f>IF(計算用!$AA$47="","",IF(計算用!$B$1=1,INDEX(計算用!$H$3:$H$452,計算用!$AA$47),INDEX(振り分け!$D$7:$D$456,計算用!$AA$47)))</f>
        <v/>
      </c>
      <c r="Q106" s="56">
        <f>IF(計算用!$AB$47="","",IF(計算用!$B$1=1,INDEX(計算用!$F$3:$F$452,計算用!$AB$47),INDEX(振り分け!$B$7:$B$456,計算用!$AB$47)))</f>
        <v/>
      </c>
      <c r="R106" s="57">
        <f>IF(計算用!$AB$47="","",IF(計算用!$B$1=1,INDEX(計算用!$H$3:$H$452,計算用!$AB$47),INDEX(振り分け!$D$7:$D$456,計算用!$AB$47)))</f>
        <v/>
      </c>
      <c r="S106" s="56">
        <f>IF(計算用!$AC$47="","",IF(計算用!$B$1=1,INDEX(計算用!$F$3:$F$452,計算用!$AC$47),INDEX(振り分け!$B$7:$B$456,計算用!$AC$47)))</f>
        <v/>
      </c>
      <c r="T106" s="57">
        <f>IF(計算用!$AC$47="","",IF(計算用!$B$1=1,INDEX(計算用!$H$3:$H$452,計算用!$AC$47),INDEX(振り分け!$D$7:$D$456,計算用!$AC$47)))</f>
        <v/>
      </c>
    </row>
    <row r="107">
      <c r="A107" s="56">
        <f>IF(計算用!$T$48="","",IF(計算用!$B$1=1,INDEX(計算用!$F$3:$F$452,計算用!$T$48),INDEX(振り分け!$B$7:$B$456,計算用!$T$48)))</f>
        <v/>
      </c>
      <c r="B107" s="57">
        <f>IF(計算用!$T$48="","",IF(計算用!$B$1=1,INDEX(計算用!$H$3:$H$452,計算用!$T$48),INDEX(振り分け!$D$7:$D$456,計算用!$T$48)))</f>
        <v/>
      </c>
      <c r="C107" s="56">
        <f>IF(計算用!$U$48="","",IF(計算用!$B$1=1,INDEX(計算用!$F$3:$F$452,計算用!$U$48),INDEX(振り分け!$B$7:$B$456,計算用!$U$48)))</f>
        <v/>
      </c>
      <c r="D107" s="57">
        <f>IF(計算用!$U$48="","",IF(計算用!$B$1=1,INDEX(計算用!$H$3:$H$452,計算用!$U$48),INDEX(振り分け!$D$7:$D$456,計算用!$U$48)))</f>
        <v/>
      </c>
      <c r="E107" s="56">
        <f>IF(計算用!$V$48="","",IF(計算用!$B$1=1,INDEX(計算用!$F$3:$F$452,計算用!$V$48),INDEX(振り分け!$B$7:$B$456,計算用!$V$48)))</f>
        <v/>
      </c>
      <c r="F107" s="57">
        <f>IF(計算用!$V$48="","",IF(計算用!$B$1=1,INDEX(計算用!$H$3:$H$452,計算用!$V$48),INDEX(振り分け!$D$7:$D$456,計算用!$V$48)))</f>
        <v/>
      </c>
      <c r="G107" s="56">
        <f>IF(計算用!$W$48="","",IF(計算用!$B$1=1,INDEX(計算用!$F$3:$F$452,計算用!$W$48),INDEX(振り分け!$B$7:$B$456,計算用!$W$48)))</f>
        <v/>
      </c>
      <c r="H107" s="57">
        <f>IF(計算用!$W$48="","",IF(計算用!$B$1=1,INDEX(計算用!$H$3:$H$452,計算用!$W$48),INDEX(振り分け!$D$7:$D$456,計算用!$W$48)))</f>
        <v/>
      </c>
      <c r="I107" s="56">
        <f>IF(計算用!$X$48="","",IF(計算用!$B$1=1,INDEX(計算用!$F$3:$F$452,計算用!$X$48),INDEX(振り分け!$B$7:$B$456,計算用!$X$48)))</f>
        <v/>
      </c>
      <c r="J107" s="57">
        <f>IF(計算用!$X$48="","",IF(計算用!$B$1=1,INDEX(計算用!$H$3:$H$452,計算用!$X$48),INDEX(振り分け!$D$7:$D$456,計算用!$X$48)))</f>
        <v/>
      </c>
      <c r="K107" s="56">
        <f>IF(計算用!$Y$48="","",IF(計算用!$B$1=1,INDEX(計算用!$F$3:$F$452,計算用!$Y$48),INDEX(振り分け!$B$7:$B$456,計算用!$Y$48)))</f>
        <v/>
      </c>
      <c r="L107" s="57">
        <f>IF(計算用!$Y$48="","",IF(計算用!$B$1=1,INDEX(計算用!$H$3:$H$452,計算用!$Y$48),INDEX(振り分け!$D$7:$D$456,計算用!$Y$48)))</f>
        <v/>
      </c>
      <c r="M107" s="56">
        <f>IF(計算用!$Z$48="","",IF(計算用!$B$1=1,INDEX(計算用!$F$3:$F$452,計算用!$Z$48),INDEX(振り分け!$B$7:$B$456,計算用!$Z$48)))</f>
        <v/>
      </c>
      <c r="N107" s="57">
        <f>IF(計算用!$Z$48="","",IF(計算用!$B$1=1,INDEX(計算用!$H$3:$H$452,計算用!$Z$48),INDEX(振り分け!$D$7:$D$456,計算用!$Z$48)))</f>
        <v/>
      </c>
      <c r="O107" s="56">
        <f>IF(計算用!$AA$48="","",IF(計算用!$B$1=1,INDEX(計算用!$F$3:$F$452,計算用!$AA$48),INDEX(振り分け!$B$7:$B$456,計算用!$AA$48)))</f>
        <v/>
      </c>
      <c r="P107" s="57">
        <f>IF(計算用!$AA$48="","",IF(計算用!$B$1=1,INDEX(計算用!$H$3:$H$452,計算用!$AA$48),INDEX(振り分け!$D$7:$D$456,計算用!$AA$48)))</f>
        <v/>
      </c>
      <c r="Q107" s="56">
        <f>IF(計算用!$AB$48="","",IF(計算用!$B$1=1,INDEX(計算用!$F$3:$F$452,計算用!$AB$48),INDEX(振り分け!$B$7:$B$456,計算用!$AB$48)))</f>
        <v/>
      </c>
      <c r="R107" s="57">
        <f>IF(計算用!$AB$48="","",IF(計算用!$B$1=1,INDEX(計算用!$H$3:$H$452,計算用!$AB$48),INDEX(振り分け!$D$7:$D$456,計算用!$AB$48)))</f>
        <v/>
      </c>
      <c r="S107" s="56">
        <f>IF(計算用!$AC$48="","",IF(計算用!$B$1=1,INDEX(計算用!$F$3:$F$452,計算用!$AC$48),INDEX(振り分け!$B$7:$B$456,計算用!$AC$48)))</f>
        <v/>
      </c>
      <c r="T107" s="57">
        <f>IF(計算用!$AC$48="","",IF(計算用!$B$1=1,INDEX(計算用!$H$3:$H$452,計算用!$AC$48),INDEX(振り分け!$D$7:$D$456,計算用!$AC$48)))</f>
        <v/>
      </c>
    </row>
    <row r="108">
      <c r="A108" s="56">
        <f>IF(計算用!$T$49="","",IF(計算用!$B$1=1,INDEX(計算用!$F$3:$F$452,計算用!$T$49),INDEX(振り分け!$B$7:$B$456,計算用!$T$49)))</f>
        <v/>
      </c>
      <c r="B108" s="57">
        <f>IF(計算用!$T$49="","",IF(計算用!$B$1=1,INDEX(計算用!$H$3:$H$452,計算用!$T$49),INDEX(振り分け!$D$7:$D$456,計算用!$T$49)))</f>
        <v/>
      </c>
      <c r="C108" s="56">
        <f>IF(計算用!$U$49="","",IF(計算用!$B$1=1,INDEX(計算用!$F$3:$F$452,計算用!$U$49),INDEX(振り分け!$B$7:$B$456,計算用!$U$49)))</f>
        <v/>
      </c>
      <c r="D108" s="57">
        <f>IF(計算用!$U$49="","",IF(計算用!$B$1=1,INDEX(計算用!$H$3:$H$452,計算用!$U$49),INDEX(振り分け!$D$7:$D$456,計算用!$U$49)))</f>
        <v/>
      </c>
      <c r="E108" s="56">
        <f>IF(計算用!$V$49="","",IF(計算用!$B$1=1,INDEX(計算用!$F$3:$F$452,計算用!$V$49),INDEX(振り分け!$B$7:$B$456,計算用!$V$49)))</f>
        <v/>
      </c>
      <c r="F108" s="57">
        <f>IF(計算用!$V$49="","",IF(計算用!$B$1=1,INDEX(計算用!$H$3:$H$452,計算用!$V$49),INDEX(振り分け!$D$7:$D$456,計算用!$V$49)))</f>
        <v/>
      </c>
      <c r="G108" s="56">
        <f>IF(計算用!$W$49="","",IF(計算用!$B$1=1,INDEX(計算用!$F$3:$F$452,計算用!$W$49),INDEX(振り分け!$B$7:$B$456,計算用!$W$49)))</f>
        <v/>
      </c>
      <c r="H108" s="57">
        <f>IF(計算用!$W$49="","",IF(計算用!$B$1=1,INDEX(計算用!$H$3:$H$452,計算用!$W$49),INDEX(振り分け!$D$7:$D$456,計算用!$W$49)))</f>
        <v/>
      </c>
      <c r="I108" s="56">
        <f>IF(計算用!$X$49="","",IF(計算用!$B$1=1,INDEX(計算用!$F$3:$F$452,計算用!$X$49),INDEX(振り分け!$B$7:$B$456,計算用!$X$49)))</f>
        <v/>
      </c>
      <c r="J108" s="57">
        <f>IF(計算用!$X$49="","",IF(計算用!$B$1=1,INDEX(計算用!$H$3:$H$452,計算用!$X$49),INDEX(振り分け!$D$7:$D$456,計算用!$X$49)))</f>
        <v/>
      </c>
      <c r="K108" s="56">
        <f>IF(計算用!$Y$49="","",IF(計算用!$B$1=1,INDEX(計算用!$F$3:$F$452,計算用!$Y$49),INDEX(振り分け!$B$7:$B$456,計算用!$Y$49)))</f>
        <v/>
      </c>
      <c r="L108" s="57">
        <f>IF(計算用!$Y$49="","",IF(計算用!$B$1=1,INDEX(計算用!$H$3:$H$452,計算用!$Y$49),INDEX(振り分け!$D$7:$D$456,計算用!$Y$49)))</f>
        <v/>
      </c>
      <c r="M108" s="56">
        <f>IF(計算用!$Z$49="","",IF(計算用!$B$1=1,INDEX(計算用!$F$3:$F$452,計算用!$Z$49),INDEX(振り分け!$B$7:$B$456,計算用!$Z$49)))</f>
        <v/>
      </c>
      <c r="N108" s="57">
        <f>IF(計算用!$Z$49="","",IF(計算用!$B$1=1,INDEX(計算用!$H$3:$H$452,計算用!$Z$49),INDEX(振り分け!$D$7:$D$456,計算用!$Z$49)))</f>
        <v/>
      </c>
      <c r="O108" s="56">
        <f>IF(計算用!$AA$49="","",IF(計算用!$B$1=1,INDEX(計算用!$F$3:$F$452,計算用!$AA$49),INDEX(振り分け!$B$7:$B$456,計算用!$AA$49)))</f>
        <v/>
      </c>
      <c r="P108" s="57">
        <f>IF(計算用!$AA$49="","",IF(計算用!$B$1=1,INDEX(計算用!$H$3:$H$452,計算用!$AA$49),INDEX(振り分け!$D$7:$D$456,計算用!$AA$49)))</f>
        <v/>
      </c>
      <c r="Q108" s="56">
        <f>IF(計算用!$AB$49="","",IF(計算用!$B$1=1,INDEX(計算用!$F$3:$F$452,計算用!$AB$49),INDEX(振り分け!$B$7:$B$456,計算用!$AB$49)))</f>
        <v/>
      </c>
      <c r="R108" s="57">
        <f>IF(計算用!$AB$49="","",IF(計算用!$B$1=1,INDEX(計算用!$H$3:$H$452,計算用!$AB$49),INDEX(振り分け!$D$7:$D$456,計算用!$AB$49)))</f>
        <v/>
      </c>
      <c r="S108" s="56">
        <f>IF(計算用!$AC$49="","",IF(計算用!$B$1=1,INDEX(計算用!$F$3:$F$452,計算用!$AC$49),INDEX(振り分け!$B$7:$B$456,計算用!$AC$49)))</f>
        <v/>
      </c>
      <c r="T108" s="57">
        <f>IF(計算用!$AC$49="","",IF(計算用!$B$1=1,INDEX(計算用!$H$3:$H$452,計算用!$AC$49),INDEX(振り分け!$D$7:$D$456,計算用!$AC$49)))</f>
        <v/>
      </c>
    </row>
    <row r="109">
      <c r="A109" s="56">
        <f>IF(計算用!$T$50="","",IF(計算用!$B$1=1,INDEX(計算用!$F$3:$F$452,計算用!$T$50),INDEX(振り分け!$B$7:$B$456,計算用!$T$50)))</f>
        <v/>
      </c>
      <c r="B109" s="57">
        <f>IF(計算用!$T$50="","",IF(計算用!$B$1=1,INDEX(計算用!$H$3:$H$452,計算用!$T$50),INDEX(振り分け!$D$7:$D$456,計算用!$T$50)))</f>
        <v/>
      </c>
      <c r="C109" s="56">
        <f>IF(計算用!$U$50="","",IF(計算用!$B$1=1,INDEX(計算用!$F$3:$F$452,計算用!$U$50),INDEX(振り分け!$B$7:$B$456,計算用!$U$50)))</f>
        <v/>
      </c>
      <c r="D109" s="57">
        <f>IF(計算用!$U$50="","",IF(計算用!$B$1=1,INDEX(計算用!$H$3:$H$452,計算用!$U$50),INDEX(振り分け!$D$7:$D$456,計算用!$U$50)))</f>
        <v/>
      </c>
      <c r="E109" s="56">
        <f>IF(計算用!$V$50="","",IF(計算用!$B$1=1,INDEX(計算用!$F$3:$F$452,計算用!$V$50),INDEX(振り分け!$B$7:$B$456,計算用!$V$50)))</f>
        <v/>
      </c>
      <c r="F109" s="57">
        <f>IF(計算用!$V$50="","",IF(計算用!$B$1=1,INDEX(計算用!$H$3:$H$452,計算用!$V$50),INDEX(振り分け!$D$7:$D$456,計算用!$V$50)))</f>
        <v/>
      </c>
      <c r="G109" s="56">
        <f>IF(計算用!$W$50="","",IF(計算用!$B$1=1,INDEX(計算用!$F$3:$F$452,計算用!$W$50),INDEX(振り分け!$B$7:$B$456,計算用!$W$50)))</f>
        <v/>
      </c>
      <c r="H109" s="57">
        <f>IF(計算用!$W$50="","",IF(計算用!$B$1=1,INDEX(計算用!$H$3:$H$452,計算用!$W$50),INDEX(振り分け!$D$7:$D$456,計算用!$W$50)))</f>
        <v/>
      </c>
      <c r="I109" s="56">
        <f>IF(計算用!$X$50="","",IF(計算用!$B$1=1,INDEX(計算用!$F$3:$F$452,計算用!$X$50),INDEX(振り分け!$B$7:$B$456,計算用!$X$50)))</f>
        <v/>
      </c>
      <c r="J109" s="57">
        <f>IF(計算用!$X$50="","",IF(計算用!$B$1=1,INDEX(計算用!$H$3:$H$452,計算用!$X$50),INDEX(振り分け!$D$7:$D$456,計算用!$X$50)))</f>
        <v/>
      </c>
      <c r="K109" s="56">
        <f>IF(計算用!$Y$50="","",IF(計算用!$B$1=1,INDEX(計算用!$F$3:$F$452,計算用!$Y$50),INDEX(振り分け!$B$7:$B$456,計算用!$Y$50)))</f>
        <v/>
      </c>
      <c r="L109" s="57">
        <f>IF(計算用!$Y$50="","",IF(計算用!$B$1=1,INDEX(計算用!$H$3:$H$452,計算用!$Y$50),INDEX(振り分け!$D$7:$D$456,計算用!$Y$50)))</f>
        <v/>
      </c>
      <c r="M109" s="56">
        <f>IF(計算用!$Z$50="","",IF(計算用!$B$1=1,INDEX(計算用!$F$3:$F$452,計算用!$Z$50),INDEX(振り分け!$B$7:$B$456,計算用!$Z$50)))</f>
        <v/>
      </c>
      <c r="N109" s="57">
        <f>IF(計算用!$Z$50="","",IF(計算用!$B$1=1,INDEX(計算用!$H$3:$H$452,計算用!$Z$50),INDEX(振り分け!$D$7:$D$456,計算用!$Z$50)))</f>
        <v/>
      </c>
      <c r="O109" s="56">
        <f>IF(計算用!$AA$50="","",IF(計算用!$B$1=1,INDEX(計算用!$F$3:$F$452,計算用!$AA$50),INDEX(振り分け!$B$7:$B$456,計算用!$AA$50)))</f>
        <v/>
      </c>
      <c r="P109" s="57">
        <f>IF(計算用!$AA$50="","",IF(計算用!$B$1=1,INDEX(計算用!$H$3:$H$452,計算用!$AA$50),INDEX(振り分け!$D$7:$D$456,計算用!$AA$50)))</f>
        <v/>
      </c>
      <c r="Q109" s="56">
        <f>IF(計算用!$AB$50="","",IF(計算用!$B$1=1,INDEX(計算用!$F$3:$F$452,計算用!$AB$50),INDEX(振り分け!$B$7:$B$456,計算用!$AB$50)))</f>
        <v/>
      </c>
      <c r="R109" s="57">
        <f>IF(計算用!$AB$50="","",IF(計算用!$B$1=1,INDEX(計算用!$H$3:$H$452,計算用!$AB$50),INDEX(振り分け!$D$7:$D$456,計算用!$AB$50)))</f>
        <v/>
      </c>
      <c r="S109" s="56">
        <f>IF(計算用!$AC$50="","",IF(計算用!$B$1=1,INDEX(計算用!$F$3:$F$452,計算用!$AC$50),INDEX(振り分け!$B$7:$B$456,計算用!$AC$50)))</f>
        <v/>
      </c>
      <c r="T109" s="57">
        <f>IF(計算用!$AC$50="","",IF(計算用!$B$1=1,INDEX(計算用!$H$3:$H$452,計算用!$AC$50),INDEX(振り分け!$D$7:$D$456,計算用!$AC$50)))</f>
        <v/>
      </c>
    </row>
    <row r="110">
      <c r="A110" s="56">
        <f>IF(計算用!$T$51="","",IF(計算用!$B$1=1,INDEX(計算用!$F$3:$F$452,計算用!$T$51),INDEX(振り分け!$B$7:$B$456,計算用!$T$51)))</f>
        <v/>
      </c>
      <c r="B110" s="57">
        <f>IF(計算用!$T$51="","",IF(計算用!$B$1=1,INDEX(計算用!$H$3:$H$452,計算用!$T$51),INDEX(振り分け!$D$7:$D$456,計算用!$T$51)))</f>
        <v/>
      </c>
      <c r="C110" s="56">
        <f>IF(計算用!$U$51="","",IF(計算用!$B$1=1,INDEX(計算用!$F$3:$F$452,計算用!$U$51),INDEX(振り分け!$B$7:$B$456,計算用!$U$51)))</f>
        <v/>
      </c>
      <c r="D110" s="57">
        <f>IF(計算用!$U$51="","",IF(計算用!$B$1=1,INDEX(計算用!$H$3:$H$452,計算用!$U$51),INDEX(振り分け!$D$7:$D$456,計算用!$U$51)))</f>
        <v/>
      </c>
      <c r="E110" s="56">
        <f>IF(計算用!$V$51="","",IF(計算用!$B$1=1,INDEX(計算用!$F$3:$F$452,計算用!$V$51),INDEX(振り分け!$B$7:$B$456,計算用!$V$51)))</f>
        <v/>
      </c>
      <c r="F110" s="57">
        <f>IF(計算用!$V$51="","",IF(計算用!$B$1=1,INDEX(計算用!$H$3:$H$452,計算用!$V$51),INDEX(振り分け!$D$7:$D$456,計算用!$V$51)))</f>
        <v/>
      </c>
      <c r="G110" s="56">
        <f>IF(計算用!$W$51="","",IF(計算用!$B$1=1,INDEX(計算用!$F$3:$F$452,計算用!$W$51),INDEX(振り分け!$B$7:$B$456,計算用!$W$51)))</f>
        <v/>
      </c>
      <c r="H110" s="57">
        <f>IF(計算用!$W$51="","",IF(計算用!$B$1=1,INDEX(計算用!$H$3:$H$452,計算用!$W$51),INDEX(振り分け!$D$7:$D$456,計算用!$W$51)))</f>
        <v/>
      </c>
      <c r="I110" s="56">
        <f>IF(計算用!$X$51="","",IF(計算用!$B$1=1,INDEX(計算用!$F$3:$F$452,計算用!$X$51),INDEX(振り分け!$B$7:$B$456,計算用!$X$51)))</f>
        <v/>
      </c>
      <c r="J110" s="57">
        <f>IF(計算用!$X$51="","",IF(計算用!$B$1=1,INDEX(計算用!$H$3:$H$452,計算用!$X$51),INDEX(振り分け!$D$7:$D$456,計算用!$X$51)))</f>
        <v/>
      </c>
      <c r="K110" s="56">
        <f>IF(計算用!$Y$51="","",IF(計算用!$B$1=1,INDEX(計算用!$F$3:$F$452,計算用!$Y$51),INDEX(振り分け!$B$7:$B$456,計算用!$Y$51)))</f>
        <v/>
      </c>
      <c r="L110" s="57">
        <f>IF(計算用!$Y$51="","",IF(計算用!$B$1=1,INDEX(計算用!$H$3:$H$452,計算用!$Y$51),INDEX(振り分け!$D$7:$D$456,計算用!$Y$51)))</f>
        <v/>
      </c>
      <c r="M110" s="56">
        <f>IF(計算用!$Z$51="","",IF(計算用!$B$1=1,INDEX(計算用!$F$3:$F$452,計算用!$Z$51),INDEX(振り分け!$B$7:$B$456,計算用!$Z$51)))</f>
        <v/>
      </c>
      <c r="N110" s="57">
        <f>IF(計算用!$Z$51="","",IF(計算用!$B$1=1,INDEX(計算用!$H$3:$H$452,計算用!$Z$51),INDEX(振り分け!$D$7:$D$456,計算用!$Z$51)))</f>
        <v/>
      </c>
      <c r="O110" s="56">
        <f>IF(計算用!$AA$51="","",IF(計算用!$B$1=1,INDEX(計算用!$F$3:$F$452,計算用!$AA$51),INDEX(振り分け!$B$7:$B$456,計算用!$AA$51)))</f>
        <v/>
      </c>
      <c r="P110" s="57">
        <f>IF(計算用!$AA$51="","",IF(計算用!$B$1=1,INDEX(計算用!$H$3:$H$452,計算用!$AA$51),INDEX(振り分け!$D$7:$D$456,計算用!$AA$51)))</f>
        <v/>
      </c>
      <c r="Q110" s="56">
        <f>IF(計算用!$AB$51="","",IF(計算用!$B$1=1,INDEX(計算用!$F$3:$F$452,計算用!$AB$51),INDEX(振り分け!$B$7:$B$456,計算用!$AB$51)))</f>
        <v/>
      </c>
      <c r="R110" s="57">
        <f>IF(計算用!$AB$51="","",IF(計算用!$B$1=1,INDEX(計算用!$H$3:$H$452,計算用!$AB$51),INDEX(振り分け!$D$7:$D$456,計算用!$AB$51)))</f>
        <v/>
      </c>
      <c r="S110" s="56">
        <f>IF(計算用!$AC$51="","",IF(計算用!$B$1=1,INDEX(計算用!$F$3:$F$452,計算用!$AC$51),INDEX(振り分け!$B$7:$B$456,計算用!$AC$51)))</f>
        <v/>
      </c>
      <c r="T110" s="57">
        <f>IF(計算用!$AC$51="","",IF(計算用!$B$1=1,INDEX(計算用!$H$3:$H$452,計算用!$AC$51),INDEX(振り分け!$D$7:$D$456,計算用!$AC$51)))</f>
        <v/>
      </c>
    </row>
    <row r="111">
      <c r="A111" s="56">
        <f>IF(計算用!$T$52="","",IF(計算用!$B$1=1,INDEX(計算用!$F$3:$F$452,計算用!$T$52),INDEX(振り分け!$B$7:$B$456,計算用!$T$52)))</f>
        <v/>
      </c>
      <c r="B111" s="57">
        <f>IF(計算用!$T$52="","",IF(計算用!$B$1=1,INDEX(計算用!$H$3:$H$452,計算用!$T$52),INDEX(振り分け!$D$7:$D$456,計算用!$T$52)))</f>
        <v/>
      </c>
      <c r="C111" s="56">
        <f>IF(計算用!$U$52="","",IF(計算用!$B$1=1,INDEX(計算用!$F$3:$F$452,計算用!$U$52),INDEX(振り分け!$B$7:$B$456,計算用!$U$52)))</f>
        <v/>
      </c>
      <c r="D111" s="57">
        <f>IF(計算用!$U$52="","",IF(計算用!$B$1=1,INDEX(計算用!$H$3:$H$452,計算用!$U$52),INDEX(振り分け!$D$7:$D$456,計算用!$U$52)))</f>
        <v/>
      </c>
      <c r="E111" s="56">
        <f>IF(計算用!$V$52="","",IF(計算用!$B$1=1,INDEX(計算用!$F$3:$F$452,計算用!$V$52),INDEX(振り分け!$B$7:$B$456,計算用!$V$52)))</f>
        <v/>
      </c>
      <c r="F111" s="57">
        <f>IF(計算用!$V$52="","",IF(計算用!$B$1=1,INDEX(計算用!$H$3:$H$452,計算用!$V$52),INDEX(振り分け!$D$7:$D$456,計算用!$V$52)))</f>
        <v/>
      </c>
      <c r="G111" s="56">
        <f>IF(計算用!$W$52="","",IF(計算用!$B$1=1,INDEX(計算用!$F$3:$F$452,計算用!$W$52),INDEX(振り分け!$B$7:$B$456,計算用!$W$52)))</f>
        <v/>
      </c>
      <c r="H111" s="57">
        <f>IF(計算用!$W$52="","",IF(計算用!$B$1=1,INDEX(計算用!$H$3:$H$452,計算用!$W$52),INDEX(振り分け!$D$7:$D$456,計算用!$W$52)))</f>
        <v/>
      </c>
      <c r="I111" s="56">
        <f>IF(計算用!$X$52="","",IF(計算用!$B$1=1,INDEX(計算用!$F$3:$F$452,計算用!$X$52),INDEX(振り分け!$B$7:$B$456,計算用!$X$52)))</f>
        <v/>
      </c>
      <c r="J111" s="57">
        <f>IF(計算用!$X$52="","",IF(計算用!$B$1=1,INDEX(計算用!$H$3:$H$452,計算用!$X$52),INDEX(振り分け!$D$7:$D$456,計算用!$X$52)))</f>
        <v/>
      </c>
      <c r="K111" s="56">
        <f>IF(計算用!$Y$52="","",IF(計算用!$B$1=1,INDEX(計算用!$F$3:$F$452,計算用!$Y$52),INDEX(振り分け!$B$7:$B$456,計算用!$Y$52)))</f>
        <v/>
      </c>
      <c r="L111" s="57">
        <f>IF(計算用!$Y$52="","",IF(計算用!$B$1=1,INDEX(計算用!$H$3:$H$452,計算用!$Y$52),INDEX(振り分け!$D$7:$D$456,計算用!$Y$52)))</f>
        <v/>
      </c>
      <c r="M111" s="56">
        <f>IF(計算用!$Z$52="","",IF(計算用!$B$1=1,INDEX(計算用!$F$3:$F$452,計算用!$Z$52),INDEX(振り分け!$B$7:$B$456,計算用!$Z$52)))</f>
        <v/>
      </c>
      <c r="N111" s="57">
        <f>IF(計算用!$Z$52="","",IF(計算用!$B$1=1,INDEX(計算用!$H$3:$H$452,計算用!$Z$52),INDEX(振り分け!$D$7:$D$456,計算用!$Z$52)))</f>
        <v/>
      </c>
      <c r="O111" s="56">
        <f>IF(計算用!$AA$52="","",IF(計算用!$B$1=1,INDEX(計算用!$F$3:$F$452,計算用!$AA$52),INDEX(振り分け!$B$7:$B$456,計算用!$AA$52)))</f>
        <v/>
      </c>
      <c r="P111" s="57">
        <f>IF(計算用!$AA$52="","",IF(計算用!$B$1=1,INDEX(計算用!$H$3:$H$452,計算用!$AA$52),INDEX(振り分け!$D$7:$D$456,計算用!$AA$52)))</f>
        <v/>
      </c>
      <c r="Q111" s="56">
        <f>IF(計算用!$AB$52="","",IF(計算用!$B$1=1,INDEX(計算用!$F$3:$F$452,計算用!$AB$52),INDEX(振り分け!$B$7:$B$456,計算用!$AB$52)))</f>
        <v/>
      </c>
      <c r="R111" s="57">
        <f>IF(計算用!$AB$52="","",IF(計算用!$B$1=1,INDEX(計算用!$H$3:$H$452,計算用!$AB$52),INDEX(振り分け!$D$7:$D$456,計算用!$AB$52)))</f>
        <v/>
      </c>
      <c r="S111" s="56">
        <f>IF(計算用!$AC$52="","",IF(計算用!$B$1=1,INDEX(計算用!$F$3:$F$452,計算用!$AC$52),INDEX(振り分け!$B$7:$B$456,計算用!$AC$52)))</f>
        <v/>
      </c>
      <c r="T111" s="57">
        <f>IF(計算用!$AC$52="","",IF(計算用!$B$1=1,INDEX(計算用!$H$3:$H$452,計算用!$AC$52),INDEX(振り分け!$D$7:$D$456,計算用!$AC$52)))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0">
    <mergeCell ref="G59:H59"/>
    <mergeCell ref="O3:P3"/>
    <mergeCell ref="Q3:R3"/>
    <mergeCell ref="A59:B59"/>
    <mergeCell ref="A60:B60"/>
    <mergeCell ref="M59:N59"/>
    <mergeCell ref="S59:T59"/>
    <mergeCell ref="A58:B58"/>
    <mergeCell ref="C5:D5"/>
    <mergeCell ref="C58:D58"/>
    <mergeCell ref="E5:F5"/>
    <mergeCell ref="K5:L5"/>
    <mergeCell ref="M5:N5"/>
    <mergeCell ref="S58:T58"/>
    <mergeCell ref="S3:T3"/>
    <mergeCell ref="C4:D4"/>
    <mergeCell ref="K60:L60"/>
    <mergeCell ref="E4:F4"/>
    <mergeCell ref="M60:N60"/>
    <mergeCell ref="O5:P5"/>
    <mergeCell ref="Q5:R5"/>
    <mergeCell ref="Q58:R58"/>
    <mergeCell ref="M58:N58"/>
    <mergeCell ref="E60:F60"/>
    <mergeCell ref="O4:P4"/>
    <mergeCell ref="A3:B3"/>
    <mergeCell ref="G3:H3"/>
    <mergeCell ref="Q4:R4"/>
    <mergeCell ref="I58:J58"/>
    <mergeCell ref="I3:J3"/>
    <mergeCell ref="C59:D59"/>
    <mergeCell ref="K58:L58"/>
    <mergeCell ref="E59:F59"/>
    <mergeCell ref="K59:L59"/>
    <mergeCell ref="Q60:R60"/>
    <mergeCell ref="C60:D60"/>
    <mergeCell ref="O59:P59"/>
    <mergeCell ref="E58:F58"/>
    <mergeCell ref="I60:J60"/>
    <mergeCell ref="Q59:R59"/>
    <mergeCell ref="A5:B5"/>
    <mergeCell ref="G5:H5"/>
    <mergeCell ref="G58:H58"/>
    <mergeCell ref="I5:J5"/>
    <mergeCell ref="M3:N3"/>
    <mergeCell ref="O58:P58"/>
    <mergeCell ref="A4:B4"/>
    <mergeCell ref="G4:H4"/>
    <mergeCell ref="O60:P60"/>
    <mergeCell ref="I4:J4"/>
    <mergeCell ref="S5:T5"/>
    <mergeCell ref="I59:J59"/>
    <mergeCell ref="G60:H60"/>
    <mergeCell ref="K4:L4"/>
    <mergeCell ref="S60:T60"/>
    <mergeCell ref="C3:D3"/>
    <mergeCell ref="M4:N4"/>
    <mergeCell ref="S4:T4"/>
    <mergeCell ref="E3:F3"/>
    <mergeCell ref="K3:L3"/>
  </mergeCells>
  <conditionalFormatting sqref="A7:A56">
    <cfRule type="expression" priority="1" dxfId="0">
      <formula>IF(計算用!$B$1=1,IFERROR(INDEX(設定!$M$8:$M$31,MATCH(A7,設定!$L$8:$L$31,0)),""),IFERROR(INDEX(設定!$H$8:$H$31,MATCH(A7,設定!$G$8:$G$31,0)),""))="黒"</formula>
    </cfRule>
    <cfRule type="expression" priority="2" dxfId="1">
      <formula>IF(計算用!$B$1=1,IFERROR(INDEX(設定!$M$8:$M$31,MATCH(A7,設定!$L$8:$L$31,0)),""),IFERROR(INDEX(設定!$H$8:$H$31,MATCH(A7,設定!$G$8:$G$31,0)),""))="赤"</formula>
    </cfRule>
    <cfRule type="expression" priority="3" dxfId="2">
      <formula>IF(計算用!$B$1=1,IFERROR(INDEX(設定!$M$8:$M$31,MATCH(A7,設定!$L$8:$L$31,0)),""),IFERROR(INDEX(設定!$H$8:$H$31,MATCH(A7,設定!$G$8:$G$31,0)),""))="青"</formula>
    </cfRule>
    <cfRule type="expression" priority="4" dxfId="3">
      <formula>IF(計算用!$B$1=1,IFERROR(INDEX(設定!$M$8:$M$31,MATCH(A7,設定!$L$8:$L$31,0)),""),IFERROR(INDEX(設定!$H$8:$H$31,MATCH(A7,設定!$G$8:$G$31,0)),""))="緑"</formula>
    </cfRule>
    <cfRule type="expression" priority="5" dxfId="4">
      <formula>IF(計算用!$B$1=1,IFERROR(INDEX(設定!$M$8:$M$31,MATCH(A7,設定!$L$8:$L$31,0)),""),IFERROR(INDEX(設定!$H$8:$H$31,MATCH(A7,設定!$G$8:$G$31,0)),""))="黄"</formula>
    </cfRule>
    <cfRule type="expression" priority="6" dxfId="5">
      <formula>IF(計算用!$B$1=1,IFERROR(INDEX(設定!$M$8:$M$31,MATCH(A7,設定!$L$8:$L$31,0)),""),IFERROR(INDEX(設定!$H$8:$H$31,MATCH(A7,設定!$G$8:$G$31,0)),""))="橙"</formula>
    </cfRule>
    <cfRule type="expression" priority="7" dxfId="6">
      <formula>IF(計算用!$B$1=1,IFERROR(INDEX(設定!$M$8:$M$31,MATCH(A7,設定!$L$8:$L$31,0)),""),IFERROR(INDEX(設定!$H$8:$H$31,MATCH(A7,設定!$G$8:$G$31,0)),""))="紫"</formula>
    </cfRule>
    <cfRule type="expression" priority="8" dxfId="7">
      <formula>IF(計算用!$B$1=1,IFERROR(INDEX(設定!$M$8:$M$31,MATCH(A7,設定!$L$8:$L$31,0)),""),IFERROR(INDEX(設定!$H$8:$H$31,MATCH(A7,設定!$G$8:$G$31,0)),""))="茶"</formula>
    </cfRule>
  </conditionalFormatting>
  <conditionalFormatting sqref="C7:C56">
    <cfRule type="expression" priority="9" dxfId="0">
      <formula>IF(計算用!$B$1=1,IFERROR(INDEX(設定!$M$8:$M$31,MATCH(C7,設定!$L$8:$L$31,0)),""),IFERROR(INDEX(設定!$H$8:$H$31,MATCH(C7,設定!$G$8:$G$31,0)),""))="黒"</formula>
    </cfRule>
    <cfRule type="expression" priority="10" dxfId="1">
      <formula>IF(計算用!$B$1=1,IFERROR(INDEX(設定!$M$8:$M$31,MATCH(C7,設定!$L$8:$L$31,0)),""),IFERROR(INDEX(設定!$H$8:$H$31,MATCH(C7,設定!$G$8:$G$31,0)),""))="赤"</formula>
    </cfRule>
    <cfRule type="expression" priority="11" dxfId="2">
      <formula>IF(計算用!$B$1=1,IFERROR(INDEX(設定!$M$8:$M$31,MATCH(C7,設定!$L$8:$L$31,0)),""),IFERROR(INDEX(設定!$H$8:$H$31,MATCH(C7,設定!$G$8:$G$31,0)),""))="青"</formula>
    </cfRule>
    <cfRule type="expression" priority="12" dxfId="3">
      <formula>IF(計算用!$B$1=1,IFERROR(INDEX(設定!$M$8:$M$31,MATCH(C7,設定!$L$8:$L$31,0)),""),IFERROR(INDEX(設定!$H$8:$H$31,MATCH(C7,設定!$G$8:$G$31,0)),""))="緑"</formula>
    </cfRule>
    <cfRule type="expression" priority="13" dxfId="4">
      <formula>IF(計算用!$B$1=1,IFERROR(INDEX(設定!$M$8:$M$31,MATCH(C7,設定!$L$8:$L$31,0)),""),IFERROR(INDEX(設定!$H$8:$H$31,MATCH(C7,設定!$G$8:$G$31,0)),""))="黄"</formula>
    </cfRule>
    <cfRule type="expression" priority="14" dxfId="5">
      <formula>IF(計算用!$B$1=1,IFERROR(INDEX(設定!$M$8:$M$31,MATCH(C7,設定!$L$8:$L$31,0)),""),IFERROR(INDEX(設定!$H$8:$H$31,MATCH(C7,設定!$G$8:$G$31,0)),""))="橙"</formula>
    </cfRule>
    <cfRule type="expression" priority="15" dxfId="6">
      <formula>IF(計算用!$B$1=1,IFERROR(INDEX(設定!$M$8:$M$31,MATCH(C7,設定!$L$8:$L$31,0)),""),IFERROR(INDEX(設定!$H$8:$H$31,MATCH(C7,設定!$G$8:$G$31,0)),""))="紫"</formula>
    </cfRule>
    <cfRule type="expression" priority="16" dxfId="7">
      <formula>IF(計算用!$B$1=1,IFERROR(INDEX(設定!$M$8:$M$31,MATCH(C7,設定!$L$8:$L$31,0)),""),IFERROR(INDEX(設定!$H$8:$H$31,MATCH(C7,設定!$G$8:$G$31,0)),""))="茶"</formula>
    </cfRule>
  </conditionalFormatting>
  <conditionalFormatting sqref="E7:E56">
    <cfRule type="expression" priority="17" dxfId="0">
      <formula>IF(計算用!$B$1=1,IFERROR(INDEX(設定!$M$8:$M$31,MATCH(E7,設定!$L$8:$L$31,0)),""),IFERROR(INDEX(設定!$H$8:$H$31,MATCH(E7,設定!$G$8:$G$31,0)),""))="黒"</formula>
    </cfRule>
    <cfRule type="expression" priority="18" dxfId="1">
      <formula>IF(計算用!$B$1=1,IFERROR(INDEX(設定!$M$8:$M$31,MATCH(E7,設定!$L$8:$L$31,0)),""),IFERROR(INDEX(設定!$H$8:$H$31,MATCH(E7,設定!$G$8:$G$31,0)),""))="赤"</formula>
    </cfRule>
    <cfRule type="expression" priority="19" dxfId="2">
      <formula>IF(計算用!$B$1=1,IFERROR(INDEX(設定!$M$8:$M$31,MATCH(E7,設定!$L$8:$L$31,0)),""),IFERROR(INDEX(設定!$H$8:$H$31,MATCH(E7,設定!$G$8:$G$31,0)),""))="青"</formula>
    </cfRule>
    <cfRule type="expression" priority="20" dxfId="3">
      <formula>IF(計算用!$B$1=1,IFERROR(INDEX(設定!$M$8:$M$31,MATCH(E7,設定!$L$8:$L$31,0)),""),IFERROR(INDEX(設定!$H$8:$H$31,MATCH(E7,設定!$G$8:$G$31,0)),""))="緑"</formula>
    </cfRule>
    <cfRule type="expression" priority="21" dxfId="4">
      <formula>IF(計算用!$B$1=1,IFERROR(INDEX(設定!$M$8:$M$31,MATCH(E7,設定!$L$8:$L$31,0)),""),IFERROR(INDEX(設定!$H$8:$H$31,MATCH(E7,設定!$G$8:$G$31,0)),""))="黄"</formula>
    </cfRule>
    <cfRule type="expression" priority="22" dxfId="5">
      <formula>IF(計算用!$B$1=1,IFERROR(INDEX(設定!$M$8:$M$31,MATCH(E7,設定!$L$8:$L$31,0)),""),IFERROR(INDEX(設定!$H$8:$H$31,MATCH(E7,設定!$G$8:$G$31,0)),""))="橙"</formula>
    </cfRule>
    <cfRule type="expression" priority="23" dxfId="6">
      <formula>IF(計算用!$B$1=1,IFERROR(INDEX(設定!$M$8:$M$31,MATCH(E7,設定!$L$8:$L$31,0)),""),IFERROR(INDEX(設定!$H$8:$H$31,MATCH(E7,設定!$G$8:$G$31,0)),""))="紫"</formula>
    </cfRule>
    <cfRule type="expression" priority="24" dxfId="7">
      <formula>IF(計算用!$B$1=1,IFERROR(INDEX(設定!$M$8:$M$31,MATCH(E7,設定!$L$8:$L$31,0)),""),IFERROR(INDEX(設定!$H$8:$H$31,MATCH(E7,設定!$G$8:$G$31,0)),""))="茶"</formula>
    </cfRule>
  </conditionalFormatting>
  <conditionalFormatting sqref="G7:G56">
    <cfRule type="expression" priority="25" dxfId="0">
      <formula>IF(計算用!$B$1=1,IFERROR(INDEX(設定!$M$8:$M$31,MATCH(G7,設定!$L$8:$L$31,0)),""),IFERROR(INDEX(設定!$H$8:$H$31,MATCH(G7,設定!$G$8:$G$31,0)),""))="黒"</formula>
    </cfRule>
    <cfRule type="expression" priority="26" dxfId="1">
      <formula>IF(計算用!$B$1=1,IFERROR(INDEX(設定!$M$8:$M$31,MATCH(G7,設定!$L$8:$L$31,0)),""),IFERROR(INDEX(設定!$H$8:$H$31,MATCH(G7,設定!$G$8:$G$31,0)),""))="赤"</formula>
    </cfRule>
    <cfRule type="expression" priority="27" dxfId="2">
      <formula>IF(計算用!$B$1=1,IFERROR(INDEX(設定!$M$8:$M$31,MATCH(G7,設定!$L$8:$L$31,0)),""),IFERROR(INDEX(設定!$H$8:$H$31,MATCH(G7,設定!$G$8:$G$31,0)),""))="青"</formula>
    </cfRule>
    <cfRule type="expression" priority="28" dxfId="3">
      <formula>IF(計算用!$B$1=1,IFERROR(INDEX(設定!$M$8:$M$31,MATCH(G7,設定!$L$8:$L$31,0)),""),IFERROR(INDEX(設定!$H$8:$H$31,MATCH(G7,設定!$G$8:$G$31,0)),""))="緑"</formula>
    </cfRule>
    <cfRule type="expression" priority="29" dxfId="4">
      <formula>IF(計算用!$B$1=1,IFERROR(INDEX(設定!$M$8:$M$31,MATCH(G7,設定!$L$8:$L$31,0)),""),IFERROR(INDEX(設定!$H$8:$H$31,MATCH(G7,設定!$G$8:$G$31,0)),""))="黄"</formula>
    </cfRule>
    <cfRule type="expression" priority="30" dxfId="5">
      <formula>IF(計算用!$B$1=1,IFERROR(INDEX(設定!$M$8:$M$31,MATCH(G7,設定!$L$8:$L$31,0)),""),IFERROR(INDEX(設定!$H$8:$H$31,MATCH(G7,設定!$G$8:$G$31,0)),""))="橙"</formula>
    </cfRule>
    <cfRule type="expression" priority="31" dxfId="6">
      <formula>IF(計算用!$B$1=1,IFERROR(INDEX(設定!$M$8:$M$31,MATCH(G7,設定!$L$8:$L$31,0)),""),IFERROR(INDEX(設定!$H$8:$H$31,MATCH(G7,設定!$G$8:$G$31,0)),""))="紫"</formula>
    </cfRule>
    <cfRule type="expression" priority="32" dxfId="7">
      <formula>IF(計算用!$B$1=1,IFERROR(INDEX(設定!$M$8:$M$31,MATCH(G7,設定!$L$8:$L$31,0)),""),IFERROR(INDEX(設定!$H$8:$H$31,MATCH(G7,設定!$G$8:$G$31,0)),""))="茶"</formula>
    </cfRule>
  </conditionalFormatting>
  <conditionalFormatting sqref="I7:I56">
    <cfRule type="expression" priority="33" dxfId="0">
      <formula>IF(計算用!$B$1=1,IFERROR(INDEX(設定!$M$8:$M$31,MATCH(I7,設定!$L$8:$L$31,0)),""),IFERROR(INDEX(設定!$H$8:$H$31,MATCH(I7,設定!$G$8:$G$31,0)),""))="黒"</formula>
    </cfRule>
    <cfRule type="expression" priority="34" dxfId="1">
      <formula>IF(計算用!$B$1=1,IFERROR(INDEX(設定!$M$8:$M$31,MATCH(I7,設定!$L$8:$L$31,0)),""),IFERROR(INDEX(設定!$H$8:$H$31,MATCH(I7,設定!$G$8:$G$31,0)),""))="赤"</formula>
    </cfRule>
    <cfRule type="expression" priority="35" dxfId="2">
      <formula>IF(計算用!$B$1=1,IFERROR(INDEX(設定!$M$8:$M$31,MATCH(I7,設定!$L$8:$L$31,0)),""),IFERROR(INDEX(設定!$H$8:$H$31,MATCH(I7,設定!$G$8:$G$31,0)),""))="青"</formula>
    </cfRule>
    <cfRule type="expression" priority="36" dxfId="3">
      <formula>IF(計算用!$B$1=1,IFERROR(INDEX(設定!$M$8:$M$31,MATCH(I7,設定!$L$8:$L$31,0)),""),IFERROR(INDEX(設定!$H$8:$H$31,MATCH(I7,設定!$G$8:$G$31,0)),""))="緑"</formula>
    </cfRule>
    <cfRule type="expression" priority="37" dxfId="4">
      <formula>IF(計算用!$B$1=1,IFERROR(INDEX(設定!$M$8:$M$31,MATCH(I7,設定!$L$8:$L$31,0)),""),IFERROR(INDEX(設定!$H$8:$H$31,MATCH(I7,設定!$G$8:$G$31,0)),""))="黄"</formula>
    </cfRule>
    <cfRule type="expression" priority="38" dxfId="5">
      <formula>IF(計算用!$B$1=1,IFERROR(INDEX(設定!$M$8:$M$31,MATCH(I7,設定!$L$8:$L$31,0)),""),IFERROR(INDEX(設定!$H$8:$H$31,MATCH(I7,設定!$G$8:$G$31,0)),""))="橙"</formula>
    </cfRule>
    <cfRule type="expression" priority="39" dxfId="6">
      <formula>IF(計算用!$B$1=1,IFERROR(INDEX(設定!$M$8:$M$31,MATCH(I7,設定!$L$8:$L$31,0)),""),IFERROR(INDEX(設定!$H$8:$H$31,MATCH(I7,設定!$G$8:$G$31,0)),""))="紫"</formula>
    </cfRule>
    <cfRule type="expression" priority="40" dxfId="7">
      <formula>IF(計算用!$B$1=1,IFERROR(INDEX(設定!$M$8:$M$31,MATCH(I7,設定!$L$8:$L$31,0)),""),IFERROR(INDEX(設定!$H$8:$H$31,MATCH(I7,設定!$G$8:$G$31,0)),""))="茶"</formula>
    </cfRule>
  </conditionalFormatting>
  <conditionalFormatting sqref="K7:K56">
    <cfRule type="expression" priority="41" dxfId="0">
      <formula>IF(計算用!$B$1=1,IFERROR(INDEX(設定!$M$8:$M$31,MATCH(K7,設定!$L$8:$L$31,0)),""),IFERROR(INDEX(設定!$H$8:$H$31,MATCH(K7,設定!$G$8:$G$31,0)),""))="黒"</formula>
    </cfRule>
    <cfRule type="expression" priority="42" dxfId="1">
      <formula>IF(計算用!$B$1=1,IFERROR(INDEX(設定!$M$8:$M$31,MATCH(K7,設定!$L$8:$L$31,0)),""),IFERROR(INDEX(設定!$H$8:$H$31,MATCH(K7,設定!$G$8:$G$31,0)),""))="赤"</formula>
    </cfRule>
    <cfRule type="expression" priority="43" dxfId="2">
      <formula>IF(計算用!$B$1=1,IFERROR(INDEX(設定!$M$8:$M$31,MATCH(K7,設定!$L$8:$L$31,0)),""),IFERROR(INDEX(設定!$H$8:$H$31,MATCH(K7,設定!$G$8:$G$31,0)),""))="青"</formula>
    </cfRule>
    <cfRule type="expression" priority="44" dxfId="3">
      <formula>IF(計算用!$B$1=1,IFERROR(INDEX(設定!$M$8:$M$31,MATCH(K7,設定!$L$8:$L$31,0)),""),IFERROR(INDEX(設定!$H$8:$H$31,MATCH(K7,設定!$G$8:$G$31,0)),""))="緑"</formula>
    </cfRule>
    <cfRule type="expression" priority="45" dxfId="4">
      <formula>IF(計算用!$B$1=1,IFERROR(INDEX(設定!$M$8:$M$31,MATCH(K7,設定!$L$8:$L$31,0)),""),IFERROR(INDEX(設定!$H$8:$H$31,MATCH(K7,設定!$G$8:$G$31,0)),""))="黄"</formula>
    </cfRule>
    <cfRule type="expression" priority="46" dxfId="5">
      <formula>IF(計算用!$B$1=1,IFERROR(INDEX(設定!$M$8:$M$31,MATCH(K7,設定!$L$8:$L$31,0)),""),IFERROR(INDEX(設定!$H$8:$H$31,MATCH(K7,設定!$G$8:$G$31,0)),""))="橙"</formula>
    </cfRule>
    <cfRule type="expression" priority="47" dxfId="6">
      <formula>IF(計算用!$B$1=1,IFERROR(INDEX(設定!$M$8:$M$31,MATCH(K7,設定!$L$8:$L$31,0)),""),IFERROR(INDEX(設定!$H$8:$H$31,MATCH(K7,設定!$G$8:$G$31,0)),""))="紫"</formula>
    </cfRule>
    <cfRule type="expression" priority="48" dxfId="7">
      <formula>IF(計算用!$B$1=1,IFERROR(INDEX(設定!$M$8:$M$31,MATCH(K7,設定!$L$8:$L$31,0)),""),IFERROR(INDEX(設定!$H$8:$H$31,MATCH(K7,設定!$G$8:$G$31,0)),""))="茶"</formula>
    </cfRule>
  </conditionalFormatting>
  <conditionalFormatting sqref="M7:M56">
    <cfRule type="expression" priority="49" dxfId="0">
      <formula>IF(計算用!$B$1=1,IFERROR(INDEX(設定!$M$8:$M$31,MATCH(M7,設定!$L$8:$L$31,0)),""),IFERROR(INDEX(設定!$H$8:$H$31,MATCH(M7,設定!$G$8:$G$31,0)),""))="黒"</formula>
    </cfRule>
    <cfRule type="expression" priority="50" dxfId="1">
      <formula>IF(計算用!$B$1=1,IFERROR(INDEX(設定!$M$8:$M$31,MATCH(M7,設定!$L$8:$L$31,0)),""),IFERROR(INDEX(設定!$H$8:$H$31,MATCH(M7,設定!$G$8:$G$31,0)),""))="赤"</formula>
    </cfRule>
    <cfRule type="expression" priority="51" dxfId="2">
      <formula>IF(計算用!$B$1=1,IFERROR(INDEX(設定!$M$8:$M$31,MATCH(M7,設定!$L$8:$L$31,0)),""),IFERROR(INDEX(設定!$H$8:$H$31,MATCH(M7,設定!$G$8:$G$31,0)),""))="青"</formula>
    </cfRule>
    <cfRule type="expression" priority="52" dxfId="3">
      <formula>IF(計算用!$B$1=1,IFERROR(INDEX(設定!$M$8:$M$31,MATCH(M7,設定!$L$8:$L$31,0)),""),IFERROR(INDEX(設定!$H$8:$H$31,MATCH(M7,設定!$G$8:$G$31,0)),""))="緑"</formula>
    </cfRule>
    <cfRule type="expression" priority="53" dxfId="4">
      <formula>IF(計算用!$B$1=1,IFERROR(INDEX(設定!$M$8:$M$31,MATCH(M7,設定!$L$8:$L$31,0)),""),IFERROR(INDEX(設定!$H$8:$H$31,MATCH(M7,設定!$G$8:$G$31,0)),""))="黄"</formula>
    </cfRule>
    <cfRule type="expression" priority="54" dxfId="5">
      <formula>IF(計算用!$B$1=1,IFERROR(INDEX(設定!$M$8:$M$31,MATCH(M7,設定!$L$8:$L$31,0)),""),IFERROR(INDEX(設定!$H$8:$H$31,MATCH(M7,設定!$G$8:$G$31,0)),""))="橙"</formula>
    </cfRule>
    <cfRule type="expression" priority="55" dxfId="6">
      <formula>IF(計算用!$B$1=1,IFERROR(INDEX(設定!$M$8:$M$31,MATCH(M7,設定!$L$8:$L$31,0)),""),IFERROR(INDEX(設定!$H$8:$H$31,MATCH(M7,設定!$G$8:$G$31,0)),""))="紫"</formula>
    </cfRule>
    <cfRule type="expression" priority="56" dxfId="7">
      <formula>IF(計算用!$B$1=1,IFERROR(INDEX(設定!$M$8:$M$31,MATCH(M7,設定!$L$8:$L$31,0)),""),IFERROR(INDEX(設定!$H$8:$H$31,MATCH(M7,設定!$G$8:$G$31,0)),""))="茶"</formula>
    </cfRule>
  </conditionalFormatting>
  <conditionalFormatting sqref="O7:O56">
    <cfRule type="expression" priority="57" dxfId="0">
      <formula>IF(計算用!$B$1=1,IFERROR(INDEX(設定!$M$8:$M$31,MATCH(O7,設定!$L$8:$L$31,0)),""),IFERROR(INDEX(設定!$H$8:$H$31,MATCH(O7,設定!$G$8:$G$31,0)),""))="黒"</formula>
    </cfRule>
    <cfRule type="expression" priority="58" dxfId="1">
      <formula>IF(計算用!$B$1=1,IFERROR(INDEX(設定!$M$8:$M$31,MATCH(O7,設定!$L$8:$L$31,0)),""),IFERROR(INDEX(設定!$H$8:$H$31,MATCH(O7,設定!$G$8:$G$31,0)),""))="赤"</formula>
    </cfRule>
    <cfRule type="expression" priority="59" dxfId="2">
      <formula>IF(計算用!$B$1=1,IFERROR(INDEX(設定!$M$8:$M$31,MATCH(O7,設定!$L$8:$L$31,0)),""),IFERROR(INDEX(設定!$H$8:$H$31,MATCH(O7,設定!$G$8:$G$31,0)),""))="青"</formula>
    </cfRule>
    <cfRule type="expression" priority="60" dxfId="3">
      <formula>IF(計算用!$B$1=1,IFERROR(INDEX(設定!$M$8:$M$31,MATCH(O7,設定!$L$8:$L$31,0)),""),IFERROR(INDEX(設定!$H$8:$H$31,MATCH(O7,設定!$G$8:$G$31,0)),""))="緑"</formula>
    </cfRule>
    <cfRule type="expression" priority="61" dxfId="4">
      <formula>IF(計算用!$B$1=1,IFERROR(INDEX(設定!$M$8:$M$31,MATCH(O7,設定!$L$8:$L$31,0)),""),IFERROR(INDEX(設定!$H$8:$H$31,MATCH(O7,設定!$G$8:$G$31,0)),""))="黄"</formula>
    </cfRule>
    <cfRule type="expression" priority="62" dxfId="5">
      <formula>IF(計算用!$B$1=1,IFERROR(INDEX(設定!$M$8:$M$31,MATCH(O7,設定!$L$8:$L$31,0)),""),IFERROR(INDEX(設定!$H$8:$H$31,MATCH(O7,設定!$G$8:$G$31,0)),""))="橙"</formula>
    </cfRule>
    <cfRule type="expression" priority="63" dxfId="6">
      <formula>IF(計算用!$B$1=1,IFERROR(INDEX(設定!$M$8:$M$31,MATCH(O7,設定!$L$8:$L$31,0)),""),IFERROR(INDEX(設定!$H$8:$H$31,MATCH(O7,設定!$G$8:$G$31,0)),""))="紫"</formula>
    </cfRule>
    <cfRule type="expression" priority="64" dxfId="7">
      <formula>IF(計算用!$B$1=1,IFERROR(INDEX(設定!$M$8:$M$31,MATCH(O7,設定!$L$8:$L$31,0)),""),IFERROR(INDEX(設定!$H$8:$H$31,MATCH(O7,設定!$G$8:$G$31,0)),""))="茶"</formula>
    </cfRule>
  </conditionalFormatting>
  <conditionalFormatting sqref="Q7:Q56">
    <cfRule type="expression" priority="65" dxfId="0">
      <formula>IF(計算用!$B$1=1,IFERROR(INDEX(設定!$M$8:$M$31,MATCH(Q7,設定!$L$8:$L$31,0)),""),IFERROR(INDEX(設定!$H$8:$H$31,MATCH(Q7,設定!$G$8:$G$31,0)),""))="黒"</formula>
    </cfRule>
    <cfRule type="expression" priority="66" dxfId="1">
      <formula>IF(計算用!$B$1=1,IFERROR(INDEX(設定!$M$8:$M$31,MATCH(Q7,設定!$L$8:$L$31,0)),""),IFERROR(INDEX(設定!$H$8:$H$31,MATCH(Q7,設定!$G$8:$G$31,0)),""))="赤"</formula>
    </cfRule>
    <cfRule type="expression" priority="67" dxfId="2">
      <formula>IF(計算用!$B$1=1,IFERROR(INDEX(設定!$M$8:$M$31,MATCH(Q7,設定!$L$8:$L$31,0)),""),IFERROR(INDEX(設定!$H$8:$H$31,MATCH(Q7,設定!$G$8:$G$31,0)),""))="青"</formula>
    </cfRule>
    <cfRule type="expression" priority="68" dxfId="3">
      <formula>IF(計算用!$B$1=1,IFERROR(INDEX(設定!$M$8:$M$31,MATCH(Q7,設定!$L$8:$L$31,0)),""),IFERROR(INDEX(設定!$H$8:$H$31,MATCH(Q7,設定!$G$8:$G$31,0)),""))="緑"</formula>
    </cfRule>
    <cfRule type="expression" priority="69" dxfId="4">
      <formula>IF(計算用!$B$1=1,IFERROR(INDEX(設定!$M$8:$M$31,MATCH(Q7,設定!$L$8:$L$31,0)),""),IFERROR(INDEX(設定!$H$8:$H$31,MATCH(Q7,設定!$G$8:$G$31,0)),""))="黄"</formula>
    </cfRule>
    <cfRule type="expression" priority="70" dxfId="5">
      <formula>IF(計算用!$B$1=1,IFERROR(INDEX(設定!$M$8:$M$31,MATCH(Q7,設定!$L$8:$L$31,0)),""),IFERROR(INDEX(設定!$H$8:$H$31,MATCH(Q7,設定!$G$8:$G$31,0)),""))="橙"</formula>
    </cfRule>
    <cfRule type="expression" priority="71" dxfId="6">
      <formula>IF(計算用!$B$1=1,IFERROR(INDEX(設定!$M$8:$M$31,MATCH(Q7,設定!$L$8:$L$31,0)),""),IFERROR(INDEX(設定!$H$8:$H$31,MATCH(Q7,設定!$G$8:$G$31,0)),""))="紫"</formula>
    </cfRule>
    <cfRule type="expression" priority="72" dxfId="7">
      <formula>IF(計算用!$B$1=1,IFERROR(INDEX(設定!$M$8:$M$31,MATCH(Q7,設定!$L$8:$L$31,0)),""),IFERROR(INDEX(設定!$H$8:$H$31,MATCH(Q7,設定!$G$8:$G$31,0)),""))="茶"</formula>
    </cfRule>
  </conditionalFormatting>
  <conditionalFormatting sqref="S7:S56">
    <cfRule type="expression" priority="73" dxfId="0">
      <formula>IF(計算用!$B$1=1,IFERROR(INDEX(設定!$M$8:$M$31,MATCH(S7,設定!$L$8:$L$31,0)),""),IFERROR(INDEX(設定!$H$8:$H$31,MATCH(S7,設定!$G$8:$G$31,0)),""))="黒"</formula>
    </cfRule>
    <cfRule type="expression" priority="74" dxfId="1">
      <formula>IF(計算用!$B$1=1,IFERROR(INDEX(設定!$M$8:$M$31,MATCH(S7,設定!$L$8:$L$31,0)),""),IFERROR(INDEX(設定!$H$8:$H$31,MATCH(S7,設定!$G$8:$G$31,0)),""))="赤"</formula>
    </cfRule>
    <cfRule type="expression" priority="75" dxfId="2">
      <formula>IF(計算用!$B$1=1,IFERROR(INDEX(設定!$M$8:$M$31,MATCH(S7,設定!$L$8:$L$31,0)),""),IFERROR(INDEX(設定!$H$8:$H$31,MATCH(S7,設定!$G$8:$G$31,0)),""))="青"</formula>
    </cfRule>
    <cfRule type="expression" priority="76" dxfId="3">
      <formula>IF(計算用!$B$1=1,IFERROR(INDEX(設定!$M$8:$M$31,MATCH(S7,設定!$L$8:$L$31,0)),""),IFERROR(INDEX(設定!$H$8:$H$31,MATCH(S7,設定!$G$8:$G$31,0)),""))="緑"</formula>
    </cfRule>
    <cfRule type="expression" priority="77" dxfId="4">
      <formula>IF(計算用!$B$1=1,IFERROR(INDEX(設定!$M$8:$M$31,MATCH(S7,設定!$L$8:$L$31,0)),""),IFERROR(INDEX(設定!$H$8:$H$31,MATCH(S7,設定!$G$8:$G$31,0)),""))="黄"</formula>
    </cfRule>
    <cfRule type="expression" priority="78" dxfId="5">
      <formula>IF(計算用!$B$1=1,IFERROR(INDEX(設定!$M$8:$M$31,MATCH(S7,設定!$L$8:$L$31,0)),""),IFERROR(INDEX(設定!$H$8:$H$31,MATCH(S7,設定!$G$8:$G$31,0)),""))="橙"</formula>
    </cfRule>
    <cfRule type="expression" priority="79" dxfId="6">
      <formula>IF(計算用!$B$1=1,IFERROR(INDEX(設定!$M$8:$M$31,MATCH(S7,設定!$L$8:$L$31,0)),""),IFERROR(INDEX(設定!$H$8:$H$31,MATCH(S7,設定!$G$8:$G$31,0)),""))="紫"</formula>
    </cfRule>
    <cfRule type="expression" priority="80" dxfId="7">
      <formula>IF(計算用!$B$1=1,IFERROR(INDEX(設定!$M$8:$M$31,MATCH(S7,設定!$L$8:$L$31,0)),""),IFERROR(INDEX(設定!$H$8:$H$31,MATCH(S7,設定!$G$8:$G$31,0)),""))="茶"</formula>
    </cfRule>
  </conditionalFormatting>
  <conditionalFormatting sqref="A62:A111">
    <cfRule type="expression" priority="81" dxfId="0">
      <formula>IF(計算用!$B$1=1,IFERROR(INDEX(設定!$M$8:$M$31,MATCH(A62,設定!$L$8:$L$31,0)),""),IFERROR(INDEX(設定!$H$8:$H$31,MATCH(A62,設定!$G$8:$G$31,0)),""))="黒"</formula>
    </cfRule>
    <cfRule type="expression" priority="82" dxfId="1">
      <formula>IF(計算用!$B$1=1,IFERROR(INDEX(設定!$M$8:$M$31,MATCH(A62,設定!$L$8:$L$31,0)),""),IFERROR(INDEX(設定!$H$8:$H$31,MATCH(A62,設定!$G$8:$G$31,0)),""))="赤"</formula>
    </cfRule>
    <cfRule type="expression" priority="83" dxfId="2">
      <formula>IF(計算用!$B$1=1,IFERROR(INDEX(設定!$M$8:$M$31,MATCH(A62,設定!$L$8:$L$31,0)),""),IFERROR(INDEX(設定!$H$8:$H$31,MATCH(A62,設定!$G$8:$G$31,0)),""))="青"</formula>
    </cfRule>
    <cfRule type="expression" priority="84" dxfId="3">
      <formula>IF(計算用!$B$1=1,IFERROR(INDEX(設定!$M$8:$M$31,MATCH(A62,設定!$L$8:$L$31,0)),""),IFERROR(INDEX(設定!$H$8:$H$31,MATCH(A62,設定!$G$8:$G$31,0)),""))="緑"</formula>
    </cfRule>
    <cfRule type="expression" priority="85" dxfId="4">
      <formula>IF(計算用!$B$1=1,IFERROR(INDEX(設定!$M$8:$M$31,MATCH(A62,設定!$L$8:$L$31,0)),""),IFERROR(INDEX(設定!$H$8:$H$31,MATCH(A62,設定!$G$8:$G$31,0)),""))="黄"</formula>
    </cfRule>
    <cfRule type="expression" priority="86" dxfId="5">
      <formula>IF(計算用!$B$1=1,IFERROR(INDEX(設定!$M$8:$M$31,MATCH(A62,設定!$L$8:$L$31,0)),""),IFERROR(INDEX(設定!$H$8:$H$31,MATCH(A62,設定!$G$8:$G$31,0)),""))="橙"</formula>
    </cfRule>
    <cfRule type="expression" priority="87" dxfId="6">
      <formula>IF(計算用!$B$1=1,IFERROR(INDEX(設定!$M$8:$M$31,MATCH(A62,設定!$L$8:$L$31,0)),""),IFERROR(INDEX(設定!$H$8:$H$31,MATCH(A62,設定!$G$8:$G$31,0)),""))="紫"</formula>
    </cfRule>
    <cfRule type="expression" priority="88" dxfId="7">
      <formula>IF(計算用!$B$1=1,IFERROR(INDEX(設定!$M$8:$M$31,MATCH(A62,設定!$L$8:$L$31,0)),""),IFERROR(INDEX(設定!$H$8:$H$31,MATCH(A62,設定!$G$8:$G$31,0)),""))="茶"</formula>
    </cfRule>
  </conditionalFormatting>
  <conditionalFormatting sqref="C62:C111">
    <cfRule type="expression" priority="89" dxfId="0">
      <formula>IF(計算用!$B$1=1,IFERROR(INDEX(設定!$M$8:$M$31,MATCH(C62,設定!$L$8:$L$31,0)),""),IFERROR(INDEX(設定!$H$8:$H$31,MATCH(C62,設定!$G$8:$G$31,0)),""))="黒"</formula>
    </cfRule>
    <cfRule type="expression" priority="90" dxfId="1">
      <formula>IF(計算用!$B$1=1,IFERROR(INDEX(設定!$M$8:$M$31,MATCH(C62,設定!$L$8:$L$31,0)),""),IFERROR(INDEX(設定!$H$8:$H$31,MATCH(C62,設定!$G$8:$G$31,0)),""))="赤"</formula>
    </cfRule>
    <cfRule type="expression" priority="91" dxfId="2">
      <formula>IF(計算用!$B$1=1,IFERROR(INDEX(設定!$M$8:$M$31,MATCH(C62,設定!$L$8:$L$31,0)),""),IFERROR(INDEX(設定!$H$8:$H$31,MATCH(C62,設定!$G$8:$G$31,0)),""))="青"</formula>
    </cfRule>
    <cfRule type="expression" priority="92" dxfId="3">
      <formula>IF(計算用!$B$1=1,IFERROR(INDEX(設定!$M$8:$M$31,MATCH(C62,設定!$L$8:$L$31,0)),""),IFERROR(INDEX(設定!$H$8:$H$31,MATCH(C62,設定!$G$8:$G$31,0)),""))="緑"</formula>
    </cfRule>
    <cfRule type="expression" priority="93" dxfId="4">
      <formula>IF(計算用!$B$1=1,IFERROR(INDEX(設定!$M$8:$M$31,MATCH(C62,設定!$L$8:$L$31,0)),""),IFERROR(INDEX(設定!$H$8:$H$31,MATCH(C62,設定!$G$8:$G$31,0)),""))="黄"</formula>
    </cfRule>
    <cfRule type="expression" priority="94" dxfId="5">
      <formula>IF(計算用!$B$1=1,IFERROR(INDEX(設定!$M$8:$M$31,MATCH(C62,設定!$L$8:$L$31,0)),""),IFERROR(INDEX(設定!$H$8:$H$31,MATCH(C62,設定!$G$8:$G$31,0)),""))="橙"</formula>
    </cfRule>
    <cfRule type="expression" priority="95" dxfId="6">
      <formula>IF(計算用!$B$1=1,IFERROR(INDEX(設定!$M$8:$M$31,MATCH(C62,設定!$L$8:$L$31,0)),""),IFERROR(INDEX(設定!$H$8:$H$31,MATCH(C62,設定!$G$8:$G$31,0)),""))="紫"</formula>
    </cfRule>
    <cfRule type="expression" priority="96" dxfId="7">
      <formula>IF(計算用!$B$1=1,IFERROR(INDEX(設定!$M$8:$M$31,MATCH(C62,設定!$L$8:$L$31,0)),""),IFERROR(INDEX(設定!$H$8:$H$31,MATCH(C62,設定!$G$8:$G$31,0)),""))="茶"</formula>
    </cfRule>
  </conditionalFormatting>
  <conditionalFormatting sqref="E62:E111">
    <cfRule type="expression" priority="97" dxfId="0">
      <formula>IF(計算用!$B$1=1,IFERROR(INDEX(設定!$M$8:$M$31,MATCH(E62,設定!$L$8:$L$31,0)),""),IFERROR(INDEX(設定!$H$8:$H$31,MATCH(E62,設定!$G$8:$G$31,0)),""))="黒"</formula>
    </cfRule>
    <cfRule type="expression" priority="98" dxfId="1">
      <formula>IF(計算用!$B$1=1,IFERROR(INDEX(設定!$M$8:$M$31,MATCH(E62,設定!$L$8:$L$31,0)),""),IFERROR(INDEX(設定!$H$8:$H$31,MATCH(E62,設定!$G$8:$G$31,0)),""))="赤"</formula>
    </cfRule>
    <cfRule type="expression" priority="99" dxfId="2">
      <formula>IF(計算用!$B$1=1,IFERROR(INDEX(設定!$M$8:$M$31,MATCH(E62,設定!$L$8:$L$31,0)),""),IFERROR(INDEX(設定!$H$8:$H$31,MATCH(E62,設定!$G$8:$G$31,0)),""))="青"</formula>
    </cfRule>
    <cfRule type="expression" priority="100" dxfId="3">
      <formula>IF(計算用!$B$1=1,IFERROR(INDEX(設定!$M$8:$M$31,MATCH(E62,設定!$L$8:$L$31,0)),""),IFERROR(INDEX(設定!$H$8:$H$31,MATCH(E62,設定!$G$8:$G$31,0)),""))="緑"</formula>
    </cfRule>
    <cfRule type="expression" priority="101" dxfId="4">
      <formula>IF(計算用!$B$1=1,IFERROR(INDEX(設定!$M$8:$M$31,MATCH(E62,設定!$L$8:$L$31,0)),""),IFERROR(INDEX(設定!$H$8:$H$31,MATCH(E62,設定!$G$8:$G$31,0)),""))="黄"</formula>
    </cfRule>
    <cfRule type="expression" priority="102" dxfId="5">
      <formula>IF(計算用!$B$1=1,IFERROR(INDEX(設定!$M$8:$M$31,MATCH(E62,設定!$L$8:$L$31,0)),""),IFERROR(INDEX(設定!$H$8:$H$31,MATCH(E62,設定!$G$8:$G$31,0)),""))="橙"</formula>
    </cfRule>
    <cfRule type="expression" priority="103" dxfId="6">
      <formula>IF(計算用!$B$1=1,IFERROR(INDEX(設定!$M$8:$M$31,MATCH(E62,設定!$L$8:$L$31,0)),""),IFERROR(INDEX(設定!$H$8:$H$31,MATCH(E62,設定!$G$8:$G$31,0)),""))="紫"</formula>
    </cfRule>
    <cfRule type="expression" priority="104" dxfId="7">
      <formula>IF(計算用!$B$1=1,IFERROR(INDEX(設定!$M$8:$M$31,MATCH(E62,設定!$L$8:$L$31,0)),""),IFERROR(INDEX(設定!$H$8:$H$31,MATCH(E62,設定!$G$8:$G$31,0)),""))="茶"</formula>
    </cfRule>
  </conditionalFormatting>
  <conditionalFormatting sqref="G62:G111">
    <cfRule type="expression" priority="105" dxfId="0">
      <formula>IF(計算用!$B$1=1,IFERROR(INDEX(設定!$M$8:$M$31,MATCH(G62,設定!$L$8:$L$31,0)),""),IFERROR(INDEX(設定!$H$8:$H$31,MATCH(G62,設定!$G$8:$G$31,0)),""))="黒"</formula>
    </cfRule>
    <cfRule type="expression" priority="106" dxfId="1">
      <formula>IF(計算用!$B$1=1,IFERROR(INDEX(設定!$M$8:$M$31,MATCH(G62,設定!$L$8:$L$31,0)),""),IFERROR(INDEX(設定!$H$8:$H$31,MATCH(G62,設定!$G$8:$G$31,0)),""))="赤"</formula>
    </cfRule>
    <cfRule type="expression" priority="107" dxfId="2">
      <formula>IF(計算用!$B$1=1,IFERROR(INDEX(設定!$M$8:$M$31,MATCH(G62,設定!$L$8:$L$31,0)),""),IFERROR(INDEX(設定!$H$8:$H$31,MATCH(G62,設定!$G$8:$G$31,0)),""))="青"</formula>
    </cfRule>
    <cfRule type="expression" priority="108" dxfId="3">
      <formula>IF(計算用!$B$1=1,IFERROR(INDEX(設定!$M$8:$M$31,MATCH(G62,設定!$L$8:$L$31,0)),""),IFERROR(INDEX(設定!$H$8:$H$31,MATCH(G62,設定!$G$8:$G$31,0)),""))="緑"</formula>
    </cfRule>
    <cfRule type="expression" priority="109" dxfId="4">
      <formula>IF(計算用!$B$1=1,IFERROR(INDEX(設定!$M$8:$M$31,MATCH(G62,設定!$L$8:$L$31,0)),""),IFERROR(INDEX(設定!$H$8:$H$31,MATCH(G62,設定!$G$8:$G$31,0)),""))="黄"</formula>
    </cfRule>
    <cfRule type="expression" priority="110" dxfId="5">
      <formula>IF(計算用!$B$1=1,IFERROR(INDEX(設定!$M$8:$M$31,MATCH(G62,設定!$L$8:$L$31,0)),""),IFERROR(INDEX(設定!$H$8:$H$31,MATCH(G62,設定!$G$8:$G$31,0)),""))="橙"</formula>
    </cfRule>
    <cfRule type="expression" priority="111" dxfId="6">
      <formula>IF(計算用!$B$1=1,IFERROR(INDEX(設定!$M$8:$M$31,MATCH(G62,設定!$L$8:$L$31,0)),""),IFERROR(INDEX(設定!$H$8:$H$31,MATCH(G62,設定!$G$8:$G$31,0)),""))="紫"</formula>
    </cfRule>
    <cfRule type="expression" priority="112" dxfId="7">
      <formula>IF(計算用!$B$1=1,IFERROR(INDEX(設定!$M$8:$M$31,MATCH(G62,設定!$L$8:$L$31,0)),""),IFERROR(INDEX(設定!$H$8:$H$31,MATCH(G62,設定!$G$8:$G$31,0)),""))="茶"</formula>
    </cfRule>
  </conditionalFormatting>
  <conditionalFormatting sqref="I62:I111">
    <cfRule type="expression" priority="113" dxfId="0">
      <formula>IF(計算用!$B$1=1,IFERROR(INDEX(設定!$M$8:$M$31,MATCH(I62,設定!$L$8:$L$31,0)),""),IFERROR(INDEX(設定!$H$8:$H$31,MATCH(I62,設定!$G$8:$G$31,0)),""))="黒"</formula>
    </cfRule>
    <cfRule type="expression" priority="114" dxfId="1">
      <formula>IF(計算用!$B$1=1,IFERROR(INDEX(設定!$M$8:$M$31,MATCH(I62,設定!$L$8:$L$31,0)),""),IFERROR(INDEX(設定!$H$8:$H$31,MATCH(I62,設定!$G$8:$G$31,0)),""))="赤"</formula>
    </cfRule>
    <cfRule type="expression" priority="115" dxfId="2">
      <formula>IF(計算用!$B$1=1,IFERROR(INDEX(設定!$M$8:$M$31,MATCH(I62,設定!$L$8:$L$31,0)),""),IFERROR(INDEX(設定!$H$8:$H$31,MATCH(I62,設定!$G$8:$G$31,0)),""))="青"</formula>
    </cfRule>
    <cfRule type="expression" priority="116" dxfId="3">
      <formula>IF(計算用!$B$1=1,IFERROR(INDEX(設定!$M$8:$M$31,MATCH(I62,設定!$L$8:$L$31,0)),""),IFERROR(INDEX(設定!$H$8:$H$31,MATCH(I62,設定!$G$8:$G$31,0)),""))="緑"</formula>
    </cfRule>
    <cfRule type="expression" priority="117" dxfId="4">
      <formula>IF(計算用!$B$1=1,IFERROR(INDEX(設定!$M$8:$M$31,MATCH(I62,設定!$L$8:$L$31,0)),""),IFERROR(INDEX(設定!$H$8:$H$31,MATCH(I62,設定!$G$8:$G$31,0)),""))="黄"</formula>
    </cfRule>
    <cfRule type="expression" priority="118" dxfId="5">
      <formula>IF(計算用!$B$1=1,IFERROR(INDEX(設定!$M$8:$M$31,MATCH(I62,設定!$L$8:$L$31,0)),""),IFERROR(INDEX(設定!$H$8:$H$31,MATCH(I62,設定!$G$8:$G$31,0)),""))="橙"</formula>
    </cfRule>
    <cfRule type="expression" priority="119" dxfId="6">
      <formula>IF(計算用!$B$1=1,IFERROR(INDEX(設定!$M$8:$M$31,MATCH(I62,設定!$L$8:$L$31,0)),""),IFERROR(INDEX(設定!$H$8:$H$31,MATCH(I62,設定!$G$8:$G$31,0)),""))="紫"</formula>
    </cfRule>
    <cfRule type="expression" priority="120" dxfId="7">
      <formula>IF(計算用!$B$1=1,IFERROR(INDEX(設定!$M$8:$M$31,MATCH(I62,設定!$L$8:$L$31,0)),""),IFERROR(INDEX(設定!$H$8:$H$31,MATCH(I62,設定!$G$8:$G$31,0)),""))="茶"</formula>
    </cfRule>
  </conditionalFormatting>
  <conditionalFormatting sqref="K62:K111">
    <cfRule type="expression" priority="121" dxfId="0">
      <formula>IF(計算用!$B$1=1,IFERROR(INDEX(設定!$M$8:$M$31,MATCH(K62,設定!$L$8:$L$31,0)),""),IFERROR(INDEX(設定!$H$8:$H$31,MATCH(K62,設定!$G$8:$G$31,0)),""))="黒"</formula>
    </cfRule>
    <cfRule type="expression" priority="122" dxfId="1">
      <formula>IF(計算用!$B$1=1,IFERROR(INDEX(設定!$M$8:$M$31,MATCH(K62,設定!$L$8:$L$31,0)),""),IFERROR(INDEX(設定!$H$8:$H$31,MATCH(K62,設定!$G$8:$G$31,0)),""))="赤"</formula>
    </cfRule>
    <cfRule type="expression" priority="123" dxfId="2">
      <formula>IF(計算用!$B$1=1,IFERROR(INDEX(設定!$M$8:$M$31,MATCH(K62,設定!$L$8:$L$31,0)),""),IFERROR(INDEX(設定!$H$8:$H$31,MATCH(K62,設定!$G$8:$G$31,0)),""))="青"</formula>
    </cfRule>
    <cfRule type="expression" priority="124" dxfId="3">
      <formula>IF(計算用!$B$1=1,IFERROR(INDEX(設定!$M$8:$M$31,MATCH(K62,設定!$L$8:$L$31,0)),""),IFERROR(INDEX(設定!$H$8:$H$31,MATCH(K62,設定!$G$8:$G$31,0)),""))="緑"</formula>
    </cfRule>
    <cfRule type="expression" priority="125" dxfId="4">
      <formula>IF(計算用!$B$1=1,IFERROR(INDEX(設定!$M$8:$M$31,MATCH(K62,設定!$L$8:$L$31,0)),""),IFERROR(INDEX(設定!$H$8:$H$31,MATCH(K62,設定!$G$8:$G$31,0)),""))="黄"</formula>
    </cfRule>
    <cfRule type="expression" priority="126" dxfId="5">
      <formula>IF(計算用!$B$1=1,IFERROR(INDEX(設定!$M$8:$M$31,MATCH(K62,設定!$L$8:$L$31,0)),""),IFERROR(INDEX(設定!$H$8:$H$31,MATCH(K62,設定!$G$8:$G$31,0)),""))="橙"</formula>
    </cfRule>
    <cfRule type="expression" priority="127" dxfId="6">
      <formula>IF(計算用!$B$1=1,IFERROR(INDEX(設定!$M$8:$M$31,MATCH(K62,設定!$L$8:$L$31,0)),""),IFERROR(INDEX(設定!$H$8:$H$31,MATCH(K62,設定!$G$8:$G$31,0)),""))="紫"</formula>
    </cfRule>
    <cfRule type="expression" priority="128" dxfId="7">
      <formula>IF(計算用!$B$1=1,IFERROR(INDEX(設定!$M$8:$M$31,MATCH(K62,設定!$L$8:$L$31,0)),""),IFERROR(INDEX(設定!$H$8:$H$31,MATCH(K62,設定!$G$8:$G$31,0)),""))="茶"</formula>
    </cfRule>
  </conditionalFormatting>
  <conditionalFormatting sqref="M62:M111">
    <cfRule type="expression" priority="129" dxfId="0">
      <formula>IF(計算用!$B$1=1,IFERROR(INDEX(設定!$M$8:$M$31,MATCH(M62,設定!$L$8:$L$31,0)),""),IFERROR(INDEX(設定!$H$8:$H$31,MATCH(M62,設定!$G$8:$G$31,0)),""))="黒"</formula>
    </cfRule>
    <cfRule type="expression" priority="130" dxfId="1">
      <formula>IF(計算用!$B$1=1,IFERROR(INDEX(設定!$M$8:$M$31,MATCH(M62,設定!$L$8:$L$31,0)),""),IFERROR(INDEX(設定!$H$8:$H$31,MATCH(M62,設定!$G$8:$G$31,0)),""))="赤"</formula>
    </cfRule>
    <cfRule type="expression" priority="131" dxfId="2">
      <formula>IF(計算用!$B$1=1,IFERROR(INDEX(設定!$M$8:$M$31,MATCH(M62,設定!$L$8:$L$31,0)),""),IFERROR(INDEX(設定!$H$8:$H$31,MATCH(M62,設定!$G$8:$G$31,0)),""))="青"</formula>
    </cfRule>
    <cfRule type="expression" priority="132" dxfId="3">
      <formula>IF(計算用!$B$1=1,IFERROR(INDEX(設定!$M$8:$M$31,MATCH(M62,設定!$L$8:$L$31,0)),""),IFERROR(INDEX(設定!$H$8:$H$31,MATCH(M62,設定!$G$8:$G$31,0)),""))="緑"</formula>
    </cfRule>
    <cfRule type="expression" priority="133" dxfId="4">
      <formula>IF(計算用!$B$1=1,IFERROR(INDEX(設定!$M$8:$M$31,MATCH(M62,設定!$L$8:$L$31,0)),""),IFERROR(INDEX(設定!$H$8:$H$31,MATCH(M62,設定!$G$8:$G$31,0)),""))="黄"</formula>
    </cfRule>
    <cfRule type="expression" priority="134" dxfId="5">
      <formula>IF(計算用!$B$1=1,IFERROR(INDEX(設定!$M$8:$M$31,MATCH(M62,設定!$L$8:$L$31,0)),""),IFERROR(INDEX(設定!$H$8:$H$31,MATCH(M62,設定!$G$8:$G$31,0)),""))="橙"</formula>
    </cfRule>
    <cfRule type="expression" priority="135" dxfId="6">
      <formula>IF(計算用!$B$1=1,IFERROR(INDEX(設定!$M$8:$M$31,MATCH(M62,設定!$L$8:$L$31,0)),""),IFERROR(INDEX(設定!$H$8:$H$31,MATCH(M62,設定!$G$8:$G$31,0)),""))="紫"</formula>
    </cfRule>
    <cfRule type="expression" priority="136" dxfId="7">
      <formula>IF(計算用!$B$1=1,IFERROR(INDEX(設定!$M$8:$M$31,MATCH(M62,設定!$L$8:$L$31,0)),""),IFERROR(INDEX(設定!$H$8:$H$31,MATCH(M62,設定!$G$8:$G$31,0)),""))="茶"</formula>
    </cfRule>
  </conditionalFormatting>
  <conditionalFormatting sqref="O62:O111">
    <cfRule type="expression" priority="137" dxfId="0">
      <formula>IF(計算用!$B$1=1,IFERROR(INDEX(設定!$M$8:$M$31,MATCH(O62,設定!$L$8:$L$31,0)),""),IFERROR(INDEX(設定!$H$8:$H$31,MATCH(O62,設定!$G$8:$G$31,0)),""))="黒"</formula>
    </cfRule>
    <cfRule type="expression" priority="138" dxfId="1">
      <formula>IF(計算用!$B$1=1,IFERROR(INDEX(設定!$M$8:$M$31,MATCH(O62,設定!$L$8:$L$31,0)),""),IFERROR(INDEX(設定!$H$8:$H$31,MATCH(O62,設定!$G$8:$G$31,0)),""))="赤"</formula>
    </cfRule>
    <cfRule type="expression" priority="139" dxfId="2">
      <formula>IF(計算用!$B$1=1,IFERROR(INDEX(設定!$M$8:$M$31,MATCH(O62,設定!$L$8:$L$31,0)),""),IFERROR(INDEX(設定!$H$8:$H$31,MATCH(O62,設定!$G$8:$G$31,0)),""))="青"</formula>
    </cfRule>
    <cfRule type="expression" priority="140" dxfId="3">
      <formula>IF(計算用!$B$1=1,IFERROR(INDEX(設定!$M$8:$M$31,MATCH(O62,設定!$L$8:$L$31,0)),""),IFERROR(INDEX(設定!$H$8:$H$31,MATCH(O62,設定!$G$8:$G$31,0)),""))="緑"</formula>
    </cfRule>
    <cfRule type="expression" priority="141" dxfId="4">
      <formula>IF(計算用!$B$1=1,IFERROR(INDEX(設定!$M$8:$M$31,MATCH(O62,設定!$L$8:$L$31,0)),""),IFERROR(INDEX(設定!$H$8:$H$31,MATCH(O62,設定!$G$8:$G$31,0)),""))="黄"</formula>
    </cfRule>
    <cfRule type="expression" priority="142" dxfId="5">
      <formula>IF(計算用!$B$1=1,IFERROR(INDEX(設定!$M$8:$M$31,MATCH(O62,設定!$L$8:$L$31,0)),""),IFERROR(INDEX(設定!$H$8:$H$31,MATCH(O62,設定!$G$8:$G$31,0)),""))="橙"</formula>
    </cfRule>
    <cfRule type="expression" priority="143" dxfId="6">
      <formula>IF(計算用!$B$1=1,IFERROR(INDEX(設定!$M$8:$M$31,MATCH(O62,設定!$L$8:$L$31,0)),""),IFERROR(INDEX(設定!$H$8:$H$31,MATCH(O62,設定!$G$8:$G$31,0)),""))="紫"</formula>
    </cfRule>
    <cfRule type="expression" priority="144" dxfId="7">
      <formula>IF(計算用!$B$1=1,IFERROR(INDEX(設定!$M$8:$M$31,MATCH(O62,設定!$L$8:$L$31,0)),""),IFERROR(INDEX(設定!$H$8:$H$31,MATCH(O62,設定!$G$8:$G$31,0)),""))="茶"</formula>
    </cfRule>
  </conditionalFormatting>
  <conditionalFormatting sqref="Q62:Q111">
    <cfRule type="expression" priority="145" dxfId="0">
      <formula>IF(計算用!$B$1=1,IFERROR(INDEX(設定!$M$8:$M$31,MATCH(Q62,設定!$L$8:$L$31,0)),""),IFERROR(INDEX(設定!$H$8:$H$31,MATCH(Q62,設定!$G$8:$G$31,0)),""))="黒"</formula>
    </cfRule>
    <cfRule type="expression" priority="146" dxfId="1">
      <formula>IF(計算用!$B$1=1,IFERROR(INDEX(設定!$M$8:$M$31,MATCH(Q62,設定!$L$8:$L$31,0)),""),IFERROR(INDEX(設定!$H$8:$H$31,MATCH(Q62,設定!$G$8:$G$31,0)),""))="赤"</formula>
    </cfRule>
    <cfRule type="expression" priority="147" dxfId="2">
      <formula>IF(計算用!$B$1=1,IFERROR(INDEX(設定!$M$8:$M$31,MATCH(Q62,設定!$L$8:$L$31,0)),""),IFERROR(INDEX(設定!$H$8:$H$31,MATCH(Q62,設定!$G$8:$G$31,0)),""))="青"</formula>
    </cfRule>
    <cfRule type="expression" priority="148" dxfId="3">
      <formula>IF(計算用!$B$1=1,IFERROR(INDEX(設定!$M$8:$M$31,MATCH(Q62,設定!$L$8:$L$31,0)),""),IFERROR(INDEX(設定!$H$8:$H$31,MATCH(Q62,設定!$G$8:$G$31,0)),""))="緑"</formula>
    </cfRule>
    <cfRule type="expression" priority="149" dxfId="4">
      <formula>IF(計算用!$B$1=1,IFERROR(INDEX(設定!$M$8:$M$31,MATCH(Q62,設定!$L$8:$L$31,0)),""),IFERROR(INDEX(設定!$H$8:$H$31,MATCH(Q62,設定!$G$8:$G$31,0)),""))="黄"</formula>
    </cfRule>
    <cfRule type="expression" priority="150" dxfId="5">
      <formula>IF(計算用!$B$1=1,IFERROR(INDEX(設定!$M$8:$M$31,MATCH(Q62,設定!$L$8:$L$31,0)),""),IFERROR(INDEX(設定!$H$8:$H$31,MATCH(Q62,設定!$G$8:$G$31,0)),""))="橙"</formula>
    </cfRule>
    <cfRule type="expression" priority="151" dxfId="6">
      <formula>IF(計算用!$B$1=1,IFERROR(INDEX(設定!$M$8:$M$31,MATCH(Q62,設定!$L$8:$L$31,0)),""),IFERROR(INDEX(設定!$H$8:$H$31,MATCH(Q62,設定!$G$8:$G$31,0)),""))="紫"</formula>
    </cfRule>
    <cfRule type="expression" priority="152" dxfId="7">
      <formula>IF(計算用!$B$1=1,IFERROR(INDEX(設定!$M$8:$M$31,MATCH(Q62,設定!$L$8:$L$31,0)),""),IFERROR(INDEX(設定!$H$8:$H$31,MATCH(Q62,設定!$G$8:$G$31,0)),""))="茶"</formula>
    </cfRule>
  </conditionalFormatting>
  <conditionalFormatting sqref="S62:S111">
    <cfRule type="expression" priority="153" dxfId="0">
      <formula>IF(計算用!$B$1=1,IFERROR(INDEX(設定!$M$8:$M$31,MATCH(S62,設定!$L$8:$L$31,0)),""),IFERROR(INDEX(設定!$H$8:$H$31,MATCH(S62,設定!$G$8:$G$31,0)),""))="黒"</formula>
    </cfRule>
    <cfRule type="expression" priority="154" dxfId="1">
      <formula>IF(計算用!$B$1=1,IFERROR(INDEX(設定!$M$8:$M$31,MATCH(S62,設定!$L$8:$L$31,0)),""),IFERROR(INDEX(設定!$H$8:$H$31,MATCH(S62,設定!$G$8:$G$31,0)),""))="赤"</formula>
    </cfRule>
    <cfRule type="expression" priority="155" dxfId="2">
      <formula>IF(計算用!$B$1=1,IFERROR(INDEX(設定!$M$8:$M$31,MATCH(S62,設定!$L$8:$L$31,0)),""),IFERROR(INDEX(設定!$H$8:$H$31,MATCH(S62,設定!$G$8:$G$31,0)),""))="青"</formula>
    </cfRule>
    <cfRule type="expression" priority="156" dxfId="3">
      <formula>IF(計算用!$B$1=1,IFERROR(INDEX(設定!$M$8:$M$31,MATCH(S62,設定!$L$8:$L$31,0)),""),IFERROR(INDEX(設定!$H$8:$H$31,MATCH(S62,設定!$G$8:$G$31,0)),""))="緑"</formula>
    </cfRule>
    <cfRule type="expression" priority="157" dxfId="4">
      <formula>IF(計算用!$B$1=1,IFERROR(INDEX(設定!$M$8:$M$31,MATCH(S62,設定!$L$8:$L$31,0)),""),IFERROR(INDEX(設定!$H$8:$H$31,MATCH(S62,設定!$G$8:$G$31,0)),""))="黄"</formula>
    </cfRule>
    <cfRule type="expression" priority="158" dxfId="5">
      <formula>IF(計算用!$B$1=1,IFERROR(INDEX(設定!$M$8:$M$31,MATCH(S62,設定!$L$8:$L$31,0)),""),IFERROR(INDEX(設定!$H$8:$H$31,MATCH(S62,設定!$G$8:$G$31,0)),""))="橙"</formula>
    </cfRule>
    <cfRule type="expression" priority="159" dxfId="6">
      <formula>IF(計算用!$B$1=1,IFERROR(INDEX(設定!$M$8:$M$31,MATCH(S62,設定!$L$8:$L$31,0)),""),IFERROR(INDEX(設定!$H$8:$H$31,MATCH(S62,設定!$G$8:$G$31,0)),""))="紫"</formula>
    </cfRule>
    <cfRule type="expression" priority="160" dxfId="7">
      <formula>IF(計算用!$B$1=1,IFERROR(INDEX(設定!$M$8:$M$31,MATCH(S62,設定!$L$8:$L$31,0)),""),IFERROR(INDEX(設定!$H$8:$H$31,MATCH(S62,設定!$G$8:$G$31,0)),""))="茶"</formula>
    </cfRule>
  </conditionalFormatting>
  <printOptions horizontalCentered="1"/>
  <pageMargins left="0.4" right="0.4" top="0.4" bottom="0.4" header="0.5" footer="0.5"/>
  <pageSetup orientation="landscape" paperSize="8" fitToHeight="0" fitToWidth="1"/>
  <rowBreaks count="1" manualBreakCount="1">
    <brk id="57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IF(設定!$P$8="","",設定!$B$3&amp;"　"&amp;設定!$P$8&amp;設定!$B$4&amp;"名簿"&amp;IF(計算用!$B$1=0,"（仮・前年度の組）",""))</f>
        <v/>
      </c>
    </row>
    <row r="2">
      <c r="A2" s="44">
        <f>IF(設定!$P$8="","","担当："&amp;設定!$S$8&amp;"　　活動場所："&amp;設定!$T$8&amp;"　　人数："&amp;定員チェック!$F$7&amp;"名（"&amp;設定!$B$8&amp;"年"&amp;定員チェック!$G$7&amp;"・"&amp;設定!$B$9&amp;"年"&amp;定員チェック!$H$7&amp;"・"&amp;設定!$B$10&amp;"年"&amp;定員チェック!$I$7&amp;"）")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IF(計算用!$J$3="","",1)</f>
        <v/>
      </c>
      <c r="B5" s="54">
        <f>IF(計算用!$J$3="","",IF(計算用!$B$1=1,INDEX(計算用!$F$3:$F$452,計算用!$J$3),INDEX(振り分け!$B$7:$B$456,計算用!$J$3)))</f>
        <v/>
      </c>
      <c r="C5" s="54">
        <f>IF(計算用!$J$3="","",IF(計算用!$B$1=1,INDEX(計算用!$G$3:$G$452,計算用!$J$3),INDEX(振り分け!$C$7:$C$456,計算用!$J$3)))</f>
        <v/>
      </c>
      <c r="D5" s="59">
        <f>IF(計算用!$J$3="","",IF(計算用!$B$1=1,INDEX(計算用!$H$3:$H$452,計算用!$J$3),INDEX(振り分け!$D$7:$D$456,計算用!$J$3)))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IF(計算用!$J$4="","",2)</f>
        <v/>
      </c>
      <c r="B6" s="54">
        <f>IF(計算用!$J$4="","",IF(計算用!$B$1=1,INDEX(計算用!$F$3:$F$452,計算用!$J$4),INDEX(振り分け!$B$7:$B$456,計算用!$J$4)))</f>
        <v/>
      </c>
      <c r="C6" s="54">
        <f>IF(計算用!$J$4="","",IF(計算用!$B$1=1,INDEX(計算用!$G$3:$G$452,計算用!$J$4),INDEX(振り分け!$C$7:$C$456,計算用!$J$4)))</f>
        <v/>
      </c>
      <c r="D6" s="59">
        <f>IF(計算用!$J$4="","",IF(計算用!$B$1=1,INDEX(計算用!$H$3:$H$452,計算用!$J$4),INDEX(振り分け!$D$7:$D$456,計算用!$J$4)))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IF(計算用!$J$5="","",3)</f>
        <v/>
      </c>
      <c r="B7" s="54">
        <f>IF(計算用!$J$5="","",IF(計算用!$B$1=1,INDEX(計算用!$F$3:$F$452,計算用!$J$5),INDEX(振り分け!$B$7:$B$456,計算用!$J$5)))</f>
        <v/>
      </c>
      <c r="C7" s="54">
        <f>IF(計算用!$J$5="","",IF(計算用!$B$1=1,INDEX(計算用!$G$3:$G$452,計算用!$J$5),INDEX(振り分け!$C$7:$C$456,計算用!$J$5)))</f>
        <v/>
      </c>
      <c r="D7" s="59">
        <f>IF(計算用!$J$5="","",IF(計算用!$B$1=1,INDEX(計算用!$H$3:$H$452,計算用!$J$5),INDEX(振り分け!$D$7:$D$456,計算用!$J$5)))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IF(計算用!$J$6="","",4)</f>
        <v/>
      </c>
      <c r="B8" s="54">
        <f>IF(計算用!$J$6="","",IF(計算用!$B$1=1,INDEX(計算用!$F$3:$F$452,計算用!$J$6),INDEX(振り分け!$B$7:$B$456,計算用!$J$6)))</f>
        <v/>
      </c>
      <c r="C8" s="54">
        <f>IF(計算用!$J$6="","",IF(計算用!$B$1=1,INDEX(計算用!$G$3:$G$452,計算用!$J$6),INDEX(振り分け!$C$7:$C$456,計算用!$J$6)))</f>
        <v/>
      </c>
      <c r="D8" s="59">
        <f>IF(計算用!$J$6="","",IF(計算用!$B$1=1,INDEX(計算用!$H$3:$H$452,計算用!$J$6),INDEX(振り分け!$D$7:$D$456,計算用!$J$6)))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IF(計算用!$J$7="","",5)</f>
        <v/>
      </c>
      <c r="B9" s="54">
        <f>IF(計算用!$J$7="","",IF(計算用!$B$1=1,INDEX(計算用!$F$3:$F$452,計算用!$J$7),INDEX(振り分け!$B$7:$B$456,計算用!$J$7)))</f>
        <v/>
      </c>
      <c r="C9" s="54">
        <f>IF(計算用!$J$7="","",IF(計算用!$B$1=1,INDEX(計算用!$G$3:$G$452,計算用!$J$7),INDEX(振り分け!$C$7:$C$456,計算用!$J$7)))</f>
        <v/>
      </c>
      <c r="D9" s="59">
        <f>IF(計算用!$J$7="","",IF(計算用!$B$1=1,INDEX(計算用!$H$3:$H$452,計算用!$J$7),INDEX(振り分け!$D$7:$D$456,計算用!$J$7)))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IF(計算用!$J$8="","",6)</f>
        <v/>
      </c>
      <c r="B10" s="54">
        <f>IF(計算用!$J$8="","",IF(計算用!$B$1=1,INDEX(計算用!$F$3:$F$452,計算用!$J$8),INDEX(振り分け!$B$7:$B$456,計算用!$J$8)))</f>
        <v/>
      </c>
      <c r="C10" s="54">
        <f>IF(計算用!$J$8="","",IF(計算用!$B$1=1,INDEX(計算用!$G$3:$G$452,計算用!$J$8),INDEX(振り分け!$C$7:$C$456,計算用!$J$8)))</f>
        <v/>
      </c>
      <c r="D10" s="59">
        <f>IF(計算用!$J$8="","",IF(計算用!$B$1=1,INDEX(計算用!$H$3:$H$452,計算用!$J$8),INDEX(振り分け!$D$7:$D$456,計算用!$J$8)))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IF(計算用!$J$9="","",7)</f>
        <v/>
      </c>
      <c r="B11" s="54">
        <f>IF(計算用!$J$9="","",IF(計算用!$B$1=1,INDEX(計算用!$F$3:$F$452,計算用!$J$9),INDEX(振り分け!$B$7:$B$456,計算用!$J$9)))</f>
        <v/>
      </c>
      <c r="C11" s="54">
        <f>IF(計算用!$J$9="","",IF(計算用!$B$1=1,INDEX(計算用!$G$3:$G$452,計算用!$J$9),INDEX(振り分け!$C$7:$C$456,計算用!$J$9)))</f>
        <v/>
      </c>
      <c r="D11" s="59">
        <f>IF(計算用!$J$9="","",IF(計算用!$B$1=1,INDEX(計算用!$H$3:$H$452,計算用!$J$9),INDEX(振り分け!$D$7:$D$456,計算用!$J$9)))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IF(計算用!$J$10="","",8)</f>
        <v/>
      </c>
      <c r="B12" s="54">
        <f>IF(計算用!$J$10="","",IF(計算用!$B$1=1,INDEX(計算用!$F$3:$F$452,計算用!$J$10),INDEX(振り分け!$B$7:$B$456,計算用!$J$10)))</f>
        <v/>
      </c>
      <c r="C12" s="54">
        <f>IF(計算用!$J$10="","",IF(計算用!$B$1=1,INDEX(計算用!$G$3:$G$452,計算用!$J$10),INDEX(振り分け!$C$7:$C$456,計算用!$J$10)))</f>
        <v/>
      </c>
      <c r="D12" s="59">
        <f>IF(計算用!$J$10="","",IF(計算用!$B$1=1,INDEX(計算用!$H$3:$H$452,計算用!$J$10),INDEX(振り分け!$D$7:$D$456,計算用!$J$10)))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IF(計算用!$J$11="","",9)</f>
        <v/>
      </c>
      <c r="B13" s="54">
        <f>IF(計算用!$J$11="","",IF(計算用!$B$1=1,INDEX(計算用!$F$3:$F$452,計算用!$J$11),INDEX(振り分け!$B$7:$B$456,計算用!$J$11)))</f>
        <v/>
      </c>
      <c r="C13" s="54">
        <f>IF(計算用!$J$11="","",IF(計算用!$B$1=1,INDEX(計算用!$G$3:$G$452,計算用!$J$11),INDEX(振り分け!$C$7:$C$456,計算用!$J$11)))</f>
        <v/>
      </c>
      <c r="D13" s="59">
        <f>IF(計算用!$J$11="","",IF(計算用!$B$1=1,INDEX(計算用!$H$3:$H$452,計算用!$J$11),INDEX(振り分け!$D$7:$D$456,計算用!$J$11)))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IF(計算用!$J$12="","",10)</f>
        <v/>
      </c>
      <c r="B14" s="54">
        <f>IF(計算用!$J$12="","",IF(計算用!$B$1=1,INDEX(計算用!$F$3:$F$452,計算用!$J$12),INDEX(振り分け!$B$7:$B$456,計算用!$J$12)))</f>
        <v/>
      </c>
      <c r="C14" s="54">
        <f>IF(計算用!$J$12="","",IF(計算用!$B$1=1,INDEX(計算用!$G$3:$G$452,計算用!$J$12),INDEX(振り分け!$C$7:$C$456,計算用!$J$12)))</f>
        <v/>
      </c>
      <c r="D14" s="59">
        <f>IF(計算用!$J$12="","",IF(計算用!$B$1=1,INDEX(計算用!$H$3:$H$452,計算用!$J$12),INDEX(振り分け!$D$7:$D$456,計算用!$J$12)))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IF(計算用!$J$13="","",11)</f>
        <v/>
      </c>
      <c r="B15" s="54">
        <f>IF(計算用!$J$13="","",IF(計算用!$B$1=1,INDEX(計算用!$F$3:$F$452,計算用!$J$13),INDEX(振り分け!$B$7:$B$456,計算用!$J$13)))</f>
        <v/>
      </c>
      <c r="C15" s="54">
        <f>IF(計算用!$J$13="","",IF(計算用!$B$1=1,INDEX(計算用!$G$3:$G$452,計算用!$J$13),INDEX(振り分け!$C$7:$C$456,計算用!$J$13)))</f>
        <v/>
      </c>
      <c r="D15" s="59">
        <f>IF(計算用!$J$13="","",IF(計算用!$B$1=1,INDEX(計算用!$H$3:$H$452,計算用!$J$13),INDEX(振り分け!$D$7:$D$456,計算用!$J$13)))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IF(計算用!$J$14="","",12)</f>
        <v/>
      </c>
      <c r="B16" s="54">
        <f>IF(計算用!$J$14="","",IF(計算用!$B$1=1,INDEX(計算用!$F$3:$F$452,計算用!$J$14),INDEX(振り分け!$B$7:$B$456,計算用!$J$14)))</f>
        <v/>
      </c>
      <c r="C16" s="54">
        <f>IF(計算用!$J$14="","",IF(計算用!$B$1=1,INDEX(計算用!$G$3:$G$452,計算用!$J$14),INDEX(振り分け!$C$7:$C$456,計算用!$J$14)))</f>
        <v/>
      </c>
      <c r="D16" s="59">
        <f>IF(計算用!$J$14="","",IF(計算用!$B$1=1,INDEX(計算用!$H$3:$H$452,計算用!$J$14),INDEX(振り分け!$D$7:$D$456,計算用!$J$14)))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IF(計算用!$J$15="","",13)</f>
        <v/>
      </c>
      <c r="B17" s="54">
        <f>IF(計算用!$J$15="","",IF(計算用!$B$1=1,INDEX(計算用!$F$3:$F$452,計算用!$J$15),INDEX(振り分け!$B$7:$B$456,計算用!$J$15)))</f>
        <v/>
      </c>
      <c r="C17" s="54">
        <f>IF(計算用!$J$15="","",IF(計算用!$B$1=1,INDEX(計算用!$G$3:$G$452,計算用!$J$15),INDEX(振り分け!$C$7:$C$456,計算用!$J$15)))</f>
        <v/>
      </c>
      <c r="D17" s="59">
        <f>IF(計算用!$J$15="","",IF(計算用!$B$1=1,INDEX(計算用!$H$3:$H$452,計算用!$J$15),INDEX(振り分け!$D$7:$D$456,計算用!$J$15)))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IF(計算用!$J$16="","",14)</f>
        <v/>
      </c>
      <c r="B18" s="54">
        <f>IF(計算用!$J$16="","",IF(計算用!$B$1=1,INDEX(計算用!$F$3:$F$452,計算用!$J$16),INDEX(振り分け!$B$7:$B$456,計算用!$J$16)))</f>
        <v/>
      </c>
      <c r="C18" s="54">
        <f>IF(計算用!$J$16="","",IF(計算用!$B$1=1,INDEX(計算用!$G$3:$G$452,計算用!$J$16),INDEX(振り分け!$C$7:$C$456,計算用!$J$16)))</f>
        <v/>
      </c>
      <c r="D18" s="59">
        <f>IF(計算用!$J$16="","",IF(計算用!$B$1=1,INDEX(計算用!$H$3:$H$452,計算用!$J$16),INDEX(振り分け!$D$7:$D$456,計算用!$J$16)))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IF(計算用!$J$17="","",15)</f>
        <v/>
      </c>
      <c r="B19" s="54">
        <f>IF(計算用!$J$17="","",IF(計算用!$B$1=1,INDEX(計算用!$F$3:$F$452,計算用!$J$17),INDEX(振り分け!$B$7:$B$456,計算用!$J$17)))</f>
        <v/>
      </c>
      <c r="C19" s="54">
        <f>IF(計算用!$J$17="","",IF(計算用!$B$1=1,INDEX(計算用!$G$3:$G$452,計算用!$J$17),INDEX(振り分け!$C$7:$C$456,計算用!$J$17)))</f>
        <v/>
      </c>
      <c r="D19" s="59">
        <f>IF(計算用!$J$17="","",IF(計算用!$B$1=1,INDEX(計算用!$H$3:$H$452,計算用!$J$17),INDEX(振り分け!$D$7:$D$456,計算用!$J$17)))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IF(計算用!$J$18="","",16)</f>
        <v/>
      </c>
      <c r="B20" s="54">
        <f>IF(計算用!$J$18="","",IF(計算用!$B$1=1,INDEX(計算用!$F$3:$F$452,計算用!$J$18),INDEX(振り分け!$B$7:$B$456,計算用!$J$18)))</f>
        <v/>
      </c>
      <c r="C20" s="54">
        <f>IF(計算用!$J$18="","",IF(計算用!$B$1=1,INDEX(計算用!$G$3:$G$452,計算用!$J$18),INDEX(振り分け!$C$7:$C$456,計算用!$J$18)))</f>
        <v/>
      </c>
      <c r="D20" s="59">
        <f>IF(計算用!$J$18="","",IF(計算用!$B$1=1,INDEX(計算用!$H$3:$H$452,計算用!$J$18),INDEX(振り分け!$D$7:$D$456,計算用!$J$18)))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IF(計算用!$J$19="","",17)</f>
        <v/>
      </c>
      <c r="B21" s="54">
        <f>IF(計算用!$J$19="","",IF(計算用!$B$1=1,INDEX(計算用!$F$3:$F$452,計算用!$J$19),INDEX(振り分け!$B$7:$B$456,計算用!$J$19)))</f>
        <v/>
      </c>
      <c r="C21" s="54">
        <f>IF(計算用!$J$19="","",IF(計算用!$B$1=1,INDEX(計算用!$G$3:$G$452,計算用!$J$19),INDEX(振り分け!$C$7:$C$456,計算用!$J$19)))</f>
        <v/>
      </c>
      <c r="D21" s="59">
        <f>IF(計算用!$J$19="","",IF(計算用!$B$1=1,INDEX(計算用!$H$3:$H$452,計算用!$J$19),INDEX(振り分け!$D$7:$D$456,計算用!$J$19)))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IF(計算用!$J$20="","",18)</f>
        <v/>
      </c>
      <c r="B22" s="54">
        <f>IF(計算用!$J$20="","",IF(計算用!$B$1=1,INDEX(計算用!$F$3:$F$452,計算用!$J$20),INDEX(振り分け!$B$7:$B$456,計算用!$J$20)))</f>
        <v/>
      </c>
      <c r="C22" s="54">
        <f>IF(計算用!$J$20="","",IF(計算用!$B$1=1,INDEX(計算用!$G$3:$G$452,計算用!$J$20),INDEX(振り分け!$C$7:$C$456,計算用!$J$20)))</f>
        <v/>
      </c>
      <c r="D22" s="59">
        <f>IF(計算用!$J$20="","",IF(計算用!$B$1=1,INDEX(計算用!$H$3:$H$452,計算用!$J$20),INDEX(振り分け!$D$7:$D$456,計算用!$J$20)))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IF(計算用!$J$21="","",19)</f>
        <v/>
      </c>
      <c r="B23" s="54">
        <f>IF(計算用!$J$21="","",IF(計算用!$B$1=1,INDEX(計算用!$F$3:$F$452,計算用!$J$21),INDEX(振り分け!$B$7:$B$456,計算用!$J$21)))</f>
        <v/>
      </c>
      <c r="C23" s="54">
        <f>IF(計算用!$J$21="","",IF(計算用!$B$1=1,INDEX(計算用!$G$3:$G$452,計算用!$J$21),INDEX(振り分け!$C$7:$C$456,計算用!$J$21)))</f>
        <v/>
      </c>
      <c r="D23" s="59">
        <f>IF(計算用!$J$21="","",IF(計算用!$B$1=1,INDEX(計算用!$H$3:$H$452,計算用!$J$21),INDEX(振り分け!$D$7:$D$456,計算用!$J$21)))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IF(計算用!$J$22="","",20)</f>
        <v/>
      </c>
      <c r="B24" s="54">
        <f>IF(計算用!$J$22="","",IF(計算用!$B$1=1,INDEX(計算用!$F$3:$F$452,計算用!$J$22),INDEX(振り分け!$B$7:$B$456,計算用!$J$22)))</f>
        <v/>
      </c>
      <c r="C24" s="54">
        <f>IF(計算用!$J$22="","",IF(計算用!$B$1=1,INDEX(計算用!$G$3:$G$452,計算用!$J$22),INDEX(振り分け!$C$7:$C$456,計算用!$J$22)))</f>
        <v/>
      </c>
      <c r="D24" s="59">
        <f>IF(計算用!$J$22="","",IF(計算用!$B$1=1,INDEX(計算用!$H$3:$H$452,計算用!$J$22),INDEX(振り分け!$D$7:$D$456,計算用!$J$22)))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IF(計算用!$J$23="","",21)</f>
        <v/>
      </c>
      <c r="B25" s="54">
        <f>IF(計算用!$J$23="","",IF(計算用!$B$1=1,INDEX(計算用!$F$3:$F$452,計算用!$J$23),INDEX(振り分け!$B$7:$B$456,計算用!$J$23)))</f>
        <v/>
      </c>
      <c r="C25" s="54">
        <f>IF(計算用!$J$23="","",IF(計算用!$B$1=1,INDEX(計算用!$G$3:$G$452,計算用!$J$23),INDEX(振り分け!$C$7:$C$456,計算用!$J$23)))</f>
        <v/>
      </c>
      <c r="D25" s="59">
        <f>IF(計算用!$J$23="","",IF(計算用!$B$1=1,INDEX(計算用!$H$3:$H$452,計算用!$J$23),INDEX(振り分け!$D$7:$D$456,計算用!$J$23)))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IF(計算用!$J$24="","",22)</f>
        <v/>
      </c>
      <c r="B26" s="54">
        <f>IF(計算用!$J$24="","",IF(計算用!$B$1=1,INDEX(計算用!$F$3:$F$452,計算用!$J$24),INDEX(振り分け!$B$7:$B$456,計算用!$J$24)))</f>
        <v/>
      </c>
      <c r="C26" s="54">
        <f>IF(計算用!$J$24="","",IF(計算用!$B$1=1,INDEX(計算用!$G$3:$G$452,計算用!$J$24),INDEX(振り分け!$C$7:$C$456,計算用!$J$24)))</f>
        <v/>
      </c>
      <c r="D26" s="59">
        <f>IF(計算用!$J$24="","",IF(計算用!$B$1=1,INDEX(計算用!$H$3:$H$452,計算用!$J$24),INDEX(振り分け!$D$7:$D$456,計算用!$J$24)))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IF(計算用!$J$25="","",23)</f>
        <v/>
      </c>
      <c r="B27" s="54">
        <f>IF(計算用!$J$25="","",IF(計算用!$B$1=1,INDEX(計算用!$F$3:$F$452,計算用!$J$25),INDEX(振り分け!$B$7:$B$456,計算用!$J$25)))</f>
        <v/>
      </c>
      <c r="C27" s="54">
        <f>IF(計算用!$J$25="","",IF(計算用!$B$1=1,INDEX(計算用!$G$3:$G$452,計算用!$J$25),INDEX(振り分け!$C$7:$C$456,計算用!$J$25)))</f>
        <v/>
      </c>
      <c r="D27" s="59">
        <f>IF(計算用!$J$25="","",IF(計算用!$B$1=1,INDEX(計算用!$H$3:$H$452,計算用!$J$25),INDEX(振り分け!$D$7:$D$456,計算用!$J$25)))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IF(計算用!$J$26="","",24)</f>
        <v/>
      </c>
      <c r="B28" s="54">
        <f>IF(計算用!$J$26="","",IF(計算用!$B$1=1,INDEX(計算用!$F$3:$F$452,計算用!$J$26),INDEX(振り分け!$B$7:$B$456,計算用!$J$26)))</f>
        <v/>
      </c>
      <c r="C28" s="54">
        <f>IF(計算用!$J$26="","",IF(計算用!$B$1=1,INDEX(計算用!$G$3:$G$452,計算用!$J$26),INDEX(振り分け!$C$7:$C$456,計算用!$J$26)))</f>
        <v/>
      </c>
      <c r="D28" s="59">
        <f>IF(計算用!$J$26="","",IF(計算用!$B$1=1,INDEX(計算用!$H$3:$H$452,計算用!$J$26),INDEX(振り分け!$D$7:$D$456,計算用!$J$26)))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IF(計算用!$J$27="","",25)</f>
        <v/>
      </c>
      <c r="B29" s="54">
        <f>IF(計算用!$J$27="","",IF(計算用!$B$1=1,INDEX(計算用!$F$3:$F$452,計算用!$J$27),INDEX(振り分け!$B$7:$B$456,計算用!$J$27)))</f>
        <v/>
      </c>
      <c r="C29" s="54">
        <f>IF(計算用!$J$27="","",IF(計算用!$B$1=1,INDEX(計算用!$G$3:$G$452,計算用!$J$27),INDEX(振り分け!$C$7:$C$456,計算用!$J$27)))</f>
        <v/>
      </c>
      <c r="D29" s="59">
        <f>IF(計算用!$J$27="","",IF(計算用!$B$1=1,INDEX(計算用!$H$3:$H$452,計算用!$J$27),INDEX(振り分け!$D$7:$D$456,計算用!$J$27)))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IF(計算用!$J$28="","",26)</f>
        <v/>
      </c>
      <c r="B30" s="54">
        <f>IF(計算用!$J$28="","",IF(計算用!$B$1=1,INDEX(計算用!$F$3:$F$452,計算用!$J$28),INDEX(振り分け!$B$7:$B$456,計算用!$J$28)))</f>
        <v/>
      </c>
      <c r="C30" s="54">
        <f>IF(計算用!$J$28="","",IF(計算用!$B$1=1,INDEX(計算用!$G$3:$G$452,計算用!$J$28),INDEX(振り分け!$C$7:$C$456,計算用!$J$28)))</f>
        <v/>
      </c>
      <c r="D30" s="59">
        <f>IF(計算用!$J$28="","",IF(計算用!$B$1=1,INDEX(計算用!$H$3:$H$452,計算用!$J$28),INDEX(振り分け!$D$7:$D$456,計算用!$J$28)))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IF(計算用!$J$29="","",27)</f>
        <v/>
      </c>
      <c r="B31" s="54">
        <f>IF(計算用!$J$29="","",IF(計算用!$B$1=1,INDEX(計算用!$F$3:$F$452,計算用!$J$29),INDEX(振り分け!$B$7:$B$456,計算用!$J$29)))</f>
        <v/>
      </c>
      <c r="C31" s="54">
        <f>IF(計算用!$J$29="","",IF(計算用!$B$1=1,INDEX(計算用!$G$3:$G$452,計算用!$J$29),INDEX(振り分け!$C$7:$C$456,計算用!$J$29)))</f>
        <v/>
      </c>
      <c r="D31" s="59">
        <f>IF(計算用!$J$29="","",IF(計算用!$B$1=1,INDEX(計算用!$H$3:$H$452,計算用!$J$29),INDEX(振り分け!$D$7:$D$456,計算用!$J$29)))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IF(計算用!$J$30="","",28)</f>
        <v/>
      </c>
      <c r="B32" s="54">
        <f>IF(計算用!$J$30="","",IF(計算用!$B$1=1,INDEX(計算用!$F$3:$F$452,計算用!$J$30),INDEX(振り分け!$B$7:$B$456,計算用!$J$30)))</f>
        <v/>
      </c>
      <c r="C32" s="54">
        <f>IF(計算用!$J$30="","",IF(計算用!$B$1=1,INDEX(計算用!$G$3:$G$452,計算用!$J$30),INDEX(振り分け!$C$7:$C$456,計算用!$J$30)))</f>
        <v/>
      </c>
      <c r="D32" s="59">
        <f>IF(計算用!$J$30="","",IF(計算用!$B$1=1,INDEX(計算用!$H$3:$H$452,計算用!$J$30),INDEX(振り分け!$D$7:$D$456,計算用!$J$30)))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IF(計算用!$J$31="","",29)</f>
        <v/>
      </c>
      <c r="B33" s="54">
        <f>IF(計算用!$J$31="","",IF(計算用!$B$1=1,INDEX(計算用!$F$3:$F$452,計算用!$J$31),INDEX(振り分け!$B$7:$B$456,計算用!$J$31)))</f>
        <v/>
      </c>
      <c r="C33" s="54">
        <f>IF(計算用!$J$31="","",IF(計算用!$B$1=1,INDEX(計算用!$G$3:$G$452,計算用!$J$31),INDEX(振り分け!$C$7:$C$456,計算用!$J$31)))</f>
        <v/>
      </c>
      <c r="D33" s="59">
        <f>IF(計算用!$J$31="","",IF(計算用!$B$1=1,INDEX(計算用!$H$3:$H$452,計算用!$J$31),INDEX(振り分け!$D$7:$D$456,計算用!$J$31)))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IF(計算用!$J$32="","",30)</f>
        <v/>
      </c>
      <c r="B34" s="54">
        <f>IF(計算用!$J$32="","",IF(計算用!$B$1=1,INDEX(計算用!$F$3:$F$452,計算用!$J$32),INDEX(振り分け!$B$7:$B$456,計算用!$J$32)))</f>
        <v/>
      </c>
      <c r="C34" s="54">
        <f>IF(計算用!$J$32="","",IF(計算用!$B$1=1,INDEX(計算用!$G$3:$G$452,計算用!$J$32),INDEX(振り分け!$C$7:$C$456,計算用!$J$32)))</f>
        <v/>
      </c>
      <c r="D34" s="59">
        <f>IF(計算用!$J$32="","",IF(計算用!$B$1=1,INDEX(計算用!$H$3:$H$452,計算用!$J$32),INDEX(振り分け!$D$7:$D$456,計算用!$J$32)))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IF(計算用!$J$33="","",31)</f>
        <v/>
      </c>
      <c r="B35" s="54">
        <f>IF(計算用!$J$33="","",IF(計算用!$B$1=1,INDEX(計算用!$F$3:$F$452,計算用!$J$33),INDEX(振り分け!$B$7:$B$456,計算用!$J$33)))</f>
        <v/>
      </c>
      <c r="C35" s="54">
        <f>IF(計算用!$J$33="","",IF(計算用!$B$1=1,INDEX(計算用!$G$3:$G$452,計算用!$J$33),INDEX(振り分け!$C$7:$C$456,計算用!$J$33)))</f>
        <v/>
      </c>
      <c r="D35" s="59">
        <f>IF(計算用!$J$33="","",IF(計算用!$B$1=1,INDEX(計算用!$H$3:$H$452,計算用!$J$33),INDEX(振り分け!$D$7:$D$456,計算用!$J$33)))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IF(計算用!$J$34="","",32)</f>
        <v/>
      </c>
      <c r="B36" s="54">
        <f>IF(計算用!$J$34="","",IF(計算用!$B$1=1,INDEX(計算用!$F$3:$F$452,計算用!$J$34),INDEX(振り分け!$B$7:$B$456,計算用!$J$34)))</f>
        <v/>
      </c>
      <c r="C36" s="54">
        <f>IF(計算用!$J$34="","",IF(計算用!$B$1=1,INDEX(計算用!$G$3:$G$452,計算用!$J$34),INDEX(振り分け!$C$7:$C$456,計算用!$J$34)))</f>
        <v/>
      </c>
      <c r="D36" s="59">
        <f>IF(計算用!$J$34="","",IF(計算用!$B$1=1,INDEX(計算用!$H$3:$H$452,計算用!$J$34),INDEX(振り分け!$D$7:$D$456,計算用!$J$34)))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IF(計算用!$J$35="","",33)</f>
        <v/>
      </c>
      <c r="B37" s="54">
        <f>IF(計算用!$J$35="","",IF(計算用!$B$1=1,INDEX(計算用!$F$3:$F$452,計算用!$J$35),INDEX(振り分け!$B$7:$B$456,計算用!$J$35)))</f>
        <v/>
      </c>
      <c r="C37" s="54">
        <f>IF(計算用!$J$35="","",IF(計算用!$B$1=1,INDEX(計算用!$G$3:$G$452,計算用!$J$35),INDEX(振り分け!$C$7:$C$456,計算用!$J$35)))</f>
        <v/>
      </c>
      <c r="D37" s="59">
        <f>IF(計算用!$J$35="","",IF(計算用!$B$1=1,INDEX(計算用!$H$3:$H$452,計算用!$J$35),INDEX(振り分け!$D$7:$D$456,計算用!$J$35)))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IF(計算用!$J$36="","",34)</f>
        <v/>
      </c>
      <c r="B38" s="54">
        <f>IF(計算用!$J$36="","",IF(計算用!$B$1=1,INDEX(計算用!$F$3:$F$452,計算用!$J$36),INDEX(振り分け!$B$7:$B$456,計算用!$J$36)))</f>
        <v/>
      </c>
      <c r="C38" s="54">
        <f>IF(計算用!$J$36="","",IF(計算用!$B$1=1,INDEX(計算用!$G$3:$G$452,計算用!$J$36),INDEX(振り分け!$C$7:$C$456,計算用!$J$36)))</f>
        <v/>
      </c>
      <c r="D38" s="59">
        <f>IF(計算用!$J$36="","",IF(計算用!$B$1=1,INDEX(計算用!$H$3:$H$452,計算用!$J$36),INDEX(振り分け!$D$7:$D$456,計算用!$J$36)))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IF(計算用!$J$37="","",35)</f>
        <v/>
      </c>
      <c r="B39" s="54">
        <f>IF(計算用!$J$37="","",IF(計算用!$B$1=1,INDEX(計算用!$F$3:$F$452,計算用!$J$37),INDEX(振り分け!$B$7:$B$456,計算用!$J$37)))</f>
        <v/>
      </c>
      <c r="C39" s="54">
        <f>IF(計算用!$J$37="","",IF(計算用!$B$1=1,INDEX(計算用!$G$3:$G$452,計算用!$J$37),INDEX(振り分け!$C$7:$C$456,計算用!$J$37)))</f>
        <v/>
      </c>
      <c r="D39" s="59">
        <f>IF(計算用!$J$37="","",IF(計算用!$B$1=1,INDEX(計算用!$H$3:$H$452,計算用!$J$37),INDEX(振り分け!$D$7:$D$456,計算用!$J$37)))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IF(計算用!$J$38="","",36)</f>
        <v/>
      </c>
      <c r="B40" s="54">
        <f>IF(計算用!$J$38="","",IF(計算用!$B$1=1,INDEX(計算用!$F$3:$F$452,計算用!$J$38),INDEX(振り分け!$B$7:$B$456,計算用!$J$38)))</f>
        <v/>
      </c>
      <c r="C40" s="54">
        <f>IF(計算用!$J$38="","",IF(計算用!$B$1=1,INDEX(計算用!$G$3:$G$452,計算用!$J$38),INDEX(振り分け!$C$7:$C$456,計算用!$J$38)))</f>
        <v/>
      </c>
      <c r="D40" s="59">
        <f>IF(計算用!$J$38="","",IF(計算用!$B$1=1,INDEX(計算用!$H$3:$H$452,計算用!$J$38),INDEX(振り分け!$D$7:$D$456,計算用!$J$38)))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IF(計算用!$J$39="","",37)</f>
        <v/>
      </c>
      <c r="B41" s="54">
        <f>IF(計算用!$J$39="","",IF(計算用!$B$1=1,INDEX(計算用!$F$3:$F$452,計算用!$J$39),INDEX(振り分け!$B$7:$B$456,計算用!$J$39)))</f>
        <v/>
      </c>
      <c r="C41" s="54">
        <f>IF(計算用!$J$39="","",IF(計算用!$B$1=1,INDEX(計算用!$G$3:$G$452,計算用!$J$39),INDEX(振り分け!$C$7:$C$456,計算用!$J$39)))</f>
        <v/>
      </c>
      <c r="D41" s="59">
        <f>IF(計算用!$J$39="","",IF(計算用!$B$1=1,INDEX(計算用!$H$3:$H$452,計算用!$J$39),INDEX(振り分け!$D$7:$D$456,計算用!$J$39)))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IF(計算用!$J$40="","",38)</f>
        <v/>
      </c>
      <c r="B42" s="54">
        <f>IF(計算用!$J$40="","",IF(計算用!$B$1=1,INDEX(計算用!$F$3:$F$452,計算用!$J$40),INDEX(振り分け!$B$7:$B$456,計算用!$J$40)))</f>
        <v/>
      </c>
      <c r="C42" s="54">
        <f>IF(計算用!$J$40="","",IF(計算用!$B$1=1,INDEX(計算用!$G$3:$G$452,計算用!$J$40),INDEX(振り分け!$C$7:$C$456,計算用!$J$40)))</f>
        <v/>
      </c>
      <c r="D42" s="59">
        <f>IF(計算用!$J$40="","",IF(計算用!$B$1=1,INDEX(計算用!$H$3:$H$452,計算用!$J$40),INDEX(振り分け!$D$7:$D$456,計算用!$J$40)))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IF(計算用!$J$41="","",39)</f>
        <v/>
      </c>
      <c r="B43" s="54">
        <f>IF(計算用!$J$41="","",IF(計算用!$B$1=1,INDEX(計算用!$F$3:$F$452,計算用!$J$41),INDEX(振り分け!$B$7:$B$456,計算用!$J$41)))</f>
        <v/>
      </c>
      <c r="C43" s="54">
        <f>IF(計算用!$J$41="","",IF(計算用!$B$1=1,INDEX(計算用!$G$3:$G$452,計算用!$J$41),INDEX(振り分け!$C$7:$C$456,計算用!$J$41)))</f>
        <v/>
      </c>
      <c r="D43" s="59">
        <f>IF(計算用!$J$41="","",IF(計算用!$B$1=1,INDEX(計算用!$H$3:$H$452,計算用!$J$41),INDEX(振り分け!$D$7:$D$456,計算用!$J$41)))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IF(計算用!$J$42="","",40)</f>
        <v/>
      </c>
      <c r="B44" s="54">
        <f>IF(計算用!$J$42="","",IF(計算用!$B$1=1,INDEX(計算用!$F$3:$F$452,計算用!$J$42),INDEX(振り分け!$B$7:$B$456,計算用!$J$42)))</f>
        <v/>
      </c>
      <c r="C44" s="54">
        <f>IF(計算用!$J$42="","",IF(計算用!$B$1=1,INDEX(計算用!$G$3:$G$452,計算用!$J$42),INDEX(振り分け!$C$7:$C$456,計算用!$J$42)))</f>
        <v/>
      </c>
      <c r="D44" s="59">
        <f>IF(計算用!$J$42="","",IF(計算用!$B$1=1,INDEX(計算用!$H$3:$H$452,計算用!$J$42),INDEX(振り分け!$D$7:$D$456,計算用!$J$42)))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IF(計算用!$J$43="","",41)</f>
        <v/>
      </c>
      <c r="B45" s="54">
        <f>IF(計算用!$J$43="","",IF(計算用!$B$1=1,INDEX(計算用!$F$3:$F$452,計算用!$J$43),INDEX(振り分け!$B$7:$B$456,計算用!$J$43)))</f>
        <v/>
      </c>
      <c r="C45" s="54">
        <f>IF(計算用!$J$43="","",IF(計算用!$B$1=1,INDEX(計算用!$G$3:$G$452,計算用!$J$43),INDEX(振り分け!$C$7:$C$456,計算用!$J$43)))</f>
        <v/>
      </c>
      <c r="D45" s="59">
        <f>IF(計算用!$J$43="","",IF(計算用!$B$1=1,INDEX(計算用!$H$3:$H$452,計算用!$J$43),INDEX(振り分け!$D$7:$D$456,計算用!$J$43)))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IF(計算用!$J$44="","",42)</f>
        <v/>
      </c>
      <c r="B46" s="54">
        <f>IF(計算用!$J$44="","",IF(計算用!$B$1=1,INDEX(計算用!$F$3:$F$452,計算用!$J$44),INDEX(振り分け!$B$7:$B$456,計算用!$J$44)))</f>
        <v/>
      </c>
      <c r="C46" s="54">
        <f>IF(計算用!$J$44="","",IF(計算用!$B$1=1,INDEX(計算用!$G$3:$G$452,計算用!$J$44),INDEX(振り分け!$C$7:$C$456,計算用!$J$44)))</f>
        <v/>
      </c>
      <c r="D46" s="59">
        <f>IF(計算用!$J$44="","",IF(計算用!$B$1=1,INDEX(計算用!$H$3:$H$452,計算用!$J$44),INDEX(振り分け!$D$7:$D$456,計算用!$J$44)))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IF(計算用!$J$45="","",43)</f>
        <v/>
      </c>
      <c r="B47" s="54">
        <f>IF(計算用!$J$45="","",IF(計算用!$B$1=1,INDEX(計算用!$F$3:$F$452,計算用!$J$45),INDEX(振り分け!$B$7:$B$456,計算用!$J$45)))</f>
        <v/>
      </c>
      <c r="C47" s="54">
        <f>IF(計算用!$J$45="","",IF(計算用!$B$1=1,INDEX(計算用!$G$3:$G$452,計算用!$J$45),INDEX(振り分け!$C$7:$C$456,計算用!$J$45)))</f>
        <v/>
      </c>
      <c r="D47" s="59">
        <f>IF(計算用!$J$45="","",IF(計算用!$B$1=1,INDEX(計算用!$H$3:$H$452,計算用!$J$45),INDEX(振り分け!$D$7:$D$456,計算用!$J$45)))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IF(計算用!$J$46="","",44)</f>
        <v/>
      </c>
      <c r="B48" s="54">
        <f>IF(計算用!$J$46="","",IF(計算用!$B$1=1,INDEX(計算用!$F$3:$F$452,計算用!$J$46),INDEX(振り分け!$B$7:$B$456,計算用!$J$46)))</f>
        <v/>
      </c>
      <c r="C48" s="54">
        <f>IF(計算用!$J$46="","",IF(計算用!$B$1=1,INDEX(計算用!$G$3:$G$452,計算用!$J$46),INDEX(振り分け!$C$7:$C$456,計算用!$J$46)))</f>
        <v/>
      </c>
      <c r="D48" s="59">
        <f>IF(計算用!$J$46="","",IF(計算用!$B$1=1,INDEX(計算用!$H$3:$H$452,計算用!$J$46),INDEX(振り分け!$D$7:$D$456,計算用!$J$46)))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IF(計算用!$J$47="","",45)</f>
        <v/>
      </c>
      <c r="B49" s="54">
        <f>IF(計算用!$J$47="","",IF(計算用!$B$1=1,INDEX(計算用!$F$3:$F$452,計算用!$J$47),INDEX(振り分け!$B$7:$B$456,計算用!$J$47)))</f>
        <v/>
      </c>
      <c r="C49" s="54">
        <f>IF(計算用!$J$47="","",IF(計算用!$B$1=1,INDEX(計算用!$G$3:$G$452,計算用!$J$47),INDEX(振り分け!$C$7:$C$456,計算用!$J$47)))</f>
        <v/>
      </c>
      <c r="D49" s="59">
        <f>IF(計算用!$J$47="","",IF(計算用!$B$1=1,INDEX(計算用!$H$3:$H$452,計算用!$J$47),INDEX(振り分け!$D$7:$D$456,計算用!$J$47)))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IF(計算用!$J$48="","",46)</f>
        <v/>
      </c>
      <c r="B50" s="54">
        <f>IF(計算用!$J$48="","",IF(計算用!$B$1=1,INDEX(計算用!$F$3:$F$452,計算用!$J$48),INDEX(振り分け!$B$7:$B$456,計算用!$J$48)))</f>
        <v/>
      </c>
      <c r="C50" s="54">
        <f>IF(計算用!$J$48="","",IF(計算用!$B$1=1,INDEX(計算用!$G$3:$G$452,計算用!$J$48),INDEX(振り分け!$C$7:$C$456,計算用!$J$48)))</f>
        <v/>
      </c>
      <c r="D50" s="59">
        <f>IF(計算用!$J$48="","",IF(計算用!$B$1=1,INDEX(計算用!$H$3:$H$452,計算用!$J$48),INDEX(振り分け!$D$7:$D$456,計算用!$J$48)))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IF(計算用!$J$49="","",47)</f>
        <v/>
      </c>
      <c r="B51" s="54">
        <f>IF(計算用!$J$49="","",IF(計算用!$B$1=1,INDEX(計算用!$F$3:$F$452,計算用!$J$49),INDEX(振り分け!$B$7:$B$456,計算用!$J$49)))</f>
        <v/>
      </c>
      <c r="C51" s="54">
        <f>IF(計算用!$J$49="","",IF(計算用!$B$1=1,INDEX(計算用!$G$3:$G$452,計算用!$J$49),INDEX(振り分け!$C$7:$C$456,計算用!$J$49)))</f>
        <v/>
      </c>
      <c r="D51" s="59">
        <f>IF(計算用!$J$49="","",IF(計算用!$B$1=1,INDEX(計算用!$H$3:$H$452,計算用!$J$49),INDEX(振り分け!$D$7:$D$456,計算用!$J$49)))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IF(計算用!$J$50="","",48)</f>
        <v/>
      </c>
      <c r="B52" s="54">
        <f>IF(計算用!$J$50="","",IF(計算用!$B$1=1,INDEX(計算用!$F$3:$F$452,計算用!$J$50),INDEX(振り分け!$B$7:$B$456,計算用!$J$50)))</f>
        <v/>
      </c>
      <c r="C52" s="54">
        <f>IF(計算用!$J$50="","",IF(計算用!$B$1=1,INDEX(計算用!$G$3:$G$452,計算用!$J$50),INDEX(振り分け!$C$7:$C$456,計算用!$J$50)))</f>
        <v/>
      </c>
      <c r="D52" s="59">
        <f>IF(計算用!$J$50="","",IF(計算用!$B$1=1,INDEX(計算用!$H$3:$H$452,計算用!$J$50),INDEX(振り分け!$D$7:$D$456,計算用!$J$50)))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IF(計算用!$J$51="","",49)</f>
        <v/>
      </c>
      <c r="B53" s="54">
        <f>IF(計算用!$J$51="","",IF(計算用!$B$1=1,INDEX(計算用!$F$3:$F$452,計算用!$J$51),INDEX(振り分け!$B$7:$B$456,計算用!$J$51)))</f>
        <v/>
      </c>
      <c r="C53" s="54">
        <f>IF(計算用!$J$51="","",IF(計算用!$B$1=1,INDEX(計算用!$G$3:$G$452,計算用!$J$51),INDEX(振り分け!$C$7:$C$456,計算用!$J$51)))</f>
        <v/>
      </c>
      <c r="D53" s="59">
        <f>IF(計算用!$J$51="","",IF(計算用!$B$1=1,INDEX(計算用!$H$3:$H$452,計算用!$J$51),INDEX(振り分け!$D$7:$D$456,計算用!$J$51)))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IF(計算用!$J$52="","",50)</f>
        <v/>
      </c>
      <c r="B54" s="54">
        <f>IF(計算用!$J$52="","",IF(計算用!$B$1=1,INDEX(計算用!$F$3:$F$452,計算用!$J$52),INDEX(振り分け!$B$7:$B$456,計算用!$J$52)))</f>
        <v/>
      </c>
      <c r="C54" s="54">
        <f>IF(計算用!$J$52="","",IF(計算用!$B$1=1,INDEX(計算用!$G$3:$G$452,計算用!$J$52),INDEX(振り分け!$C$7:$C$456,計算用!$J$52)))</f>
        <v/>
      </c>
      <c r="D54" s="59">
        <f>IF(計算用!$J$52="","",IF(計算用!$B$1=1,INDEX(計算用!$H$3:$H$452,計算用!$J$52),INDEX(振り分け!$D$7:$D$456,計算用!$J$52)))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IF(設定!$P$9="","",設定!$B$3&amp;"　"&amp;設定!$P$9&amp;設定!$B$4&amp;"名簿"&amp;IF(計算用!$B$1=0,"（仮・前年度の組）",""))</f>
        <v/>
      </c>
    </row>
    <row r="2">
      <c r="A2" s="44">
        <f>IF(設定!$P$9="","","担当："&amp;設定!$S$9&amp;"　　活動場所："&amp;設定!$T$9&amp;"　　人数："&amp;定員チェック!$F$8&amp;"名（"&amp;設定!$B$8&amp;"年"&amp;定員チェック!$G$8&amp;"・"&amp;設定!$B$9&amp;"年"&amp;定員チェック!$H$8&amp;"・"&amp;設定!$B$10&amp;"年"&amp;定員チェック!$I$8&amp;"）")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IF(計算用!$K$3="","",1)</f>
        <v/>
      </c>
      <c r="B5" s="54">
        <f>IF(計算用!$K$3="","",IF(計算用!$B$1=1,INDEX(計算用!$F$3:$F$452,計算用!$K$3),INDEX(振り分け!$B$7:$B$456,計算用!$K$3)))</f>
        <v/>
      </c>
      <c r="C5" s="54">
        <f>IF(計算用!$K$3="","",IF(計算用!$B$1=1,INDEX(計算用!$G$3:$G$452,計算用!$K$3),INDEX(振り分け!$C$7:$C$456,計算用!$K$3)))</f>
        <v/>
      </c>
      <c r="D5" s="59">
        <f>IF(計算用!$K$3="","",IF(計算用!$B$1=1,INDEX(計算用!$H$3:$H$452,計算用!$K$3),INDEX(振り分け!$D$7:$D$456,計算用!$K$3)))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IF(計算用!$K$4="","",2)</f>
        <v/>
      </c>
      <c r="B6" s="54">
        <f>IF(計算用!$K$4="","",IF(計算用!$B$1=1,INDEX(計算用!$F$3:$F$452,計算用!$K$4),INDEX(振り分け!$B$7:$B$456,計算用!$K$4)))</f>
        <v/>
      </c>
      <c r="C6" s="54">
        <f>IF(計算用!$K$4="","",IF(計算用!$B$1=1,INDEX(計算用!$G$3:$G$452,計算用!$K$4),INDEX(振り分け!$C$7:$C$456,計算用!$K$4)))</f>
        <v/>
      </c>
      <c r="D6" s="59">
        <f>IF(計算用!$K$4="","",IF(計算用!$B$1=1,INDEX(計算用!$H$3:$H$452,計算用!$K$4),INDEX(振り分け!$D$7:$D$456,計算用!$K$4)))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IF(計算用!$K$5="","",3)</f>
        <v/>
      </c>
      <c r="B7" s="54">
        <f>IF(計算用!$K$5="","",IF(計算用!$B$1=1,INDEX(計算用!$F$3:$F$452,計算用!$K$5),INDEX(振り分け!$B$7:$B$456,計算用!$K$5)))</f>
        <v/>
      </c>
      <c r="C7" s="54">
        <f>IF(計算用!$K$5="","",IF(計算用!$B$1=1,INDEX(計算用!$G$3:$G$452,計算用!$K$5),INDEX(振り分け!$C$7:$C$456,計算用!$K$5)))</f>
        <v/>
      </c>
      <c r="D7" s="59">
        <f>IF(計算用!$K$5="","",IF(計算用!$B$1=1,INDEX(計算用!$H$3:$H$452,計算用!$K$5),INDEX(振り分け!$D$7:$D$456,計算用!$K$5)))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IF(計算用!$K$6="","",4)</f>
        <v/>
      </c>
      <c r="B8" s="54">
        <f>IF(計算用!$K$6="","",IF(計算用!$B$1=1,INDEX(計算用!$F$3:$F$452,計算用!$K$6),INDEX(振り分け!$B$7:$B$456,計算用!$K$6)))</f>
        <v/>
      </c>
      <c r="C8" s="54">
        <f>IF(計算用!$K$6="","",IF(計算用!$B$1=1,INDEX(計算用!$G$3:$G$452,計算用!$K$6),INDEX(振り分け!$C$7:$C$456,計算用!$K$6)))</f>
        <v/>
      </c>
      <c r="D8" s="59">
        <f>IF(計算用!$K$6="","",IF(計算用!$B$1=1,INDEX(計算用!$H$3:$H$452,計算用!$K$6),INDEX(振り分け!$D$7:$D$456,計算用!$K$6)))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IF(計算用!$K$7="","",5)</f>
        <v/>
      </c>
      <c r="B9" s="54">
        <f>IF(計算用!$K$7="","",IF(計算用!$B$1=1,INDEX(計算用!$F$3:$F$452,計算用!$K$7),INDEX(振り分け!$B$7:$B$456,計算用!$K$7)))</f>
        <v/>
      </c>
      <c r="C9" s="54">
        <f>IF(計算用!$K$7="","",IF(計算用!$B$1=1,INDEX(計算用!$G$3:$G$452,計算用!$K$7),INDEX(振り分け!$C$7:$C$456,計算用!$K$7)))</f>
        <v/>
      </c>
      <c r="D9" s="59">
        <f>IF(計算用!$K$7="","",IF(計算用!$B$1=1,INDEX(計算用!$H$3:$H$452,計算用!$K$7),INDEX(振り分け!$D$7:$D$456,計算用!$K$7)))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IF(計算用!$K$8="","",6)</f>
        <v/>
      </c>
      <c r="B10" s="54">
        <f>IF(計算用!$K$8="","",IF(計算用!$B$1=1,INDEX(計算用!$F$3:$F$452,計算用!$K$8),INDEX(振り分け!$B$7:$B$456,計算用!$K$8)))</f>
        <v/>
      </c>
      <c r="C10" s="54">
        <f>IF(計算用!$K$8="","",IF(計算用!$B$1=1,INDEX(計算用!$G$3:$G$452,計算用!$K$8),INDEX(振り分け!$C$7:$C$456,計算用!$K$8)))</f>
        <v/>
      </c>
      <c r="D10" s="59">
        <f>IF(計算用!$K$8="","",IF(計算用!$B$1=1,INDEX(計算用!$H$3:$H$452,計算用!$K$8),INDEX(振り分け!$D$7:$D$456,計算用!$K$8)))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IF(計算用!$K$9="","",7)</f>
        <v/>
      </c>
      <c r="B11" s="54">
        <f>IF(計算用!$K$9="","",IF(計算用!$B$1=1,INDEX(計算用!$F$3:$F$452,計算用!$K$9),INDEX(振り分け!$B$7:$B$456,計算用!$K$9)))</f>
        <v/>
      </c>
      <c r="C11" s="54">
        <f>IF(計算用!$K$9="","",IF(計算用!$B$1=1,INDEX(計算用!$G$3:$G$452,計算用!$K$9),INDEX(振り分け!$C$7:$C$456,計算用!$K$9)))</f>
        <v/>
      </c>
      <c r="D11" s="59">
        <f>IF(計算用!$K$9="","",IF(計算用!$B$1=1,INDEX(計算用!$H$3:$H$452,計算用!$K$9),INDEX(振り分け!$D$7:$D$456,計算用!$K$9)))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IF(計算用!$K$10="","",8)</f>
        <v/>
      </c>
      <c r="B12" s="54">
        <f>IF(計算用!$K$10="","",IF(計算用!$B$1=1,INDEX(計算用!$F$3:$F$452,計算用!$K$10),INDEX(振り分け!$B$7:$B$456,計算用!$K$10)))</f>
        <v/>
      </c>
      <c r="C12" s="54">
        <f>IF(計算用!$K$10="","",IF(計算用!$B$1=1,INDEX(計算用!$G$3:$G$452,計算用!$K$10),INDEX(振り分け!$C$7:$C$456,計算用!$K$10)))</f>
        <v/>
      </c>
      <c r="D12" s="59">
        <f>IF(計算用!$K$10="","",IF(計算用!$B$1=1,INDEX(計算用!$H$3:$H$452,計算用!$K$10),INDEX(振り分け!$D$7:$D$456,計算用!$K$10)))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IF(計算用!$K$11="","",9)</f>
        <v/>
      </c>
      <c r="B13" s="54">
        <f>IF(計算用!$K$11="","",IF(計算用!$B$1=1,INDEX(計算用!$F$3:$F$452,計算用!$K$11),INDEX(振り分け!$B$7:$B$456,計算用!$K$11)))</f>
        <v/>
      </c>
      <c r="C13" s="54">
        <f>IF(計算用!$K$11="","",IF(計算用!$B$1=1,INDEX(計算用!$G$3:$G$452,計算用!$K$11),INDEX(振り分け!$C$7:$C$456,計算用!$K$11)))</f>
        <v/>
      </c>
      <c r="D13" s="59">
        <f>IF(計算用!$K$11="","",IF(計算用!$B$1=1,INDEX(計算用!$H$3:$H$452,計算用!$K$11),INDEX(振り分け!$D$7:$D$456,計算用!$K$11)))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IF(計算用!$K$12="","",10)</f>
        <v/>
      </c>
      <c r="B14" s="54">
        <f>IF(計算用!$K$12="","",IF(計算用!$B$1=1,INDEX(計算用!$F$3:$F$452,計算用!$K$12),INDEX(振り分け!$B$7:$B$456,計算用!$K$12)))</f>
        <v/>
      </c>
      <c r="C14" s="54">
        <f>IF(計算用!$K$12="","",IF(計算用!$B$1=1,INDEX(計算用!$G$3:$G$452,計算用!$K$12),INDEX(振り分け!$C$7:$C$456,計算用!$K$12)))</f>
        <v/>
      </c>
      <c r="D14" s="59">
        <f>IF(計算用!$K$12="","",IF(計算用!$B$1=1,INDEX(計算用!$H$3:$H$452,計算用!$K$12),INDEX(振り分け!$D$7:$D$456,計算用!$K$12)))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IF(計算用!$K$13="","",11)</f>
        <v/>
      </c>
      <c r="B15" s="54">
        <f>IF(計算用!$K$13="","",IF(計算用!$B$1=1,INDEX(計算用!$F$3:$F$452,計算用!$K$13),INDEX(振り分け!$B$7:$B$456,計算用!$K$13)))</f>
        <v/>
      </c>
      <c r="C15" s="54">
        <f>IF(計算用!$K$13="","",IF(計算用!$B$1=1,INDEX(計算用!$G$3:$G$452,計算用!$K$13),INDEX(振り分け!$C$7:$C$456,計算用!$K$13)))</f>
        <v/>
      </c>
      <c r="D15" s="59">
        <f>IF(計算用!$K$13="","",IF(計算用!$B$1=1,INDEX(計算用!$H$3:$H$452,計算用!$K$13),INDEX(振り分け!$D$7:$D$456,計算用!$K$13)))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IF(計算用!$K$14="","",12)</f>
        <v/>
      </c>
      <c r="B16" s="54">
        <f>IF(計算用!$K$14="","",IF(計算用!$B$1=1,INDEX(計算用!$F$3:$F$452,計算用!$K$14),INDEX(振り分け!$B$7:$B$456,計算用!$K$14)))</f>
        <v/>
      </c>
      <c r="C16" s="54">
        <f>IF(計算用!$K$14="","",IF(計算用!$B$1=1,INDEX(計算用!$G$3:$G$452,計算用!$K$14),INDEX(振り分け!$C$7:$C$456,計算用!$K$14)))</f>
        <v/>
      </c>
      <c r="D16" s="59">
        <f>IF(計算用!$K$14="","",IF(計算用!$B$1=1,INDEX(計算用!$H$3:$H$452,計算用!$K$14),INDEX(振り分け!$D$7:$D$456,計算用!$K$14)))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IF(計算用!$K$15="","",13)</f>
        <v/>
      </c>
      <c r="B17" s="54">
        <f>IF(計算用!$K$15="","",IF(計算用!$B$1=1,INDEX(計算用!$F$3:$F$452,計算用!$K$15),INDEX(振り分け!$B$7:$B$456,計算用!$K$15)))</f>
        <v/>
      </c>
      <c r="C17" s="54">
        <f>IF(計算用!$K$15="","",IF(計算用!$B$1=1,INDEX(計算用!$G$3:$G$452,計算用!$K$15),INDEX(振り分け!$C$7:$C$456,計算用!$K$15)))</f>
        <v/>
      </c>
      <c r="D17" s="59">
        <f>IF(計算用!$K$15="","",IF(計算用!$B$1=1,INDEX(計算用!$H$3:$H$452,計算用!$K$15),INDEX(振り分け!$D$7:$D$456,計算用!$K$15)))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IF(計算用!$K$16="","",14)</f>
        <v/>
      </c>
      <c r="B18" s="54">
        <f>IF(計算用!$K$16="","",IF(計算用!$B$1=1,INDEX(計算用!$F$3:$F$452,計算用!$K$16),INDEX(振り分け!$B$7:$B$456,計算用!$K$16)))</f>
        <v/>
      </c>
      <c r="C18" s="54">
        <f>IF(計算用!$K$16="","",IF(計算用!$B$1=1,INDEX(計算用!$G$3:$G$452,計算用!$K$16),INDEX(振り分け!$C$7:$C$456,計算用!$K$16)))</f>
        <v/>
      </c>
      <c r="D18" s="59">
        <f>IF(計算用!$K$16="","",IF(計算用!$B$1=1,INDEX(計算用!$H$3:$H$452,計算用!$K$16),INDEX(振り分け!$D$7:$D$456,計算用!$K$16)))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IF(計算用!$K$17="","",15)</f>
        <v/>
      </c>
      <c r="B19" s="54">
        <f>IF(計算用!$K$17="","",IF(計算用!$B$1=1,INDEX(計算用!$F$3:$F$452,計算用!$K$17),INDEX(振り分け!$B$7:$B$456,計算用!$K$17)))</f>
        <v/>
      </c>
      <c r="C19" s="54">
        <f>IF(計算用!$K$17="","",IF(計算用!$B$1=1,INDEX(計算用!$G$3:$G$452,計算用!$K$17),INDEX(振り分け!$C$7:$C$456,計算用!$K$17)))</f>
        <v/>
      </c>
      <c r="D19" s="59">
        <f>IF(計算用!$K$17="","",IF(計算用!$B$1=1,INDEX(計算用!$H$3:$H$452,計算用!$K$17),INDEX(振り分け!$D$7:$D$456,計算用!$K$17)))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IF(計算用!$K$18="","",16)</f>
        <v/>
      </c>
      <c r="B20" s="54">
        <f>IF(計算用!$K$18="","",IF(計算用!$B$1=1,INDEX(計算用!$F$3:$F$452,計算用!$K$18),INDEX(振り分け!$B$7:$B$456,計算用!$K$18)))</f>
        <v/>
      </c>
      <c r="C20" s="54">
        <f>IF(計算用!$K$18="","",IF(計算用!$B$1=1,INDEX(計算用!$G$3:$G$452,計算用!$K$18),INDEX(振り分け!$C$7:$C$456,計算用!$K$18)))</f>
        <v/>
      </c>
      <c r="D20" s="59">
        <f>IF(計算用!$K$18="","",IF(計算用!$B$1=1,INDEX(計算用!$H$3:$H$452,計算用!$K$18),INDEX(振り分け!$D$7:$D$456,計算用!$K$18)))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IF(計算用!$K$19="","",17)</f>
        <v/>
      </c>
      <c r="B21" s="54">
        <f>IF(計算用!$K$19="","",IF(計算用!$B$1=1,INDEX(計算用!$F$3:$F$452,計算用!$K$19),INDEX(振り分け!$B$7:$B$456,計算用!$K$19)))</f>
        <v/>
      </c>
      <c r="C21" s="54">
        <f>IF(計算用!$K$19="","",IF(計算用!$B$1=1,INDEX(計算用!$G$3:$G$452,計算用!$K$19),INDEX(振り分け!$C$7:$C$456,計算用!$K$19)))</f>
        <v/>
      </c>
      <c r="D21" s="59">
        <f>IF(計算用!$K$19="","",IF(計算用!$B$1=1,INDEX(計算用!$H$3:$H$452,計算用!$K$19),INDEX(振り分け!$D$7:$D$456,計算用!$K$19)))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IF(計算用!$K$20="","",18)</f>
        <v/>
      </c>
      <c r="B22" s="54">
        <f>IF(計算用!$K$20="","",IF(計算用!$B$1=1,INDEX(計算用!$F$3:$F$452,計算用!$K$20),INDEX(振り分け!$B$7:$B$456,計算用!$K$20)))</f>
        <v/>
      </c>
      <c r="C22" s="54">
        <f>IF(計算用!$K$20="","",IF(計算用!$B$1=1,INDEX(計算用!$G$3:$G$452,計算用!$K$20),INDEX(振り分け!$C$7:$C$456,計算用!$K$20)))</f>
        <v/>
      </c>
      <c r="D22" s="59">
        <f>IF(計算用!$K$20="","",IF(計算用!$B$1=1,INDEX(計算用!$H$3:$H$452,計算用!$K$20),INDEX(振り分け!$D$7:$D$456,計算用!$K$20)))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IF(計算用!$K$21="","",19)</f>
        <v/>
      </c>
      <c r="B23" s="54">
        <f>IF(計算用!$K$21="","",IF(計算用!$B$1=1,INDEX(計算用!$F$3:$F$452,計算用!$K$21),INDEX(振り分け!$B$7:$B$456,計算用!$K$21)))</f>
        <v/>
      </c>
      <c r="C23" s="54">
        <f>IF(計算用!$K$21="","",IF(計算用!$B$1=1,INDEX(計算用!$G$3:$G$452,計算用!$K$21),INDEX(振り分け!$C$7:$C$456,計算用!$K$21)))</f>
        <v/>
      </c>
      <c r="D23" s="59">
        <f>IF(計算用!$K$21="","",IF(計算用!$B$1=1,INDEX(計算用!$H$3:$H$452,計算用!$K$21),INDEX(振り分け!$D$7:$D$456,計算用!$K$21)))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IF(計算用!$K$22="","",20)</f>
        <v/>
      </c>
      <c r="B24" s="54">
        <f>IF(計算用!$K$22="","",IF(計算用!$B$1=1,INDEX(計算用!$F$3:$F$452,計算用!$K$22),INDEX(振り分け!$B$7:$B$456,計算用!$K$22)))</f>
        <v/>
      </c>
      <c r="C24" s="54">
        <f>IF(計算用!$K$22="","",IF(計算用!$B$1=1,INDEX(計算用!$G$3:$G$452,計算用!$K$22),INDEX(振り分け!$C$7:$C$456,計算用!$K$22)))</f>
        <v/>
      </c>
      <c r="D24" s="59">
        <f>IF(計算用!$K$22="","",IF(計算用!$B$1=1,INDEX(計算用!$H$3:$H$452,計算用!$K$22),INDEX(振り分け!$D$7:$D$456,計算用!$K$22)))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IF(計算用!$K$23="","",21)</f>
        <v/>
      </c>
      <c r="B25" s="54">
        <f>IF(計算用!$K$23="","",IF(計算用!$B$1=1,INDEX(計算用!$F$3:$F$452,計算用!$K$23),INDEX(振り分け!$B$7:$B$456,計算用!$K$23)))</f>
        <v/>
      </c>
      <c r="C25" s="54">
        <f>IF(計算用!$K$23="","",IF(計算用!$B$1=1,INDEX(計算用!$G$3:$G$452,計算用!$K$23),INDEX(振り分け!$C$7:$C$456,計算用!$K$23)))</f>
        <v/>
      </c>
      <c r="D25" s="59">
        <f>IF(計算用!$K$23="","",IF(計算用!$B$1=1,INDEX(計算用!$H$3:$H$452,計算用!$K$23),INDEX(振り分け!$D$7:$D$456,計算用!$K$23)))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IF(計算用!$K$24="","",22)</f>
        <v/>
      </c>
      <c r="B26" s="54">
        <f>IF(計算用!$K$24="","",IF(計算用!$B$1=1,INDEX(計算用!$F$3:$F$452,計算用!$K$24),INDEX(振り分け!$B$7:$B$456,計算用!$K$24)))</f>
        <v/>
      </c>
      <c r="C26" s="54">
        <f>IF(計算用!$K$24="","",IF(計算用!$B$1=1,INDEX(計算用!$G$3:$G$452,計算用!$K$24),INDEX(振り分け!$C$7:$C$456,計算用!$K$24)))</f>
        <v/>
      </c>
      <c r="D26" s="59">
        <f>IF(計算用!$K$24="","",IF(計算用!$B$1=1,INDEX(計算用!$H$3:$H$452,計算用!$K$24),INDEX(振り分け!$D$7:$D$456,計算用!$K$24)))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IF(計算用!$K$25="","",23)</f>
        <v/>
      </c>
      <c r="B27" s="54">
        <f>IF(計算用!$K$25="","",IF(計算用!$B$1=1,INDEX(計算用!$F$3:$F$452,計算用!$K$25),INDEX(振り分け!$B$7:$B$456,計算用!$K$25)))</f>
        <v/>
      </c>
      <c r="C27" s="54">
        <f>IF(計算用!$K$25="","",IF(計算用!$B$1=1,INDEX(計算用!$G$3:$G$452,計算用!$K$25),INDEX(振り分け!$C$7:$C$456,計算用!$K$25)))</f>
        <v/>
      </c>
      <c r="D27" s="59">
        <f>IF(計算用!$K$25="","",IF(計算用!$B$1=1,INDEX(計算用!$H$3:$H$452,計算用!$K$25),INDEX(振り分け!$D$7:$D$456,計算用!$K$25)))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IF(計算用!$K$26="","",24)</f>
        <v/>
      </c>
      <c r="B28" s="54">
        <f>IF(計算用!$K$26="","",IF(計算用!$B$1=1,INDEX(計算用!$F$3:$F$452,計算用!$K$26),INDEX(振り分け!$B$7:$B$456,計算用!$K$26)))</f>
        <v/>
      </c>
      <c r="C28" s="54">
        <f>IF(計算用!$K$26="","",IF(計算用!$B$1=1,INDEX(計算用!$G$3:$G$452,計算用!$K$26),INDEX(振り分け!$C$7:$C$456,計算用!$K$26)))</f>
        <v/>
      </c>
      <c r="D28" s="59">
        <f>IF(計算用!$K$26="","",IF(計算用!$B$1=1,INDEX(計算用!$H$3:$H$452,計算用!$K$26),INDEX(振り分け!$D$7:$D$456,計算用!$K$26)))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IF(計算用!$K$27="","",25)</f>
        <v/>
      </c>
      <c r="B29" s="54">
        <f>IF(計算用!$K$27="","",IF(計算用!$B$1=1,INDEX(計算用!$F$3:$F$452,計算用!$K$27),INDEX(振り分け!$B$7:$B$456,計算用!$K$27)))</f>
        <v/>
      </c>
      <c r="C29" s="54">
        <f>IF(計算用!$K$27="","",IF(計算用!$B$1=1,INDEX(計算用!$G$3:$G$452,計算用!$K$27),INDEX(振り分け!$C$7:$C$456,計算用!$K$27)))</f>
        <v/>
      </c>
      <c r="D29" s="59">
        <f>IF(計算用!$K$27="","",IF(計算用!$B$1=1,INDEX(計算用!$H$3:$H$452,計算用!$K$27),INDEX(振り分け!$D$7:$D$456,計算用!$K$27)))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IF(計算用!$K$28="","",26)</f>
        <v/>
      </c>
      <c r="B30" s="54">
        <f>IF(計算用!$K$28="","",IF(計算用!$B$1=1,INDEX(計算用!$F$3:$F$452,計算用!$K$28),INDEX(振り分け!$B$7:$B$456,計算用!$K$28)))</f>
        <v/>
      </c>
      <c r="C30" s="54">
        <f>IF(計算用!$K$28="","",IF(計算用!$B$1=1,INDEX(計算用!$G$3:$G$452,計算用!$K$28),INDEX(振り分け!$C$7:$C$456,計算用!$K$28)))</f>
        <v/>
      </c>
      <c r="D30" s="59">
        <f>IF(計算用!$K$28="","",IF(計算用!$B$1=1,INDEX(計算用!$H$3:$H$452,計算用!$K$28),INDEX(振り分け!$D$7:$D$456,計算用!$K$28)))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IF(計算用!$K$29="","",27)</f>
        <v/>
      </c>
      <c r="B31" s="54">
        <f>IF(計算用!$K$29="","",IF(計算用!$B$1=1,INDEX(計算用!$F$3:$F$452,計算用!$K$29),INDEX(振り分け!$B$7:$B$456,計算用!$K$29)))</f>
        <v/>
      </c>
      <c r="C31" s="54">
        <f>IF(計算用!$K$29="","",IF(計算用!$B$1=1,INDEX(計算用!$G$3:$G$452,計算用!$K$29),INDEX(振り分け!$C$7:$C$456,計算用!$K$29)))</f>
        <v/>
      </c>
      <c r="D31" s="59">
        <f>IF(計算用!$K$29="","",IF(計算用!$B$1=1,INDEX(計算用!$H$3:$H$452,計算用!$K$29),INDEX(振り分け!$D$7:$D$456,計算用!$K$29)))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IF(計算用!$K$30="","",28)</f>
        <v/>
      </c>
      <c r="B32" s="54">
        <f>IF(計算用!$K$30="","",IF(計算用!$B$1=1,INDEX(計算用!$F$3:$F$452,計算用!$K$30),INDEX(振り分け!$B$7:$B$456,計算用!$K$30)))</f>
        <v/>
      </c>
      <c r="C32" s="54">
        <f>IF(計算用!$K$30="","",IF(計算用!$B$1=1,INDEX(計算用!$G$3:$G$452,計算用!$K$30),INDEX(振り分け!$C$7:$C$456,計算用!$K$30)))</f>
        <v/>
      </c>
      <c r="D32" s="59">
        <f>IF(計算用!$K$30="","",IF(計算用!$B$1=1,INDEX(計算用!$H$3:$H$452,計算用!$K$30),INDEX(振り分け!$D$7:$D$456,計算用!$K$30)))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IF(計算用!$K$31="","",29)</f>
        <v/>
      </c>
      <c r="B33" s="54">
        <f>IF(計算用!$K$31="","",IF(計算用!$B$1=1,INDEX(計算用!$F$3:$F$452,計算用!$K$31),INDEX(振り分け!$B$7:$B$456,計算用!$K$31)))</f>
        <v/>
      </c>
      <c r="C33" s="54">
        <f>IF(計算用!$K$31="","",IF(計算用!$B$1=1,INDEX(計算用!$G$3:$G$452,計算用!$K$31),INDEX(振り分け!$C$7:$C$456,計算用!$K$31)))</f>
        <v/>
      </c>
      <c r="D33" s="59">
        <f>IF(計算用!$K$31="","",IF(計算用!$B$1=1,INDEX(計算用!$H$3:$H$452,計算用!$K$31),INDEX(振り分け!$D$7:$D$456,計算用!$K$31)))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IF(計算用!$K$32="","",30)</f>
        <v/>
      </c>
      <c r="B34" s="54">
        <f>IF(計算用!$K$32="","",IF(計算用!$B$1=1,INDEX(計算用!$F$3:$F$452,計算用!$K$32),INDEX(振り分け!$B$7:$B$456,計算用!$K$32)))</f>
        <v/>
      </c>
      <c r="C34" s="54">
        <f>IF(計算用!$K$32="","",IF(計算用!$B$1=1,INDEX(計算用!$G$3:$G$452,計算用!$K$32),INDEX(振り分け!$C$7:$C$456,計算用!$K$32)))</f>
        <v/>
      </c>
      <c r="D34" s="59">
        <f>IF(計算用!$K$32="","",IF(計算用!$B$1=1,INDEX(計算用!$H$3:$H$452,計算用!$K$32),INDEX(振り分け!$D$7:$D$456,計算用!$K$32)))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IF(計算用!$K$33="","",31)</f>
        <v/>
      </c>
      <c r="B35" s="54">
        <f>IF(計算用!$K$33="","",IF(計算用!$B$1=1,INDEX(計算用!$F$3:$F$452,計算用!$K$33),INDEX(振り分け!$B$7:$B$456,計算用!$K$33)))</f>
        <v/>
      </c>
      <c r="C35" s="54">
        <f>IF(計算用!$K$33="","",IF(計算用!$B$1=1,INDEX(計算用!$G$3:$G$452,計算用!$K$33),INDEX(振り分け!$C$7:$C$456,計算用!$K$33)))</f>
        <v/>
      </c>
      <c r="D35" s="59">
        <f>IF(計算用!$K$33="","",IF(計算用!$B$1=1,INDEX(計算用!$H$3:$H$452,計算用!$K$33),INDEX(振り分け!$D$7:$D$456,計算用!$K$33)))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IF(計算用!$K$34="","",32)</f>
        <v/>
      </c>
      <c r="B36" s="54">
        <f>IF(計算用!$K$34="","",IF(計算用!$B$1=1,INDEX(計算用!$F$3:$F$452,計算用!$K$34),INDEX(振り分け!$B$7:$B$456,計算用!$K$34)))</f>
        <v/>
      </c>
      <c r="C36" s="54">
        <f>IF(計算用!$K$34="","",IF(計算用!$B$1=1,INDEX(計算用!$G$3:$G$452,計算用!$K$34),INDEX(振り分け!$C$7:$C$456,計算用!$K$34)))</f>
        <v/>
      </c>
      <c r="D36" s="59">
        <f>IF(計算用!$K$34="","",IF(計算用!$B$1=1,INDEX(計算用!$H$3:$H$452,計算用!$K$34),INDEX(振り分け!$D$7:$D$456,計算用!$K$34)))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IF(計算用!$K$35="","",33)</f>
        <v/>
      </c>
      <c r="B37" s="54">
        <f>IF(計算用!$K$35="","",IF(計算用!$B$1=1,INDEX(計算用!$F$3:$F$452,計算用!$K$35),INDEX(振り分け!$B$7:$B$456,計算用!$K$35)))</f>
        <v/>
      </c>
      <c r="C37" s="54">
        <f>IF(計算用!$K$35="","",IF(計算用!$B$1=1,INDEX(計算用!$G$3:$G$452,計算用!$K$35),INDEX(振り分け!$C$7:$C$456,計算用!$K$35)))</f>
        <v/>
      </c>
      <c r="D37" s="59">
        <f>IF(計算用!$K$35="","",IF(計算用!$B$1=1,INDEX(計算用!$H$3:$H$452,計算用!$K$35),INDEX(振り分け!$D$7:$D$456,計算用!$K$35)))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IF(計算用!$K$36="","",34)</f>
        <v/>
      </c>
      <c r="B38" s="54">
        <f>IF(計算用!$K$36="","",IF(計算用!$B$1=1,INDEX(計算用!$F$3:$F$452,計算用!$K$36),INDEX(振り分け!$B$7:$B$456,計算用!$K$36)))</f>
        <v/>
      </c>
      <c r="C38" s="54">
        <f>IF(計算用!$K$36="","",IF(計算用!$B$1=1,INDEX(計算用!$G$3:$G$452,計算用!$K$36),INDEX(振り分け!$C$7:$C$456,計算用!$K$36)))</f>
        <v/>
      </c>
      <c r="D38" s="59">
        <f>IF(計算用!$K$36="","",IF(計算用!$B$1=1,INDEX(計算用!$H$3:$H$452,計算用!$K$36),INDEX(振り分け!$D$7:$D$456,計算用!$K$36)))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IF(計算用!$K$37="","",35)</f>
        <v/>
      </c>
      <c r="B39" s="54">
        <f>IF(計算用!$K$37="","",IF(計算用!$B$1=1,INDEX(計算用!$F$3:$F$452,計算用!$K$37),INDEX(振り分け!$B$7:$B$456,計算用!$K$37)))</f>
        <v/>
      </c>
      <c r="C39" s="54">
        <f>IF(計算用!$K$37="","",IF(計算用!$B$1=1,INDEX(計算用!$G$3:$G$452,計算用!$K$37),INDEX(振り分け!$C$7:$C$456,計算用!$K$37)))</f>
        <v/>
      </c>
      <c r="D39" s="59">
        <f>IF(計算用!$K$37="","",IF(計算用!$B$1=1,INDEX(計算用!$H$3:$H$452,計算用!$K$37),INDEX(振り分け!$D$7:$D$456,計算用!$K$37)))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IF(計算用!$K$38="","",36)</f>
        <v/>
      </c>
      <c r="B40" s="54">
        <f>IF(計算用!$K$38="","",IF(計算用!$B$1=1,INDEX(計算用!$F$3:$F$452,計算用!$K$38),INDEX(振り分け!$B$7:$B$456,計算用!$K$38)))</f>
        <v/>
      </c>
      <c r="C40" s="54">
        <f>IF(計算用!$K$38="","",IF(計算用!$B$1=1,INDEX(計算用!$G$3:$G$452,計算用!$K$38),INDEX(振り分け!$C$7:$C$456,計算用!$K$38)))</f>
        <v/>
      </c>
      <c r="D40" s="59">
        <f>IF(計算用!$K$38="","",IF(計算用!$B$1=1,INDEX(計算用!$H$3:$H$452,計算用!$K$38),INDEX(振り分け!$D$7:$D$456,計算用!$K$38)))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IF(計算用!$K$39="","",37)</f>
        <v/>
      </c>
      <c r="B41" s="54">
        <f>IF(計算用!$K$39="","",IF(計算用!$B$1=1,INDEX(計算用!$F$3:$F$452,計算用!$K$39),INDEX(振り分け!$B$7:$B$456,計算用!$K$39)))</f>
        <v/>
      </c>
      <c r="C41" s="54">
        <f>IF(計算用!$K$39="","",IF(計算用!$B$1=1,INDEX(計算用!$G$3:$G$452,計算用!$K$39),INDEX(振り分け!$C$7:$C$456,計算用!$K$39)))</f>
        <v/>
      </c>
      <c r="D41" s="59">
        <f>IF(計算用!$K$39="","",IF(計算用!$B$1=1,INDEX(計算用!$H$3:$H$452,計算用!$K$39),INDEX(振り分け!$D$7:$D$456,計算用!$K$39)))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IF(計算用!$K$40="","",38)</f>
        <v/>
      </c>
      <c r="B42" s="54">
        <f>IF(計算用!$K$40="","",IF(計算用!$B$1=1,INDEX(計算用!$F$3:$F$452,計算用!$K$40),INDEX(振り分け!$B$7:$B$456,計算用!$K$40)))</f>
        <v/>
      </c>
      <c r="C42" s="54">
        <f>IF(計算用!$K$40="","",IF(計算用!$B$1=1,INDEX(計算用!$G$3:$G$452,計算用!$K$40),INDEX(振り分け!$C$7:$C$456,計算用!$K$40)))</f>
        <v/>
      </c>
      <c r="D42" s="59">
        <f>IF(計算用!$K$40="","",IF(計算用!$B$1=1,INDEX(計算用!$H$3:$H$452,計算用!$K$40),INDEX(振り分け!$D$7:$D$456,計算用!$K$40)))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IF(計算用!$K$41="","",39)</f>
        <v/>
      </c>
      <c r="B43" s="54">
        <f>IF(計算用!$K$41="","",IF(計算用!$B$1=1,INDEX(計算用!$F$3:$F$452,計算用!$K$41),INDEX(振り分け!$B$7:$B$456,計算用!$K$41)))</f>
        <v/>
      </c>
      <c r="C43" s="54">
        <f>IF(計算用!$K$41="","",IF(計算用!$B$1=1,INDEX(計算用!$G$3:$G$452,計算用!$K$41),INDEX(振り分け!$C$7:$C$456,計算用!$K$41)))</f>
        <v/>
      </c>
      <c r="D43" s="59">
        <f>IF(計算用!$K$41="","",IF(計算用!$B$1=1,INDEX(計算用!$H$3:$H$452,計算用!$K$41),INDEX(振り分け!$D$7:$D$456,計算用!$K$41)))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IF(計算用!$K$42="","",40)</f>
        <v/>
      </c>
      <c r="B44" s="54">
        <f>IF(計算用!$K$42="","",IF(計算用!$B$1=1,INDEX(計算用!$F$3:$F$452,計算用!$K$42),INDEX(振り分け!$B$7:$B$456,計算用!$K$42)))</f>
        <v/>
      </c>
      <c r="C44" s="54">
        <f>IF(計算用!$K$42="","",IF(計算用!$B$1=1,INDEX(計算用!$G$3:$G$452,計算用!$K$42),INDEX(振り分け!$C$7:$C$456,計算用!$K$42)))</f>
        <v/>
      </c>
      <c r="D44" s="59">
        <f>IF(計算用!$K$42="","",IF(計算用!$B$1=1,INDEX(計算用!$H$3:$H$452,計算用!$K$42),INDEX(振り分け!$D$7:$D$456,計算用!$K$42)))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IF(計算用!$K$43="","",41)</f>
        <v/>
      </c>
      <c r="B45" s="54">
        <f>IF(計算用!$K$43="","",IF(計算用!$B$1=1,INDEX(計算用!$F$3:$F$452,計算用!$K$43),INDEX(振り分け!$B$7:$B$456,計算用!$K$43)))</f>
        <v/>
      </c>
      <c r="C45" s="54">
        <f>IF(計算用!$K$43="","",IF(計算用!$B$1=1,INDEX(計算用!$G$3:$G$452,計算用!$K$43),INDEX(振り分け!$C$7:$C$456,計算用!$K$43)))</f>
        <v/>
      </c>
      <c r="D45" s="59">
        <f>IF(計算用!$K$43="","",IF(計算用!$B$1=1,INDEX(計算用!$H$3:$H$452,計算用!$K$43),INDEX(振り分け!$D$7:$D$456,計算用!$K$43)))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IF(計算用!$K$44="","",42)</f>
        <v/>
      </c>
      <c r="B46" s="54">
        <f>IF(計算用!$K$44="","",IF(計算用!$B$1=1,INDEX(計算用!$F$3:$F$452,計算用!$K$44),INDEX(振り分け!$B$7:$B$456,計算用!$K$44)))</f>
        <v/>
      </c>
      <c r="C46" s="54">
        <f>IF(計算用!$K$44="","",IF(計算用!$B$1=1,INDEX(計算用!$G$3:$G$452,計算用!$K$44),INDEX(振り分け!$C$7:$C$456,計算用!$K$44)))</f>
        <v/>
      </c>
      <c r="D46" s="59">
        <f>IF(計算用!$K$44="","",IF(計算用!$B$1=1,INDEX(計算用!$H$3:$H$452,計算用!$K$44),INDEX(振り分け!$D$7:$D$456,計算用!$K$44)))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IF(計算用!$K$45="","",43)</f>
        <v/>
      </c>
      <c r="B47" s="54">
        <f>IF(計算用!$K$45="","",IF(計算用!$B$1=1,INDEX(計算用!$F$3:$F$452,計算用!$K$45),INDEX(振り分け!$B$7:$B$456,計算用!$K$45)))</f>
        <v/>
      </c>
      <c r="C47" s="54">
        <f>IF(計算用!$K$45="","",IF(計算用!$B$1=1,INDEX(計算用!$G$3:$G$452,計算用!$K$45),INDEX(振り分け!$C$7:$C$456,計算用!$K$45)))</f>
        <v/>
      </c>
      <c r="D47" s="59">
        <f>IF(計算用!$K$45="","",IF(計算用!$B$1=1,INDEX(計算用!$H$3:$H$452,計算用!$K$45),INDEX(振り分け!$D$7:$D$456,計算用!$K$45)))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IF(計算用!$K$46="","",44)</f>
        <v/>
      </c>
      <c r="B48" s="54">
        <f>IF(計算用!$K$46="","",IF(計算用!$B$1=1,INDEX(計算用!$F$3:$F$452,計算用!$K$46),INDEX(振り分け!$B$7:$B$456,計算用!$K$46)))</f>
        <v/>
      </c>
      <c r="C48" s="54">
        <f>IF(計算用!$K$46="","",IF(計算用!$B$1=1,INDEX(計算用!$G$3:$G$452,計算用!$K$46),INDEX(振り分け!$C$7:$C$456,計算用!$K$46)))</f>
        <v/>
      </c>
      <c r="D48" s="59">
        <f>IF(計算用!$K$46="","",IF(計算用!$B$1=1,INDEX(計算用!$H$3:$H$452,計算用!$K$46),INDEX(振り分け!$D$7:$D$456,計算用!$K$46)))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IF(計算用!$K$47="","",45)</f>
        <v/>
      </c>
      <c r="B49" s="54">
        <f>IF(計算用!$K$47="","",IF(計算用!$B$1=1,INDEX(計算用!$F$3:$F$452,計算用!$K$47),INDEX(振り分け!$B$7:$B$456,計算用!$K$47)))</f>
        <v/>
      </c>
      <c r="C49" s="54">
        <f>IF(計算用!$K$47="","",IF(計算用!$B$1=1,INDEX(計算用!$G$3:$G$452,計算用!$K$47),INDEX(振り分け!$C$7:$C$456,計算用!$K$47)))</f>
        <v/>
      </c>
      <c r="D49" s="59">
        <f>IF(計算用!$K$47="","",IF(計算用!$B$1=1,INDEX(計算用!$H$3:$H$452,計算用!$K$47),INDEX(振り分け!$D$7:$D$456,計算用!$K$47)))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IF(計算用!$K$48="","",46)</f>
        <v/>
      </c>
      <c r="B50" s="54">
        <f>IF(計算用!$K$48="","",IF(計算用!$B$1=1,INDEX(計算用!$F$3:$F$452,計算用!$K$48),INDEX(振り分け!$B$7:$B$456,計算用!$K$48)))</f>
        <v/>
      </c>
      <c r="C50" s="54">
        <f>IF(計算用!$K$48="","",IF(計算用!$B$1=1,INDEX(計算用!$G$3:$G$452,計算用!$K$48),INDEX(振り分け!$C$7:$C$456,計算用!$K$48)))</f>
        <v/>
      </c>
      <c r="D50" s="59">
        <f>IF(計算用!$K$48="","",IF(計算用!$B$1=1,INDEX(計算用!$H$3:$H$452,計算用!$K$48),INDEX(振り分け!$D$7:$D$456,計算用!$K$48)))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IF(計算用!$K$49="","",47)</f>
        <v/>
      </c>
      <c r="B51" s="54">
        <f>IF(計算用!$K$49="","",IF(計算用!$B$1=1,INDEX(計算用!$F$3:$F$452,計算用!$K$49),INDEX(振り分け!$B$7:$B$456,計算用!$K$49)))</f>
        <v/>
      </c>
      <c r="C51" s="54">
        <f>IF(計算用!$K$49="","",IF(計算用!$B$1=1,INDEX(計算用!$G$3:$G$452,計算用!$K$49),INDEX(振り分け!$C$7:$C$456,計算用!$K$49)))</f>
        <v/>
      </c>
      <c r="D51" s="59">
        <f>IF(計算用!$K$49="","",IF(計算用!$B$1=1,INDEX(計算用!$H$3:$H$452,計算用!$K$49),INDEX(振り分け!$D$7:$D$456,計算用!$K$49)))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IF(計算用!$K$50="","",48)</f>
        <v/>
      </c>
      <c r="B52" s="54">
        <f>IF(計算用!$K$50="","",IF(計算用!$B$1=1,INDEX(計算用!$F$3:$F$452,計算用!$K$50),INDEX(振り分け!$B$7:$B$456,計算用!$K$50)))</f>
        <v/>
      </c>
      <c r="C52" s="54">
        <f>IF(計算用!$K$50="","",IF(計算用!$B$1=1,INDEX(計算用!$G$3:$G$452,計算用!$K$50),INDEX(振り分け!$C$7:$C$456,計算用!$K$50)))</f>
        <v/>
      </c>
      <c r="D52" s="59">
        <f>IF(計算用!$K$50="","",IF(計算用!$B$1=1,INDEX(計算用!$H$3:$H$452,計算用!$K$50),INDEX(振り分け!$D$7:$D$456,計算用!$K$50)))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IF(計算用!$K$51="","",49)</f>
        <v/>
      </c>
      <c r="B53" s="54">
        <f>IF(計算用!$K$51="","",IF(計算用!$B$1=1,INDEX(計算用!$F$3:$F$452,計算用!$K$51),INDEX(振り分け!$B$7:$B$456,計算用!$K$51)))</f>
        <v/>
      </c>
      <c r="C53" s="54">
        <f>IF(計算用!$K$51="","",IF(計算用!$B$1=1,INDEX(計算用!$G$3:$G$452,計算用!$K$51),INDEX(振り分け!$C$7:$C$456,計算用!$K$51)))</f>
        <v/>
      </c>
      <c r="D53" s="59">
        <f>IF(計算用!$K$51="","",IF(計算用!$B$1=1,INDEX(計算用!$H$3:$H$452,計算用!$K$51),INDEX(振り分け!$D$7:$D$456,計算用!$K$51)))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IF(計算用!$K$52="","",50)</f>
        <v/>
      </c>
      <c r="B54" s="54">
        <f>IF(計算用!$K$52="","",IF(計算用!$B$1=1,INDEX(計算用!$F$3:$F$452,計算用!$K$52),INDEX(振り分け!$B$7:$B$456,計算用!$K$52)))</f>
        <v/>
      </c>
      <c r="C54" s="54">
        <f>IF(計算用!$K$52="","",IF(計算用!$B$1=1,INDEX(計算用!$G$3:$G$452,計算用!$K$52),INDEX(振り分け!$C$7:$C$456,計算用!$K$52)))</f>
        <v/>
      </c>
      <c r="D54" s="59">
        <f>IF(計算用!$K$52="","",IF(計算用!$B$1=1,INDEX(計算用!$H$3:$H$452,計算用!$K$52),INDEX(振り分け!$D$7:$D$456,計算用!$K$52)))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IF(設定!$P$10="","",設定!$B$3&amp;"　"&amp;設定!$P$10&amp;設定!$B$4&amp;"名簿"&amp;IF(計算用!$B$1=0,"（仮・前年度の組）",""))</f>
        <v/>
      </c>
    </row>
    <row r="2">
      <c r="A2" s="44">
        <f>IF(設定!$P$10="","","担当："&amp;設定!$S$10&amp;"　　活動場所："&amp;設定!$T$10&amp;"　　人数："&amp;定員チェック!$F$9&amp;"名（"&amp;設定!$B$8&amp;"年"&amp;定員チェック!$G$9&amp;"・"&amp;設定!$B$9&amp;"年"&amp;定員チェック!$H$9&amp;"・"&amp;設定!$B$10&amp;"年"&amp;定員チェック!$I$9&amp;"）")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IF(計算用!$L$3="","",1)</f>
        <v/>
      </c>
      <c r="B5" s="54">
        <f>IF(計算用!$L$3="","",IF(計算用!$B$1=1,INDEX(計算用!$F$3:$F$452,計算用!$L$3),INDEX(振り分け!$B$7:$B$456,計算用!$L$3)))</f>
        <v/>
      </c>
      <c r="C5" s="54">
        <f>IF(計算用!$L$3="","",IF(計算用!$B$1=1,INDEX(計算用!$G$3:$G$452,計算用!$L$3),INDEX(振り分け!$C$7:$C$456,計算用!$L$3)))</f>
        <v/>
      </c>
      <c r="D5" s="59">
        <f>IF(計算用!$L$3="","",IF(計算用!$B$1=1,INDEX(計算用!$H$3:$H$452,計算用!$L$3),INDEX(振り分け!$D$7:$D$456,計算用!$L$3)))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IF(計算用!$L$4="","",2)</f>
        <v/>
      </c>
      <c r="B6" s="54">
        <f>IF(計算用!$L$4="","",IF(計算用!$B$1=1,INDEX(計算用!$F$3:$F$452,計算用!$L$4),INDEX(振り分け!$B$7:$B$456,計算用!$L$4)))</f>
        <v/>
      </c>
      <c r="C6" s="54">
        <f>IF(計算用!$L$4="","",IF(計算用!$B$1=1,INDEX(計算用!$G$3:$G$452,計算用!$L$4),INDEX(振り分け!$C$7:$C$456,計算用!$L$4)))</f>
        <v/>
      </c>
      <c r="D6" s="59">
        <f>IF(計算用!$L$4="","",IF(計算用!$B$1=1,INDEX(計算用!$H$3:$H$452,計算用!$L$4),INDEX(振り分け!$D$7:$D$456,計算用!$L$4)))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IF(計算用!$L$5="","",3)</f>
        <v/>
      </c>
      <c r="B7" s="54">
        <f>IF(計算用!$L$5="","",IF(計算用!$B$1=1,INDEX(計算用!$F$3:$F$452,計算用!$L$5),INDEX(振り分け!$B$7:$B$456,計算用!$L$5)))</f>
        <v/>
      </c>
      <c r="C7" s="54">
        <f>IF(計算用!$L$5="","",IF(計算用!$B$1=1,INDEX(計算用!$G$3:$G$452,計算用!$L$5),INDEX(振り分け!$C$7:$C$456,計算用!$L$5)))</f>
        <v/>
      </c>
      <c r="D7" s="59">
        <f>IF(計算用!$L$5="","",IF(計算用!$B$1=1,INDEX(計算用!$H$3:$H$452,計算用!$L$5),INDEX(振り分け!$D$7:$D$456,計算用!$L$5)))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IF(計算用!$L$6="","",4)</f>
        <v/>
      </c>
      <c r="B8" s="54">
        <f>IF(計算用!$L$6="","",IF(計算用!$B$1=1,INDEX(計算用!$F$3:$F$452,計算用!$L$6),INDEX(振り分け!$B$7:$B$456,計算用!$L$6)))</f>
        <v/>
      </c>
      <c r="C8" s="54">
        <f>IF(計算用!$L$6="","",IF(計算用!$B$1=1,INDEX(計算用!$G$3:$G$452,計算用!$L$6),INDEX(振り分け!$C$7:$C$456,計算用!$L$6)))</f>
        <v/>
      </c>
      <c r="D8" s="59">
        <f>IF(計算用!$L$6="","",IF(計算用!$B$1=1,INDEX(計算用!$H$3:$H$452,計算用!$L$6),INDEX(振り分け!$D$7:$D$456,計算用!$L$6)))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IF(計算用!$L$7="","",5)</f>
        <v/>
      </c>
      <c r="B9" s="54">
        <f>IF(計算用!$L$7="","",IF(計算用!$B$1=1,INDEX(計算用!$F$3:$F$452,計算用!$L$7),INDEX(振り分け!$B$7:$B$456,計算用!$L$7)))</f>
        <v/>
      </c>
      <c r="C9" s="54">
        <f>IF(計算用!$L$7="","",IF(計算用!$B$1=1,INDEX(計算用!$G$3:$G$452,計算用!$L$7),INDEX(振り分け!$C$7:$C$456,計算用!$L$7)))</f>
        <v/>
      </c>
      <c r="D9" s="59">
        <f>IF(計算用!$L$7="","",IF(計算用!$B$1=1,INDEX(計算用!$H$3:$H$452,計算用!$L$7),INDEX(振り分け!$D$7:$D$456,計算用!$L$7)))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IF(計算用!$L$8="","",6)</f>
        <v/>
      </c>
      <c r="B10" s="54">
        <f>IF(計算用!$L$8="","",IF(計算用!$B$1=1,INDEX(計算用!$F$3:$F$452,計算用!$L$8),INDEX(振り分け!$B$7:$B$456,計算用!$L$8)))</f>
        <v/>
      </c>
      <c r="C10" s="54">
        <f>IF(計算用!$L$8="","",IF(計算用!$B$1=1,INDEX(計算用!$G$3:$G$452,計算用!$L$8),INDEX(振り分け!$C$7:$C$456,計算用!$L$8)))</f>
        <v/>
      </c>
      <c r="D10" s="59">
        <f>IF(計算用!$L$8="","",IF(計算用!$B$1=1,INDEX(計算用!$H$3:$H$452,計算用!$L$8),INDEX(振り分け!$D$7:$D$456,計算用!$L$8)))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IF(計算用!$L$9="","",7)</f>
        <v/>
      </c>
      <c r="B11" s="54">
        <f>IF(計算用!$L$9="","",IF(計算用!$B$1=1,INDEX(計算用!$F$3:$F$452,計算用!$L$9),INDEX(振り分け!$B$7:$B$456,計算用!$L$9)))</f>
        <v/>
      </c>
      <c r="C11" s="54">
        <f>IF(計算用!$L$9="","",IF(計算用!$B$1=1,INDEX(計算用!$G$3:$G$452,計算用!$L$9),INDEX(振り分け!$C$7:$C$456,計算用!$L$9)))</f>
        <v/>
      </c>
      <c r="D11" s="59">
        <f>IF(計算用!$L$9="","",IF(計算用!$B$1=1,INDEX(計算用!$H$3:$H$452,計算用!$L$9),INDEX(振り分け!$D$7:$D$456,計算用!$L$9)))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IF(計算用!$L$10="","",8)</f>
        <v/>
      </c>
      <c r="B12" s="54">
        <f>IF(計算用!$L$10="","",IF(計算用!$B$1=1,INDEX(計算用!$F$3:$F$452,計算用!$L$10),INDEX(振り分け!$B$7:$B$456,計算用!$L$10)))</f>
        <v/>
      </c>
      <c r="C12" s="54">
        <f>IF(計算用!$L$10="","",IF(計算用!$B$1=1,INDEX(計算用!$G$3:$G$452,計算用!$L$10),INDEX(振り分け!$C$7:$C$456,計算用!$L$10)))</f>
        <v/>
      </c>
      <c r="D12" s="59">
        <f>IF(計算用!$L$10="","",IF(計算用!$B$1=1,INDEX(計算用!$H$3:$H$452,計算用!$L$10),INDEX(振り分け!$D$7:$D$456,計算用!$L$10)))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IF(計算用!$L$11="","",9)</f>
        <v/>
      </c>
      <c r="B13" s="54">
        <f>IF(計算用!$L$11="","",IF(計算用!$B$1=1,INDEX(計算用!$F$3:$F$452,計算用!$L$11),INDEX(振り分け!$B$7:$B$456,計算用!$L$11)))</f>
        <v/>
      </c>
      <c r="C13" s="54">
        <f>IF(計算用!$L$11="","",IF(計算用!$B$1=1,INDEX(計算用!$G$3:$G$452,計算用!$L$11),INDEX(振り分け!$C$7:$C$456,計算用!$L$11)))</f>
        <v/>
      </c>
      <c r="D13" s="59">
        <f>IF(計算用!$L$11="","",IF(計算用!$B$1=1,INDEX(計算用!$H$3:$H$452,計算用!$L$11),INDEX(振り分け!$D$7:$D$456,計算用!$L$11)))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IF(計算用!$L$12="","",10)</f>
        <v/>
      </c>
      <c r="B14" s="54">
        <f>IF(計算用!$L$12="","",IF(計算用!$B$1=1,INDEX(計算用!$F$3:$F$452,計算用!$L$12),INDEX(振り分け!$B$7:$B$456,計算用!$L$12)))</f>
        <v/>
      </c>
      <c r="C14" s="54">
        <f>IF(計算用!$L$12="","",IF(計算用!$B$1=1,INDEX(計算用!$G$3:$G$452,計算用!$L$12),INDEX(振り分け!$C$7:$C$456,計算用!$L$12)))</f>
        <v/>
      </c>
      <c r="D14" s="59">
        <f>IF(計算用!$L$12="","",IF(計算用!$B$1=1,INDEX(計算用!$H$3:$H$452,計算用!$L$12),INDEX(振り分け!$D$7:$D$456,計算用!$L$12)))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IF(計算用!$L$13="","",11)</f>
        <v/>
      </c>
      <c r="B15" s="54">
        <f>IF(計算用!$L$13="","",IF(計算用!$B$1=1,INDEX(計算用!$F$3:$F$452,計算用!$L$13),INDEX(振り分け!$B$7:$B$456,計算用!$L$13)))</f>
        <v/>
      </c>
      <c r="C15" s="54">
        <f>IF(計算用!$L$13="","",IF(計算用!$B$1=1,INDEX(計算用!$G$3:$G$452,計算用!$L$13),INDEX(振り分け!$C$7:$C$456,計算用!$L$13)))</f>
        <v/>
      </c>
      <c r="D15" s="59">
        <f>IF(計算用!$L$13="","",IF(計算用!$B$1=1,INDEX(計算用!$H$3:$H$452,計算用!$L$13),INDEX(振り分け!$D$7:$D$456,計算用!$L$13)))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IF(計算用!$L$14="","",12)</f>
        <v/>
      </c>
      <c r="B16" s="54">
        <f>IF(計算用!$L$14="","",IF(計算用!$B$1=1,INDEX(計算用!$F$3:$F$452,計算用!$L$14),INDEX(振り分け!$B$7:$B$456,計算用!$L$14)))</f>
        <v/>
      </c>
      <c r="C16" s="54">
        <f>IF(計算用!$L$14="","",IF(計算用!$B$1=1,INDEX(計算用!$G$3:$G$452,計算用!$L$14),INDEX(振り分け!$C$7:$C$456,計算用!$L$14)))</f>
        <v/>
      </c>
      <c r="D16" s="59">
        <f>IF(計算用!$L$14="","",IF(計算用!$B$1=1,INDEX(計算用!$H$3:$H$452,計算用!$L$14),INDEX(振り分け!$D$7:$D$456,計算用!$L$14)))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IF(計算用!$L$15="","",13)</f>
        <v/>
      </c>
      <c r="B17" s="54">
        <f>IF(計算用!$L$15="","",IF(計算用!$B$1=1,INDEX(計算用!$F$3:$F$452,計算用!$L$15),INDEX(振り分け!$B$7:$B$456,計算用!$L$15)))</f>
        <v/>
      </c>
      <c r="C17" s="54">
        <f>IF(計算用!$L$15="","",IF(計算用!$B$1=1,INDEX(計算用!$G$3:$G$452,計算用!$L$15),INDEX(振り分け!$C$7:$C$456,計算用!$L$15)))</f>
        <v/>
      </c>
      <c r="D17" s="59">
        <f>IF(計算用!$L$15="","",IF(計算用!$B$1=1,INDEX(計算用!$H$3:$H$452,計算用!$L$15),INDEX(振り分け!$D$7:$D$456,計算用!$L$15)))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IF(計算用!$L$16="","",14)</f>
        <v/>
      </c>
      <c r="B18" s="54">
        <f>IF(計算用!$L$16="","",IF(計算用!$B$1=1,INDEX(計算用!$F$3:$F$452,計算用!$L$16),INDEX(振り分け!$B$7:$B$456,計算用!$L$16)))</f>
        <v/>
      </c>
      <c r="C18" s="54">
        <f>IF(計算用!$L$16="","",IF(計算用!$B$1=1,INDEX(計算用!$G$3:$G$452,計算用!$L$16),INDEX(振り分け!$C$7:$C$456,計算用!$L$16)))</f>
        <v/>
      </c>
      <c r="D18" s="59">
        <f>IF(計算用!$L$16="","",IF(計算用!$B$1=1,INDEX(計算用!$H$3:$H$452,計算用!$L$16),INDEX(振り分け!$D$7:$D$456,計算用!$L$16)))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IF(計算用!$L$17="","",15)</f>
        <v/>
      </c>
      <c r="B19" s="54">
        <f>IF(計算用!$L$17="","",IF(計算用!$B$1=1,INDEX(計算用!$F$3:$F$452,計算用!$L$17),INDEX(振り分け!$B$7:$B$456,計算用!$L$17)))</f>
        <v/>
      </c>
      <c r="C19" s="54">
        <f>IF(計算用!$L$17="","",IF(計算用!$B$1=1,INDEX(計算用!$G$3:$G$452,計算用!$L$17),INDEX(振り分け!$C$7:$C$456,計算用!$L$17)))</f>
        <v/>
      </c>
      <c r="D19" s="59">
        <f>IF(計算用!$L$17="","",IF(計算用!$B$1=1,INDEX(計算用!$H$3:$H$452,計算用!$L$17),INDEX(振り分け!$D$7:$D$456,計算用!$L$17)))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IF(計算用!$L$18="","",16)</f>
        <v/>
      </c>
      <c r="B20" s="54">
        <f>IF(計算用!$L$18="","",IF(計算用!$B$1=1,INDEX(計算用!$F$3:$F$452,計算用!$L$18),INDEX(振り分け!$B$7:$B$456,計算用!$L$18)))</f>
        <v/>
      </c>
      <c r="C20" s="54">
        <f>IF(計算用!$L$18="","",IF(計算用!$B$1=1,INDEX(計算用!$G$3:$G$452,計算用!$L$18),INDEX(振り分け!$C$7:$C$456,計算用!$L$18)))</f>
        <v/>
      </c>
      <c r="D20" s="59">
        <f>IF(計算用!$L$18="","",IF(計算用!$B$1=1,INDEX(計算用!$H$3:$H$452,計算用!$L$18),INDEX(振り分け!$D$7:$D$456,計算用!$L$18)))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IF(計算用!$L$19="","",17)</f>
        <v/>
      </c>
      <c r="B21" s="54">
        <f>IF(計算用!$L$19="","",IF(計算用!$B$1=1,INDEX(計算用!$F$3:$F$452,計算用!$L$19),INDEX(振り分け!$B$7:$B$456,計算用!$L$19)))</f>
        <v/>
      </c>
      <c r="C21" s="54">
        <f>IF(計算用!$L$19="","",IF(計算用!$B$1=1,INDEX(計算用!$G$3:$G$452,計算用!$L$19),INDEX(振り分け!$C$7:$C$456,計算用!$L$19)))</f>
        <v/>
      </c>
      <c r="D21" s="59">
        <f>IF(計算用!$L$19="","",IF(計算用!$B$1=1,INDEX(計算用!$H$3:$H$452,計算用!$L$19),INDEX(振り分け!$D$7:$D$456,計算用!$L$19)))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IF(計算用!$L$20="","",18)</f>
        <v/>
      </c>
      <c r="B22" s="54">
        <f>IF(計算用!$L$20="","",IF(計算用!$B$1=1,INDEX(計算用!$F$3:$F$452,計算用!$L$20),INDEX(振り分け!$B$7:$B$456,計算用!$L$20)))</f>
        <v/>
      </c>
      <c r="C22" s="54">
        <f>IF(計算用!$L$20="","",IF(計算用!$B$1=1,INDEX(計算用!$G$3:$G$452,計算用!$L$20),INDEX(振り分け!$C$7:$C$456,計算用!$L$20)))</f>
        <v/>
      </c>
      <c r="D22" s="59">
        <f>IF(計算用!$L$20="","",IF(計算用!$B$1=1,INDEX(計算用!$H$3:$H$452,計算用!$L$20),INDEX(振り分け!$D$7:$D$456,計算用!$L$20)))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IF(計算用!$L$21="","",19)</f>
        <v/>
      </c>
      <c r="B23" s="54">
        <f>IF(計算用!$L$21="","",IF(計算用!$B$1=1,INDEX(計算用!$F$3:$F$452,計算用!$L$21),INDEX(振り分け!$B$7:$B$456,計算用!$L$21)))</f>
        <v/>
      </c>
      <c r="C23" s="54">
        <f>IF(計算用!$L$21="","",IF(計算用!$B$1=1,INDEX(計算用!$G$3:$G$452,計算用!$L$21),INDEX(振り分け!$C$7:$C$456,計算用!$L$21)))</f>
        <v/>
      </c>
      <c r="D23" s="59">
        <f>IF(計算用!$L$21="","",IF(計算用!$B$1=1,INDEX(計算用!$H$3:$H$452,計算用!$L$21),INDEX(振り分け!$D$7:$D$456,計算用!$L$21)))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IF(計算用!$L$22="","",20)</f>
        <v/>
      </c>
      <c r="B24" s="54">
        <f>IF(計算用!$L$22="","",IF(計算用!$B$1=1,INDEX(計算用!$F$3:$F$452,計算用!$L$22),INDEX(振り分け!$B$7:$B$456,計算用!$L$22)))</f>
        <v/>
      </c>
      <c r="C24" s="54">
        <f>IF(計算用!$L$22="","",IF(計算用!$B$1=1,INDEX(計算用!$G$3:$G$452,計算用!$L$22),INDEX(振り分け!$C$7:$C$456,計算用!$L$22)))</f>
        <v/>
      </c>
      <c r="D24" s="59">
        <f>IF(計算用!$L$22="","",IF(計算用!$B$1=1,INDEX(計算用!$H$3:$H$452,計算用!$L$22),INDEX(振り分け!$D$7:$D$456,計算用!$L$22)))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IF(計算用!$L$23="","",21)</f>
        <v/>
      </c>
      <c r="B25" s="54">
        <f>IF(計算用!$L$23="","",IF(計算用!$B$1=1,INDEX(計算用!$F$3:$F$452,計算用!$L$23),INDEX(振り分け!$B$7:$B$456,計算用!$L$23)))</f>
        <v/>
      </c>
      <c r="C25" s="54">
        <f>IF(計算用!$L$23="","",IF(計算用!$B$1=1,INDEX(計算用!$G$3:$G$452,計算用!$L$23),INDEX(振り分け!$C$7:$C$456,計算用!$L$23)))</f>
        <v/>
      </c>
      <c r="D25" s="59">
        <f>IF(計算用!$L$23="","",IF(計算用!$B$1=1,INDEX(計算用!$H$3:$H$452,計算用!$L$23),INDEX(振り分け!$D$7:$D$456,計算用!$L$23)))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IF(計算用!$L$24="","",22)</f>
        <v/>
      </c>
      <c r="B26" s="54">
        <f>IF(計算用!$L$24="","",IF(計算用!$B$1=1,INDEX(計算用!$F$3:$F$452,計算用!$L$24),INDEX(振り分け!$B$7:$B$456,計算用!$L$24)))</f>
        <v/>
      </c>
      <c r="C26" s="54">
        <f>IF(計算用!$L$24="","",IF(計算用!$B$1=1,INDEX(計算用!$G$3:$G$452,計算用!$L$24),INDEX(振り分け!$C$7:$C$456,計算用!$L$24)))</f>
        <v/>
      </c>
      <c r="D26" s="59">
        <f>IF(計算用!$L$24="","",IF(計算用!$B$1=1,INDEX(計算用!$H$3:$H$452,計算用!$L$24),INDEX(振り分け!$D$7:$D$456,計算用!$L$24)))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IF(計算用!$L$25="","",23)</f>
        <v/>
      </c>
      <c r="B27" s="54">
        <f>IF(計算用!$L$25="","",IF(計算用!$B$1=1,INDEX(計算用!$F$3:$F$452,計算用!$L$25),INDEX(振り分け!$B$7:$B$456,計算用!$L$25)))</f>
        <v/>
      </c>
      <c r="C27" s="54">
        <f>IF(計算用!$L$25="","",IF(計算用!$B$1=1,INDEX(計算用!$G$3:$G$452,計算用!$L$25),INDEX(振り分け!$C$7:$C$456,計算用!$L$25)))</f>
        <v/>
      </c>
      <c r="D27" s="59">
        <f>IF(計算用!$L$25="","",IF(計算用!$B$1=1,INDEX(計算用!$H$3:$H$452,計算用!$L$25),INDEX(振り分け!$D$7:$D$456,計算用!$L$25)))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IF(計算用!$L$26="","",24)</f>
        <v/>
      </c>
      <c r="B28" s="54">
        <f>IF(計算用!$L$26="","",IF(計算用!$B$1=1,INDEX(計算用!$F$3:$F$452,計算用!$L$26),INDEX(振り分け!$B$7:$B$456,計算用!$L$26)))</f>
        <v/>
      </c>
      <c r="C28" s="54">
        <f>IF(計算用!$L$26="","",IF(計算用!$B$1=1,INDEX(計算用!$G$3:$G$452,計算用!$L$26),INDEX(振り分け!$C$7:$C$456,計算用!$L$26)))</f>
        <v/>
      </c>
      <c r="D28" s="59">
        <f>IF(計算用!$L$26="","",IF(計算用!$B$1=1,INDEX(計算用!$H$3:$H$452,計算用!$L$26),INDEX(振り分け!$D$7:$D$456,計算用!$L$26)))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IF(計算用!$L$27="","",25)</f>
        <v/>
      </c>
      <c r="B29" s="54">
        <f>IF(計算用!$L$27="","",IF(計算用!$B$1=1,INDEX(計算用!$F$3:$F$452,計算用!$L$27),INDEX(振り分け!$B$7:$B$456,計算用!$L$27)))</f>
        <v/>
      </c>
      <c r="C29" s="54">
        <f>IF(計算用!$L$27="","",IF(計算用!$B$1=1,INDEX(計算用!$G$3:$G$452,計算用!$L$27),INDEX(振り分け!$C$7:$C$456,計算用!$L$27)))</f>
        <v/>
      </c>
      <c r="D29" s="59">
        <f>IF(計算用!$L$27="","",IF(計算用!$B$1=1,INDEX(計算用!$H$3:$H$452,計算用!$L$27),INDEX(振り分け!$D$7:$D$456,計算用!$L$27)))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IF(計算用!$L$28="","",26)</f>
        <v/>
      </c>
      <c r="B30" s="54">
        <f>IF(計算用!$L$28="","",IF(計算用!$B$1=1,INDEX(計算用!$F$3:$F$452,計算用!$L$28),INDEX(振り分け!$B$7:$B$456,計算用!$L$28)))</f>
        <v/>
      </c>
      <c r="C30" s="54">
        <f>IF(計算用!$L$28="","",IF(計算用!$B$1=1,INDEX(計算用!$G$3:$G$452,計算用!$L$28),INDEX(振り分け!$C$7:$C$456,計算用!$L$28)))</f>
        <v/>
      </c>
      <c r="D30" s="59">
        <f>IF(計算用!$L$28="","",IF(計算用!$B$1=1,INDEX(計算用!$H$3:$H$452,計算用!$L$28),INDEX(振り分け!$D$7:$D$456,計算用!$L$28)))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IF(計算用!$L$29="","",27)</f>
        <v/>
      </c>
      <c r="B31" s="54">
        <f>IF(計算用!$L$29="","",IF(計算用!$B$1=1,INDEX(計算用!$F$3:$F$452,計算用!$L$29),INDEX(振り分け!$B$7:$B$456,計算用!$L$29)))</f>
        <v/>
      </c>
      <c r="C31" s="54">
        <f>IF(計算用!$L$29="","",IF(計算用!$B$1=1,INDEX(計算用!$G$3:$G$452,計算用!$L$29),INDEX(振り分け!$C$7:$C$456,計算用!$L$29)))</f>
        <v/>
      </c>
      <c r="D31" s="59">
        <f>IF(計算用!$L$29="","",IF(計算用!$B$1=1,INDEX(計算用!$H$3:$H$452,計算用!$L$29),INDEX(振り分け!$D$7:$D$456,計算用!$L$29)))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IF(計算用!$L$30="","",28)</f>
        <v/>
      </c>
      <c r="B32" s="54">
        <f>IF(計算用!$L$30="","",IF(計算用!$B$1=1,INDEX(計算用!$F$3:$F$452,計算用!$L$30),INDEX(振り分け!$B$7:$B$456,計算用!$L$30)))</f>
        <v/>
      </c>
      <c r="C32" s="54">
        <f>IF(計算用!$L$30="","",IF(計算用!$B$1=1,INDEX(計算用!$G$3:$G$452,計算用!$L$30),INDEX(振り分け!$C$7:$C$456,計算用!$L$30)))</f>
        <v/>
      </c>
      <c r="D32" s="59">
        <f>IF(計算用!$L$30="","",IF(計算用!$B$1=1,INDEX(計算用!$H$3:$H$452,計算用!$L$30),INDEX(振り分け!$D$7:$D$456,計算用!$L$30)))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IF(計算用!$L$31="","",29)</f>
        <v/>
      </c>
      <c r="B33" s="54">
        <f>IF(計算用!$L$31="","",IF(計算用!$B$1=1,INDEX(計算用!$F$3:$F$452,計算用!$L$31),INDEX(振り分け!$B$7:$B$456,計算用!$L$31)))</f>
        <v/>
      </c>
      <c r="C33" s="54">
        <f>IF(計算用!$L$31="","",IF(計算用!$B$1=1,INDEX(計算用!$G$3:$G$452,計算用!$L$31),INDEX(振り分け!$C$7:$C$456,計算用!$L$31)))</f>
        <v/>
      </c>
      <c r="D33" s="59">
        <f>IF(計算用!$L$31="","",IF(計算用!$B$1=1,INDEX(計算用!$H$3:$H$452,計算用!$L$31),INDEX(振り分け!$D$7:$D$456,計算用!$L$31)))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IF(計算用!$L$32="","",30)</f>
        <v/>
      </c>
      <c r="B34" s="54">
        <f>IF(計算用!$L$32="","",IF(計算用!$B$1=1,INDEX(計算用!$F$3:$F$452,計算用!$L$32),INDEX(振り分け!$B$7:$B$456,計算用!$L$32)))</f>
        <v/>
      </c>
      <c r="C34" s="54">
        <f>IF(計算用!$L$32="","",IF(計算用!$B$1=1,INDEX(計算用!$G$3:$G$452,計算用!$L$32),INDEX(振り分け!$C$7:$C$456,計算用!$L$32)))</f>
        <v/>
      </c>
      <c r="D34" s="59">
        <f>IF(計算用!$L$32="","",IF(計算用!$B$1=1,INDEX(計算用!$H$3:$H$452,計算用!$L$32),INDEX(振り分け!$D$7:$D$456,計算用!$L$32)))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IF(計算用!$L$33="","",31)</f>
        <v/>
      </c>
      <c r="B35" s="54">
        <f>IF(計算用!$L$33="","",IF(計算用!$B$1=1,INDEX(計算用!$F$3:$F$452,計算用!$L$33),INDEX(振り分け!$B$7:$B$456,計算用!$L$33)))</f>
        <v/>
      </c>
      <c r="C35" s="54">
        <f>IF(計算用!$L$33="","",IF(計算用!$B$1=1,INDEX(計算用!$G$3:$G$452,計算用!$L$33),INDEX(振り分け!$C$7:$C$456,計算用!$L$33)))</f>
        <v/>
      </c>
      <c r="D35" s="59">
        <f>IF(計算用!$L$33="","",IF(計算用!$B$1=1,INDEX(計算用!$H$3:$H$452,計算用!$L$33),INDEX(振り分け!$D$7:$D$456,計算用!$L$33)))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IF(計算用!$L$34="","",32)</f>
        <v/>
      </c>
      <c r="B36" s="54">
        <f>IF(計算用!$L$34="","",IF(計算用!$B$1=1,INDEX(計算用!$F$3:$F$452,計算用!$L$34),INDEX(振り分け!$B$7:$B$456,計算用!$L$34)))</f>
        <v/>
      </c>
      <c r="C36" s="54">
        <f>IF(計算用!$L$34="","",IF(計算用!$B$1=1,INDEX(計算用!$G$3:$G$452,計算用!$L$34),INDEX(振り分け!$C$7:$C$456,計算用!$L$34)))</f>
        <v/>
      </c>
      <c r="D36" s="59">
        <f>IF(計算用!$L$34="","",IF(計算用!$B$1=1,INDEX(計算用!$H$3:$H$452,計算用!$L$34),INDEX(振り分け!$D$7:$D$456,計算用!$L$34)))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IF(計算用!$L$35="","",33)</f>
        <v/>
      </c>
      <c r="B37" s="54">
        <f>IF(計算用!$L$35="","",IF(計算用!$B$1=1,INDEX(計算用!$F$3:$F$452,計算用!$L$35),INDEX(振り分け!$B$7:$B$456,計算用!$L$35)))</f>
        <v/>
      </c>
      <c r="C37" s="54">
        <f>IF(計算用!$L$35="","",IF(計算用!$B$1=1,INDEX(計算用!$G$3:$G$452,計算用!$L$35),INDEX(振り分け!$C$7:$C$456,計算用!$L$35)))</f>
        <v/>
      </c>
      <c r="D37" s="59">
        <f>IF(計算用!$L$35="","",IF(計算用!$B$1=1,INDEX(計算用!$H$3:$H$452,計算用!$L$35),INDEX(振り分け!$D$7:$D$456,計算用!$L$35)))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IF(計算用!$L$36="","",34)</f>
        <v/>
      </c>
      <c r="B38" s="54">
        <f>IF(計算用!$L$36="","",IF(計算用!$B$1=1,INDEX(計算用!$F$3:$F$452,計算用!$L$36),INDEX(振り分け!$B$7:$B$456,計算用!$L$36)))</f>
        <v/>
      </c>
      <c r="C38" s="54">
        <f>IF(計算用!$L$36="","",IF(計算用!$B$1=1,INDEX(計算用!$G$3:$G$452,計算用!$L$36),INDEX(振り分け!$C$7:$C$456,計算用!$L$36)))</f>
        <v/>
      </c>
      <c r="D38" s="59">
        <f>IF(計算用!$L$36="","",IF(計算用!$B$1=1,INDEX(計算用!$H$3:$H$452,計算用!$L$36),INDEX(振り分け!$D$7:$D$456,計算用!$L$36)))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IF(計算用!$L$37="","",35)</f>
        <v/>
      </c>
      <c r="B39" s="54">
        <f>IF(計算用!$L$37="","",IF(計算用!$B$1=1,INDEX(計算用!$F$3:$F$452,計算用!$L$37),INDEX(振り分け!$B$7:$B$456,計算用!$L$37)))</f>
        <v/>
      </c>
      <c r="C39" s="54">
        <f>IF(計算用!$L$37="","",IF(計算用!$B$1=1,INDEX(計算用!$G$3:$G$452,計算用!$L$37),INDEX(振り分け!$C$7:$C$456,計算用!$L$37)))</f>
        <v/>
      </c>
      <c r="D39" s="59">
        <f>IF(計算用!$L$37="","",IF(計算用!$B$1=1,INDEX(計算用!$H$3:$H$452,計算用!$L$37),INDEX(振り分け!$D$7:$D$456,計算用!$L$37)))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IF(計算用!$L$38="","",36)</f>
        <v/>
      </c>
      <c r="B40" s="54">
        <f>IF(計算用!$L$38="","",IF(計算用!$B$1=1,INDEX(計算用!$F$3:$F$452,計算用!$L$38),INDEX(振り分け!$B$7:$B$456,計算用!$L$38)))</f>
        <v/>
      </c>
      <c r="C40" s="54">
        <f>IF(計算用!$L$38="","",IF(計算用!$B$1=1,INDEX(計算用!$G$3:$G$452,計算用!$L$38),INDEX(振り分け!$C$7:$C$456,計算用!$L$38)))</f>
        <v/>
      </c>
      <c r="D40" s="59">
        <f>IF(計算用!$L$38="","",IF(計算用!$B$1=1,INDEX(計算用!$H$3:$H$452,計算用!$L$38),INDEX(振り分け!$D$7:$D$456,計算用!$L$38)))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IF(計算用!$L$39="","",37)</f>
        <v/>
      </c>
      <c r="B41" s="54">
        <f>IF(計算用!$L$39="","",IF(計算用!$B$1=1,INDEX(計算用!$F$3:$F$452,計算用!$L$39),INDEX(振り分け!$B$7:$B$456,計算用!$L$39)))</f>
        <v/>
      </c>
      <c r="C41" s="54">
        <f>IF(計算用!$L$39="","",IF(計算用!$B$1=1,INDEX(計算用!$G$3:$G$452,計算用!$L$39),INDEX(振り分け!$C$7:$C$456,計算用!$L$39)))</f>
        <v/>
      </c>
      <c r="D41" s="59">
        <f>IF(計算用!$L$39="","",IF(計算用!$B$1=1,INDEX(計算用!$H$3:$H$452,計算用!$L$39),INDEX(振り分け!$D$7:$D$456,計算用!$L$39)))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IF(計算用!$L$40="","",38)</f>
        <v/>
      </c>
      <c r="B42" s="54">
        <f>IF(計算用!$L$40="","",IF(計算用!$B$1=1,INDEX(計算用!$F$3:$F$452,計算用!$L$40),INDEX(振り分け!$B$7:$B$456,計算用!$L$40)))</f>
        <v/>
      </c>
      <c r="C42" s="54">
        <f>IF(計算用!$L$40="","",IF(計算用!$B$1=1,INDEX(計算用!$G$3:$G$452,計算用!$L$40),INDEX(振り分け!$C$7:$C$456,計算用!$L$40)))</f>
        <v/>
      </c>
      <c r="D42" s="59">
        <f>IF(計算用!$L$40="","",IF(計算用!$B$1=1,INDEX(計算用!$H$3:$H$452,計算用!$L$40),INDEX(振り分け!$D$7:$D$456,計算用!$L$40)))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IF(計算用!$L$41="","",39)</f>
        <v/>
      </c>
      <c r="B43" s="54">
        <f>IF(計算用!$L$41="","",IF(計算用!$B$1=1,INDEX(計算用!$F$3:$F$452,計算用!$L$41),INDEX(振り分け!$B$7:$B$456,計算用!$L$41)))</f>
        <v/>
      </c>
      <c r="C43" s="54">
        <f>IF(計算用!$L$41="","",IF(計算用!$B$1=1,INDEX(計算用!$G$3:$G$452,計算用!$L$41),INDEX(振り分け!$C$7:$C$456,計算用!$L$41)))</f>
        <v/>
      </c>
      <c r="D43" s="59">
        <f>IF(計算用!$L$41="","",IF(計算用!$B$1=1,INDEX(計算用!$H$3:$H$452,計算用!$L$41),INDEX(振り分け!$D$7:$D$456,計算用!$L$41)))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IF(計算用!$L$42="","",40)</f>
        <v/>
      </c>
      <c r="B44" s="54">
        <f>IF(計算用!$L$42="","",IF(計算用!$B$1=1,INDEX(計算用!$F$3:$F$452,計算用!$L$42),INDEX(振り分け!$B$7:$B$456,計算用!$L$42)))</f>
        <v/>
      </c>
      <c r="C44" s="54">
        <f>IF(計算用!$L$42="","",IF(計算用!$B$1=1,INDEX(計算用!$G$3:$G$452,計算用!$L$42),INDEX(振り分け!$C$7:$C$456,計算用!$L$42)))</f>
        <v/>
      </c>
      <c r="D44" s="59">
        <f>IF(計算用!$L$42="","",IF(計算用!$B$1=1,INDEX(計算用!$H$3:$H$452,計算用!$L$42),INDEX(振り分け!$D$7:$D$456,計算用!$L$42)))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IF(計算用!$L$43="","",41)</f>
        <v/>
      </c>
      <c r="B45" s="54">
        <f>IF(計算用!$L$43="","",IF(計算用!$B$1=1,INDEX(計算用!$F$3:$F$452,計算用!$L$43),INDEX(振り分け!$B$7:$B$456,計算用!$L$43)))</f>
        <v/>
      </c>
      <c r="C45" s="54">
        <f>IF(計算用!$L$43="","",IF(計算用!$B$1=1,INDEX(計算用!$G$3:$G$452,計算用!$L$43),INDEX(振り分け!$C$7:$C$456,計算用!$L$43)))</f>
        <v/>
      </c>
      <c r="D45" s="59">
        <f>IF(計算用!$L$43="","",IF(計算用!$B$1=1,INDEX(計算用!$H$3:$H$452,計算用!$L$43),INDEX(振り分け!$D$7:$D$456,計算用!$L$43)))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IF(計算用!$L$44="","",42)</f>
        <v/>
      </c>
      <c r="B46" s="54">
        <f>IF(計算用!$L$44="","",IF(計算用!$B$1=1,INDEX(計算用!$F$3:$F$452,計算用!$L$44),INDEX(振り分け!$B$7:$B$456,計算用!$L$44)))</f>
        <v/>
      </c>
      <c r="C46" s="54">
        <f>IF(計算用!$L$44="","",IF(計算用!$B$1=1,INDEX(計算用!$G$3:$G$452,計算用!$L$44),INDEX(振り分け!$C$7:$C$456,計算用!$L$44)))</f>
        <v/>
      </c>
      <c r="D46" s="59">
        <f>IF(計算用!$L$44="","",IF(計算用!$B$1=1,INDEX(計算用!$H$3:$H$452,計算用!$L$44),INDEX(振り分け!$D$7:$D$456,計算用!$L$44)))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IF(計算用!$L$45="","",43)</f>
        <v/>
      </c>
      <c r="B47" s="54">
        <f>IF(計算用!$L$45="","",IF(計算用!$B$1=1,INDEX(計算用!$F$3:$F$452,計算用!$L$45),INDEX(振り分け!$B$7:$B$456,計算用!$L$45)))</f>
        <v/>
      </c>
      <c r="C47" s="54">
        <f>IF(計算用!$L$45="","",IF(計算用!$B$1=1,INDEX(計算用!$G$3:$G$452,計算用!$L$45),INDEX(振り分け!$C$7:$C$456,計算用!$L$45)))</f>
        <v/>
      </c>
      <c r="D47" s="59">
        <f>IF(計算用!$L$45="","",IF(計算用!$B$1=1,INDEX(計算用!$H$3:$H$452,計算用!$L$45),INDEX(振り分け!$D$7:$D$456,計算用!$L$45)))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IF(計算用!$L$46="","",44)</f>
        <v/>
      </c>
      <c r="B48" s="54">
        <f>IF(計算用!$L$46="","",IF(計算用!$B$1=1,INDEX(計算用!$F$3:$F$452,計算用!$L$46),INDEX(振り分け!$B$7:$B$456,計算用!$L$46)))</f>
        <v/>
      </c>
      <c r="C48" s="54">
        <f>IF(計算用!$L$46="","",IF(計算用!$B$1=1,INDEX(計算用!$G$3:$G$452,計算用!$L$46),INDEX(振り分け!$C$7:$C$456,計算用!$L$46)))</f>
        <v/>
      </c>
      <c r="D48" s="59">
        <f>IF(計算用!$L$46="","",IF(計算用!$B$1=1,INDEX(計算用!$H$3:$H$452,計算用!$L$46),INDEX(振り分け!$D$7:$D$456,計算用!$L$46)))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IF(計算用!$L$47="","",45)</f>
        <v/>
      </c>
      <c r="B49" s="54">
        <f>IF(計算用!$L$47="","",IF(計算用!$B$1=1,INDEX(計算用!$F$3:$F$452,計算用!$L$47),INDEX(振り分け!$B$7:$B$456,計算用!$L$47)))</f>
        <v/>
      </c>
      <c r="C49" s="54">
        <f>IF(計算用!$L$47="","",IF(計算用!$B$1=1,INDEX(計算用!$G$3:$G$452,計算用!$L$47),INDEX(振り分け!$C$7:$C$456,計算用!$L$47)))</f>
        <v/>
      </c>
      <c r="D49" s="59">
        <f>IF(計算用!$L$47="","",IF(計算用!$B$1=1,INDEX(計算用!$H$3:$H$452,計算用!$L$47),INDEX(振り分け!$D$7:$D$456,計算用!$L$47)))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IF(計算用!$L$48="","",46)</f>
        <v/>
      </c>
      <c r="B50" s="54">
        <f>IF(計算用!$L$48="","",IF(計算用!$B$1=1,INDEX(計算用!$F$3:$F$452,計算用!$L$48),INDEX(振り分け!$B$7:$B$456,計算用!$L$48)))</f>
        <v/>
      </c>
      <c r="C50" s="54">
        <f>IF(計算用!$L$48="","",IF(計算用!$B$1=1,INDEX(計算用!$G$3:$G$452,計算用!$L$48),INDEX(振り分け!$C$7:$C$456,計算用!$L$48)))</f>
        <v/>
      </c>
      <c r="D50" s="59">
        <f>IF(計算用!$L$48="","",IF(計算用!$B$1=1,INDEX(計算用!$H$3:$H$452,計算用!$L$48),INDEX(振り分け!$D$7:$D$456,計算用!$L$48)))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IF(計算用!$L$49="","",47)</f>
        <v/>
      </c>
      <c r="B51" s="54">
        <f>IF(計算用!$L$49="","",IF(計算用!$B$1=1,INDEX(計算用!$F$3:$F$452,計算用!$L$49),INDEX(振り分け!$B$7:$B$456,計算用!$L$49)))</f>
        <v/>
      </c>
      <c r="C51" s="54">
        <f>IF(計算用!$L$49="","",IF(計算用!$B$1=1,INDEX(計算用!$G$3:$G$452,計算用!$L$49),INDEX(振り分け!$C$7:$C$456,計算用!$L$49)))</f>
        <v/>
      </c>
      <c r="D51" s="59">
        <f>IF(計算用!$L$49="","",IF(計算用!$B$1=1,INDEX(計算用!$H$3:$H$452,計算用!$L$49),INDEX(振り分け!$D$7:$D$456,計算用!$L$49)))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IF(計算用!$L$50="","",48)</f>
        <v/>
      </c>
      <c r="B52" s="54">
        <f>IF(計算用!$L$50="","",IF(計算用!$B$1=1,INDEX(計算用!$F$3:$F$452,計算用!$L$50),INDEX(振り分け!$B$7:$B$456,計算用!$L$50)))</f>
        <v/>
      </c>
      <c r="C52" s="54">
        <f>IF(計算用!$L$50="","",IF(計算用!$B$1=1,INDEX(計算用!$G$3:$G$452,計算用!$L$50),INDEX(振り分け!$C$7:$C$456,計算用!$L$50)))</f>
        <v/>
      </c>
      <c r="D52" s="59">
        <f>IF(計算用!$L$50="","",IF(計算用!$B$1=1,INDEX(計算用!$H$3:$H$452,計算用!$L$50),INDEX(振り分け!$D$7:$D$456,計算用!$L$50)))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IF(計算用!$L$51="","",49)</f>
        <v/>
      </c>
      <c r="B53" s="54">
        <f>IF(計算用!$L$51="","",IF(計算用!$B$1=1,INDEX(計算用!$F$3:$F$452,計算用!$L$51),INDEX(振り分け!$B$7:$B$456,計算用!$L$51)))</f>
        <v/>
      </c>
      <c r="C53" s="54">
        <f>IF(計算用!$L$51="","",IF(計算用!$B$1=1,INDEX(計算用!$G$3:$G$452,計算用!$L$51),INDEX(振り分け!$C$7:$C$456,計算用!$L$51)))</f>
        <v/>
      </c>
      <c r="D53" s="59">
        <f>IF(計算用!$L$51="","",IF(計算用!$B$1=1,INDEX(計算用!$H$3:$H$452,計算用!$L$51),INDEX(振り分け!$D$7:$D$456,計算用!$L$51)))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IF(計算用!$L$52="","",50)</f>
        <v/>
      </c>
      <c r="B54" s="54">
        <f>IF(計算用!$L$52="","",IF(計算用!$B$1=1,INDEX(計算用!$F$3:$F$452,計算用!$L$52),INDEX(振り分け!$B$7:$B$456,計算用!$L$52)))</f>
        <v/>
      </c>
      <c r="C54" s="54">
        <f>IF(計算用!$L$52="","",IF(計算用!$B$1=1,INDEX(計算用!$G$3:$G$452,計算用!$L$52),INDEX(振り分け!$C$7:$C$456,計算用!$L$52)))</f>
        <v/>
      </c>
      <c r="D54" s="59">
        <f>IF(計算用!$L$52="","",IF(計算用!$B$1=1,INDEX(計算用!$H$3:$H$452,計算用!$L$52),INDEX(振り分け!$D$7:$D$456,計算用!$L$52)))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IF(設定!$P$11="","",設定!$B$3&amp;"　"&amp;設定!$P$11&amp;設定!$B$4&amp;"名簿"&amp;IF(計算用!$B$1=0,"（仮・前年度の組）",""))</f>
        <v/>
      </c>
    </row>
    <row r="2">
      <c r="A2" s="44">
        <f>IF(設定!$P$11="","","担当："&amp;設定!$S$11&amp;"　　活動場所："&amp;設定!$T$11&amp;"　　人数："&amp;定員チェック!$F$10&amp;"名（"&amp;設定!$B$8&amp;"年"&amp;定員チェック!$G$10&amp;"・"&amp;設定!$B$9&amp;"年"&amp;定員チェック!$H$10&amp;"・"&amp;設定!$B$10&amp;"年"&amp;定員チェック!$I$10&amp;"）")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IF(計算用!$M$3="","",1)</f>
        <v/>
      </c>
      <c r="B5" s="54">
        <f>IF(計算用!$M$3="","",IF(計算用!$B$1=1,INDEX(計算用!$F$3:$F$452,計算用!$M$3),INDEX(振り分け!$B$7:$B$456,計算用!$M$3)))</f>
        <v/>
      </c>
      <c r="C5" s="54">
        <f>IF(計算用!$M$3="","",IF(計算用!$B$1=1,INDEX(計算用!$G$3:$G$452,計算用!$M$3),INDEX(振り分け!$C$7:$C$456,計算用!$M$3)))</f>
        <v/>
      </c>
      <c r="D5" s="59">
        <f>IF(計算用!$M$3="","",IF(計算用!$B$1=1,INDEX(計算用!$H$3:$H$452,計算用!$M$3),INDEX(振り分け!$D$7:$D$456,計算用!$M$3)))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IF(計算用!$M$4="","",2)</f>
        <v/>
      </c>
      <c r="B6" s="54">
        <f>IF(計算用!$M$4="","",IF(計算用!$B$1=1,INDEX(計算用!$F$3:$F$452,計算用!$M$4),INDEX(振り分け!$B$7:$B$456,計算用!$M$4)))</f>
        <v/>
      </c>
      <c r="C6" s="54">
        <f>IF(計算用!$M$4="","",IF(計算用!$B$1=1,INDEX(計算用!$G$3:$G$452,計算用!$M$4),INDEX(振り分け!$C$7:$C$456,計算用!$M$4)))</f>
        <v/>
      </c>
      <c r="D6" s="59">
        <f>IF(計算用!$M$4="","",IF(計算用!$B$1=1,INDEX(計算用!$H$3:$H$452,計算用!$M$4),INDEX(振り分け!$D$7:$D$456,計算用!$M$4)))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IF(計算用!$M$5="","",3)</f>
        <v/>
      </c>
      <c r="B7" s="54">
        <f>IF(計算用!$M$5="","",IF(計算用!$B$1=1,INDEX(計算用!$F$3:$F$452,計算用!$M$5),INDEX(振り分け!$B$7:$B$456,計算用!$M$5)))</f>
        <v/>
      </c>
      <c r="C7" s="54">
        <f>IF(計算用!$M$5="","",IF(計算用!$B$1=1,INDEX(計算用!$G$3:$G$452,計算用!$M$5),INDEX(振り分け!$C$7:$C$456,計算用!$M$5)))</f>
        <v/>
      </c>
      <c r="D7" s="59">
        <f>IF(計算用!$M$5="","",IF(計算用!$B$1=1,INDEX(計算用!$H$3:$H$452,計算用!$M$5),INDEX(振り分け!$D$7:$D$456,計算用!$M$5)))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IF(計算用!$M$6="","",4)</f>
        <v/>
      </c>
      <c r="B8" s="54">
        <f>IF(計算用!$M$6="","",IF(計算用!$B$1=1,INDEX(計算用!$F$3:$F$452,計算用!$M$6),INDEX(振り分け!$B$7:$B$456,計算用!$M$6)))</f>
        <v/>
      </c>
      <c r="C8" s="54">
        <f>IF(計算用!$M$6="","",IF(計算用!$B$1=1,INDEX(計算用!$G$3:$G$452,計算用!$M$6),INDEX(振り分け!$C$7:$C$456,計算用!$M$6)))</f>
        <v/>
      </c>
      <c r="D8" s="59">
        <f>IF(計算用!$M$6="","",IF(計算用!$B$1=1,INDEX(計算用!$H$3:$H$452,計算用!$M$6),INDEX(振り分け!$D$7:$D$456,計算用!$M$6)))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IF(計算用!$M$7="","",5)</f>
        <v/>
      </c>
      <c r="B9" s="54">
        <f>IF(計算用!$M$7="","",IF(計算用!$B$1=1,INDEX(計算用!$F$3:$F$452,計算用!$M$7),INDEX(振り分け!$B$7:$B$456,計算用!$M$7)))</f>
        <v/>
      </c>
      <c r="C9" s="54">
        <f>IF(計算用!$M$7="","",IF(計算用!$B$1=1,INDEX(計算用!$G$3:$G$452,計算用!$M$7),INDEX(振り分け!$C$7:$C$456,計算用!$M$7)))</f>
        <v/>
      </c>
      <c r="D9" s="59">
        <f>IF(計算用!$M$7="","",IF(計算用!$B$1=1,INDEX(計算用!$H$3:$H$452,計算用!$M$7),INDEX(振り分け!$D$7:$D$456,計算用!$M$7)))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IF(計算用!$M$8="","",6)</f>
        <v/>
      </c>
      <c r="B10" s="54">
        <f>IF(計算用!$M$8="","",IF(計算用!$B$1=1,INDEX(計算用!$F$3:$F$452,計算用!$M$8),INDEX(振り分け!$B$7:$B$456,計算用!$M$8)))</f>
        <v/>
      </c>
      <c r="C10" s="54">
        <f>IF(計算用!$M$8="","",IF(計算用!$B$1=1,INDEX(計算用!$G$3:$G$452,計算用!$M$8),INDEX(振り分け!$C$7:$C$456,計算用!$M$8)))</f>
        <v/>
      </c>
      <c r="D10" s="59">
        <f>IF(計算用!$M$8="","",IF(計算用!$B$1=1,INDEX(計算用!$H$3:$H$452,計算用!$M$8),INDEX(振り分け!$D$7:$D$456,計算用!$M$8)))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IF(計算用!$M$9="","",7)</f>
        <v/>
      </c>
      <c r="B11" s="54">
        <f>IF(計算用!$M$9="","",IF(計算用!$B$1=1,INDEX(計算用!$F$3:$F$452,計算用!$M$9),INDEX(振り分け!$B$7:$B$456,計算用!$M$9)))</f>
        <v/>
      </c>
      <c r="C11" s="54">
        <f>IF(計算用!$M$9="","",IF(計算用!$B$1=1,INDEX(計算用!$G$3:$G$452,計算用!$M$9),INDEX(振り分け!$C$7:$C$456,計算用!$M$9)))</f>
        <v/>
      </c>
      <c r="D11" s="59">
        <f>IF(計算用!$M$9="","",IF(計算用!$B$1=1,INDEX(計算用!$H$3:$H$452,計算用!$M$9),INDEX(振り分け!$D$7:$D$456,計算用!$M$9)))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IF(計算用!$M$10="","",8)</f>
        <v/>
      </c>
      <c r="B12" s="54">
        <f>IF(計算用!$M$10="","",IF(計算用!$B$1=1,INDEX(計算用!$F$3:$F$452,計算用!$M$10),INDEX(振り分け!$B$7:$B$456,計算用!$M$10)))</f>
        <v/>
      </c>
      <c r="C12" s="54">
        <f>IF(計算用!$M$10="","",IF(計算用!$B$1=1,INDEX(計算用!$G$3:$G$452,計算用!$M$10),INDEX(振り分け!$C$7:$C$456,計算用!$M$10)))</f>
        <v/>
      </c>
      <c r="D12" s="59">
        <f>IF(計算用!$M$10="","",IF(計算用!$B$1=1,INDEX(計算用!$H$3:$H$452,計算用!$M$10),INDEX(振り分け!$D$7:$D$456,計算用!$M$10)))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IF(計算用!$M$11="","",9)</f>
        <v/>
      </c>
      <c r="B13" s="54">
        <f>IF(計算用!$M$11="","",IF(計算用!$B$1=1,INDEX(計算用!$F$3:$F$452,計算用!$M$11),INDEX(振り分け!$B$7:$B$456,計算用!$M$11)))</f>
        <v/>
      </c>
      <c r="C13" s="54">
        <f>IF(計算用!$M$11="","",IF(計算用!$B$1=1,INDEX(計算用!$G$3:$G$452,計算用!$M$11),INDEX(振り分け!$C$7:$C$456,計算用!$M$11)))</f>
        <v/>
      </c>
      <c r="D13" s="59">
        <f>IF(計算用!$M$11="","",IF(計算用!$B$1=1,INDEX(計算用!$H$3:$H$452,計算用!$M$11),INDEX(振り分け!$D$7:$D$456,計算用!$M$11)))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IF(計算用!$M$12="","",10)</f>
        <v/>
      </c>
      <c r="B14" s="54">
        <f>IF(計算用!$M$12="","",IF(計算用!$B$1=1,INDEX(計算用!$F$3:$F$452,計算用!$M$12),INDEX(振り分け!$B$7:$B$456,計算用!$M$12)))</f>
        <v/>
      </c>
      <c r="C14" s="54">
        <f>IF(計算用!$M$12="","",IF(計算用!$B$1=1,INDEX(計算用!$G$3:$G$452,計算用!$M$12),INDEX(振り分け!$C$7:$C$456,計算用!$M$12)))</f>
        <v/>
      </c>
      <c r="D14" s="59">
        <f>IF(計算用!$M$12="","",IF(計算用!$B$1=1,INDEX(計算用!$H$3:$H$452,計算用!$M$12),INDEX(振り分け!$D$7:$D$456,計算用!$M$12)))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IF(計算用!$M$13="","",11)</f>
        <v/>
      </c>
      <c r="B15" s="54">
        <f>IF(計算用!$M$13="","",IF(計算用!$B$1=1,INDEX(計算用!$F$3:$F$452,計算用!$M$13),INDEX(振り分け!$B$7:$B$456,計算用!$M$13)))</f>
        <v/>
      </c>
      <c r="C15" s="54">
        <f>IF(計算用!$M$13="","",IF(計算用!$B$1=1,INDEX(計算用!$G$3:$G$452,計算用!$M$13),INDEX(振り分け!$C$7:$C$456,計算用!$M$13)))</f>
        <v/>
      </c>
      <c r="D15" s="59">
        <f>IF(計算用!$M$13="","",IF(計算用!$B$1=1,INDEX(計算用!$H$3:$H$452,計算用!$M$13),INDEX(振り分け!$D$7:$D$456,計算用!$M$13)))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IF(計算用!$M$14="","",12)</f>
        <v/>
      </c>
      <c r="B16" s="54">
        <f>IF(計算用!$M$14="","",IF(計算用!$B$1=1,INDEX(計算用!$F$3:$F$452,計算用!$M$14),INDEX(振り分け!$B$7:$B$456,計算用!$M$14)))</f>
        <v/>
      </c>
      <c r="C16" s="54">
        <f>IF(計算用!$M$14="","",IF(計算用!$B$1=1,INDEX(計算用!$G$3:$G$452,計算用!$M$14),INDEX(振り分け!$C$7:$C$456,計算用!$M$14)))</f>
        <v/>
      </c>
      <c r="D16" s="59">
        <f>IF(計算用!$M$14="","",IF(計算用!$B$1=1,INDEX(計算用!$H$3:$H$452,計算用!$M$14),INDEX(振り分け!$D$7:$D$456,計算用!$M$14)))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IF(計算用!$M$15="","",13)</f>
        <v/>
      </c>
      <c r="B17" s="54">
        <f>IF(計算用!$M$15="","",IF(計算用!$B$1=1,INDEX(計算用!$F$3:$F$452,計算用!$M$15),INDEX(振り分け!$B$7:$B$456,計算用!$M$15)))</f>
        <v/>
      </c>
      <c r="C17" s="54">
        <f>IF(計算用!$M$15="","",IF(計算用!$B$1=1,INDEX(計算用!$G$3:$G$452,計算用!$M$15),INDEX(振り分け!$C$7:$C$456,計算用!$M$15)))</f>
        <v/>
      </c>
      <c r="D17" s="59">
        <f>IF(計算用!$M$15="","",IF(計算用!$B$1=1,INDEX(計算用!$H$3:$H$452,計算用!$M$15),INDEX(振り分け!$D$7:$D$456,計算用!$M$15)))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IF(計算用!$M$16="","",14)</f>
        <v/>
      </c>
      <c r="B18" s="54">
        <f>IF(計算用!$M$16="","",IF(計算用!$B$1=1,INDEX(計算用!$F$3:$F$452,計算用!$M$16),INDEX(振り分け!$B$7:$B$456,計算用!$M$16)))</f>
        <v/>
      </c>
      <c r="C18" s="54">
        <f>IF(計算用!$M$16="","",IF(計算用!$B$1=1,INDEX(計算用!$G$3:$G$452,計算用!$M$16),INDEX(振り分け!$C$7:$C$456,計算用!$M$16)))</f>
        <v/>
      </c>
      <c r="D18" s="59">
        <f>IF(計算用!$M$16="","",IF(計算用!$B$1=1,INDEX(計算用!$H$3:$H$452,計算用!$M$16),INDEX(振り分け!$D$7:$D$456,計算用!$M$16)))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IF(計算用!$M$17="","",15)</f>
        <v/>
      </c>
      <c r="B19" s="54">
        <f>IF(計算用!$M$17="","",IF(計算用!$B$1=1,INDEX(計算用!$F$3:$F$452,計算用!$M$17),INDEX(振り分け!$B$7:$B$456,計算用!$M$17)))</f>
        <v/>
      </c>
      <c r="C19" s="54">
        <f>IF(計算用!$M$17="","",IF(計算用!$B$1=1,INDEX(計算用!$G$3:$G$452,計算用!$M$17),INDEX(振り分け!$C$7:$C$456,計算用!$M$17)))</f>
        <v/>
      </c>
      <c r="D19" s="59">
        <f>IF(計算用!$M$17="","",IF(計算用!$B$1=1,INDEX(計算用!$H$3:$H$452,計算用!$M$17),INDEX(振り分け!$D$7:$D$456,計算用!$M$17)))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IF(計算用!$M$18="","",16)</f>
        <v/>
      </c>
      <c r="B20" s="54">
        <f>IF(計算用!$M$18="","",IF(計算用!$B$1=1,INDEX(計算用!$F$3:$F$452,計算用!$M$18),INDEX(振り分け!$B$7:$B$456,計算用!$M$18)))</f>
        <v/>
      </c>
      <c r="C20" s="54">
        <f>IF(計算用!$M$18="","",IF(計算用!$B$1=1,INDEX(計算用!$G$3:$G$452,計算用!$M$18),INDEX(振り分け!$C$7:$C$456,計算用!$M$18)))</f>
        <v/>
      </c>
      <c r="D20" s="59">
        <f>IF(計算用!$M$18="","",IF(計算用!$B$1=1,INDEX(計算用!$H$3:$H$452,計算用!$M$18),INDEX(振り分け!$D$7:$D$456,計算用!$M$18)))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IF(計算用!$M$19="","",17)</f>
        <v/>
      </c>
      <c r="B21" s="54">
        <f>IF(計算用!$M$19="","",IF(計算用!$B$1=1,INDEX(計算用!$F$3:$F$452,計算用!$M$19),INDEX(振り分け!$B$7:$B$456,計算用!$M$19)))</f>
        <v/>
      </c>
      <c r="C21" s="54">
        <f>IF(計算用!$M$19="","",IF(計算用!$B$1=1,INDEX(計算用!$G$3:$G$452,計算用!$M$19),INDEX(振り分け!$C$7:$C$456,計算用!$M$19)))</f>
        <v/>
      </c>
      <c r="D21" s="59">
        <f>IF(計算用!$M$19="","",IF(計算用!$B$1=1,INDEX(計算用!$H$3:$H$452,計算用!$M$19),INDEX(振り分け!$D$7:$D$456,計算用!$M$19)))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IF(計算用!$M$20="","",18)</f>
        <v/>
      </c>
      <c r="B22" s="54">
        <f>IF(計算用!$M$20="","",IF(計算用!$B$1=1,INDEX(計算用!$F$3:$F$452,計算用!$M$20),INDEX(振り分け!$B$7:$B$456,計算用!$M$20)))</f>
        <v/>
      </c>
      <c r="C22" s="54">
        <f>IF(計算用!$M$20="","",IF(計算用!$B$1=1,INDEX(計算用!$G$3:$G$452,計算用!$M$20),INDEX(振り分け!$C$7:$C$456,計算用!$M$20)))</f>
        <v/>
      </c>
      <c r="D22" s="59">
        <f>IF(計算用!$M$20="","",IF(計算用!$B$1=1,INDEX(計算用!$H$3:$H$452,計算用!$M$20),INDEX(振り分け!$D$7:$D$456,計算用!$M$20)))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IF(計算用!$M$21="","",19)</f>
        <v/>
      </c>
      <c r="B23" s="54">
        <f>IF(計算用!$M$21="","",IF(計算用!$B$1=1,INDEX(計算用!$F$3:$F$452,計算用!$M$21),INDEX(振り分け!$B$7:$B$456,計算用!$M$21)))</f>
        <v/>
      </c>
      <c r="C23" s="54">
        <f>IF(計算用!$M$21="","",IF(計算用!$B$1=1,INDEX(計算用!$G$3:$G$452,計算用!$M$21),INDEX(振り分け!$C$7:$C$456,計算用!$M$21)))</f>
        <v/>
      </c>
      <c r="D23" s="59">
        <f>IF(計算用!$M$21="","",IF(計算用!$B$1=1,INDEX(計算用!$H$3:$H$452,計算用!$M$21),INDEX(振り分け!$D$7:$D$456,計算用!$M$21)))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IF(計算用!$M$22="","",20)</f>
        <v/>
      </c>
      <c r="B24" s="54">
        <f>IF(計算用!$M$22="","",IF(計算用!$B$1=1,INDEX(計算用!$F$3:$F$452,計算用!$M$22),INDEX(振り分け!$B$7:$B$456,計算用!$M$22)))</f>
        <v/>
      </c>
      <c r="C24" s="54">
        <f>IF(計算用!$M$22="","",IF(計算用!$B$1=1,INDEX(計算用!$G$3:$G$452,計算用!$M$22),INDEX(振り分け!$C$7:$C$456,計算用!$M$22)))</f>
        <v/>
      </c>
      <c r="D24" s="59">
        <f>IF(計算用!$M$22="","",IF(計算用!$B$1=1,INDEX(計算用!$H$3:$H$452,計算用!$M$22),INDEX(振り分け!$D$7:$D$456,計算用!$M$22)))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IF(計算用!$M$23="","",21)</f>
        <v/>
      </c>
      <c r="B25" s="54">
        <f>IF(計算用!$M$23="","",IF(計算用!$B$1=1,INDEX(計算用!$F$3:$F$452,計算用!$M$23),INDEX(振り分け!$B$7:$B$456,計算用!$M$23)))</f>
        <v/>
      </c>
      <c r="C25" s="54">
        <f>IF(計算用!$M$23="","",IF(計算用!$B$1=1,INDEX(計算用!$G$3:$G$452,計算用!$M$23),INDEX(振り分け!$C$7:$C$456,計算用!$M$23)))</f>
        <v/>
      </c>
      <c r="D25" s="59">
        <f>IF(計算用!$M$23="","",IF(計算用!$B$1=1,INDEX(計算用!$H$3:$H$452,計算用!$M$23),INDEX(振り分け!$D$7:$D$456,計算用!$M$23)))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IF(計算用!$M$24="","",22)</f>
        <v/>
      </c>
      <c r="B26" s="54">
        <f>IF(計算用!$M$24="","",IF(計算用!$B$1=1,INDEX(計算用!$F$3:$F$452,計算用!$M$24),INDEX(振り分け!$B$7:$B$456,計算用!$M$24)))</f>
        <v/>
      </c>
      <c r="C26" s="54">
        <f>IF(計算用!$M$24="","",IF(計算用!$B$1=1,INDEX(計算用!$G$3:$G$452,計算用!$M$24),INDEX(振り分け!$C$7:$C$456,計算用!$M$24)))</f>
        <v/>
      </c>
      <c r="D26" s="59">
        <f>IF(計算用!$M$24="","",IF(計算用!$B$1=1,INDEX(計算用!$H$3:$H$452,計算用!$M$24),INDEX(振り分け!$D$7:$D$456,計算用!$M$24)))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IF(計算用!$M$25="","",23)</f>
        <v/>
      </c>
      <c r="B27" s="54">
        <f>IF(計算用!$M$25="","",IF(計算用!$B$1=1,INDEX(計算用!$F$3:$F$452,計算用!$M$25),INDEX(振り分け!$B$7:$B$456,計算用!$M$25)))</f>
        <v/>
      </c>
      <c r="C27" s="54">
        <f>IF(計算用!$M$25="","",IF(計算用!$B$1=1,INDEX(計算用!$G$3:$G$452,計算用!$M$25),INDEX(振り分け!$C$7:$C$456,計算用!$M$25)))</f>
        <v/>
      </c>
      <c r="D27" s="59">
        <f>IF(計算用!$M$25="","",IF(計算用!$B$1=1,INDEX(計算用!$H$3:$H$452,計算用!$M$25),INDEX(振り分け!$D$7:$D$456,計算用!$M$25)))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IF(計算用!$M$26="","",24)</f>
        <v/>
      </c>
      <c r="B28" s="54">
        <f>IF(計算用!$M$26="","",IF(計算用!$B$1=1,INDEX(計算用!$F$3:$F$452,計算用!$M$26),INDEX(振り分け!$B$7:$B$456,計算用!$M$26)))</f>
        <v/>
      </c>
      <c r="C28" s="54">
        <f>IF(計算用!$M$26="","",IF(計算用!$B$1=1,INDEX(計算用!$G$3:$G$452,計算用!$M$26),INDEX(振り分け!$C$7:$C$456,計算用!$M$26)))</f>
        <v/>
      </c>
      <c r="D28" s="59">
        <f>IF(計算用!$M$26="","",IF(計算用!$B$1=1,INDEX(計算用!$H$3:$H$452,計算用!$M$26),INDEX(振り分け!$D$7:$D$456,計算用!$M$26)))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IF(計算用!$M$27="","",25)</f>
        <v/>
      </c>
      <c r="B29" s="54">
        <f>IF(計算用!$M$27="","",IF(計算用!$B$1=1,INDEX(計算用!$F$3:$F$452,計算用!$M$27),INDEX(振り分け!$B$7:$B$456,計算用!$M$27)))</f>
        <v/>
      </c>
      <c r="C29" s="54">
        <f>IF(計算用!$M$27="","",IF(計算用!$B$1=1,INDEX(計算用!$G$3:$G$452,計算用!$M$27),INDEX(振り分け!$C$7:$C$456,計算用!$M$27)))</f>
        <v/>
      </c>
      <c r="D29" s="59">
        <f>IF(計算用!$M$27="","",IF(計算用!$B$1=1,INDEX(計算用!$H$3:$H$452,計算用!$M$27),INDEX(振り分け!$D$7:$D$456,計算用!$M$27)))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IF(計算用!$M$28="","",26)</f>
        <v/>
      </c>
      <c r="B30" s="54">
        <f>IF(計算用!$M$28="","",IF(計算用!$B$1=1,INDEX(計算用!$F$3:$F$452,計算用!$M$28),INDEX(振り分け!$B$7:$B$456,計算用!$M$28)))</f>
        <v/>
      </c>
      <c r="C30" s="54">
        <f>IF(計算用!$M$28="","",IF(計算用!$B$1=1,INDEX(計算用!$G$3:$G$452,計算用!$M$28),INDEX(振り分け!$C$7:$C$456,計算用!$M$28)))</f>
        <v/>
      </c>
      <c r="D30" s="59">
        <f>IF(計算用!$M$28="","",IF(計算用!$B$1=1,INDEX(計算用!$H$3:$H$452,計算用!$M$28),INDEX(振り分け!$D$7:$D$456,計算用!$M$28)))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IF(計算用!$M$29="","",27)</f>
        <v/>
      </c>
      <c r="B31" s="54">
        <f>IF(計算用!$M$29="","",IF(計算用!$B$1=1,INDEX(計算用!$F$3:$F$452,計算用!$M$29),INDEX(振り分け!$B$7:$B$456,計算用!$M$29)))</f>
        <v/>
      </c>
      <c r="C31" s="54">
        <f>IF(計算用!$M$29="","",IF(計算用!$B$1=1,INDEX(計算用!$G$3:$G$452,計算用!$M$29),INDEX(振り分け!$C$7:$C$456,計算用!$M$29)))</f>
        <v/>
      </c>
      <c r="D31" s="59">
        <f>IF(計算用!$M$29="","",IF(計算用!$B$1=1,INDEX(計算用!$H$3:$H$452,計算用!$M$29),INDEX(振り分け!$D$7:$D$456,計算用!$M$29)))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IF(計算用!$M$30="","",28)</f>
        <v/>
      </c>
      <c r="B32" s="54">
        <f>IF(計算用!$M$30="","",IF(計算用!$B$1=1,INDEX(計算用!$F$3:$F$452,計算用!$M$30),INDEX(振り分け!$B$7:$B$456,計算用!$M$30)))</f>
        <v/>
      </c>
      <c r="C32" s="54">
        <f>IF(計算用!$M$30="","",IF(計算用!$B$1=1,INDEX(計算用!$G$3:$G$452,計算用!$M$30),INDEX(振り分け!$C$7:$C$456,計算用!$M$30)))</f>
        <v/>
      </c>
      <c r="D32" s="59">
        <f>IF(計算用!$M$30="","",IF(計算用!$B$1=1,INDEX(計算用!$H$3:$H$452,計算用!$M$30),INDEX(振り分け!$D$7:$D$456,計算用!$M$30)))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IF(計算用!$M$31="","",29)</f>
        <v/>
      </c>
      <c r="B33" s="54">
        <f>IF(計算用!$M$31="","",IF(計算用!$B$1=1,INDEX(計算用!$F$3:$F$452,計算用!$M$31),INDEX(振り分け!$B$7:$B$456,計算用!$M$31)))</f>
        <v/>
      </c>
      <c r="C33" s="54">
        <f>IF(計算用!$M$31="","",IF(計算用!$B$1=1,INDEX(計算用!$G$3:$G$452,計算用!$M$31),INDEX(振り分け!$C$7:$C$456,計算用!$M$31)))</f>
        <v/>
      </c>
      <c r="D33" s="59">
        <f>IF(計算用!$M$31="","",IF(計算用!$B$1=1,INDEX(計算用!$H$3:$H$452,計算用!$M$31),INDEX(振り分け!$D$7:$D$456,計算用!$M$31)))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IF(計算用!$M$32="","",30)</f>
        <v/>
      </c>
      <c r="B34" s="54">
        <f>IF(計算用!$M$32="","",IF(計算用!$B$1=1,INDEX(計算用!$F$3:$F$452,計算用!$M$32),INDEX(振り分け!$B$7:$B$456,計算用!$M$32)))</f>
        <v/>
      </c>
      <c r="C34" s="54">
        <f>IF(計算用!$M$32="","",IF(計算用!$B$1=1,INDEX(計算用!$G$3:$G$452,計算用!$M$32),INDEX(振り分け!$C$7:$C$456,計算用!$M$32)))</f>
        <v/>
      </c>
      <c r="D34" s="59">
        <f>IF(計算用!$M$32="","",IF(計算用!$B$1=1,INDEX(計算用!$H$3:$H$452,計算用!$M$32),INDEX(振り分け!$D$7:$D$456,計算用!$M$32)))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IF(計算用!$M$33="","",31)</f>
        <v/>
      </c>
      <c r="B35" s="54">
        <f>IF(計算用!$M$33="","",IF(計算用!$B$1=1,INDEX(計算用!$F$3:$F$452,計算用!$M$33),INDEX(振り分け!$B$7:$B$456,計算用!$M$33)))</f>
        <v/>
      </c>
      <c r="C35" s="54">
        <f>IF(計算用!$M$33="","",IF(計算用!$B$1=1,INDEX(計算用!$G$3:$G$452,計算用!$M$33),INDEX(振り分け!$C$7:$C$456,計算用!$M$33)))</f>
        <v/>
      </c>
      <c r="D35" s="59">
        <f>IF(計算用!$M$33="","",IF(計算用!$B$1=1,INDEX(計算用!$H$3:$H$452,計算用!$M$33),INDEX(振り分け!$D$7:$D$456,計算用!$M$33)))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IF(計算用!$M$34="","",32)</f>
        <v/>
      </c>
      <c r="B36" s="54">
        <f>IF(計算用!$M$34="","",IF(計算用!$B$1=1,INDEX(計算用!$F$3:$F$452,計算用!$M$34),INDEX(振り分け!$B$7:$B$456,計算用!$M$34)))</f>
        <v/>
      </c>
      <c r="C36" s="54">
        <f>IF(計算用!$M$34="","",IF(計算用!$B$1=1,INDEX(計算用!$G$3:$G$452,計算用!$M$34),INDEX(振り分け!$C$7:$C$456,計算用!$M$34)))</f>
        <v/>
      </c>
      <c r="D36" s="59">
        <f>IF(計算用!$M$34="","",IF(計算用!$B$1=1,INDEX(計算用!$H$3:$H$452,計算用!$M$34),INDEX(振り分け!$D$7:$D$456,計算用!$M$34)))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IF(計算用!$M$35="","",33)</f>
        <v/>
      </c>
      <c r="B37" s="54">
        <f>IF(計算用!$M$35="","",IF(計算用!$B$1=1,INDEX(計算用!$F$3:$F$452,計算用!$M$35),INDEX(振り分け!$B$7:$B$456,計算用!$M$35)))</f>
        <v/>
      </c>
      <c r="C37" s="54">
        <f>IF(計算用!$M$35="","",IF(計算用!$B$1=1,INDEX(計算用!$G$3:$G$452,計算用!$M$35),INDEX(振り分け!$C$7:$C$456,計算用!$M$35)))</f>
        <v/>
      </c>
      <c r="D37" s="59">
        <f>IF(計算用!$M$35="","",IF(計算用!$B$1=1,INDEX(計算用!$H$3:$H$452,計算用!$M$35),INDEX(振り分け!$D$7:$D$456,計算用!$M$35)))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IF(計算用!$M$36="","",34)</f>
        <v/>
      </c>
      <c r="B38" s="54">
        <f>IF(計算用!$M$36="","",IF(計算用!$B$1=1,INDEX(計算用!$F$3:$F$452,計算用!$M$36),INDEX(振り分け!$B$7:$B$456,計算用!$M$36)))</f>
        <v/>
      </c>
      <c r="C38" s="54">
        <f>IF(計算用!$M$36="","",IF(計算用!$B$1=1,INDEX(計算用!$G$3:$G$452,計算用!$M$36),INDEX(振り分け!$C$7:$C$456,計算用!$M$36)))</f>
        <v/>
      </c>
      <c r="D38" s="59">
        <f>IF(計算用!$M$36="","",IF(計算用!$B$1=1,INDEX(計算用!$H$3:$H$452,計算用!$M$36),INDEX(振り分け!$D$7:$D$456,計算用!$M$36)))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IF(計算用!$M$37="","",35)</f>
        <v/>
      </c>
      <c r="B39" s="54">
        <f>IF(計算用!$M$37="","",IF(計算用!$B$1=1,INDEX(計算用!$F$3:$F$452,計算用!$M$37),INDEX(振り分け!$B$7:$B$456,計算用!$M$37)))</f>
        <v/>
      </c>
      <c r="C39" s="54">
        <f>IF(計算用!$M$37="","",IF(計算用!$B$1=1,INDEX(計算用!$G$3:$G$452,計算用!$M$37),INDEX(振り分け!$C$7:$C$456,計算用!$M$37)))</f>
        <v/>
      </c>
      <c r="D39" s="59">
        <f>IF(計算用!$M$37="","",IF(計算用!$B$1=1,INDEX(計算用!$H$3:$H$452,計算用!$M$37),INDEX(振り分け!$D$7:$D$456,計算用!$M$37)))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IF(計算用!$M$38="","",36)</f>
        <v/>
      </c>
      <c r="B40" s="54">
        <f>IF(計算用!$M$38="","",IF(計算用!$B$1=1,INDEX(計算用!$F$3:$F$452,計算用!$M$38),INDEX(振り分け!$B$7:$B$456,計算用!$M$38)))</f>
        <v/>
      </c>
      <c r="C40" s="54">
        <f>IF(計算用!$M$38="","",IF(計算用!$B$1=1,INDEX(計算用!$G$3:$G$452,計算用!$M$38),INDEX(振り分け!$C$7:$C$456,計算用!$M$38)))</f>
        <v/>
      </c>
      <c r="D40" s="59">
        <f>IF(計算用!$M$38="","",IF(計算用!$B$1=1,INDEX(計算用!$H$3:$H$452,計算用!$M$38),INDEX(振り分け!$D$7:$D$456,計算用!$M$38)))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IF(計算用!$M$39="","",37)</f>
        <v/>
      </c>
      <c r="B41" s="54">
        <f>IF(計算用!$M$39="","",IF(計算用!$B$1=1,INDEX(計算用!$F$3:$F$452,計算用!$M$39),INDEX(振り分け!$B$7:$B$456,計算用!$M$39)))</f>
        <v/>
      </c>
      <c r="C41" s="54">
        <f>IF(計算用!$M$39="","",IF(計算用!$B$1=1,INDEX(計算用!$G$3:$G$452,計算用!$M$39),INDEX(振り分け!$C$7:$C$456,計算用!$M$39)))</f>
        <v/>
      </c>
      <c r="D41" s="59">
        <f>IF(計算用!$M$39="","",IF(計算用!$B$1=1,INDEX(計算用!$H$3:$H$452,計算用!$M$39),INDEX(振り分け!$D$7:$D$456,計算用!$M$39)))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IF(計算用!$M$40="","",38)</f>
        <v/>
      </c>
      <c r="B42" s="54">
        <f>IF(計算用!$M$40="","",IF(計算用!$B$1=1,INDEX(計算用!$F$3:$F$452,計算用!$M$40),INDEX(振り分け!$B$7:$B$456,計算用!$M$40)))</f>
        <v/>
      </c>
      <c r="C42" s="54">
        <f>IF(計算用!$M$40="","",IF(計算用!$B$1=1,INDEX(計算用!$G$3:$G$452,計算用!$M$40),INDEX(振り分け!$C$7:$C$456,計算用!$M$40)))</f>
        <v/>
      </c>
      <c r="D42" s="59">
        <f>IF(計算用!$M$40="","",IF(計算用!$B$1=1,INDEX(計算用!$H$3:$H$452,計算用!$M$40),INDEX(振り分け!$D$7:$D$456,計算用!$M$40)))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IF(計算用!$M$41="","",39)</f>
        <v/>
      </c>
      <c r="B43" s="54">
        <f>IF(計算用!$M$41="","",IF(計算用!$B$1=1,INDEX(計算用!$F$3:$F$452,計算用!$M$41),INDEX(振り分け!$B$7:$B$456,計算用!$M$41)))</f>
        <v/>
      </c>
      <c r="C43" s="54">
        <f>IF(計算用!$M$41="","",IF(計算用!$B$1=1,INDEX(計算用!$G$3:$G$452,計算用!$M$41),INDEX(振り分け!$C$7:$C$456,計算用!$M$41)))</f>
        <v/>
      </c>
      <c r="D43" s="59">
        <f>IF(計算用!$M$41="","",IF(計算用!$B$1=1,INDEX(計算用!$H$3:$H$452,計算用!$M$41),INDEX(振り分け!$D$7:$D$456,計算用!$M$41)))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IF(計算用!$M$42="","",40)</f>
        <v/>
      </c>
      <c r="B44" s="54">
        <f>IF(計算用!$M$42="","",IF(計算用!$B$1=1,INDEX(計算用!$F$3:$F$452,計算用!$M$42),INDEX(振り分け!$B$7:$B$456,計算用!$M$42)))</f>
        <v/>
      </c>
      <c r="C44" s="54">
        <f>IF(計算用!$M$42="","",IF(計算用!$B$1=1,INDEX(計算用!$G$3:$G$452,計算用!$M$42),INDEX(振り分け!$C$7:$C$456,計算用!$M$42)))</f>
        <v/>
      </c>
      <c r="D44" s="59">
        <f>IF(計算用!$M$42="","",IF(計算用!$B$1=1,INDEX(計算用!$H$3:$H$452,計算用!$M$42),INDEX(振り分け!$D$7:$D$456,計算用!$M$42)))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IF(計算用!$M$43="","",41)</f>
        <v/>
      </c>
      <c r="B45" s="54">
        <f>IF(計算用!$M$43="","",IF(計算用!$B$1=1,INDEX(計算用!$F$3:$F$452,計算用!$M$43),INDEX(振り分け!$B$7:$B$456,計算用!$M$43)))</f>
        <v/>
      </c>
      <c r="C45" s="54">
        <f>IF(計算用!$M$43="","",IF(計算用!$B$1=1,INDEX(計算用!$G$3:$G$452,計算用!$M$43),INDEX(振り分け!$C$7:$C$456,計算用!$M$43)))</f>
        <v/>
      </c>
      <c r="D45" s="59">
        <f>IF(計算用!$M$43="","",IF(計算用!$B$1=1,INDEX(計算用!$H$3:$H$452,計算用!$M$43),INDEX(振り分け!$D$7:$D$456,計算用!$M$43)))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IF(計算用!$M$44="","",42)</f>
        <v/>
      </c>
      <c r="B46" s="54">
        <f>IF(計算用!$M$44="","",IF(計算用!$B$1=1,INDEX(計算用!$F$3:$F$452,計算用!$M$44),INDEX(振り分け!$B$7:$B$456,計算用!$M$44)))</f>
        <v/>
      </c>
      <c r="C46" s="54">
        <f>IF(計算用!$M$44="","",IF(計算用!$B$1=1,INDEX(計算用!$G$3:$G$452,計算用!$M$44),INDEX(振り分け!$C$7:$C$456,計算用!$M$44)))</f>
        <v/>
      </c>
      <c r="D46" s="59">
        <f>IF(計算用!$M$44="","",IF(計算用!$B$1=1,INDEX(計算用!$H$3:$H$452,計算用!$M$44),INDEX(振り分け!$D$7:$D$456,計算用!$M$44)))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IF(計算用!$M$45="","",43)</f>
        <v/>
      </c>
      <c r="B47" s="54">
        <f>IF(計算用!$M$45="","",IF(計算用!$B$1=1,INDEX(計算用!$F$3:$F$452,計算用!$M$45),INDEX(振り分け!$B$7:$B$456,計算用!$M$45)))</f>
        <v/>
      </c>
      <c r="C47" s="54">
        <f>IF(計算用!$M$45="","",IF(計算用!$B$1=1,INDEX(計算用!$G$3:$G$452,計算用!$M$45),INDEX(振り分け!$C$7:$C$456,計算用!$M$45)))</f>
        <v/>
      </c>
      <c r="D47" s="59">
        <f>IF(計算用!$M$45="","",IF(計算用!$B$1=1,INDEX(計算用!$H$3:$H$452,計算用!$M$45),INDEX(振り分け!$D$7:$D$456,計算用!$M$45)))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IF(計算用!$M$46="","",44)</f>
        <v/>
      </c>
      <c r="B48" s="54">
        <f>IF(計算用!$M$46="","",IF(計算用!$B$1=1,INDEX(計算用!$F$3:$F$452,計算用!$M$46),INDEX(振り分け!$B$7:$B$456,計算用!$M$46)))</f>
        <v/>
      </c>
      <c r="C48" s="54">
        <f>IF(計算用!$M$46="","",IF(計算用!$B$1=1,INDEX(計算用!$G$3:$G$452,計算用!$M$46),INDEX(振り分け!$C$7:$C$456,計算用!$M$46)))</f>
        <v/>
      </c>
      <c r="D48" s="59">
        <f>IF(計算用!$M$46="","",IF(計算用!$B$1=1,INDEX(計算用!$H$3:$H$452,計算用!$M$46),INDEX(振り分け!$D$7:$D$456,計算用!$M$46)))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IF(計算用!$M$47="","",45)</f>
        <v/>
      </c>
      <c r="B49" s="54">
        <f>IF(計算用!$M$47="","",IF(計算用!$B$1=1,INDEX(計算用!$F$3:$F$452,計算用!$M$47),INDEX(振り分け!$B$7:$B$456,計算用!$M$47)))</f>
        <v/>
      </c>
      <c r="C49" s="54">
        <f>IF(計算用!$M$47="","",IF(計算用!$B$1=1,INDEX(計算用!$G$3:$G$452,計算用!$M$47),INDEX(振り分け!$C$7:$C$456,計算用!$M$47)))</f>
        <v/>
      </c>
      <c r="D49" s="59">
        <f>IF(計算用!$M$47="","",IF(計算用!$B$1=1,INDEX(計算用!$H$3:$H$452,計算用!$M$47),INDEX(振り分け!$D$7:$D$456,計算用!$M$47)))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IF(計算用!$M$48="","",46)</f>
        <v/>
      </c>
      <c r="B50" s="54">
        <f>IF(計算用!$M$48="","",IF(計算用!$B$1=1,INDEX(計算用!$F$3:$F$452,計算用!$M$48),INDEX(振り分け!$B$7:$B$456,計算用!$M$48)))</f>
        <v/>
      </c>
      <c r="C50" s="54">
        <f>IF(計算用!$M$48="","",IF(計算用!$B$1=1,INDEX(計算用!$G$3:$G$452,計算用!$M$48),INDEX(振り分け!$C$7:$C$456,計算用!$M$48)))</f>
        <v/>
      </c>
      <c r="D50" s="59">
        <f>IF(計算用!$M$48="","",IF(計算用!$B$1=1,INDEX(計算用!$H$3:$H$452,計算用!$M$48),INDEX(振り分け!$D$7:$D$456,計算用!$M$48)))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IF(計算用!$M$49="","",47)</f>
        <v/>
      </c>
      <c r="B51" s="54">
        <f>IF(計算用!$M$49="","",IF(計算用!$B$1=1,INDEX(計算用!$F$3:$F$452,計算用!$M$49),INDEX(振り分け!$B$7:$B$456,計算用!$M$49)))</f>
        <v/>
      </c>
      <c r="C51" s="54">
        <f>IF(計算用!$M$49="","",IF(計算用!$B$1=1,INDEX(計算用!$G$3:$G$452,計算用!$M$49),INDEX(振り分け!$C$7:$C$456,計算用!$M$49)))</f>
        <v/>
      </c>
      <c r="D51" s="59">
        <f>IF(計算用!$M$49="","",IF(計算用!$B$1=1,INDEX(計算用!$H$3:$H$452,計算用!$M$49),INDEX(振り分け!$D$7:$D$456,計算用!$M$49)))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IF(計算用!$M$50="","",48)</f>
        <v/>
      </c>
      <c r="B52" s="54">
        <f>IF(計算用!$M$50="","",IF(計算用!$B$1=1,INDEX(計算用!$F$3:$F$452,計算用!$M$50),INDEX(振り分け!$B$7:$B$456,計算用!$M$50)))</f>
        <v/>
      </c>
      <c r="C52" s="54">
        <f>IF(計算用!$M$50="","",IF(計算用!$B$1=1,INDEX(計算用!$G$3:$G$452,計算用!$M$50),INDEX(振り分け!$C$7:$C$456,計算用!$M$50)))</f>
        <v/>
      </c>
      <c r="D52" s="59">
        <f>IF(計算用!$M$50="","",IF(計算用!$B$1=1,INDEX(計算用!$H$3:$H$452,計算用!$M$50),INDEX(振り分け!$D$7:$D$456,計算用!$M$50)))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IF(計算用!$M$51="","",49)</f>
        <v/>
      </c>
      <c r="B53" s="54">
        <f>IF(計算用!$M$51="","",IF(計算用!$B$1=1,INDEX(計算用!$F$3:$F$452,計算用!$M$51),INDEX(振り分け!$B$7:$B$456,計算用!$M$51)))</f>
        <v/>
      </c>
      <c r="C53" s="54">
        <f>IF(計算用!$M$51="","",IF(計算用!$B$1=1,INDEX(計算用!$G$3:$G$452,計算用!$M$51),INDEX(振り分け!$C$7:$C$456,計算用!$M$51)))</f>
        <v/>
      </c>
      <c r="D53" s="59">
        <f>IF(計算用!$M$51="","",IF(計算用!$B$1=1,INDEX(計算用!$H$3:$H$452,計算用!$M$51),INDEX(振り分け!$D$7:$D$456,計算用!$M$51)))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IF(計算用!$M$52="","",50)</f>
        <v/>
      </c>
      <c r="B54" s="54">
        <f>IF(計算用!$M$52="","",IF(計算用!$B$1=1,INDEX(計算用!$F$3:$F$452,計算用!$M$52),INDEX(振り分け!$B$7:$B$456,計算用!$M$52)))</f>
        <v/>
      </c>
      <c r="C54" s="54">
        <f>IF(計算用!$M$52="","",IF(計算用!$B$1=1,INDEX(計算用!$G$3:$G$452,計算用!$M$52),INDEX(振り分け!$C$7:$C$456,計算用!$M$52)))</f>
        <v/>
      </c>
      <c r="D54" s="59">
        <f>IF(計算用!$M$52="","",IF(計算用!$B$1=1,INDEX(計算用!$H$3:$H$452,計算用!$M$52),INDEX(振り分け!$D$7:$D$456,計算用!$M$52)))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IF(設定!$P$12="","",設定!$B$3&amp;"　"&amp;設定!$P$12&amp;設定!$B$4&amp;"名簿"&amp;IF(計算用!$B$1=0,"（仮・前年度の組）",""))</f>
        <v/>
      </c>
    </row>
    <row r="2">
      <c r="A2" s="44">
        <f>IF(設定!$P$12="","","担当："&amp;設定!$S$12&amp;"　　活動場所："&amp;設定!$T$12&amp;"　　人数："&amp;定員チェック!$F$11&amp;"名（"&amp;設定!$B$8&amp;"年"&amp;定員チェック!$G$11&amp;"・"&amp;設定!$B$9&amp;"年"&amp;定員チェック!$H$11&amp;"・"&amp;設定!$B$10&amp;"年"&amp;定員チェック!$I$11&amp;"）")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IF(計算用!$N$3="","",1)</f>
        <v/>
      </c>
      <c r="B5" s="54">
        <f>IF(計算用!$N$3="","",IF(計算用!$B$1=1,INDEX(計算用!$F$3:$F$452,計算用!$N$3),INDEX(振り分け!$B$7:$B$456,計算用!$N$3)))</f>
        <v/>
      </c>
      <c r="C5" s="54">
        <f>IF(計算用!$N$3="","",IF(計算用!$B$1=1,INDEX(計算用!$G$3:$G$452,計算用!$N$3),INDEX(振り分け!$C$7:$C$456,計算用!$N$3)))</f>
        <v/>
      </c>
      <c r="D5" s="59">
        <f>IF(計算用!$N$3="","",IF(計算用!$B$1=1,INDEX(計算用!$H$3:$H$452,計算用!$N$3),INDEX(振り分け!$D$7:$D$456,計算用!$N$3)))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IF(計算用!$N$4="","",2)</f>
        <v/>
      </c>
      <c r="B6" s="54">
        <f>IF(計算用!$N$4="","",IF(計算用!$B$1=1,INDEX(計算用!$F$3:$F$452,計算用!$N$4),INDEX(振り分け!$B$7:$B$456,計算用!$N$4)))</f>
        <v/>
      </c>
      <c r="C6" s="54">
        <f>IF(計算用!$N$4="","",IF(計算用!$B$1=1,INDEX(計算用!$G$3:$G$452,計算用!$N$4),INDEX(振り分け!$C$7:$C$456,計算用!$N$4)))</f>
        <v/>
      </c>
      <c r="D6" s="59">
        <f>IF(計算用!$N$4="","",IF(計算用!$B$1=1,INDEX(計算用!$H$3:$H$452,計算用!$N$4),INDEX(振り分け!$D$7:$D$456,計算用!$N$4)))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IF(計算用!$N$5="","",3)</f>
        <v/>
      </c>
      <c r="B7" s="54">
        <f>IF(計算用!$N$5="","",IF(計算用!$B$1=1,INDEX(計算用!$F$3:$F$452,計算用!$N$5),INDEX(振り分け!$B$7:$B$456,計算用!$N$5)))</f>
        <v/>
      </c>
      <c r="C7" s="54">
        <f>IF(計算用!$N$5="","",IF(計算用!$B$1=1,INDEX(計算用!$G$3:$G$452,計算用!$N$5),INDEX(振り分け!$C$7:$C$456,計算用!$N$5)))</f>
        <v/>
      </c>
      <c r="D7" s="59">
        <f>IF(計算用!$N$5="","",IF(計算用!$B$1=1,INDEX(計算用!$H$3:$H$452,計算用!$N$5),INDEX(振り分け!$D$7:$D$456,計算用!$N$5)))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IF(計算用!$N$6="","",4)</f>
        <v/>
      </c>
      <c r="B8" s="54">
        <f>IF(計算用!$N$6="","",IF(計算用!$B$1=1,INDEX(計算用!$F$3:$F$452,計算用!$N$6),INDEX(振り分け!$B$7:$B$456,計算用!$N$6)))</f>
        <v/>
      </c>
      <c r="C8" s="54">
        <f>IF(計算用!$N$6="","",IF(計算用!$B$1=1,INDEX(計算用!$G$3:$G$452,計算用!$N$6),INDEX(振り分け!$C$7:$C$456,計算用!$N$6)))</f>
        <v/>
      </c>
      <c r="D8" s="59">
        <f>IF(計算用!$N$6="","",IF(計算用!$B$1=1,INDEX(計算用!$H$3:$H$452,計算用!$N$6),INDEX(振り分け!$D$7:$D$456,計算用!$N$6)))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IF(計算用!$N$7="","",5)</f>
        <v/>
      </c>
      <c r="B9" s="54">
        <f>IF(計算用!$N$7="","",IF(計算用!$B$1=1,INDEX(計算用!$F$3:$F$452,計算用!$N$7),INDEX(振り分け!$B$7:$B$456,計算用!$N$7)))</f>
        <v/>
      </c>
      <c r="C9" s="54">
        <f>IF(計算用!$N$7="","",IF(計算用!$B$1=1,INDEX(計算用!$G$3:$G$452,計算用!$N$7),INDEX(振り分け!$C$7:$C$456,計算用!$N$7)))</f>
        <v/>
      </c>
      <c r="D9" s="59">
        <f>IF(計算用!$N$7="","",IF(計算用!$B$1=1,INDEX(計算用!$H$3:$H$452,計算用!$N$7),INDEX(振り分け!$D$7:$D$456,計算用!$N$7)))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IF(計算用!$N$8="","",6)</f>
        <v/>
      </c>
      <c r="B10" s="54">
        <f>IF(計算用!$N$8="","",IF(計算用!$B$1=1,INDEX(計算用!$F$3:$F$452,計算用!$N$8),INDEX(振り分け!$B$7:$B$456,計算用!$N$8)))</f>
        <v/>
      </c>
      <c r="C10" s="54">
        <f>IF(計算用!$N$8="","",IF(計算用!$B$1=1,INDEX(計算用!$G$3:$G$452,計算用!$N$8),INDEX(振り分け!$C$7:$C$456,計算用!$N$8)))</f>
        <v/>
      </c>
      <c r="D10" s="59">
        <f>IF(計算用!$N$8="","",IF(計算用!$B$1=1,INDEX(計算用!$H$3:$H$452,計算用!$N$8),INDEX(振り分け!$D$7:$D$456,計算用!$N$8)))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IF(計算用!$N$9="","",7)</f>
        <v/>
      </c>
      <c r="B11" s="54">
        <f>IF(計算用!$N$9="","",IF(計算用!$B$1=1,INDEX(計算用!$F$3:$F$452,計算用!$N$9),INDEX(振り分け!$B$7:$B$456,計算用!$N$9)))</f>
        <v/>
      </c>
      <c r="C11" s="54">
        <f>IF(計算用!$N$9="","",IF(計算用!$B$1=1,INDEX(計算用!$G$3:$G$452,計算用!$N$9),INDEX(振り分け!$C$7:$C$456,計算用!$N$9)))</f>
        <v/>
      </c>
      <c r="D11" s="59">
        <f>IF(計算用!$N$9="","",IF(計算用!$B$1=1,INDEX(計算用!$H$3:$H$452,計算用!$N$9),INDEX(振り分け!$D$7:$D$456,計算用!$N$9)))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IF(計算用!$N$10="","",8)</f>
        <v/>
      </c>
      <c r="B12" s="54">
        <f>IF(計算用!$N$10="","",IF(計算用!$B$1=1,INDEX(計算用!$F$3:$F$452,計算用!$N$10),INDEX(振り分け!$B$7:$B$456,計算用!$N$10)))</f>
        <v/>
      </c>
      <c r="C12" s="54">
        <f>IF(計算用!$N$10="","",IF(計算用!$B$1=1,INDEX(計算用!$G$3:$G$452,計算用!$N$10),INDEX(振り分け!$C$7:$C$456,計算用!$N$10)))</f>
        <v/>
      </c>
      <c r="D12" s="59">
        <f>IF(計算用!$N$10="","",IF(計算用!$B$1=1,INDEX(計算用!$H$3:$H$452,計算用!$N$10),INDEX(振り分け!$D$7:$D$456,計算用!$N$10)))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IF(計算用!$N$11="","",9)</f>
        <v/>
      </c>
      <c r="B13" s="54">
        <f>IF(計算用!$N$11="","",IF(計算用!$B$1=1,INDEX(計算用!$F$3:$F$452,計算用!$N$11),INDEX(振り分け!$B$7:$B$456,計算用!$N$11)))</f>
        <v/>
      </c>
      <c r="C13" s="54">
        <f>IF(計算用!$N$11="","",IF(計算用!$B$1=1,INDEX(計算用!$G$3:$G$452,計算用!$N$11),INDEX(振り分け!$C$7:$C$456,計算用!$N$11)))</f>
        <v/>
      </c>
      <c r="D13" s="59">
        <f>IF(計算用!$N$11="","",IF(計算用!$B$1=1,INDEX(計算用!$H$3:$H$452,計算用!$N$11),INDEX(振り分け!$D$7:$D$456,計算用!$N$11)))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IF(計算用!$N$12="","",10)</f>
        <v/>
      </c>
      <c r="B14" s="54">
        <f>IF(計算用!$N$12="","",IF(計算用!$B$1=1,INDEX(計算用!$F$3:$F$452,計算用!$N$12),INDEX(振り分け!$B$7:$B$456,計算用!$N$12)))</f>
        <v/>
      </c>
      <c r="C14" s="54">
        <f>IF(計算用!$N$12="","",IF(計算用!$B$1=1,INDEX(計算用!$G$3:$G$452,計算用!$N$12),INDEX(振り分け!$C$7:$C$456,計算用!$N$12)))</f>
        <v/>
      </c>
      <c r="D14" s="59">
        <f>IF(計算用!$N$12="","",IF(計算用!$B$1=1,INDEX(計算用!$H$3:$H$452,計算用!$N$12),INDEX(振り分け!$D$7:$D$456,計算用!$N$12)))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IF(計算用!$N$13="","",11)</f>
        <v/>
      </c>
      <c r="B15" s="54">
        <f>IF(計算用!$N$13="","",IF(計算用!$B$1=1,INDEX(計算用!$F$3:$F$452,計算用!$N$13),INDEX(振り分け!$B$7:$B$456,計算用!$N$13)))</f>
        <v/>
      </c>
      <c r="C15" s="54">
        <f>IF(計算用!$N$13="","",IF(計算用!$B$1=1,INDEX(計算用!$G$3:$G$452,計算用!$N$13),INDEX(振り分け!$C$7:$C$456,計算用!$N$13)))</f>
        <v/>
      </c>
      <c r="D15" s="59">
        <f>IF(計算用!$N$13="","",IF(計算用!$B$1=1,INDEX(計算用!$H$3:$H$452,計算用!$N$13),INDEX(振り分け!$D$7:$D$456,計算用!$N$13)))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IF(計算用!$N$14="","",12)</f>
        <v/>
      </c>
      <c r="B16" s="54">
        <f>IF(計算用!$N$14="","",IF(計算用!$B$1=1,INDEX(計算用!$F$3:$F$452,計算用!$N$14),INDEX(振り分け!$B$7:$B$456,計算用!$N$14)))</f>
        <v/>
      </c>
      <c r="C16" s="54">
        <f>IF(計算用!$N$14="","",IF(計算用!$B$1=1,INDEX(計算用!$G$3:$G$452,計算用!$N$14),INDEX(振り分け!$C$7:$C$456,計算用!$N$14)))</f>
        <v/>
      </c>
      <c r="D16" s="59">
        <f>IF(計算用!$N$14="","",IF(計算用!$B$1=1,INDEX(計算用!$H$3:$H$452,計算用!$N$14),INDEX(振り分け!$D$7:$D$456,計算用!$N$14)))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IF(計算用!$N$15="","",13)</f>
        <v/>
      </c>
      <c r="B17" s="54">
        <f>IF(計算用!$N$15="","",IF(計算用!$B$1=1,INDEX(計算用!$F$3:$F$452,計算用!$N$15),INDEX(振り分け!$B$7:$B$456,計算用!$N$15)))</f>
        <v/>
      </c>
      <c r="C17" s="54">
        <f>IF(計算用!$N$15="","",IF(計算用!$B$1=1,INDEX(計算用!$G$3:$G$452,計算用!$N$15),INDEX(振り分け!$C$7:$C$456,計算用!$N$15)))</f>
        <v/>
      </c>
      <c r="D17" s="59">
        <f>IF(計算用!$N$15="","",IF(計算用!$B$1=1,INDEX(計算用!$H$3:$H$452,計算用!$N$15),INDEX(振り分け!$D$7:$D$456,計算用!$N$15)))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IF(計算用!$N$16="","",14)</f>
        <v/>
      </c>
      <c r="B18" s="54">
        <f>IF(計算用!$N$16="","",IF(計算用!$B$1=1,INDEX(計算用!$F$3:$F$452,計算用!$N$16),INDEX(振り分け!$B$7:$B$456,計算用!$N$16)))</f>
        <v/>
      </c>
      <c r="C18" s="54">
        <f>IF(計算用!$N$16="","",IF(計算用!$B$1=1,INDEX(計算用!$G$3:$G$452,計算用!$N$16),INDEX(振り分け!$C$7:$C$456,計算用!$N$16)))</f>
        <v/>
      </c>
      <c r="D18" s="59">
        <f>IF(計算用!$N$16="","",IF(計算用!$B$1=1,INDEX(計算用!$H$3:$H$452,計算用!$N$16),INDEX(振り分け!$D$7:$D$456,計算用!$N$16)))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IF(計算用!$N$17="","",15)</f>
        <v/>
      </c>
      <c r="B19" s="54">
        <f>IF(計算用!$N$17="","",IF(計算用!$B$1=1,INDEX(計算用!$F$3:$F$452,計算用!$N$17),INDEX(振り分け!$B$7:$B$456,計算用!$N$17)))</f>
        <v/>
      </c>
      <c r="C19" s="54">
        <f>IF(計算用!$N$17="","",IF(計算用!$B$1=1,INDEX(計算用!$G$3:$G$452,計算用!$N$17),INDEX(振り分け!$C$7:$C$456,計算用!$N$17)))</f>
        <v/>
      </c>
      <c r="D19" s="59">
        <f>IF(計算用!$N$17="","",IF(計算用!$B$1=1,INDEX(計算用!$H$3:$H$452,計算用!$N$17),INDEX(振り分け!$D$7:$D$456,計算用!$N$17)))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IF(計算用!$N$18="","",16)</f>
        <v/>
      </c>
      <c r="B20" s="54">
        <f>IF(計算用!$N$18="","",IF(計算用!$B$1=1,INDEX(計算用!$F$3:$F$452,計算用!$N$18),INDEX(振り分け!$B$7:$B$456,計算用!$N$18)))</f>
        <v/>
      </c>
      <c r="C20" s="54">
        <f>IF(計算用!$N$18="","",IF(計算用!$B$1=1,INDEX(計算用!$G$3:$G$452,計算用!$N$18),INDEX(振り分け!$C$7:$C$456,計算用!$N$18)))</f>
        <v/>
      </c>
      <c r="D20" s="59">
        <f>IF(計算用!$N$18="","",IF(計算用!$B$1=1,INDEX(計算用!$H$3:$H$452,計算用!$N$18),INDEX(振り分け!$D$7:$D$456,計算用!$N$18)))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IF(計算用!$N$19="","",17)</f>
        <v/>
      </c>
      <c r="B21" s="54">
        <f>IF(計算用!$N$19="","",IF(計算用!$B$1=1,INDEX(計算用!$F$3:$F$452,計算用!$N$19),INDEX(振り分け!$B$7:$B$456,計算用!$N$19)))</f>
        <v/>
      </c>
      <c r="C21" s="54">
        <f>IF(計算用!$N$19="","",IF(計算用!$B$1=1,INDEX(計算用!$G$3:$G$452,計算用!$N$19),INDEX(振り分け!$C$7:$C$456,計算用!$N$19)))</f>
        <v/>
      </c>
      <c r="D21" s="59">
        <f>IF(計算用!$N$19="","",IF(計算用!$B$1=1,INDEX(計算用!$H$3:$H$452,計算用!$N$19),INDEX(振り分け!$D$7:$D$456,計算用!$N$19)))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IF(計算用!$N$20="","",18)</f>
        <v/>
      </c>
      <c r="B22" s="54">
        <f>IF(計算用!$N$20="","",IF(計算用!$B$1=1,INDEX(計算用!$F$3:$F$452,計算用!$N$20),INDEX(振り分け!$B$7:$B$456,計算用!$N$20)))</f>
        <v/>
      </c>
      <c r="C22" s="54">
        <f>IF(計算用!$N$20="","",IF(計算用!$B$1=1,INDEX(計算用!$G$3:$G$452,計算用!$N$20),INDEX(振り分け!$C$7:$C$456,計算用!$N$20)))</f>
        <v/>
      </c>
      <c r="D22" s="59">
        <f>IF(計算用!$N$20="","",IF(計算用!$B$1=1,INDEX(計算用!$H$3:$H$452,計算用!$N$20),INDEX(振り分け!$D$7:$D$456,計算用!$N$20)))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IF(計算用!$N$21="","",19)</f>
        <v/>
      </c>
      <c r="B23" s="54">
        <f>IF(計算用!$N$21="","",IF(計算用!$B$1=1,INDEX(計算用!$F$3:$F$452,計算用!$N$21),INDEX(振り分け!$B$7:$B$456,計算用!$N$21)))</f>
        <v/>
      </c>
      <c r="C23" s="54">
        <f>IF(計算用!$N$21="","",IF(計算用!$B$1=1,INDEX(計算用!$G$3:$G$452,計算用!$N$21),INDEX(振り分け!$C$7:$C$456,計算用!$N$21)))</f>
        <v/>
      </c>
      <c r="D23" s="59">
        <f>IF(計算用!$N$21="","",IF(計算用!$B$1=1,INDEX(計算用!$H$3:$H$452,計算用!$N$21),INDEX(振り分け!$D$7:$D$456,計算用!$N$21)))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IF(計算用!$N$22="","",20)</f>
        <v/>
      </c>
      <c r="B24" s="54">
        <f>IF(計算用!$N$22="","",IF(計算用!$B$1=1,INDEX(計算用!$F$3:$F$452,計算用!$N$22),INDEX(振り分け!$B$7:$B$456,計算用!$N$22)))</f>
        <v/>
      </c>
      <c r="C24" s="54">
        <f>IF(計算用!$N$22="","",IF(計算用!$B$1=1,INDEX(計算用!$G$3:$G$452,計算用!$N$22),INDEX(振り分け!$C$7:$C$456,計算用!$N$22)))</f>
        <v/>
      </c>
      <c r="D24" s="59">
        <f>IF(計算用!$N$22="","",IF(計算用!$B$1=1,INDEX(計算用!$H$3:$H$452,計算用!$N$22),INDEX(振り分け!$D$7:$D$456,計算用!$N$22)))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IF(計算用!$N$23="","",21)</f>
        <v/>
      </c>
      <c r="B25" s="54">
        <f>IF(計算用!$N$23="","",IF(計算用!$B$1=1,INDEX(計算用!$F$3:$F$452,計算用!$N$23),INDEX(振り分け!$B$7:$B$456,計算用!$N$23)))</f>
        <v/>
      </c>
      <c r="C25" s="54">
        <f>IF(計算用!$N$23="","",IF(計算用!$B$1=1,INDEX(計算用!$G$3:$G$452,計算用!$N$23),INDEX(振り分け!$C$7:$C$456,計算用!$N$23)))</f>
        <v/>
      </c>
      <c r="D25" s="59">
        <f>IF(計算用!$N$23="","",IF(計算用!$B$1=1,INDEX(計算用!$H$3:$H$452,計算用!$N$23),INDEX(振り分け!$D$7:$D$456,計算用!$N$23)))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IF(計算用!$N$24="","",22)</f>
        <v/>
      </c>
      <c r="B26" s="54">
        <f>IF(計算用!$N$24="","",IF(計算用!$B$1=1,INDEX(計算用!$F$3:$F$452,計算用!$N$24),INDEX(振り分け!$B$7:$B$456,計算用!$N$24)))</f>
        <v/>
      </c>
      <c r="C26" s="54">
        <f>IF(計算用!$N$24="","",IF(計算用!$B$1=1,INDEX(計算用!$G$3:$G$452,計算用!$N$24),INDEX(振り分け!$C$7:$C$456,計算用!$N$24)))</f>
        <v/>
      </c>
      <c r="D26" s="59">
        <f>IF(計算用!$N$24="","",IF(計算用!$B$1=1,INDEX(計算用!$H$3:$H$452,計算用!$N$24),INDEX(振り分け!$D$7:$D$456,計算用!$N$24)))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IF(計算用!$N$25="","",23)</f>
        <v/>
      </c>
      <c r="B27" s="54">
        <f>IF(計算用!$N$25="","",IF(計算用!$B$1=1,INDEX(計算用!$F$3:$F$452,計算用!$N$25),INDEX(振り分け!$B$7:$B$456,計算用!$N$25)))</f>
        <v/>
      </c>
      <c r="C27" s="54">
        <f>IF(計算用!$N$25="","",IF(計算用!$B$1=1,INDEX(計算用!$G$3:$G$452,計算用!$N$25),INDEX(振り分け!$C$7:$C$456,計算用!$N$25)))</f>
        <v/>
      </c>
      <c r="D27" s="59">
        <f>IF(計算用!$N$25="","",IF(計算用!$B$1=1,INDEX(計算用!$H$3:$H$452,計算用!$N$25),INDEX(振り分け!$D$7:$D$456,計算用!$N$25)))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IF(計算用!$N$26="","",24)</f>
        <v/>
      </c>
      <c r="B28" s="54">
        <f>IF(計算用!$N$26="","",IF(計算用!$B$1=1,INDEX(計算用!$F$3:$F$452,計算用!$N$26),INDEX(振り分け!$B$7:$B$456,計算用!$N$26)))</f>
        <v/>
      </c>
      <c r="C28" s="54">
        <f>IF(計算用!$N$26="","",IF(計算用!$B$1=1,INDEX(計算用!$G$3:$G$452,計算用!$N$26),INDEX(振り分け!$C$7:$C$456,計算用!$N$26)))</f>
        <v/>
      </c>
      <c r="D28" s="59">
        <f>IF(計算用!$N$26="","",IF(計算用!$B$1=1,INDEX(計算用!$H$3:$H$452,計算用!$N$26),INDEX(振り分け!$D$7:$D$456,計算用!$N$26)))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IF(計算用!$N$27="","",25)</f>
        <v/>
      </c>
      <c r="B29" s="54">
        <f>IF(計算用!$N$27="","",IF(計算用!$B$1=1,INDEX(計算用!$F$3:$F$452,計算用!$N$27),INDEX(振り分け!$B$7:$B$456,計算用!$N$27)))</f>
        <v/>
      </c>
      <c r="C29" s="54">
        <f>IF(計算用!$N$27="","",IF(計算用!$B$1=1,INDEX(計算用!$G$3:$G$452,計算用!$N$27),INDEX(振り分け!$C$7:$C$456,計算用!$N$27)))</f>
        <v/>
      </c>
      <c r="D29" s="59">
        <f>IF(計算用!$N$27="","",IF(計算用!$B$1=1,INDEX(計算用!$H$3:$H$452,計算用!$N$27),INDEX(振り分け!$D$7:$D$456,計算用!$N$27)))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IF(計算用!$N$28="","",26)</f>
        <v/>
      </c>
      <c r="B30" s="54">
        <f>IF(計算用!$N$28="","",IF(計算用!$B$1=1,INDEX(計算用!$F$3:$F$452,計算用!$N$28),INDEX(振り分け!$B$7:$B$456,計算用!$N$28)))</f>
        <v/>
      </c>
      <c r="C30" s="54">
        <f>IF(計算用!$N$28="","",IF(計算用!$B$1=1,INDEX(計算用!$G$3:$G$452,計算用!$N$28),INDEX(振り分け!$C$7:$C$456,計算用!$N$28)))</f>
        <v/>
      </c>
      <c r="D30" s="59">
        <f>IF(計算用!$N$28="","",IF(計算用!$B$1=1,INDEX(計算用!$H$3:$H$452,計算用!$N$28),INDEX(振り分け!$D$7:$D$456,計算用!$N$28)))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IF(計算用!$N$29="","",27)</f>
        <v/>
      </c>
      <c r="B31" s="54">
        <f>IF(計算用!$N$29="","",IF(計算用!$B$1=1,INDEX(計算用!$F$3:$F$452,計算用!$N$29),INDEX(振り分け!$B$7:$B$456,計算用!$N$29)))</f>
        <v/>
      </c>
      <c r="C31" s="54">
        <f>IF(計算用!$N$29="","",IF(計算用!$B$1=1,INDEX(計算用!$G$3:$G$452,計算用!$N$29),INDEX(振り分け!$C$7:$C$456,計算用!$N$29)))</f>
        <v/>
      </c>
      <c r="D31" s="59">
        <f>IF(計算用!$N$29="","",IF(計算用!$B$1=1,INDEX(計算用!$H$3:$H$452,計算用!$N$29),INDEX(振り分け!$D$7:$D$456,計算用!$N$29)))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IF(計算用!$N$30="","",28)</f>
        <v/>
      </c>
      <c r="B32" s="54">
        <f>IF(計算用!$N$30="","",IF(計算用!$B$1=1,INDEX(計算用!$F$3:$F$452,計算用!$N$30),INDEX(振り分け!$B$7:$B$456,計算用!$N$30)))</f>
        <v/>
      </c>
      <c r="C32" s="54">
        <f>IF(計算用!$N$30="","",IF(計算用!$B$1=1,INDEX(計算用!$G$3:$G$452,計算用!$N$30),INDEX(振り分け!$C$7:$C$456,計算用!$N$30)))</f>
        <v/>
      </c>
      <c r="D32" s="59">
        <f>IF(計算用!$N$30="","",IF(計算用!$B$1=1,INDEX(計算用!$H$3:$H$452,計算用!$N$30),INDEX(振り分け!$D$7:$D$456,計算用!$N$30)))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IF(計算用!$N$31="","",29)</f>
        <v/>
      </c>
      <c r="B33" s="54">
        <f>IF(計算用!$N$31="","",IF(計算用!$B$1=1,INDEX(計算用!$F$3:$F$452,計算用!$N$31),INDEX(振り分け!$B$7:$B$456,計算用!$N$31)))</f>
        <v/>
      </c>
      <c r="C33" s="54">
        <f>IF(計算用!$N$31="","",IF(計算用!$B$1=1,INDEX(計算用!$G$3:$G$452,計算用!$N$31),INDEX(振り分け!$C$7:$C$456,計算用!$N$31)))</f>
        <v/>
      </c>
      <c r="D33" s="59">
        <f>IF(計算用!$N$31="","",IF(計算用!$B$1=1,INDEX(計算用!$H$3:$H$452,計算用!$N$31),INDEX(振り分け!$D$7:$D$456,計算用!$N$31)))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IF(計算用!$N$32="","",30)</f>
        <v/>
      </c>
      <c r="B34" s="54">
        <f>IF(計算用!$N$32="","",IF(計算用!$B$1=1,INDEX(計算用!$F$3:$F$452,計算用!$N$32),INDEX(振り分け!$B$7:$B$456,計算用!$N$32)))</f>
        <v/>
      </c>
      <c r="C34" s="54">
        <f>IF(計算用!$N$32="","",IF(計算用!$B$1=1,INDEX(計算用!$G$3:$G$452,計算用!$N$32),INDEX(振り分け!$C$7:$C$456,計算用!$N$32)))</f>
        <v/>
      </c>
      <c r="D34" s="59">
        <f>IF(計算用!$N$32="","",IF(計算用!$B$1=1,INDEX(計算用!$H$3:$H$452,計算用!$N$32),INDEX(振り分け!$D$7:$D$456,計算用!$N$32)))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IF(計算用!$N$33="","",31)</f>
        <v/>
      </c>
      <c r="B35" s="54">
        <f>IF(計算用!$N$33="","",IF(計算用!$B$1=1,INDEX(計算用!$F$3:$F$452,計算用!$N$33),INDEX(振り分け!$B$7:$B$456,計算用!$N$33)))</f>
        <v/>
      </c>
      <c r="C35" s="54">
        <f>IF(計算用!$N$33="","",IF(計算用!$B$1=1,INDEX(計算用!$G$3:$G$452,計算用!$N$33),INDEX(振り分け!$C$7:$C$456,計算用!$N$33)))</f>
        <v/>
      </c>
      <c r="D35" s="59">
        <f>IF(計算用!$N$33="","",IF(計算用!$B$1=1,INDEX(計算用!$H$3:$H$452,計算用!$N$33),INDEX(振り分け!$D$7:$D$456,計算用!$N$33)))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IF(計算用!$N$34="","",32)</f>
        <v/>
      </c>
      <c r="B36" s="54">
        <f>IF(計算用!$N$34="","",IF(計算用!$B$1=1,INDEX(計算用!$F$3:$F$452,計算用!$N$34),INDEX(振り分け!$B$7:$B$456,計算用!$N$34)))</f>
        <v/>
      </c>
      <c r="C36" s="54">
        <f>IF(計算用!$N$34="","",IF(計算用!$B$1=1,INDEX(計算用!$G$3:$G$452,計算用!$N$34),INDEX(振り分け!$C$7:$C$456,計算用!$N$34)))</f>
        <v/>
      </c>
      <c r="D36" s="59">
        <f>IF(計算用!$N$34="","",IF(計算用!$B$1=1,INDEX(計算用!$H$3:$H$452,計算用!$N$34),INDEX(振り分け!$D$7:$D$456,計算用!$N$34)))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IF(計算用!$N$35="","",33)</f>
        <v/>
      </c>
      <c r="B37" s="54">
        <f>IF(計算用!$N$35="","",IF(計算用!$B$1=1,INDEX(計算用!$F$3:$F$452,計算用!$N$35),INDEX(振り分け!$B$7:$B$456,計算用!$N$35)))</f>
        <v/>
      </c>
      <c r="C37" s="54">
        <f>IF(計算用!$N$35="","",IF(計算用!$B$1=1,INDEX(計算用!$G$3:$G$452,計算用!$N$35),INDEX(振り分け!$C$7:$C$456,計算用!$N$35)))</f>
        <v/>
      </c>
      <c r="D37" s="59">
        <f>IF(計算用!$N$35="","",IF(計算用!$B$1=1,INDEX(計算用!$H$3:$H$452,計算用!$N$35),INDEX(振り分け!$D$7:$D$456,計算用!$N$35)))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IF(計算用!$N$36="","",34)</f>
        <v/>
      </c>
      <c r="B38" s="54">
        <f>IF(計算用!$N$36="","",IF(計算用!$B$1=1,INDEX(計算用!$F$3:$F$452,計算用!$N$36),INDEX(振り分け!$B$7:$B$456,計算用!$N$36)))</f>
        <v/>
      </c>
      <c r="C38" s="54">
        <f>IF(計算用!$N$36="","",IF(計算用!$B$1=1,INDEX(計算用!$G$3:$G$452,計算用!$N$36),INDEX(振り分け!$C$7:$C$456,計算用!$N$36)))</f>
        <v/>
      </c>
      <c r="D38" s="59">
        <f>IF(計算用!$N$36="","",IF(計算用!$B$1=1,INDEX(計算用!$H$3:$H$452,計算用!$N$36),INDEX(振り分け!$D$7:$D$456,計算用!$N$36)))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IF(計算用!$N$37="","",35)</f>
        <v/>
      </c>
      <c r="B39" s="54">
        <f>IF(計算用!$N$37="","",IF(計算用!$B$1=1,INDEX(計算用!$F$3:$F$452,計算用!$N$37),INDEX(振り分け!$B$7:$B$456,計算用!$N$37)))</f>
        <v/>
      </c>
      <c r="C39" s="54">
        <f>IF(計算用!$N$37="","",IF(計算用!$B$1=1,INDEX(計算用!$G$3:$G$452,計算用!$N$37),INDEX(振り分け!$C$7:$C$456,計算用!$N$37)))</f>
        <v/>
      </c>
      <c r="D39" s="59">
        <f>IF(計算用!$N$37="","",IF(計算用!$B$1=1,INDEX(計算用!$H$3:$H$452,計算用!$N$37),INDEX(振り分け!$D$7:$D$456,計算用!$N$37)))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IF(計算用!$N$38="","",36)</f>
        <v/>
      </c>
      <c r="B40" s="54">
        <f>IF(計算用!$N$38="","",IF(計算用!$B$1=1,INDEX(計算用!$F$3:$F$452,計算用!$N$38),INDEX(振り分け!$B$7:$B$456,計算用!$N$38)))</f>
        <v/>
      </c>
      <c r="C40" s="54">
        <f>IF(計算用!$N$38="","",IF(計算用!$B$1=1,INDEX(計算用!$G$3:$G$452,計算用!$N$38),INDEX(振り分け!$C$7:$C$456,計算用!$N$38)))</f>
        <v/>
      </c>
      <c r="D40" s="59">
        <f>IF(計算用!$N$38="","",IF(計算用!$B$1=1,INDEX(計算用!$H$3:$H$452,計算用!$N$38),INDEX(振り分け!$D$7:$D$456,計算用!$N$38)))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IF(計算用!$N$39="","",37)</f>
        <v/>
      </c>
      <c r="B41" s="54">
        <f>IF(計算用!$N$39="","",IF(計算用!$B$1=1,INDEX(計算用!$F$3:$F$452,計算用!$N$39),INDEX(振り分け!$B$7:$B$456,計算用!$N$39)))</f>
        <v/>
      </c>
      <c r="C41" s="54">
        <f>IF(計算用!$N$39="","",IF(計算用!$B$1=1,INDEX(計算用!$G$3:$G$452,計算用!$N$39),INDEX(振り分け!$C$7:$C$456,計算用!$N$39)))</f>
        <v/>
      </c>
      <c r="D41" s="59">
        <f>IF(計算用!$N$39="","",IF(計算用!$B$1=1,INDEX(計算用!$H$3:$H$452,計算用!$N$39),INDEX(振り分け!$D$7:$D$456,計算用!$N$39)))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IF(計算用!$N$40="","",38)</f>
        <v/>
      </c>
      <c r="B42" s="54">
        <f>IF(計算用!$N$40="","",IF(計算用!$B$1=1,INDEX(計算用!$F$3:$F$452,計算用!$N$40),INDEX(振り分け!$B$7:$B$456,計算用!$N$40)))</f>
        <v/>
      </c>
      <c r="C42" s="54">
        <f>IF(計算用!$N$40="","",IF(計算用!$B$1=1,INDEX(計算用!$G$3:$G$452,計算用!$N$40),INDEX(振り分け!$C$7:$C$456,計算用!$N$40)))</f>
        <v/>
      </c>
      <c r="D42" s="59">
        <f>IF(計算用!$N$40="","",IF(計算用!$B$1=1,INDEX(計算用!$H$3:$H$452,計算用!$N$40),INDEX(振り分け!$D$7:$D$456,計算用!$N$40)))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IF(計算用!$N$41="","",39)</f>
        <v/>
      </c>
      <c r="B43" s="54">
        <f>IF(計算用!$N$41="","",IF(計算用!$B$1=1,INDEX(計算用!$F$3:$F$452,計算用!$N$41),INDEX(振り分け!$B$7:$B$456,計算用!$N$41)))</f>
        <v/>
      </c>
      <c r="C43" s="54">
        <f>IF(計算用!$N$41="","",IF(計算用!$B$1=1,INDEX(計算用!$G$3:$G$452,計算用!$N$41),INDEX(振り分け!$C$7:$C$456,計算用!$N$41)))</f>
        <v/>
      </c>
      <c r="D43" s="59">
        <f>IF(計算用!$N$41="","",IF(計算用!$B$1=1,INDEX(計算用!$H$3:$H$452,計算用!$N$41),INDEX(振り分け!$D$7:$D$456,計算用!$N$41)))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IF(計算用!$N$42="","",40)</f>
        <v/>
      </c>
      <c r="B44" s="54">
        <f>IF(計算用!$N$42="","",IF(計算用!$B$1=1,INDEX(計算用!$F$3:$F$452,計算用!$N$42),INDEX(振り分け!$B$7:$B$456,計算用!$N$42)))</f>
        <v/>
      </c>
      <c r="C44" s="54">
        <f>IF(計算用!$N$42="","",IF(計算用!$B$1=1,INDEX(計算用!$G$3:$G$452,計算用!$N$42),INDEX(振り分け!$C$7:$C$456,計算用!$N$42)))</f>
        <v/>
      </c>
      <c r="D44" s="59">
        <f>IF(計算用!$N$42="","",IF(計算用!$B$1=1,INDEX(計算用!$H$3:$H$452,計算用!$N$42),INDEX(振り分け!$D$7:$D$456,計算用!$N$42)))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IF(計算用!$N$43="","",41)</f>
        <v/>
      </c>
      <c r="B45" s="54">
        <f>IF(計算用!$N$43="","",IF(計算用!$B$1=1,INDEX(計算用!$F$3:$F$452,計算用!$N$43),INDEX(振り分け!$B$7:$B$456,計算用!$N$43)))</f>
        <v/>
      </c>
      <c r="C45" s="54">
        <f>IF(計算用!$N$43="","",IF(計算用!$B$1=1,INDEX(計算用!$G$3:$G$452,計算用!$N$43),INDEX(振り分け!$C$7:$C$456,計算用!$N$43)))</f>
        <v/>
      </c>
      <c r="D45" s="59">
        <f>IF(計算用!$N$43="","",IF(計算用!$B$1=1,INDEX(計算用!$H$3:$H$452,計算用!$N$43),INDEX(振り分け!$D$7:$D$456,計算用!$N$43)))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IF(計算用!$N$44="","",42)</f>
        <v/>
      </c>
      <c r="B46" s="54">
        <f>IF(計算用!$N$44="","",IF(計算用!$B$1=1,INDEX(計算用!$F$3:$F$452,計算用!$N$44),INDEX(振り分け!$B$7:$B$456,計算用!$N$44)))</f>
        <v/>
      </c>
      <c r="C46" s="54">
        <f>IF(計算用!$N$44="","",IF(計算用!$B$1=1,INDEX(計算用!$G$3:$G$452,計算用!$N$44),INDEX(振り分け!$C$7:$C$456,計算用!$N$44)))</f>
        <v/>
      </c>
      <c r="D46" s="59">
        <f>IF(計算用!$N$44="","",IF(計算用!$B$1=1,INDEX(計算用!$H$3:$H$452,計算用!$N$44),INDEX(振り分け!$D$7:$D$456,計算用!$N$44)))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IF(計算用!$N$45="","",43)</f>
        <v/>
      </c>
      <c r="B47" s="54">
        <f>IF(計算用!$N$45="","",IF(計算用!$B$1=1,INDEX(計算用!$F$3:$F$452,計算用!$N$45),INDEX(振り分け!$B$7:$B$456,計算用!$N$45)))</f>
        <v/>
      </c>
      <c r="C47" s="54">
        <f>IF(計算用!$N$45="","",IF(計算用!$B$1=1,INDEX(計算用!$G$3:$G$452,計算用!$N$45),INDEX(振り分け!$C$7:$C$456,計算用!$N$45)))</f>
        <v/>
      </c>
      <c r="D47" s="59">
        <f>IF(計算用!$N$45="","",IF(計算用!$B$1=1,INDEX(計算用!$H$3:$H$452,計算用!$N$45),INDEX(振り分け!$D$7:$D$456,計算用!$N$45)))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IF(計算用!$N$46="","",44)</f>
        <v/>
      </c>
      <c r="B48" s="54">
        <f>IF(計算用!$N$46="","",IF(計算用!$B$1=1,INDEX(計算用!$F$3:$F$452,計算用!$N$46),INDEX(振り分け!$B$7:$B$456,計算用!$N$46)))</f>
        <v/>
      </c>
      <c r="C48" s="54">
        <f>IF(計算用!$N$46="","",IF(計算用!$B$1=1,INDEX(計算用!$G$3:$G$452,計算用!$N$46),INDEX(振り分け!$C$7:$C$456,計算用!$N$46)))</f>
        <v/>
      </c>
      <c r="D48" s="59">
        <f>IF(計算用!$N$46="","",IF(計算用!$B$1=1,INDEX(計算用!$H$3:$H$452,計算用!$N$46),INDEX(振り分け!$D$7:$D$456,計算用!$N$46)))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IF(計算用!$N$47="","",45)</f>
        <v/>
      </c>
      <c r="B49" s="54">
        <f>IF(計算用!$N$47="","",IF(計算用!$B$1=1,INDEX(計算用!$F$3:$F$452,計算用!$N$47),INDEX(振り分け!$B$7:$B$456,計算用!$N$47)))</f>
        <v/>
      </c>
      <c r="C49" s="54">
        <f>IF(計算用!$N$47="","",IF(計算用!$B$1=1,INDEX(計算用!$G$3:$G$452,計算用!$N$47),INDEX(振り分け!$C$7:$C$456,計算用!$N$47)))</f>
        <v/>
      </c>
      <c r="D49" s="59">
        <f>IF(計算用!$N$47="","",IF(計算用!$B$1=1,INDEX(計算用!$H$3:$H$452,計算用!$N$47),INDEX(振り分け!$D$7:$D$456,計算用!$N$47)))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IF(計算用!$N$48="","",46)</f>
        <v/>
      </c>
      <c r="B50" s="54">
        <f>IF(計算用!$N$48="","",IF(計算用!$B$1=1,INDEX(計算用!$F$3:$F$452,計算用!$N$48),INDEX(振り分け!$B$7:$B$456,計算用!$N$48)))</f>
        <v/>
      </c>
      <c r="C50" s="54">
        <f>IF(計算用!$N$48="","",IF(計算用!$B$1=1,INDEX(計算用!$G$3:$G$452,計算用!$N$48),INDEX(振り分け!$C$7:$C$456,計算用!$N$48)))</f>
        <v/>
      </c>
      <c r="D50" s="59">
        <f>IF(計算用!$N$48="","",IF(計算用!$B$1=1,INDEX(計算用!$H$3:$H$452,計算用!$N$48),INDEX(振り分け!$D$7:$D$456,計算用!$N$48)))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IF(計算用!$N$49="","",47)</f>
        <v/>
      </c>
      <c r="B51" s="54">
        <f>IF(計算用!$N$49="","",IF(計算用!$B$1=1,INDEX(計算用!$F$3:$F$452,計算用!$N$49),INDEX(振り分け!$B$7:$B$456,計算用!$N$49)))</f>
        <v/>
      </c>
      <c r="C51" s="54">
        <f>IF(計算用!$N$49="","",IF(計算用!$B$1=1,INDEX(計算用!$G$3:$G$452,計算用!$N$49),INDEX(振り分け!$C$7:$C$456,計算用!$N$49)))</f>
        <v/>
      </c>
      <c r="D51" s="59">
        <f>IF(計算用!$N$49="","",IF(計算用!$B$1=1,INDEX(計算用!$H$3:$H$452,計算用!$N$49),INDEX(振り分け!$D$7:$D$456,計算用!$N$49)))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IF(計算用!$N$50="","",48)</f>
        <v/>
      </c>
      <c r="B52" s="54">
        <f>IF(計算用!$N$50="","",IF(計算用!$B$1=1,INDEX(計算用!$F$3:$F$452,計算用!$N$50),INDEX(振り分け!$B$7:$B$456,計算用!$N$50)))</f>
        <v/>
      </c>
      <c r="C52" s="54">
        <f>IF(計算用!$N$50="","",IF(計算用!$B$1=1,INDEX(計算用!$G$3:$G$452,計算用!$N$50),INDEX(振り分け!$C$7:$C$456,計算用!$N$50)))</f>
        <v/>
      </c>
      <c r="D52" s="59">
        <f>IF(計算用!$N$50="","",IF(計算用!$B$1=1,INDEX(計算用!$H$3:$H$452,計算用!$N$50),INDEX(振り分け!$D$7:$D$456,計算用!$N$50)))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IF(計算用!$N$51="","",49)</f>
        <v/>
      </c>
      <c r="B53" s="54">
        <f>IF(計算用!$N$51="","",IF(計算用!$B$1=1,INDEX(計算用!$F$3:$F$452,計算用!$N$51),INDEX(振り分け!$B$7:$B$456,計算用!$N$51)))</f>
        <v/>
      </c>
      <c r="C53" s="54">
        <f>IF(計算用!$N$51="","",IF(計算用!$B$1=1,INDEX(計算用!$G$3:$G$452,計算用!$N$51),INDEX(振り分け!$C$7:$C$456,計算用!$N$51)))</f>
        <v/>
      </c>
      <c r="D53" s="59">
        <f>IF(計算用!$N$51="","",IF(計算用!$B$1=1,INDEX(計算用!$H$3:$H$452,計算用!$N$51),INDEX(振り分け!$D$7:$D$456,計算用!$N$51)))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IF(計算用!$N$52="","",50)</f>
        <v/>
      </c>
      <c r="B54" s="54">
        <f>IF(計算用!$N$52="","",IF(計算用!$B$1=1,INDEX(計算用!$F$3:$F$452,計算用!$N$52),INDEX(振り分け!$B$7:$B$456,計算用!$N$52)))</f>
        <v/>
      </c>
      <c r="C54" s="54">
        <f>IF(計算用!$N$52="","",IF(計算用!$B$1=1,INDEX(計算用!$G$3:$G$452,計算用!$N$52),INDEX(振り分け!$C$7:$C$456,計算用!$N$52)))</f>
        <v/>
      </c>
      <c r="D54" s="59">
        <f>IF(計算用!$N$52="","",IF(計算用!$B$1=1,INDEX(計算用!$H$3:$H$452,計算用!$N$52),INDEX(振り分け!$D$7:$D$456,計算用!$N$52)))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IF(設定!$P$13="","",設定!$B$3&amp;"　"&amp;設定!$P$13&amp;設定!$B$4&amp;"名簿"&amp;IF(計算用!$B$1=0,"（仮・前年度の組）",""))</f>
        <v/>
      </c>
    </row>
    <row r="2">
      <c r="A2" s="44">
        <f>IF(設定!$P$13="","","担当："&amp;設定!$S$13&amp;"　　活動場所："&amp;設定!$T$13&amp;"　　人数："&amp;定員チェック!$F$12&amp;"名（"&amp;設定!$B$8&amp;"年"&amp;定員チェック!$G$12&amp;"・"&amp;設定!$B$9&amp;"年"&amp;定員チェック!$H$12&amp;"・"&amp;設定!$B$10&amp;"年"&amp;定員チェック!$I$12&amp;"）")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IF(計算用!$O$3="","",1)</f>
        <v/>
      </c>
      <c r="B5" s="54">
        <f>IF(計算用!$O$3="","",IF(計算用!$B$1=1,INDEX(計算用!$F$3:$F$452,計算用!$O$3),INDEX(振り分け!$B$7:$B$456,計算用!$O$3)))</f>
        <v/>
      </c>
      <c r="C5" s="54">
        <f>IF(計算用!$O$3="","",IF(計算用!$B$1=1,INDEX(計算用!$G$3:$G$452,計算用!$O$3),INDEX(振り分け!$C$7:$C$456,計算用!$O$3)))</f>
        <v/>
      </c>
      <c r="D5" s="59">
        <f>IF(計算用!$O$3="","",IF(計算用!$B$1=1,INDEX(計算用!$H$3:$H$452,計算用!$O$3),INDEX(振り分け!$D$7:$D$456,計算用!$O$3)))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IF(計算用!$O$4="","",2)</f>
        <v/>
      </c>
      <c r="B6" s="54">
        <f>IF(計算用!$O$4="","",IF(計算用!$B$1=1,INDEX(計算用!$F$3:$F$452,計算用!$O$4),INDEX(振り分け!$B$7:$B$456,計算用!$O$4)))</f>
        <v/>
      </c>
      <c r="C6" s="54">
        <f>IF(計算用!$O$4="","",IF(計算用!$B$1=1,INDEX(計算用!$G$3:$G$452,計算用!$O$4),INDEX(振り分け!$C$7:$C$456,計算用!$O$4)))</f>
        <v/>
      </c>
      <c r="D6" s="59">
        <f>IF(計算用!$O$4="","",IF(計算用!$B$1=1,INDEX(計算用!$H$3:$H$452,計算用!$O$4),INDEX(振り分け!$D$7:$D$456,計算用!$O$4)))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IF(計算用!$O$5="","",3)</f>
        <v/>
      </c>
      <c r="B7" s="54">
        <f>IF(計算用!$O$5="","",IF(計算用!$B$1=1,INDEX(計算用!$F$3:$F$452,計算用!$O$5),INDEX(振り分け!$B$7:$B$456,計算用!$O$5)))</f>
        <v/>
      </c>
      <c r="C7" s="54">
        <f>IF(計算用!$O$5="","",IF(計算用!$B$1=1,INDEX(計算用!$G$3:$G$452,計算用!$O$5),INDEX(振り分け!$C$7:$C$456,計算用!$O$5)))</f>
        <v/>
      </c>
      <c r="D7" s="59">
        <f>IF(計算用!$O$5="","",IF(計算用!$B$1=1,INDEX(計算用!$H$3:$H$452,計算用!$O$5),INDEX(振り分け!$D$7:$D$456,計算用!$O$5)))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IF(計算用!$O$6="","",4)</f>
        <v/>
      </c>
      <c r="B8" s="54">
        <f>IF(計算用!$O$6="","",IF(計算用!$B$1=1,INDEX(計算用!$F$3:$F$452,計算用!$O$6),INDEX(振り分け!$B$7:$B$456,計算用!$O$6)))</f>
        <v/>
      </c>
      <c r="C8" s="54">
        <f>IF(計算用!$O$6="","",IF(計算用!$B$1=1,INDEX(計算用!$G$3:$G$452,計算用!$O$6),INDEX(振り分け!$C$7:$C$456,計算用!$O$6)))</f>
        <v/>
      </c>
      <c r="D8" s="59">
        <f>IF(計算用!$O$6="","",IF(計算用!$B$1=1,INDEX(計算用!$H$3:$H$452,計算用!$O$6),INDEX(振り分け!$D$7:$D$456,計算用!$O$6)))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IF(計算用!$O$7="","",5)</f>
        <v/>
      </c>
      <c r="B9" s="54">
        <f>IF(計算用!$O$7="","",IF(計算用!$B$1=1,INDEX(計算用!$F$3:$F$452,計算用!$O$7),INDEX(振り分け!$B$7:$B$456,計算用!$O$7)))</f>
        <v/>
      </c>
      <c r="C9" s="54">
        <f>IF(計算用!$O$7="","",IF(計算用!$B$1=1,INDEX(計算用!$G$3:$G$452,計算用!$O$7),INDEX(振り分け!$C$7:$C$456,計算用!$O$7)))</f>
        <v/>
      </c>
      <c r="D9" s="59">
        <f>IF(計算用!$O$7="","",IF(計算用!$B$1=1,INDEX(計算用!$H$3:$H$452,計算用!$O$7),INDEX(振り分け!$D$7:$D$456,計算用!$O$7)))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IF(計算用!$O$8="","",6)</f>
        <v/>
      </c>
      <c r="B10" s="54">
        <f>IF(計算用!$O$8="","",IF(計算用!$B$1=1,INDEX(計算用!$F$3:$F$452,計算用!$O$8),INDEX(振り分け!$B$7:$B$456,計算用!$O$8)))</f>
        <v/>
      </c>
      <c r="C10" s="54">
        <f>IF(計算用!$O$8="","",IF(計算用!$B$1=1,INDEX(計算用!$G$3:$G$452,計算用!$O$8),INDEX(振り分け!$C$7:$C$456,計算用!$O$8)))</f>
        <v/>
      </c>
      <c r="D10" s="59">
        <f>IF(計算用!$O$8="","",IF(計算用!$B$1=1,INDEX(計算用!$H$3:$H$452,計算用!$O$8),INDEX(振り分け!$D$7:$D$456,計算用!$O$8)))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IF(計算用!$O$9="","",7)</f>
        <v/>
      </c>
      <c r="B11" s="54">
        <f>IF(計算用!$O$9="","",IF(計算用!$B$1=1,INDEX(計算用!$F$3:$F$452,計算用!$O$9),INDEX(振り分け!$B$7:$B$456,計算用!$O$9)))</f>
        <v/>
      </c>
      <c r="C11" s="54">
        <f>IF(計算用!$O$9="","",IF(計算用!$B$1=1,INDEX(計算用!$G$3:$G$452,計算用!$O$9),INDEX(振り分け!$C$7:$C$456,計算用!$O$9)))</f>
        <v/>
      </c>
      <c r="D11" s="59">
        <f>IF(計算用!$O$9="","",IF(計算用!$B$1=1,INDEX(計算用!$H$3:$H$452,計算用!$O$9),INDEX(振り分け!$D$7:$D$456,計算用!$O$9)))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IF(計算用!$O$10="","",8)</f>
        <v/>
      </c>
      <c r="B12" s="54">
        <f>IF(計算用!$O$10="","",IF(計算用!$B$1=1,INDEX(計算用!$F$3:$F$452,計算用!$O$10),INDEX(振り分け!$B$7:$B$456,計算用!$O$10)))</f>
        <v/>
      </c>
      <c r="C12" s="54">
        <f>IF(計算用!$O$10="","",IF(計算用!$B$1=1,INDEX(計算用!$G$3:$G$452,計算用!$O$10),INDEX(振り分け!$C$7:$C$456,計算用!$O$10)))</f>
        <v/>
      </c>
      <c r="D12" s="59">
        <f>IF(計算用!$O$10="","",IF(計算用!$B$1=1,INDEX(計算用!$H$3:$H$452,計算用!$O$10),INDEX(振り分け!$D$7:$D$456,計算用!$O$10)))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IF(計算用!$O$11="","",9)</f>
        <v/>
      </c>
      <c r="B13" s="54">
        <f>IF(計算用!$O$11="","",IF(計算用!$B$1=1,INDEX(計算用!$F$3:$F$452,計算用!$O$11),INDEX(振り分け!$B$7:$B$456,計算用!$O$11)))</f>
        <v/>
      </c>
      <c r="C13" s="54">
        <f>IF(計算用!$O$11="","",IF(計算用!$B$1=1,INDEX(計算用!$G$3:$G$452,計算用!$O$11),INDEX(振り分け!$C$7:$C$456,計算用!$O$11)))</f>
        <v/>
      </c>
      <c r="D13" s="59">
        <f>IF(計算用!$O$11="","",IF(計算用!$B$1=1,INDEX(計算用!$H$3:$H$452,計算用!$O$11),INDEX(振り分け!$D$7:$D$456,計算用!$O$11)))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IF(計算用!$O$12="","",10)</f>
        <v/>
      </c>
      <c r="B14" s="54">
        <f>IF(計算用!$O$12="","",IF(計算用!$B$1=1,INDEX(計算用!$F$3:$F$452,計算用!$O$12),INDEX(振り分け!$B$7:$B$456,計算用!$O$12)))</f>
        <v/>
      </c>
      <c r="C14" s="54">
        <f>IF(計算用!$O$12="","",IF(計算用!$B$1=1,INDEX(計算用!$G$3:$G$452,計算用!$O$12),INDEX(振り分け!$C$7:$C$456,計算用!$O$12)))</f>
        <v/>
      </c>
      <c r="D14" s="59">
        <f>IF(計算用!$O$12="","",IF(計算用!$B$1=1,INDEX(計算用!$H$3:$H$452,計算用!$O$12),INDEX(振り分け!$D$7:$D$456,計算用!$O$12)))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IF(計算用!$O$13="","",11)</f>
        <v/>
      </c>
      <c r="B15" s="54">
        <f>IF(計算用!$O$13="","",IF(計算用!$B$1=1,INDEX(計算用!$F$3:$F$452,計算用!$O$13),INDEX(振り分け!$B$7:$B$456,計算用!$O$13)))</f>
        <v/>
      </c>
      <c r="C15" s="54">
        <f>IF(計算用!$O$13="","",IF(計算用!$B$1=1,INDEX(計算用!$G$3:$G$452,計算用!$O$13),INDEX(振り分け!$C$7:$C$456,計算用!$O$13)))</f>
        <v/>
      </c>
      <c r="D15" s="59">
        <f>IF(計算用!$O$13="","",IF(計算用!$B$1=1,INDEX(計算用!$H$3:$H$452,計算用!$O$13),INDEX(振り分け!$D$7:$D$456,計算用!$O$13)))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IF(計算用!$O$14="","",12)</f>
        <v/>
      </c>
      <c r="B16" s="54">
        <f>IF(計算用!$O$14="","",IF(計算用!$B$1=1,INDEX(計算用!$F$3:$F$452,計算用!$O$14),INDEX(振り分け!$B$7:$B$456,計算用!$O$14)))</f>
        <v/>
      </c>
      <c r="C16" s="54">
        <f>IF(計算用!$O$14="","",IF(計算用!$B$1=1,INDEX(計算用!$G$3:$G$452,計算用!$O$14),INDEX(振り分け!$C$7:$C$456,計算用!$O$14)))</f>
        <v/>
      </c>
      <c r="D16" s="59">
        <f>IF(計算用!$O$14="","",IF(計算用!$B$1=1,INDEX(計算用!$H$3:$H$452,計算用!$O$14),INDEX(振り分け!$D$7:$D$456,計算用!$O$14)))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IF(計算用!$O$15="","",13)</f>
        <v/>
      </c>
      <c r="B17" s="54">
        <f>IF(計算用!$O$15="","",IF(計算用!$B$1=1,INDEX(計算用!$F$3:$F$452,計算用!$O$15),INDEX(振り分け!$B$7:$B$456,計算用!$O$15)))</f>
        <v/>
      </c>
      <c r="C17" s="54">
        <f>IF(計算用!$O$15="","",IF(計算用!$B$1=1,INDEX(計算用!$G$3:$G$452,計算用!$O$15),INDEX(振り分け!$C$7:$C$456,計算用!$O$15)))</f>
        <v/>
      </c>
      <c r="D17" s="59">
        <f>IF(計算用!$O$15="","",IF(計算用!$B$1=1,INDEX(計算用!$H$3:$H$452,計算用!$O$15),INDEX(振り分け!$D$7:$D$456,計算用!$O$15)))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IF(計算用!$O$16="","",14)</f>
        <v/>
      </c>
      <c r="B18" s="54">
        <f>IF(計算用!$O$16="","",IF(計算用!$B$1=1,INDEX(計算用!$F$3:$F$452,計算用!$O$16),INDEX(振り分け!$B$7:$B$456,計算用!$O$16)))</f>
        <v/>
      </c>
      <c r="C18" s="54">
        <f>IF(計算用!$O$16="","",IF(計算用!$B$1=1,INDEX(計算用!$G$3:$G$452,計算用!$O$16),INDEX(振り分け!$C$7:$C$456,計算用!$O$16)))</f>
        <v/>
      </c>
      <c r="D18" s="59">
        <f>IF(計算用!$O$16="","",IF(計算用!$B$1=1,INDEX(計算用!$H$3:$H$452,計算用!$O$16),INDEX(振り分け!$D$7:$D$456,計算用!$O$16)))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IF(計算用!$O$17="","",15)</f>
        <v/>
      </c>
      <c r="B19" s="54">
        <f>IF(計算用!$O$17="","",IF(計算用!$B$1=1,INDEX(計算用!$F$3:$F$452,計算用!$O$17),INDEX(振り分け!$B$7:$B$456,計算用!$O$17)))</f>
        <v/>
      </c>
      <c r="C19" s="54">
        <f>IF(計算用!$O$17="","",IF(計算用!$B$1=1,INDEX(計算用!$G$3:$G$452,計算用!$O$17),INDEX(振り分け!$C$7:$C$456,計算用!$O$17)))</f>
        <v/>
      </c>
      <c r="D19" s="59">
        <f>IF(計算用!$O$17="","",IF(計算用!$B$1=1,INDEX(計算用!$H$3:$H$452,計算用!$O$17),INDEX(振り分け!$D$7:$D$456,計算用!$O$17)))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IF(計算用!$O$18="","",16)</f>
        <v/>
      </c>
      <c r="B20" s="54">
        <f>IF(計算用!$O$18="","",IF(計算用!$B$1=1,INDEX(計算用!$F$3:$F$452,計算用!$O$18),INDEX(振り分け!$B$7:$B$456,計算用!$O$18)))</f>
        <v/>
      </c>
      <c r="C20" s="54">
        <f>IF(計算用!$O$18="","",IF(計算用!$B$1=1,INDEX(計算用!$G$3:$G$452,計算用!$O$18),INDEX(振り分け!$C$7:$C$456,計算用!$O$18)))</f>
        <v/>
      </c>
      <c r="D20" s="59">
        <f>IF(計算用!$O$18="","",IF(計算用!$B$1=1,INDEX(計算用!$H$3:$H$452,計算用!$O$18),INDEX(振り分け!$D$7:$D$456,計算用!$O$18)))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IF(計算用!$O$19="","",17)</f>
        <v/>
      </c>
      <c r="B21" s="54">
        <f>IF(計算用!$O$19="","",IF(計算用!$B$1=1,INDEX(計算用!$F$3:$F$452,計算用!$O$19),INDEX(振り分け!$B$7:$B$456,計算用!$O$19)))</f>
        <v/>
      </c>
      <c r="C21" s="54">
        <f>IF(計算用!$O$19="","",IF(計算用!$B$1=1,INDEX(計算用!$G$3:$G$452,計算用!$O$19),INDEX(振り分け!$C$7:$C$456,計算用!$O$19)))</f>
        <v/>
      </c>
      <c r="D21" s="59">
        <f>IF(計算用!$O$19="","",IF(計算用!$B$1=1,INDEX(計算用!$H$3:$H$452,計算用!$O$19),INDEX(振り分け!$D$7:$D$456,計算用!$O$19)))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IF(計算用!$O$20="","",18)</f>
        <v/>
      </c>
      <c r="B22" s="54">
        <f>IF(計算用!$O$20="","",IF(計算用!$B$1=1,INDEX(計算用!$F$3:$F$452,計算用!$O$20),INDEX(振り分け!$B$7:$B$456,計算用!$O$20)))</f>
        <v/>
      </c>
      <c r="C22" s="54">
        <f>IF(計算用!$O$20="","",IF(計算用!$B$1=1,INDEX(計算用!$G$3:$G$452,計算用!$O$20),INDEX(振り分け!$C$7:$C$456,計算用!$O$20)))</f>
        <v/>
      </c>
      <c r="D22" s="59">
        <f>IF(計算用!$O$20="","",IF(計算用!$B$1=1,INDEX(計算用!$H$3:$H$452,計算用!$O$20),INDEX(振り分け!$D$7:$D$456,計算用!$O$20)))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IF(計算用!$O$21="","",19)</f>
        <v/>
      </c>
      <c r="B23" s="54">
        <f>IF(計算用!$O$21="","",IF(計算用!$B$1=1,INDEX(計算用!$F$3:$F$452,計算用!$O$21),INDEX(振り分け!$B$7:$B$456,計算用!$O$21)))</f>
        <v/>
      </c>
      <c r="C23" s="54">
        <f>IF(計算用!$O$21="","",IF(計算用!$B$1=1,INDEX(計算用!$G$3:$G$452,計算用!$O$21),INDEX(振り分け!$C$7:$C$456,計算用!$O$21)))</f>
        <v/>
      </c>
      <c r="D23" s="59">
        <f>IF(計算用!$O$21="","",IF(計算用!$B$1=1,INDEX(計算用!$H$3:$H$452,計算用!$O$21),INDEX(振り分け!$D$7:$D$456,計算用!$O$21)))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IF(計算用!$O$22="","",20)</f>
        <v/>
      </c>
      <c r="B24" s="54">
        <f>IF(計算用!$O$22="","",IF(計算用!$B$1=1,INDEX(計算用!$F$3:$F$452,計算用!$O$22),INDEX(振り分け!$B$7:$B$456,計算用!$O$22)))</f>
        <v/>
      </c>
      <c r="C24" s="54">
        <f>IF(計算用!$O$22="","",IF(計算用!$B$1=1,INDEX(計算用!$G$3:$G$452,計算用!$O$22),INDEX(振り分け!$C$7:$C$456,計算用!$O$22)))</f>
        <v/>
      </c>
      <c r="D24" s="59">
        <f>IF(計算用!$O$22="","",IF(計算用!$B$1=1,INDEX(計算用!$H$3:$H$452,計算用!$O$22),INDEX(振り分け!$D$7:$D$456,計算用!$O$22)))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IF(計算用!$O$23="","",21)</f>
        <v/>
      </c>
      <c r="B25" s="54">
        <f>IF(計算用!$O$23="","",IF(計算用!$B$1=1,INDEX(計算用!$F$3:$F$452,計算用!$O$23),INDEX(振り分け!$B$7:$B$456,計算用!$O$23)))</f>
        <v/>
      </c>
      <c r="C25" s="54">
        <f>IF(計算用!$O$23="","",IF(計算用!$B$1=1,INDEX(計算用!$G$3:$G$452,計算用!$O$23),INDEX(振り分け!$C$7:$C$456,計算用!$O$23)))</f>
        <v/>
      </c>
      <c r="D25" s="59">
        <f>IF(計算用!$O$23="","",IF(計算用!$B$1=1,INDEX(計算用!$H$3:$H$452,計算用!$O$23),INDEX(振り分け!$D$7:$D$456,計算用!$O$23)))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IF(計算用!$O$24="","",22)</f>
        <v/>
      </c>
      <c r="B26" s="54">
        <f>IF(計算用!$O$24="","",IF(計算用!$B$1=1,INDEX(計算用!$F$3:$F$452,計算用!$O$24),INDEX(振り分け!$B$7:$B$456,計算用!$O$24)))</f>
        <v/>
      </c>
      <c r="C26" s="54">
        <f>IF(計算用!$O$24="","",IF(計算用!$B$1=1,INDEX(計算用!$G$3:$G$452,計算用!$O$24),INDEX(振り分け!$C$7:$C$456,計算用!$O$24)))</f>
        <v/>
      </c>
      <c r="D26" s="59">
        <f>IF(計算用!$O$24="","",IF(計算用!$B$1=1,INDEX(計算用!$H$3:$H$452,計算用!$O$24),INDEX(振り分け!$D$7:$D$456,計算用!$O$24)))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IF(計算用!$O$25="","",23)</f>
        <v/>
      </c>
      <c r="B27" s="54">
        <f>IF(計算用!$O$25="","",IF(計算用!$B$1=1,INDEX(計算用!$F$3:$F$452,計算用!$O$25),INDEX(振り分け!$B$7:$B$456,計算用!$O$25)))</f>
        <v/>
      </c>
      <c r="C27" s="54">
        <f>IF(計算用!$O$25="","",IF(計算用!$B$1=1,INDEX(計算用!$G$3:$G$452,計算用!$O$25),INDEX(振り分け!$C$7:$C$456,計算用!$O$25)))</f>
        <v/>
      </c>
      <c r="D27" s="59">
        <f>IF(計算用!$O$25="","",IF(計算用!$B$1=1,INDEX(計算用!$H$3:$H$452,計算用!$O$25),INDEX(振り分け!$D$7:$D$456,計算用!$O$25)))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IF(計算用!$O$26="","",24)</f>
        <v/>
      </c>
      <c r="B28" s="54">
        <f>IF(計算用!$O$26="","",IF(計算用!$B$1=1,INDEX(計算用!$F$3:$F$452,計算用!$O$26),INDEX(振り分け!$B$7:$B$456,計算用!$O$26)))</f>
        <v/>
      </c>
      <c r="C28" s="54">
        <f>IF(計算用!$O$26="","",IF(計算用!$B$1=1,INDEX(計算用!$G$3:$G$452,計算用!$O$26),INDEX(振り分け!$C$7:$C$456,計算用!$O$26)))</f>
        <v/>
      </c>
      <c r="D28" s="59">
        <f>IF(計算用!$O$26="","",IF(計算用!$B$1=1,INDEX(計算用!$H$3:$H$452,計算用!$O$26),INDEX(振り分け!$D$7:$D$456,計算用!$O$26)))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IF(計算用!$O$27="","",25)</f>
        <v/>
      </c>
      <c r="B29" s="54">
        <f>IF(計算用!$O$27="","",IF(計算用!$B$1=1,INDEX(計算用!$F$3:$F$452,計算用!$O$27),INDEX(振り分け!$B$7:$B$456,計算用!$O$27)))</f>
        <v/>
      </c>
      <c r="C29" s="54">
        <f>IF(計算用!$O$27="","",IF(計算用!$B$1=1,INDEX(計算用!$G$3:$G$452,計算用!$O$27),INDEX(振り分け!$C$7:$C$456,計算用!$O$27)))</f>
        <v/>
      </c>
      <c r="D29" s="59">
        <f>IF(計算用!$O$27="","",IF(計算用!$B$1=1,INDEX(計算用!$H$3:$H$452,計算用!$O$27),INDEX(振り分け!$D$7:$D$456,計算用!$O$27)))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IF(計算用!$O$28="","",26)</f>
        <v/>
      </c>
      <c r="B30" s="54">
        <f>IF(計算用!$O$28="","",IF(計算用!$B$1=1,INDEX(計算用!$F$3:$F$452,計算用!$O$28),INDEX(振り分け!$B$7:$B$456,計算用!$O$28)))</f>
        <v/>
      </c>
      <c r="C30" s="54">
        <f>IF(計算用!$O$28="","",IF(計算用!$B$1=1,INDEX(計算用!$G$3:$G$452,計算用!$O$28),INDEX(振り分け!$C$7:$C$456,計算用!$O$28)))</f>
        <v/>
      </c>
      <c r="D30" s="59">
        <f>IF(計算用!$O$28="","",IF(計算用!$B$1=1,INDEX(計算用!$H$3:$H$452,計算用!$O$28),INDEX(振り分け!$D$7:$D$456,計算用!$O$28)))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IF(計算用!$O$29="","",27)</f>
        <v/>
      </c>
      <c r="B31" s="54">
        <f>IF(計算用!$O$29="","",IF(計算用!$B$1=1,INDEX(計算用!$F$3:$F$452,計算用!$O$29),INDEX(振り分け!$B$7:$B$456,計算用!$O$29)))</f>
        <v/>
      </c>
      <c r="C31" s="54">
        <f>IF(計算用!$O$29="","",IF(計算用!$B$1=1,INDEX(計算用!$G$3:$G$452,計算用!$O$29),INDEX(振り分け!$C$7:$C$456,計算用!$O$29)))</f>
        <v/>
      </c>
      <c r="D31" s="59">
        <f>IF(計算用!$O$29="","",IF(計算用!$B$1=1,INDEX(計算用!$H$3:$H$452,計算用!$O$29),INDEX(振り分け!$D$7:$D$456,計算用!$O$29)))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IF(計算用!$O$30="","",28)</f>
        <v/>
      </c>
      <c r="B32" s="54">
        <f>IF(計算用!$O$30="","",IF(計算用!$B$1=1,INDEX(計算用!$F$3:$F$452,計算用!$O$30),INDEX(振り分け!$B$7:$B$456,計算用!$O$30)))</f>
        <v/>
      </c>
      <c r="C32" s="54">
        <f>IF(計算用!$O$30="","",IF(計算用!$B$1=1,INDEX(計算用!$G$3:$G$452,計算用!$O$30),INDEX(振り分け!$C$7:$C$456,計算用!$O$30)))</f>
        <v/>
      </c>
      <c r="D32" s="59">
        <f>IF(計算用!$O$30="","",IF(計算用!$B$1=1,INDEX(計算用!$H$3:$H$452,計算用!$O$30),INDEX(振り分け!$D$7:$D$456,計算用!$O$30)))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IF(計算用!$O$31="","",29)</f>
        <v/>
      </c>
      <c r="B33" s="54">
        <f>IF(計算用!$O$31="","",IF(計算用!$B$1=1,INDEX(計算用!$F$3:$F$452,計算用!$O$31),INDEX(振り分け!$B$7:$B$456,計算用!$O$31)))</f>
        <v/>
      </c>
      <c r="C33" s="54">
        <f>IF(計算用!$O$31="","",IF(計算用!$B$1=1,INDEX(計算用!$G$3:$G$452,計算用!$O$31),INDEX(振り分け!$C$7:$C$456,計算用!$O$31)))</f>
        <v/>
      </c>
      <c r="D33" s="59">
        <f>IF(計算用!$O$31="","",IF(計算用!$B$1=1,INDEX(計算用!$H$3:$H$452,計算用!$O$31),INDEX(振り分け!$D$7:$D$456,計算用!$O$31)))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IF(計算用!$O$32="","",30)</f>
        <v/>
      </c>
      <c r="B34" s="54">
        <f>IF(計算用!$O$32="","",IF(計算用!$B$1=1,INDEX(計算用!$F$3:$F$452,計算用!$O$32),INDEX(振り分け!$B$7:$B$456,計算用!$O$32)))</f>
        <v/>
      </c>
      <c r="C34" s="54">
        <f>IF(計算用!$O$32="","",IF(計算用!$B$1=1,INDEX(計算用!$G$3:$G$452,計算用!$O$32),INDEX(振り分け!$C$7:$C$456,計算用!$O$32)))</f>
        <v/>
      </c>
      <c r="D34" s="59">
        <f>IF(計算用!$O$32="","",IF(計算用!$B$1=1,INDEX(計算用!$H$3:$H$452,計算用!$O$32),INDEX(振り分け!$D$7:$D$456,計算用!$O$32)))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IF(計算用!$O$33="","",31)</f>
        <v/>
      </c>
      <c r="B35" s="54">
        <f>IF(計算用!$O$33="","",IF(計算用!$B$1=1,INDEX(計算用!$F$3:$F$452,計算用!$O$33),INDEX(振り分け!$B$7:$B$456,計算用!$O$33)))</f>
        <v/>
      </c>
      <c r="C35" s="54">
        <f>IF(計算用!$O$33="","",IF(計算用!$B$1=1,INDEX(計算用!$G$3:$G$452,計算用!$O$33),INDEX(振り分け!$C$7:$C$456,計算用!$O$33)))</f>
        <v/>
      </c>
      <c r="D35" s="59">
        <f>IF(計算用!$O$33="","",IF(計算用!$B$1=1,INDEX(計算用!$H$3:$H$452,計算用!$O$33),INDEX(振り分け!$D$7:$D$456,計算用!$O$33)))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IF(計算用!$O$34="","",32)</f>
        <v/>
      </c>
      <c r="B36" s="54">
        <f>IF(計算用!$O$34="","",IF(計算用!$B$1=1,INDEX(計算用!$F$3:$F$452,計算用!$O$34),INDEX(振り分け!$B$7:$B$456,計算用!$O$34)))</f>
        <v/>
      </c>
      <c r="C36" s="54">
        <f>IF(計算用!$O$34="","",IF(計算用!$B$1=1,INDEX(計算用!$G$3:$G$452,計算用!$O$34),INDEX(振り分け!$C$7:$C$456,計算用!$O$34)))</f>
        <v/>
      </c>
      <c r="D36" s="59">
        <f>IF(計算用!$O$34="","",IF(計算用!$B$1=1,INDEX(計算用!$H$3:$H$452,計算用!$O$34),INDEX(振り分け!$D$7:$D$456,計算用!$O$34)))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IF(計算用!$O$35="","",33)</f>
        <v/>
      </c>
      <c r="B37" s="54">
        <f>IF(計算用!$O$35="","",IF(計算用!$B$1=1,INDEX(計算用!$F$3:$F$452,計算用!$O$35),INDEX(振り分け!$B$7:$B$456,計算用!$O$35)))</f>
        <v/>
      </c>
      <c r="C37" s="54">
        <f>IF(計算用!$O$35="","",IF(計算用!$B$1=1,INDEX(計算用!$G$3:$G$452,計算用!$O$35),INDEX(振り分け!$C$7:$C$456,計算用!$O$35)))</f>
        <v/>
      </c>
      <c r="D37" s="59">
        <f>IF(計算用!$O$35="","",IF(計算用!$B$1=1,INDEX(計算用!$H$3:$H$452,計算用!$O$35),INDEX(振り分け!$D$7:$D$456,計算用!$O$35)))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IF(計算用!$O$36="","",34)</f>
        <v/>
      </c>
      <c r="B38" s="54">
        <f>IF(計算用!$O$36="","",IF(計算用!$B$1=1,INDEX(計算用!$F$3:$F$452,計算用!$O$36),INDEX(振り分け!$B$7:$B$456,計算用!$O$36)))</f>
        <v/>
      </c>
      <c r="C38" s="54">
        <f>IF(計算用!$O$36="","",IF(計算用!$B$1=1,INDEX(計算用!$G$3:$G$452,計算用!$O$36),INDEX(振り分け!$C$7:$C$456,計算用!$O$36)))</f>
        <v/>
      </c>
      <c r="D38" s="59">
        <f>IF(計算用!$O$36="","",IF(計算用!$B$1=1,INDEX(計算用!$H$3:$H$452,計算用!$O$36),INDEX(振り分け!$D$7:$D$456,計算用!$O$36)))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IF(計算用!$O$37="","",35)</f>
        <v/>
      </c>
      <c r="B39" s="54">
        <f>IF(計算用!$O$37="","",IF(計算用!$B$1=1,INDEX(計算用!$F$3:$F$452,計算用!$O$37),INDEX(振り分け!$B$7:$B$456,計算用!$O$37)))</f>
        <v/>
      </c>
      <c r="C39" s="54">
        <f>IF(計算用!$O$37="","",IF(計算用!$B$1=1,INDEX(計算用!$G$3:$G$452,計算用!$O$37),INDEX(振り分け!$C$7:$C$456,計算用!$O$37)))</f>
        <v/>
      </c>
      <c r="D39" s="59">
        <f>IF(計算用!$O$37="","",IF(計算用!$B$1=1,INDEX(計算用!$H$3:$H$452,計算用!$O$37),INDEX(振り分け!$D$7:$D$456,計算用!$O$37)))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IF(計算用!$O$38="","",36)</f>
        <v/>
      </c>
      <c r="B40" s="54">
        <f>IF(計算用!$O$38="","",IF(計算用!$B$1=1,INDEX(計算用!$F$3:$F$452,計算用!$O$38),INDEX(振り分け!$B$7:$B$456,計算用!$O$38)))</f>
        <v/>
      </c>
      <c r="C40" s="54">
        <f>IF(計算用!$O$38="","",IF(計算用!$B$1=1,INDEX(計算用!$G$3:$G$452,計算用!$O$38),INDEX(振り分け!$C$7:$C$456,計算用!$O$38)))</f>
        <v/>
      </c>
      <c r="D40" s="59">
        <f>IF(計算用!$O$38="","",IF(計算用!$B$1=1,INDEX(計算用!$H$3:$H$452,計算用!$O$38),INDEX(振り分け!$D$7:$D$456,計算用!$O$38)))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IF(計算用!$O$39="","",37)</f>
        <v/>
      </c>
      <c r="B41" s="54">
        <f>IF(計算用!$O$39="","",IF(計算用!$B$1=1,INDEX(計算用!$F$3:$F$452,計算用!$O$39),INDEX(振り分け!$B$7:$B$456,計算用!$O$39)))</f>
        <v/>
      </c>
      <c r="C41" s="54">
        <f>IF(計算用!$O$39="","",IF(計算用!$B$1=1,INDEX(計算用!$G$3:$G$452,計算用!$O$39),INDEX(振り分け!$C$7:$C$456,計算用!$O$39)))</f>
        <v/>
      </c>
      <c r="D41" s="59">
        <f>IF(計算用!$O$39="","",IF(計算用!$B$1=1,INDEX(計算用!$H$3:$H$452,計算用!$O$39),INDEX(振り分け!$D$7:$D$456,計算用!$O$39)))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IF(計算用!$O$40="","",38)</f>
        <v/>
      </c>
      <c r="B42" s="54">
        <f>IF(計算用!$O$40="","",IF(計算用!$B$1=1,INDEX(計算用!$F$3:$F$452,計算用!$O$40),INDEX(振り分け!$B$7:$B$456,計算用!$O$40)))</f>
        <v/>
      </c>
      <c r="C42" s="54">
        <f>IF(計算用!$O$40="","",IF(計算用!$B$1=1,INDEX(計算用!$G$3:$G$452,計算用!$O$40),INDEX(振り分け!$C$7:$C$456,計算用!$O$40)))</f>
        <v/>
      </c>
      <c r="D42" s="59">
        <f>IF(計算用!$O$40="","",IF(計算用!$B$1=1,INDEX(計算用!$H$3:$H$452,計算用!$O$40),INDEX(振り分け!$D$7:$D$456,計算用!$O$40)))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IF(計算用!$O$41="","",39)</f>
        <v/>
      </c>
      <c r="B43" s="54">
        <f>IF(計算用!$O$41="","",IF(計算用!$B$1=1,INDEX(計算用!$F$3:$F$452,計算用!$O$41),INDEX(振り分け!$B$7:$B$456,計算用!$O$41)))</f>
        <v/>
      </c>
      <c r="C43" s="54">
        <f>IF(計算用!$O$41="","",IF(計算用!$B$1=1,INDEX(計算用!$G$3:$G$452,計算用!$O$41),INDEX(振り分け!$C$7:$C$456,計算用!$O$41)))</f>
        <v/>
      </c>
      <c r="D43" s="59">
        <f>IF(計算用!$O$41="","",IF(計算用!$B$1=1,INDEX(計算用!$H$3:$H$452,計算用!$O$41),INDEX(振り分け!$D$7:$D$456,計算用!$O$41)))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IF(計算用!$O$42="","",40)</f>
        <v/>
      </c>
      <c r="B44" s="54">
        <f>IF(計算用!$O$42="","",IF(計算用!$B$1=1,INDEX(計算用!$F$3:$F$452,計算用!$O$42),INDEX(振り分け!$B$7:$B$456,計算用!$O$42)))</f>
        <v/>
      </c>
      <c r="C44" s="54">
        <f>IF(計算用!$O$42="","",IF(計算用!$B$1=1,INDEX(計算用!$G$3:$G$452,計算用!$O$42),INDEX(振り分け!$C$7:$C$456,計算用!$O$42)))</f>
        <v/>
      </c>
      <c r="D44" s="59">
        <f>IF(計算用!$O$42="","",IF(計算用!$B$1=1,INDEX(計算用!$H$3:$H$452,計算用!$O$42),INDEX(振り分け!$D$7:$D$456,計算用!$O$42)))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IF(計算用!$O$43="","",41)</f>
        <v/>
      </c>
      <c r="B45" s="54">
        <f>IF(計算用!$O$43="","",IF(計算用!$B$1=1,INDEX(計算用!$F$3:$F$452,計算用!$O$43),INDEX(振り分け!$B$7:$B$456,計算用!$O$43)))</f>
        <v/>
      </c>
      <c r="C45" s="54">
        <f>IF(計算用!$O$43="","",IF(計算用!$B$1=1,INDEX(計算用!$G$3:$G$452,計算用!$O$43),INDEX(振り分け!$C$7:$C$456,計算用!$O$43)))</f>
        <v/>
      </c>
      <c r="D45" s="59">
        <f>IF(計算用!$O$43="","",IF(計算用!$B$1=1,INDEX(計算用!$H$3:$H$452,計算用!$O$43),INDEX(振り分け!$D$7:$D$456,計算用!$O$43)))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IF(計算用!$O$44="","",42)</f>
        <v/>
      </c>
      <c r="B46" s="54">
        <f>IF(計算用!$O$44="","",IF(計算用!$B$1=1,INDEX(計算用!$F$3:$F$452,計算用!$O$44),INDEX(振り分け!$B$7:$B$456,計算用!$O$44)))</f>
        <v/>
      </c>
      <c r="C46" s="54">
        <f>IF(計算用!$O$44="","",IF(計算用!$B$1=1,INDEX(計算用!$G$3:$G$452,計算用!$O$44),INDEX(振り分け!$C$7:$C$456,計算用!$O$44)))</f>
        <v/>
      </c>
      <c r="D46" s="59">
        <f>IF(計算用!$O$44="","",IF(計算用!$B$1=1,INDEX(計算用!$H$3:$H$452,計算用!$O$44),INDEX(振り分け!$D$7:$D$456,計算用!$O$44)))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IF(計算用!$O$45="","",43)</f>
        <v/>
      </c>
      <c r="B47" s="54">
        <f>IF(計算用!$O$45="","",IF(計算用!$B$1=1,INDEX(計算用!$F$3:$F$452,計算用!$O$45),INDEX(振り分け!$B$7:$B$456,計算用!$O$45)))</f>
        <v/>
      </c>
      <c r="C47" s="54">
        <f>IF(計算用!$O$45="","",IF(計算用!$B$1=1,INDEX(計算用!$G$3:$G$452,計算用!$O$45),INDEX(振り分け!$C$7:$C$456,計算用!$O$45)))</f>
        <v/>
      </c>
      <c r="D47" s="59">
        <f>IF(計算用!$O$45="","",IF(計算用!$B$1=1,INDEX(計算用!$H$3:$H$452,計算用!$O$45),INDEX(振り分け!$D$7:$D$456,計算用!$O$45)))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IF(計算用!$O$46="","",44)</f>
        <v/>
      </c>
      <c r="B48" s="54">
        <f>IF(計算用!$O$46="","",IF(計算用!$B$1=1,INDEX(計算用!$F$3:$F$452,計算用!$O$46),INDEX(振り分け!$B$7:$B$456,計算用!$O$46)))</f>
        <v/>
      </c>
      <c r="C48" s="54">
        <f>IF(計算用!$O$46="","",IF(計算用!$B$1=1,INDEX(計算用!$G$3:$G$452,計算用!$O$46),INDEX(振り分け!$C$7:$C$456,計算用!$O$46)))</f>
        <v/>
      </c>
      <c r="D48" s="59">
        <f>IF(計算用!$O$46="","",IF(計算用!$B$1=1,INDEX(計算用!$H$3:$H$452,計算用!$O$46),INDEX(振り分け!$D$7:$D$456,計算用!$O$46)))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IF(計算用!$O$47="","",45)</f>
        <v/>
      </c>
      <c r="B49" s="54">
        <f>IF(計算用!$O$47="","",IF(計算用!$B$1=1,INDEX(計算用!$F$3:$F$452,計算用!$O$47),INDEX(振り分け!$B$7:$B$456,計算用!$O$47)))</f>
        <v/>
      </c>
      <c r="C49" s="54">
        <f>IF(計算用!$O$47="","",IF(計算用!$B$1=1,INDEX(計算用!$G$3:$G$452,計算用!$O$47),INDEX(振り分け!$C$7:$C$456,計算用!$O$47)))</f>
        <v/>
      </c>
      <c r="D49" s="59">
        <f>IF(計算用!$O$47="","",IF(計算用!$B$1=1,INDEX(計算用!$H$3:$H$452,計算用!$O$47),INDEX(振り分け!$D$7:$D$456,計算用!$O$47)))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IF(計算用!$O$48="","",46)</f>
        <v/>
      </c>
      <c r="B50" s="54">
        <f>IF(計算用!$O$48="","",IF(計算用!$B$1=1,INDEX(計算用!$F$3:$F$452,計算用!$O$48),INDEX(振り分け!$B$7:$B$456,計算用!$O$48)))</f>
        <v/>
      </c>
      <c r="C50" s="54">
        <f>IF(計算用!$O$48="","",IF(計算用!$B$1=1,INDEX(計算用!$G$3:$G$452,計算用!$O$48),INDEX(振り分け!$C$7:$C$456,計算用!$O$48)))</f>
        <v/>
      </c>
      <c r="D50" s="59">
        <f>IF(計算用!$O$48="","",IF(計算用!$B$1=1,INDEX(計算用!$H$3:$H$452,計算用!$O$48),INDEX(振り分け!$D$7:$D$456,計算用!$O$48)))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IF(計算用!$O$49="","",47)</f>
        <v/>
      </c>
      <c r="B51" s="54">
        <f>IF(計算用!$O$49="","",IF(計算用!$B$1=1,INDEX(計算用!$F$3:$F$452,計算用!$O$49),INDEX(振り分け!$B$7:$B$456,計算用!$O$49)))</f>
        <v/>
      </c>
      <c r="C51" s="54">
        <f>IF(計算用!$O$49="","",IF(計算用!$B$1=1,INDEX(計算用!$G$3:$G$452,計算用!$O$49),INDEX(振り分け!$C$7:$C$456,計算用!$O$49)))</f>
        <v/>
      </c>
      <c r="D51" s="59">
        <f>IF(計算用!$O$49="","",IF(計算用!$B$1=1,INDEX(計算用!$H$3:$H$452,計算用!$O$49),INDEX(振り分け!$D$7:$D$456,計算用!$O$49)))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IF(計算用!$O$50="","",48)</f>
        <v/>
      </c>
      <c r="B52" s="54">
        <f>IF(計算用!$O$50="","",IF(計算用!$B$1=1,INDEX(計算用!$F$3:$F$452,計算用!$O$50),INDEX(振り分け!$B$7:$B$456,計算用!$O$50)))</f>
        <v/>
      </c>
      <c r="C52" s="54">
        <f>IF(計算用!$O$50="","",IF(計算用!$B$1=1,INDEX(計算用!$G$3:$G$452,計算用!$O$50),INDEX(振り分け!$C$7:$C$456,計算用!$O$50)))</f>
        <v/>
      </c>
      <c r="D52" s="59">
        <f>IF(計算用!$O$50="","",IF(計算用!$B$1=1,INDEX(計算用!$H$3:$H$452,計算用!$O$50),INDEX(振り分け!$D$7:$D$456,計算用!$O$50)))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IF(計算用!$O$51="","",49)</f>
        <v/>
      </c>
      <c r="B53" s="54">
        <f>IF(計算用!$O$51="","",IF(計算用!$B$1=1,INDEX(計算用!$F$3:$F$452,計算用!$O$51),INDEX(振り分け!$B$7:$B$456,計算用!$O$51)))</f>
        <v/>
      </c>
      <c r="C53" s="54">
        <f>IF(計算用!$O$51="","",IF(計算用!$B$1=1,INDEX(計算用!$G$3:$G$452,計算用!$O$51),INDEX(振り分け!$C$7:$C$456,計算用!$O$51)))</f>
        <v/>
      </c>
      <c r="D53" s="59">
        <f>IF(計算用!$O$51="","",IF(計算用!$B$1=1,INDEX(計算用!$H$3:$H$452,計算用!$O$51),INDEX(振り分け!$D$7:$D$456,計算用!$O$51)))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IF(計算用!$O$52="","",50)</f>
        <v/>
      </c>
      <c r="B54" s="54">
        <f>IF(計算用!$O$52="","",IF(計算用!$B$1=1,INDEX(計算用!$F$3:$F$452,計算用!$O$52),INDEX(振り分け!$B$7:$B$456,計算用!$O$52)))</f>
        <v/>
      </c>
      <c r="C54" s="54">
        <f>IF(計算用!$O$52="","",IF(計算用!$B$1=1,INDEX(計算用!$G$3:$G$452,計算用!$O$52),INDEX(振り分け!$C$7:$C$456,計算用!$O$52)))</f>
        <v/>
      </c>
      <c r="D54" s="59">
        <f>IF(計算用!$O$52="","",IF(計算用!$B$1=1,INDEX(計算用!$H$3:$H$452,計算用!$O$52),INDEX(振り分け!$D$7:$D$456,計算用!$O$52)))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IF(設定!$P$14="","",設定!$B$3&amp;"　"&amp;設定!$P$14&amp;設定!$B$4&amp;"名簿"&amp;IF(計算用!$B$1=0,"（仮・前年度の組）",""))</f>
        <v/>
      </c>
    </row>
    <row r="2">
      <c r="A2" s="44">
        <f>IF(設定!$P$14="","","担当："&amp;設定!$S$14&amp;"　　活動場所："&amp;設定!$T$14&amp;"　　人数："&amp;定員チェック!$F$13&amp;"名（"&amp;設定!$B$8&amp;"年"&amp;定員チェック!$G$13&amp;"・"&amp;設定!$B$9&amp;"年"&amp;定員チェック!$H$13&amp;"・"&amp;設定!$B$10&amp;"年"&amp;定員チェック!$I$13&amp;"）")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IF(計算用!$P$3="","",1)</f>
        <v/>
      </c>
      <c r="B5" s="54">
        <f>IF(計算用!$P$3="","",IF(計算用!$B$1=1,INDEX(計算用!$F$3:$F$452,計算用!$P$3),INDEX(振り分け!$B$7:$B$456,計算用!$P$3)))</f>
        <v/>
      </c>
      <c r="C5" s="54">
        <f>IF(計算用!$P$3="","",IF(計算用!$B$1=1,INDEX(計算用!$G$3:$G$452,計算用!$P$3),INDEX(振り分け!$C$7:$C$456,計算用!$P$3)))</f>
        <v/>
      </c>
      <c r="D5" s="59">
        <f>IF(計算用!$P$3="","",IF(計算用!$B$1=1,INDEX(計算用!$H$3:$H$452,計算用!$P$3),INDEX(振り分け!$D$7:$D$456,計算用!$P$3)))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IF(計算用!$P$4="","",2)</f>
        <v/>
      </c>
      <c r="B6" s="54">
        <f>IF(計算用!$P$4="","",IF(計算用!$B$1=1,INDEX(計算用!$F$3:$F$452,計算用!$P$4),INDEX(振り分け!$B$7:$B$456,計算用!$P$4)))</f>
        <v/>
      </c>
      <c r="C6" s="54">
        <f>IF(計算用!$P$4="","",IF(計算用!$B$1=1,INDEX(計算用!$G$3:$G$452,計算用!$P$4),INDEX(振り分け!$C$7:$C$456,計算用!$P$4)))</f>
        <v/>
      </c>
      <c r="D6" s="59">
        <f>IF(計算用!$P$4="","",IF(計算用!$B$1=1,INDEX(計算用!$H$3:$H$452,計算用!$P$4),INDEX(振り分け!$D$7:$D$456,計算用!$P$4)))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IF(計算用!$P$5="","",3)</f>
        <v/>
      </c>
      <c r="B7" s="54">
        <f>IF(計算用!$P$5="","",IF(計算用!$B$1=1,INDEX(計算用!$F$3:$F$452,計算用!$P$5),INDEX(振り分け!$B$7:$B$456,計算用!$P$5)))</f>
        <v/>
      </c>
      <c r="C7" s="54">
        <f>IF(計算用!$P$5="","",IF(計算用!$B$1=1,INDEX(計算用!$G$3:$G$452,計算用!$P$5),INDEX(振り分け!$C$7:$C$456,計算用!$P$5)))</f>
        <v/>
      </c>
      <c r="D7" s="59">
        <f>IF(計算用!$P$5="","",IF(計算用!$B$1=1,INDEX(計算用!$H$3:$H$452,計算用!$P$5),INDEX(振り分け!$D$7:$D$456,計算用!$P$5)))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IF(計算用!$P$6="","",4)</f>
        <v/>
      </c>
      <c r="B8" s="54">
        <f>IF(計算用!$P$6="","",IF(計算用!$B$1=1,INDEX(計算用!$F$3:$F$452,計算用!$P$6),INDEX(振り分け!$B$7:$B$456,計算用!$P$6)))</f>
        <v/>
      </c>
      <c r="C8" s="54">
        <f>IF(計算用!$P$6="","",IF(計算用!$B$1=1,INDEX(計算用!$G$3:$G$452,計算用!$P$6),INDEX(振り分け!$C$7:$C$456,計算用!$P$6)))</f>
        <v/>
      </c>
      <c r="D8" s="59">
        <f>IF(計算用!$P$6="","",IF(計算用!$B$1=1,INDEX(計算用!$H$3:$H$452,計算用!$P$6),INDEX(振り分け!$D$7:$D$456,計算用!$P$6)))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IF(計算用!$P$7="","",5)</f>
        <v/>
      </c>
      <c r="B9" s="54">
        <f>IF(計算用!$P$7="","",IF(計算用!$B$1=1,INDEX(計算用!$F$3:$F$452,計算用!$P$7),INDEX(振り分け!$B$7:$B$456,計算用!$P$7)))</f>
        <v/>
      </c>
      <c r="C9" s="54">
        <f>IF(計算用!$P$7="","",IF(計算用!$B$1=1,INDEX(計算用!$G$3:$G$452,計算用!$P$7),INDEX(振り分け!$C$7:$C$456,計算用!$P$7)))</f>
        <v/>
      </c>
      <c r="D9" s="59">
        <f>IF(計算用!$P$7="","",IF(計算用!$B$1=1,INDEX(計算用!$H$3:$H$452,計算用!$P$7),INDEX(振り分け!$D$7:$D$456,計算用!$P$7)))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IF(計算用!$P$8="","",6)</f>
        <v/>
      </c>
      <c r="B10" s="54">
        <f>IF(計算用!$P$8="","",IF(計算用!$B$1=1,INDEX(計算用!$F$3:$F$452,計算用!$P$8),INDEX(振り分け!$B$7:$B$456,計算用!$P$8)))</f>
        <v/>
      </c>
      <c r="C10" s="54">
        <f>IF(計算用!$P$8="","",IF(計算用!$B$1=1,INDEX(計算用!$G$3:$G$452,計算用!$P$8),INDEX(振り分け!$C$7:$C$456,計算用!$P$8)))</f>
        <v/>
      </c>
      <c r="D10" s="59">
        <f>IF(計算用!$P$8="","",IF(計算用!$B$1=1,INDEX(計算用!$H$3:$H$452,計算用!$P$8),INDEX(振り分け!$D$7:$D$456,計算用!$P$8)))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IF(計算用!$P$9="","",7)</f>
        <v/>
      </c>
      <c r="B11" s="54">
        <f>IF(計算用!$P$9="","",IF(計算用!$B$1=1,INDEX(計算用!$F$3:$F$452,計算用!$P$9),INDEX(振り分け!$B$7:$B$456,計算用!$P$9)))</f>
        <v/>
      </c>
      <c r="C11" s="54">
        <f>IF(計算用!$P$9="","",IF(計算用!$B$1=1,INDEX(計算用!$G$3:$G$452,計算用!$P$9),INDEX(振り分け!$C$7:$C$456,計算用!$P$9)))</f>
        <v/>
      </c>
      <c r="D11" s="59">
        <f>IF(計算用!$P$9="","",IF(計算用!$B$1=1,INDEX(計算用!$H$3:$H$452,計算用!$P$9),INDEX(振り分け!$D$7:$D$456,計算用!$P$9)))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IF(計算用!$P$10="","",8)</f>
        <v/>
      </c>
      <c r="B12" s="54">
        <f>IF(計算用!$P$10="","",IF(計算用!$B$1=1,INDEX(計算用!$F$3:$F$452,計算用!$P$10),INDEX(振り分け!$B$7:$B$456,計算用!$P$10)))</f>
        <v/>
      </c>
      <c r="C12" s="54">
        <f>IF(計算用!$P$10="","",IF(計算用!$B$1=1,INDEX(計算用!$G$3:$G$452,計算用!$P$10),INDEX(振り分け!$C$7:$C$456,計算用!$P$10)))</f>
        <v/>
      </c>
      <c r="D12" s="59">
        <f>IF(計算用!$P$10="","",IF(計算用!$B$1=1,INDEX(計算用!$H$3:$H$452,計算用!$P$10),INDEX(振り分け!$D$7:$D$456,計算用!$P$10)))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IF(計算用!$P$11="","",9)</f>
        <v/>
      </c>
      <c r="B13" s="54">
        <f>IF(計算用!$P$11="","",IF(計算用!$B$1=1,INDEX(計算用!$F$3:$F$452,計算用!$P$11),INDEX(振り分け!$B$7:$B$456,計算用!$P$11)))</f>
        <v/>
      </c>
      <c r="C13" s="54">
        <f>IF(計算用!$P$11="","",IF(計算用!$B$1=1,INDEX(計算用!$G$3:$G$452,計算用!$P$11),INDEX(振り分け!$C$7:$C$456,計算用!$P$11)))</f>
        <v/>
      </c>
      <c r="D13" s="59">
        <f>IF(計算用!$P$11="","",IF(計算用!$B$1=1,INDEX(計算用!$H$3:$H$452,計算用!$P$11),INDEX(振り分け!$D$7:$D$456,計算用!$P$11)))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IF(計算用!$P$12="","",10)</f>
        <v/>
      </c>
      <c r="B14" s="54">
        <f>IF(計算用!$P$12="","",IF(計算用!$B$1=1,INDEX(計算用!$F$3:$F$452,計算用!$P$12),INDEX(振り分け!$B$7:$B$456,計算用!$P$12)))</f>
        <v/>
      </c>
      <c r="C14" s="54">
        <f>IF(計算用!$P$12="","",IF(計算用!$B$1=1,INDEX(計算用!$G$3:$G$452,計算用!$P$12),INDEX(振り分け!$C$7:$C$456,計算用!$P$12)))</f>
        <v/>
      </c>
      <c r="D14" s="59">
        <f>IF(計算用!$P$12="","",IF(計算用!$B$1=1,INDEX(計算用!$H$3:$H$452,計算用!$P$12),INDEX(振り分け!$D$7:$D$456,計算用!$P$12)))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IF(計算用!$P$13="","",11)</f>
        <v/>
      </c>
      <c r="B15" s="54">
        <f>IF(計算用!$P$13="","",IF(計算用!$B$1=1,INDEX(計算用!$F$3:$F$452,計算用!$P$13),INDEX(振り分け!$B$7:$B$456,計算用!$P$13)))</f>
        <v/>
      </c>
      <c r="C15" s="54">
        <f>IF(計算用!$P$13="","",IF(計算用!$B$1=1,INDEX(計算用!$G$3:$G$452,計算用!$P$13),INDEX(振り分け!$C$7:$C$456,計算用!$P$13)))</f>
        <v/>
      </c>
      <c r="D15" s="59">
        <f>IF(計算用!$P$13="","",IF(計算用!$B$1=1,INDEX(計算用!$H$3:$H$452,計算用!$P$13),INDEX(振り分け!$D$7:$D$456,計算用!$P$13)))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IF(計算用!$P$14="","",12)</f>
        <v/>
      </c>
      <c r="B16" s="54">
        <f>IF(計算用!$P$14="","",IF(計算用!$B$1=1,INDEX(計算用!$F$3:$F$452,計算用!$P$14),INDEX(振り分け!$B$7:$B$456,計算用!$P$14)))</f>
        <v/>
      </c>
      <c r="C16" s="54">
        <f>IF(計算用!$P$14="","",IF(計算用!$B$1=1,INDEX(計算用!$G$3:$G$452,計算用!$P$14),INDEX(振り分け!$C$7:$C$456,計算用!$P$14)))</f>
        <v/>
      </c>
      <c r="D16" s="59">
        <f>IF(計算用!$P$14="","",IF(計算用!$B$1=1,INDEX(計算用!$H$3:$H$452,計算用!$P$14),INDEX(振り分け!$D$7:$D$456,計算用!$P$14)))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IF(計算用!$P$15="","",13)</f>
        <v/>
      </c>
      <c r="B17" s="54">
        <f>IF(計算用!$P$15="","",IF(計算用!$B$1=1,INDEX(計算用!$F$3:$F$452,計算用!$P$15),INDEX(振り分け!$B$7:$B$456,計算用!$P$15)))</f>
        <v/>
      </c>
      <c r="C17" s="54">
        <f>IF(計算用!$P$15="","",IF(計算用!$B$1=1,INDEX(計算用!$G$3:$G$452,計算用!$P$15),INDEX(振り分け!$C$7:$C$456,計算用!$P$15)))</f>
        <v/>
      </c>
      <c r="D17" s="59">
        <f>IF(計算用!$P$15="","",IF(計算用!$B$1=1,INDEX(計算用!$H$3:$H$452,計算用!$P$15),INDEX(振り分け!$D$7:$D$456,計算用!$P$15)))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IF(計算用!$P$16="","",14)</f>
        <v/>
      </c>
      <c r="B18" s="54">
        <f>IF(計算用!$P$16="","",IF(計算用!$B$1=1,INDEX(計算用!$F$3:$F$452,計算用!$P$16),INDEX(振り分け!$B$7:$B$456,計算用!$P$16)))</f>
        <v/>
      </c>
      <c r="C18" s="54">
        <f>IF(計算用!$P$16="","",IF(計算用!$B$1=1,INDEX(計算用!$G$3:$G$452,計算用!$P$16),INDEX(振り分け!$C$7:$C$456,計算用!$P$16)))</f>
        <v/>
      </c>
      <c r="D18" s="59">
        <f>IF(計算用!$P$16="","",IF(計算用!$B$1=1,INDEX(計算用!$H$3:$H$452,計算用!$P$16),INDEX(振り分け!$D$7:$D$456,計算用!$P$16)))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IF(計算用!$P$17="","",15)</f>
        <v/>
      </c>
      <c r="B19" s="54">
        <f>IF(計算用!$P$17="","",IF(計算用!$B$1=1,INDEX(計算用!$F$3:$F$452,計算用!$P$17),INDEX(振り分け!$B$7:$B$456,計算用!$P$17)))</f>
        <v/>
      </c>
      <c r="C19" s="54">
        <f>IF(計算用!$P$17="","",IF(計算用!$B$1=1,INDEX(計算用!$G$3:$G$452,計算用!$P$17),INDEX(振り分け!$C$7:$C$456,計算用!$P$17)))</f>
        <v/>
      </c>
      <c r="D19" s="59">
        <f>IF(計算用!$P$17="","",IF(計算用!$B$1=1,INDEX(計算用!$H$3:$H$452,計算用!$P$17),INDEX(振り分け!$D$7:$D$456,計算用!$P$17)))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IF(計算用!$P$18="","",16)</f>
        <v/>
      </c>
      <c r="B20" s="54">
        <f>IF(計算用!$P$18="","",IF(計算用!$B$1=1,INDEX(計算用!$F$3:$F$452,計算用!$P$18),INDEX(振り分け!$B$7:$B$456,計算用!$P$18)))</f>
        <v/>
      </c>
      <c r="C20" s="54">
        <f>IF(計算用!$P$18="","",IF(計算用!$B$1=1,INDEX(計算用!$G$3:$G$452,計算用!$P$18),INDEX(振り分け!$C$7:$C$456,計算用!$P$18)))</f>
        <v/>
      </c>
      <c r="D20" s="59">
        <f>IF(計算用!$P$18="","",IF(計算用!$B$1=1,INDEX(計算用!$H$3:$H$452,計算用!$P$18),INDEX(振り分け!$D$7:$D$456,計算用!$P$18)))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IF(計算用!$P$19="","",17)</f>
        <v/>
      </c>
      <c r="B21" s="54">
        <f>IF(計算用!$P$19="","",IF(計算用!$B$1=1,INDEX(計算用!$F$3:$F$452,計算用!$P$19),INDEX(振り分け!$B$7:$B$456,計算用!$P$19)))</f>
        <v/>
      </c>
      <c r="C21" s="54">
        <f>IF(計算用!$P$19="","",IF(計算用!$B$1=1,INDEX(計算用!$G$3:$G$452,計算用!$P$19),INDEX(振り分け!$C$7:$C$456,計算用!$P$19)))</f>
        <v/>
      </c>
      <c r="D21" s="59">
        <f>IF(計算用!$P$19="","",IF(計算用!$B$1=1,INDEX(計算用!$H$3:$H$452,計算用!$P$19),INDEX(振り分け!$D$7:$D$456,計算用!$P$19)))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IF(計算用!$P$20="","",18)</f>
        <v/>
      </c>
      <c r="B22" s="54">
        <f>IF(計算用!$P$20="","",IF(計算用!$B$1=1,INDEX(計算用!$F$3:$F$452,計算用!$P$20),INDEX(振り分け!$B$7:$B$456,計算用!$P$20)))</f>
        <v/>
      </c>
      <c r="C22" s="54">
        <f>IF(計算用!$P$20="","",IF(計算用!$B$1=1,INDEX(計算用!$G$3:$G$452,計算用!$P$20),INDEX(振り分け!$C$7:$C$456,計算用!$P$20)))</f>
        <v/>
      </c>
      <c r="D22" s="59">
        <f>IF(計算用!$P$20="","",IF(計算用!$B$1=1,INDEX(計算用!$H$3:$H$452,計算用!$P$20),INDEX(振り分け!$D$7:$D$456,計算用!$P$20)))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IF(計算用!$P$21="","",19)</f>
        <v/>
      </c>
      <c r="B23" s="54">
        <f>IF(計算用!$P$21="","",IF(計算用!$B$1=1,INDEX(計算用!$F$3:$F$452,計算用!$P$21),INDEX(振り分け!$B$7:$B$456,計算用!$P$21)))</f>
        <v/>
      </c>
      <c r="C23" s="54">
        <f>IF(計算用!$P$21="","",IF(計算用!$B$1=1,INDEX(計算用!$G$3:$G$452,計算用!$P$21),INDEX(振り分け!$C$7:$C$456,計算用!$P$21)))</f>
        <v/>
      </c>
      <c r="D23" s="59">
        <f>IF(計算用!$P$21="","",IF(計算用!$B$1=1,INDEX(計算用!$H$3:$H$452,計算用!$P$21),INDEX(振り分け!$D$7:$D$456,計算用!$P$21)))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IF(計算用!$P$22="","",20)</f>
        <v/>
      </c>
      <c r="B24" s="54">
        <f>IF(計算用!$P$22="","",IF(計算用!$B$1=1,INDEX(計算用!$F$3:$F$452,計算用!$P$22),INDEX(振り分け!$B$7:$B$456,計算用!$P$22)))</f>
        <v/>
      </c>
      <c r="C24" s="54">
        <f>IF(計算用!$P$22="","",IF(計算用!$B$1=1,INDEX(計算用!$G$3:$G$452,計算用!$P$22),INDEX(振り分け!$C$7:$C$456,計算用!$P$22)))</f>
        <v/>
      </c>
      <c r="D24" s="59">
        <f>IF(計算用!$P$22="","",IF(計算用!$B$1=1,INDEX(計算用!$H$3:$H$452,計算用!$P$22),INDEX(振り分け!$D$7:$D$456,計算用!$P$22)))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IF(計算用!$P$23="","",21)</f>
        <v/>
      </c>
      <c r="B25" s="54">
        <f>IF(計算用!$P$23="","",IF(計算用!$B$1=1,INDEX(計算用!$F$3:$F$452,計算用!$P$23),INDEX(振り分け!$B$7:$B$456,計算用!$P$23)))</f>
        <v/>
      </c>
      <c r="C25" s="54">
        <f>IF(計算用!$P$23="","",IF(計算用!$B$1=1,INDEX(計算用!$G$3:$G$452,計算用!$P$23),INDEX(振り分け!$C$7:$C$456,計算用!$P$23)))</f>
        <v/>
      </c>
      <c r="D25" s="59">
        <f>IF(計算用!$P$23="","",IF(計算用!$B$1=1,INDEX(計算用!$H$3:$H$452,計算用!$P$23),INDEX(振り分け!$D$7:$D$456,計算用!$P$23)))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IF(計算用!$P$24="","",22)</f>
        <v/>
      </c>
      <c r="B26" s="54">
        <f>IF(計算用!$P$24="","",IF(計算用!$B$1=1,INDEX(計算用!$F$3:$F$452,計算用!$P$24),INDEX(振り分け!$B$7:$B$456,計算用!$P$24)))</f>
        <v/>
      </c>
      <c r="C26" s="54">
        <f>IF(計算用!$P$24="","",IF(計算用!$B$1=1,INDEX(計算用!$G$3:$G$452,計算用!$P$24),INDEX(振り分け!$C$7:$C$456,計算用!$P$24)))</f>
        <v/>
      </c>
      <c r="D26" s="59">
        <f>IF(計算用!$P$24="","",IF(計算用!$B$1=1,INDEX(計算用!$H$3:$H$452,計算用!$P$24),INDEX(振り分け!$D$7:$D$456,計算用!$P$24)))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IF(計算用!$P$25="","",23)</f>
        <v/>
      </c>
      <c r="B27" s="54">
        <f>IF(計算用!$P$25="","",IF(計算用!$B$1=1,INDEX(計算用!$F$3:$F$452,計算用!$P$25),INDEX(振り分け!$B$7:$B$456,計算用!$P$25)))</f>
        <v/>
      </c>
      <c r="C27" s="54">
        <f>IF(計算用!$P$25="","",IF(計算用!$B$1=1,INDEX(計算用!$G$3:$G$452,計算用!$P$25),INDEX(振り分け!$C$7:$C$456,計算用!$P$25)))</f>
        <v/>
      </c>
      <c r="D27" s="59">
        <f>IF(計算用!$P$25="","",IF(計算用!$B$1=1,INDEX(計算用!$H$3:$H$452,計算用!$P$25),INDEX(振り分け!$D$7:$D$456,計算用!$P$25)))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IF(計算用!$P$26="","",24)</f>
        <v/>
      </c>
      <c r="B28" s="54">
        <f>IF(計算用!$P$26="","",IF(計算用!$B$1=1,INDEX(計算用!$F$3:$F$452,計算用!$P$26),INDEX(振り分け!$B$7:$B$456,計算用!$P$26)))</f>
        <v/>
      </c>
      <c r="C28" s="54">
        <f>IF(計算用!$P$26="","",IF(計算用!$B$1=1,INDEX(計算用!$G$3:$G$452,計算用!$P$26),INDEX(振り分け!$C$7:$C$456,計算用!$P$26)))</f>
        <v/>
      </c>
      <c r="D28" s="59">
        <f>IF(計算用!$P$26="","",IF(計算用!$B$1=1,INDEX(計算用!$H$3:$H$452,計算用!$P$26),INDEX(振り分け!$D$7:$D$456,計算用!$P$26)))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IF(計算用!$P$27="","",25)</f>
        <v/>
      </c>
      <c r="B29" s="54">
        <f>IF(計算用!$P$27="","",IF(計算用!$B$1=1,INDEX(計算用!$F$3:$F$452,計算用!$P$27),INDEX(振り分け!$B$7:$B$456,計算用!$P$27)))</f>
        <v/>
      </c>
      <c r="C29" s="54">
        <f>IF(計算用!$P$27="","",IF(計算用!$B$1=1,INDEX(計算用!$G$3:$G$452,計算用!$P$27),INDEX(振り分け!$C$7:$C$456,計算用!$P$27)))</f>
        <v/>
      </c>
      <c r="D29" s="59">
        <f>IF(計算用!$P$27="","",IF(計算用!$B$1=1,INDEX(計算用!$H$3:$H$452,計算用!$P$27),INDEX(振り分け!$D$7:$D$456,計算用!$P$27)))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IF(計算用!$P$28="","",26)</f>
        <v/>
      </c>
      <c r="B30" s="54">
        <f>IF(計算用!$P$28="","",IF(計算用!$B$1=1,INDEX(計算用!$F$3:$F$452,計算用!$P$28),INDEX(振り分け!$B$7:$B$456,計算用!$P$28)))</f>
        <v/>
      </c>
      <c r="C30" s="54">
        <f>IF(計算用!$P$28="","",IF(計算用!$B$1=1,INDEX(計算用!$G$3:$G$452,計算用!$P$28),INDEX(振り分け!$C$7:$C$456,計算用!$P$28)))</f>
        <v/>
      </c>
      <c r="D30" s="59">
        <f>IF(計算用!$P$28="","",IF(計算用!$B$1=1,INDEX(計算用!$H$3:$H$452,計算用!$P$28),INDEX(振り分け!$D$7:$D$456,計算用!$P$28)))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IF(計算用!$P$29="","",27)</f>
        <v/>
      </c>
      <c r="B31" s="54">
        <f>IF(計算用!$P$29="","",IF(計算用!$B$1=1,INDEX(計算用!$F$3:$F$452,計算用!$P$29),INDEX(振り分け!$B$7:$B$456,計算用!$P$29)))</f>
        <v/>
      </c>
      <c r="C31" s="54">
        <f>IF(計算用!$P$29="","",IF(計算用!$B$1=1,INDEX(計算用!$G$3:$G$452,計算用!$P$29),INDEX(振り分け!$C$7:$C$456,計算用!$P$29)))</f>
        <v/>
      </c>
      <c r="D31" s="59">
        <f>IF(計算用!$P$29="","",IF(計算用!$B$1=1,INDEX(計算用!$H$3:$H$452,計算用!$P$29),INDEX(振り分け!$D$7:$D$456,計算用!$P$29)))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IF(計算用!$P$30="","",28)</f>
        <v/>
      </c>
      <c r="B32" s="54">
        <f>IF(計算用!$P$30="","",IF(計算用!$B$1=1,INDEX(計算用!$F$3:$F$452,計算用!$P$30),INDEX(振り分け!$B$7:$B$456,計算用!$P$30)))</f>
        <v/>
      </c>
      <c r="C32" s="54">
        <f>IF(計算用!$P$30="","",IF(計算用!$B$1=1,INDEX(計算用!$G$3:$G$452,計算用!$P$30),INDEX(振り分け!$C$7:$C$456,計算用!$P$30)))</f>
        <v/>
      </c>
      <c r="D32" s="59">
        <f>IF(計算用!$P$30="","",IF(計算用!$B$1=1,INDEX(計算用!$H$3:$H$452,計算用!$P$30),INDEX(振り分け!$D$7:$D$456,計算用!$P$30)))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IF(計算用!$P$31="","",29)</f>
        <v/>
      </c>
      <c r="B33" s="54">
        <f>IF(計算用!$P$31="","",IF(計算用!$B$1=1,INDEX(計算用!$F$3:$F$452,計算用!$P$31),INDEX(振り分け!$B$7:$B$456,計算用!$P$31)))</f>
        <v/>
      </c>
      <c r="C33" s="54">
        <f>IF(計算用!$P$31="","",IF(計算用!$B$1=1,INDEX(計算用!$G$3:$G$452,計算用!$P$31),INDEX(振り分け!$C$7:$C$456,計算用!$P$31)))</f>
        <v/>
      </c>
      <c r="D33" s="59">
        <f>IF(計算用!$P$31="","",IF(計算用!$B$1=1,INDEX(計算用!$H$3:$H$452,計算用!$P$31),INDEX(振り分け!$D$7:$D$456,計算用!$P$31)))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IF(計算用!$P$32="","",30)</f>
        <v/>
      </c>
      <c r="B34" s="54">
        <f>IF(計算用!$P$32="","",IF(計算用!$B$1=1,INDEX(計算用!$F$3:$F$452,計算用!$P$32),INDEX(振り分け!$B$7:$B$456,計算用!$P$32)))</f>
        <v/>
      </c>
      <c r="C34" s="54">
        <f>IF(計算用!$P$32="","",IF(計算用!$B$1=1,INDEX(計算用!$G$3:$G$452,計算用!$P$32),INDEX(振り分け!$C$7:$C$456,計算用!$P$32)))</f>
        <v/>
      </c>
      <c r="D34" s="59">
        <f>IF(計算用!$P$32="","",IF(計算用!$B$1=1,INDEX(計算用!$H$3:$H$452,計算用!$P$32),INDEX(振り分け!$D$7:$D$456,計算用!$P$32)))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IF(計算用!$P$33="","",31)</f>
        <v/>
      </c>
      <c r="B35" s="54">
        <f>IF(計算用!$P$33="","",IF(計算用!$B$1=1,INDEX(計算用!$F$3:$F$452,計算用!$P$33),INDEX(振り分け!$B$7:$B$456,計算用!$P$33)))</f>
        <v/>
      </c>
      <c r="C35" s="54">
        <f>IF(計算用!$P$33="","",IF(計算用!$B$1=1,INDEX(計算用!$G$3:$G$452,計算用!$P$33),INDEX(振り分け!$C$7:$C$456,計算用!$P$33)))</f>
        <v/>
      </c>
      <c r="D35" s="59">
        <f>IF(計算用!$P$33="","",IF(計算用!$B$1=1,INDEX(計算用!$H$3:$H$452,計算用!$P$33),INDEX(振り分け!$D$7:$D$456,計算用!$P$33)))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IF(計算用!$P$34="","",32)</f>
        <v/>
      </c>
      <c r="B36" s="54">
        <f>IF(計算用!$P$34="","",IF(計算用!$B$1=1,INDEX(計算用!$F$3:$F$452,計算用!$P$34),INDEX(振り分け!$B$7:$B$456,計算用!$P$34)))</f>
        <v/>
      </c>
      <c r="C36" s="54">
        <f>IF(計算用!$P$34="","",IF(計算用!$B$1=1,INDEX(計算用!$G$3:$G$452,計算用!$P$34),INDEX(振り分け!$C$7:$C$456,計算用!$P$34)))</f>
        <v/>
      </c>
      <c r="D36" s="59">
        <f>IF(計算用!$P$34="","",IF(計算用!$B$1=1,INDEX(計算用!$H$3:$H$452,計算用!$P$34),INDEX(振り分け!$D$7:$D$456,計算用!$P$34)))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IF(計算用!$P$35="","",33)</f>
        <v/>
      </c>
      <c r="B37" s="54">
        <f>IF(計算用!$P$35="","",IF(計算用!$B$1=1,INDEX(計算用!$F$3:$F$452,計算用!$P$35),INDEX(振り分け!$B$7:$B$456,計算用!$P$35)))</f>
        <v/>
      </c>
      <c r="C37" s="54">
        <f>IF(計算用!$P$35="","",IF(計算用!$B$1=1,INDEX(計算用!$G$3:$G$452,計算用!$P$35),INDEX(振り分け!$C$7:$C$456,計算用!$P$35)))</f>
        <v/>
      </c>
      <c r="D37" s="59">
        <f>IF(計算用!$P$35="","",IF(計算用!$B$1=1,INDEX(計算用!$H$3:$H$452,計算用!$P$35),INDEX(振り分け!$D$7:$D$456,計算用!$P$35)))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IF(計算用!$P$36="","",34)</f>
        <v/>
      </c>
      <c r="B38" s="54">
        <f>IF(計算用!$P$36="","",IF(計算用!$B$1=1,INDEX(計算用!$F$3:$F$452,計算用!$P$36),INDEX(振り分け!$B$7:$B$456,計算用!$P$36)))</f>
        <v/>
      </c>
      <c r="C38" s="54">
        <f>IF(計算用!$P$36="","",IF(計算用!$B$1=1,INDEX(計算用!$G$3:$G$452,計算用!$P$36),INDEX(振り分け!$C$7:$C$456,計算用!$P$36)))</f>
        <v/>
      </c>
      <c r="D38" s="59">
        <f>IF(計算用!$P$36="","",IF(計算用!$B$1=1,INDEX(計算用!$H$3:$H$452,計算用!$P$36),INDEX(振り分け!$D$7:$D$456,計算用!$P$36)))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IF(計算用!$P$37="","",35)</f>
        <v/>
      </c>
      <c r="B39" s="54">
        <f>IF(計算用!$P$37="","",IF(計算用!$B$1=1,INDEX(計算用!$F$3:$F$452,計算用!$P$37),INDEX(振り分け!$B$7:$B$456,計算用!$P$37)))</f>
        <v/>
      </c>
      <c r="C39" s="54">
        <f>IF(計算用!$P$37="","",IF(計算用!$B$1=1,INDEX(計算用!$G$3:$G$452,計算用!$P$37),INDEX(振り分け!$C$7:$C$456,計算用!$P$37)))</f>
        <v/>
      </c>
      <c r="D39" s="59">
        <f>IF(計算用!$P$37="","",IF(計算用!$B$1=1,INDEX(計算用!$H$3:$H$452,計算用!$P$37),INDEX(振り分け!$D$7:$D$456,計算用!$P$37)))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IF(計算用!$P$38="","",36)</f>
        <v/>
      </c>
      <c r="B40" s="54">
        <f>IF(計算用!$P$38="","",IF(計算用!$B$1=1,INDEX(計算用!$F$3:$F$452,計算用!$P$38),INDEX(振り分け!$B$7:$B$456,計算用!$P$38)))</f>
        <v/>
      </c>
      <c r="C40" s="54">
        <f>IF(計算用!$P$38="","",IF(計算用!$B$1=1,INDEX(計算用!$G$3:$G$452,計算用!$P$38),INDEX(振り分け!$C$7:$C$456,計算用!$P$38)))</f>
        <v/>
      </c>
      <c r="D40" s="59">
        <f>IF(計算用!$P$38="","",IF(計算用!$B$1=1,INDEX(計算用!$H$3:$H$452,計算用!$P$38),INDEX(振り分け!$D$7:$D$456,計算用!$P$38)))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IF(計算用!$P$39="","",37)</f>
        <v/>
      </c>
      <c r="B41" s="54">
        <f>IF(計算用!$P$39="","",IF(計算用!$B$1=1,INDEX(計算用!$F$3:$F$452,計算用!$P$39),INDEX(振り分け!$B$7:$B$456,計算用!$P$39)))</f>
        <v/>
      </c>
      <c r="C41" s="54">
        <f>IF(計算用!$P$39="","",IF(計算用!$B$1=1,INDEX(計算用!$G$3:$G$452,計算用!$P$39),INDEX(振り分け!$C$7:$C$456,計算用!$P$39)))</f>
        <v/>
      </c>
      <c r="D41" s="59">
        <f>IF(計算用!$P$39="","",IF(計算用!$B$1=1,INDEX(計算用!$H$3:$H$452,計算用!$P$39),INDEX(振り分け!$D$7:$D$456,計算用!$P$39)))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IF(計算用!$P$40="","",38)</f>
        <v/>
      </c>
      <c r="B42" s="54">
        <f>IF(計算用!$P$40="","",IF(計算用!$B$1=1,INDEX(計算用!$F$3:$F$452,計算用!$P$40),INDEX(振り分け!$B$7:$B$456,計算用!$P$40)))</f>
        <v/>
      </c>
      <c r="C42" s="54">
        <f>IF(計算用!$P$40="","",IF(計算用!$B$1=1,INDEX(計算用!$G$3:$G$452,計算用!$P$40),INDEX(振り分け!$C$7:$C$456,計算用!$P$40)))</f>
        <v/>
      </c>
      <c r="D42" s="59">
        <f>IF(計算用!$P$40="","",IF(計算用!$B$1=1,INDEX(計算用!$H$3:$H$452,計算用!$P$40),INDEX(振り分け!$D$7:$D$456,計算用!$P$40)))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IF(計算用!$P$41="","",39)</f>
        <v/>
      </c>
      <c r="B43" s="54">
        <f>IF(計算用!$P$41="","",IF(計算用!$B$1=1,INDEX(計算用!$F$3:$F$452,計算用!$P$41),INDEX(振り分け!$B$7:$B$456,計算用!$P$41)))</f>
        <v/>
      </c>
      <c r="C43" s="54">
        <f>IF(計算用!$P$41="","",IF(計算用!$B$1=1,INDEX(計算用!$G$3:$G$452,計算用!$P$41),INDEX(振り分け!$C$7:$C$456,計算用!$P$41)))</f>
        <v/>
      </c>
      <c r="D43" s="59">
        <f>IF(計算用!$P$41="","",IF(計算用!$B$1=1,INDEX(計算用!$H$3:$H$452,計算用!$P$41),INDEX(振り分け!$D$7:$D$456,計算用!$P$41)))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IF(計算用!$P$42="","",40)</f>
        <v/>
      </c>
      <c r="B44" s="54">
        <f>IF(計算用!$P$42="","",IF(計算用!$B$1=1,INDEX(計算用!$F$3:$F$452,計算用!$P$42),INDEX(振り分け!$B$7:$B$456,計算用!$P$42)))</f>
        <v/>
      </c>
      <c r="C44" s="54">
        <f>IF(計算用!$P$42="","",IF(計算用!$B$1=1,INDEX(計算用!$G$3:$G$452,計算用!$P$42),INDEX(振り分け!$C$7:$C$456,計算用!$P$42)))</f>
        <v/>
      </c>
      <c r="D44" s="59">
        <f>IF(計算用!$P$42="","",IF(計算用!$B$1=1,INDEX(計算用!$H$3:$H$452,計算用!$P$42),INDEX(振り分け!$D$7:$D$456,計算用!$P$42)))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IF(計算用!$P$43="","",41)</f>
        <v/>
      </c>
      <c r="B45" s="54">
        <f>IF(計算用!$P$43="","",IF(計算用!$B$1=1,INDEX(計算用!$F$3:$F$452,計算用!$P$43),INDEX(振り分け!$B$7:$B$456,計算用!$P$43)))</f>
        <v/>
      </c>
      <c r="C45" s="54">
        <f>IF(計算用!$P$43="","",IF(計算用!$B$1=1,INDEX(計算用!$G$3:$G$452,計算用!$P$43),INDEX(振り分け!$C$7:$C$456,計算用!$P$43)))</f>
        <v/>
      </c>
      <c r="D45" s="59">
        <f>IF(計算用!$P$43="","",IF(計算用!$B$1=1,INDEX(計算用!$H$3:$H$452,計算用!$P$43),INDEX(振り分け!$D$7:$D$456,計算用!$P$43)))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IF(計算用!$P$44="","",42)</f>
        <v/>
      </c>
      <c r="B46" s="54">
        <f>IF(計算用!$P$44="","",IF(計算用!$B$1=1,INDEX(計算用!$F$3:$F$452,計算用!$P$44),INDEX(振り分け!$B$7:$B$456,計算用!$P$44)))</f>
        <v/>
      </c>
      <c r="C46" s="54">
        <f>IF(計算用!$P$44="","",IF(計算用!$B$1=1,INDEX(計算用!$G$3:$G$452,計算用!$P$44),INDEX(振り分け!$C$7:$C$456,計算用!$P$44)))</f>
        <v/>
      </c>
      <c r="D46" s="59">
        <f>IF(計算用!$P$44="","",IF(計算用!$B$1=1,INDEX(計算用!$H$3:$H$452,計算用!$P$44),INDEX(振り分け!$D$7:$D$456,計算用!$P$44)))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IF(計算用!$P$45="","",43)</f>
        <v/>
      </c>
      <c r="B47" s="54">
        <f>IF(計算用!$P$45="","",IF(計算用!$B$1=1,INDEX(計算用!$F$3:$F$452,計算用!$P$45),INDEX(振り分け!$B$7:$B$456,計算用!$P$45)))</f>
        <v/>
      </c>
      <c r="C47" s="54">
        <f>IF(計算用!$P$45="","",IF(計算用!$B$1=1,INDEX(計算用!$G$3:$G$452,計算用!$P$45),INDEX(振り分け!$C$7:$C$456,計算用!$P$45)))</f>
        <v/>
      </c>
      <c r="D47" s="59">
        <f>IF(計算用!$P$45="","",IF(計算用!$B$1=1,INDEX(計算用!$H$3:$H$452,計算用!$P$45),INDEX(振り分け!$D$7:$D$456,計算用!$P$45)))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IF(計算用!$P$46="","",44)</f>
        <v/>
      </c>
      <c r="B48" s="54">
        <f>IF(計算用!$P$46="","",IF(計算用!$B$1=1,INDEX(計算用!$F$3:$F$452,計算用!$P$46),INDEX(振り分け!$B$7:$B$456,計算用!$P$46)))</f>
        <v/>
      </c>
      <c r="C48" s="54">
        <f>IF(計算用!$P$46="","",IF(計算用!$B$1=1,INDEX(計算用!$G$3:$G$452,計算用!$P$46),INDEX(振り分け!$C$7:$C$456,計算用!$P$46)))</f>
        <v/>
      </c>
      <c r="D48" s="59">
        <f>IF(計算用!$P$46="","",IF(計算用!$B$1=1,INDEX(計算用!$H$3:$H$452,計算用!$P$46),INDEX(振り分け!$D$7:$D$456,計算用!$P$46)))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IF(計算用!$P$47="","",45)</f>
        <v/>
      </c>
      <c r="B49" s="54">
        <f>IF(計算用!$P$47="","",IF(計算用!$B$1=1,INDEX(計算用!$F$3:$F$452,計算用!$P$47),INDEX(振り分け!$B$7:$B$456,計算用!$P$47)))</f>
        <v/>
      </c>
      <c r="C49" s="54">
        <f>IF(計算用!$P$47="","",IF(計算用!$B$1=1,INDEX(計算用!$G$3:$G$452,計算用!$P$47),INDEX(振り分け!$C$7:$C$456,計算用!$P$47)))</f>
        <v/>
      </c>
      <c r="D49" s="59">
        <f>IF(計算用!$P$47="","",IF(計算用!$B$1=1,INDEX(計算用!$H$3:$H$452,計算用!$P$47),INDEX(振り分け!$D$7:$D$456,計算用!$P$47)))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IF(計算用!$P$48="","",46)</f>
        <v/>
      </c>
      <c r="B50" s="54">
        <f>IF(計算用!$P$48="","",IF(計算用!$B$1=1,INDEX(計算用!$F$3:$F$452,計算用!$P$48),INDEX(振り分け!$B$7:$B$456,計算用!$P$48)))</f>
        <v/>
      </c>
      <c r="C50" s="54">
        <f>IF(計算用!$P$48="","",IF(計算用!$B$1=1,INDEX(計算用!$G$3:$G$452,計算用!$P$48),INDEX(振り分け!$C$7:$C$456,計算用!$P$48)))</f>
        <v/>
      </c>
      <c r="D50" s="59">
        <f>IF(計算用!$P$48="","",IF(計算用!$B$1=1,INDEX(計算用!$H$3:$H$452,計算用!$P$48),INDEX(振り分け!$D$7:$D$456,計算用!$P$48)))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IF(計算用!$P$49="","",47)</f>
        <v/>
      </c>
      <c r="B51" s="54">
        <f>IF(計算用!$P$49="","",IF(計算用!$B$1=1,INDEX(計算用!$F$3:$F$452,計算用!$P$49),INDEX(振り分け!$B$7:$B$456,計算用!$P$49)))</f>
        <v/>
      </c>
      <c r="C51" s="54">
        <f>IF(計算用!$P$49="","",IF(計算用!$B$1=1,INDEX(計算用!$G$3:$G$452,計算用!$P$49),INDEX(振り分け!$C$7:$C$456,計算用!$P$49)))</f>
        <v/>
      </c>
      <c r="D51" s="59">
        <f>IF(計算用!$P$49="","",IF(計算用!$B$1=1,INDEX(計算用!$H$3:$H$452,計算用!$P$49),INDEX(振り分け!$D$7:$D$456,計算用!$P$49)))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IF(計算用!$P$50="","",48)</f>
        <v/>
      </c>
      <c r="B52" s="54">
        <f>IF(計算用!$P$50="","",IF(計算用!$B$1=1,INDEX(計算用!$F$3:$F$452,計算用!$P$50),INDEX(振り分け!$B$7:$B$456,計算用!$P$50)))</f>
        <v/>
      </c>
      <c r="C52" s="54">
        <f>IF(計算用!$P$50="","",IF(計算用!$B$1=1,INDEX(計算用!$G$3:$G$452,計算用!$P$50),INDEX(振り分け!$C$7:$C$456,計算用!$P$50)))</f>
        <v/>
      </c>
      <c r="D52" s="59">
        <f>IF(計算用!$P$50="","",IF(計算用!$B$1=1,INDEX(計算用!$H$3:$H$452,計算用!$P$50),INDEX(振り分け!$D$7:$D$456,計算用!$P$50)))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IF(計算用!$P$51="","",49)</f>
        <v/>
      </c>
      <c r="B53" s="54">
        <f>IF(計算用!$P$51="","",IF(計算用!$B$1=1,INDEX(計算用!$F$3:$F$452,計算用!$P$51),INDEX(振り分け!$B$7:$B$456,計算用!$P$51)))</f>
        <v/>
      </c>
      <c r="C53" s="54">
        <f>IF(計算用!$P$51="","",IF(計算用!$B$1=1,INDEX(計算用!$G$3:$G$452,計算用!$P$51),INDEX(振り分け!$C$7:$C$456,計算用!$P$51)))</f>
        <v/>
      </c>
      <c r="D53" s="59">
        <f>IF(計算用!$P$51="","",IF(計算用!$B$1=1,INDEX(計算用!$H$3:$H$452,計算用!$P$51),INDEX(振り分け!$D$7:$D$456,計算用!$P$51)))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IF(計算用!$P$52="","",50)</f>
        <v/>
      </c>
      <c r="B54" s="54">
        <f>IF(計算用!$P$52="","",IF(計算用!$B$1=1,INDEX(計算用!$F$3:$F$452,計算用!$P$52),INDEX(振り分け!$B$7:$B$456,計算用!$P$52)))</f>
        <v/>
      </c>
      <c r="C54" s="54">
        <f>IF(計算用!$P$52="","",IF(計算用!$B$1=1,INDEX(計算用!$G$3:$G$452,計算用!$P$52),INDEX(振り分け!$C$7:$C$456,計算用!$P$52)))</f>
        <v/>
      </c>
      <c r="D54" s="59">
        <f>IF(計算用!$P$52="","",IF(計算用!$B$1=1,INDEX(計算用!$H$3:$H$452,計算用!$P$52),INDEX(振り分け!$D$7:$D$456,計算用!$P$52)))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IF(設定!$P$15="","",設定!$B$3&amp;"　"&amp;設定!$P$15&amp;設定!$B$4&amp;"名簿"&amp;IF(計算用!$B$1=0,"（仮・前年度の組）",""))</f>
        <v/>
      </c>
    </row>
    <row r="2">
      <c r="A2" s="44">
        <f>IF(設定!$P$15="","","担当："&amp;設定!$S$15&amp;"　　活動場所："&amp;設定!$T$15&amp;"　　人数："&amp;定員チェック!$F$14&amp;"名（"&amp;設定!$B$8&amp;"年"&amp;定員チェック!$G$14&amp;"・"&amp;設定!$B$9&amp;"年"&amp;定員チェック!$H$14&amp;"・"&amp;設定!$B$10&amp;"年"&amp;定員チェック!$I$14&amp;"）")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IF(計算用!$Q$3="","",1)</f>
        <v/>
      </c>
      <c r="B5" s="54">
        <f>IF(計算用!$Q$3="","",IF(計算用!$B$1=1,INDEX(計算用!$F$3:$F$452,計算用!$Q$3),INDEX(振り分け!$B$7:$B$456,計算用!$Q$3)))</f>
        <v/>
      </c>
      <c r="C5" s="54">
        <f>IF(計算用!$Q$3="","",IF(計算用!$B$1=1,INDEX(計算用!$G$3:$G$452,計算用!$Q$3),INDEX(振り分け!$C$7:$C$456,計算用!$Q$3)))</f>
        <v/>
      </c>
      <c r="D5" s="59">
        <f>IF(計算用!$Q$3="","",IF(計算用!$B$1=1,INDEX(計算用!$H$3:$H$452,計算用!$Q$3),INDEX(振り分け!$D$7:$D$456,計算用!$Q$3)))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IF(計算用!$Q$4="","",2)</f>
        <v/>
      </c>
      <c r="B6" s="54">
        <f>IF(計算用!$Q$4="","",IF(計算用!$B$1=1,INDEX(計算用!$F$3:$F$452,計算用!$Q$4),INDEX(振り分け!$B$7:$B$456,計算用!$Q$4)))</f>
        <v/>
      </c>
      <c r="C6" s="54">
        <f>IF(計算用!$Q$4="","",IF(計算用!$B$1=1,INDEX(計算用!$G$3:$G$452,計算用!$Q$4),INDEX(振り分け!$C$7:$C$456,計算用!$Q$4)))</f>
        <v/>
      </c>
      <c r="D6" s="59">
        <f>IF(計算用!$Q$4="","",IF(計算用!$B$1=1,INDEX(計算用!$H$3:$H$452,計算用!$Q$4),INDEX(振り分け!$D$7:$D$456,計算用!$Q$4)))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IF(計算用!$Q$5="","",3)</f>
        <v/>
      </c>
      <c r="B7" s="54">
        <f>IF(計算用!$Q$5="","",IF(計算用!$B$1=1,INDEX(計算用!$F$3:$F$452,計算用!$Q$5),INDEX(振り分け!$B$7:$B$456,計算用!$Q$5)))</f>
        <v/>
      </c>
      <c r="C7" s="54">
        <f>IF(計算用!$Q$5="","",IF(計算用!$B$1=1,INDEX(計算用!$G$3:$G$452,計算用!$Q$5),INDEX(振り分け!$C$7:$C$456,計算用!$Q$5)))</f>
        <v/>
      </c>
      <c r="D7" s="59">
        <f>IF(計算用!$Q$5="","",IF(計算用!$B$1=1,INDEX(計算用!$H$3:$H$452,計算用!$Q$5),INDEX(振り分け!$D$7:$D$456,計算用!$Q$5)))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IF(計算用!$Q$6="","",4)</f>
        <v/>
      </c>
      <c r="B8" s="54">
        <f>IF(計算用!$Q$6="","",IF(計算用!$B$1=1,INDEX(計算用!$F$3:$F$452,計算用!$Q$6),INDEX(振り分け!$B$7:$B$456,計算用!$Q$6)))</f>
        <v/>
      </c>
      <c r="C8" s="54">
        <f>IF(計算用!$Q$6="","",IF(計算用!$B$1=1,INDEX(計算用!$G$3:$G$452,計算用!$Q$6),INDEX(振り分け!$C$7:$C$456,計算用!$Q$6)))</f>
        <v/>
      </c>
      <c r="D8" s="59">
        <f>IF(計算用!$Q$6="","",IF(計算用!$B$1=1,INDEX(計算用!$H$3:$H$452,計算用!$Q$6),INDEX(振り分け!$D$7:$D$456,計算用!$Q$6)))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IF(計算用!$Q$7="","",5)</f>
        <v/>
      </c>
      <c r="B9" s="54">
        <f>IF(計算用!$Q$7="","",IF(計算用!$B$1=1,INDEX(計算用!$F$3:$F$452,計算用!$Q$7),INDEX(振り分け!$B$7:$B$456,計算用!$Q$7)))</f>
        <v/>
      </c>
      <c r="C9" s="54">
        <f>IF(計算用!$Q$7="","",IF(計算用!$B$1=1,INDEX(計算用!$G$3:$G$452,計算用!$Q$7),INDEX(振り分け!$C$7:$C$456,計算用!$Q$7)))</f>
        <v/>
      </c>
      <c r="D9" s="59">
        <f>IF(計算用!$Q$7="","",IF(計算用!$B$1=1,INDEX(計算用!$H$3:$H$452,計算用!$Q$7),INDEX(振り分け!$D$7:$D$456,計算用!$Q$7)))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IF(計算用!$Q$8="","",6)</f>
        <v/>
      </c>
      <c r="B10" s="54">
        <f>IF(計算用!$Q$8="","",IF(計算用!$B$1=1,INDEX(計算用!$F$3:$F$452,計算用!$Q$8),INDEX(振り分け!$B$7:$B$456,計算用!$Q$8)))</f>
        <v/>
      </c>
      <c r="C10" s="54">
        <f>IF(計算用!$Q$8="","",IF(計算用!$B$1=1,INDEX(計算用!$G$3:$G$452,計算用!$Q$8),INDEX(振り分け!$C$7:$C$456,計算用!$Q$8)))</f>
        <v/>
      </c>
      <c r="D10" s="59">
        <f>IF(計算用!$Q$8="","",IF(計算用!$B$1=1,INDEX(計算用!$H$3:$H$452,計算用!$Q$8),INDEX(振り分け!$D$7:$D$456,計算用!$Q$8)))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IF(計算用!$Q$9="","",7)</f>
        <v/>
      </c>
      <c r="B11" s="54">
        <f>IF(計算用!$Q$9="","",IF(計算用!$B$1=1,INDEX(計算用!$F$3:$F$452,計算用!$Q$9),INDEX(振り分け!$B$7:$B$456,計算用!$Q$9)))</f>
        <v/>
      </c>
      <c r="C11" s="54">
        <f>IF(計算用!$Q$9="","",IF(計算用!$B$1=1,INDEX(計算用!$G$3:$G$452,計算用!$Q$9),INDEX(振り分け!$C$7:$C$456,計算用!$Q$9)))</f>
        <v/>
      </c>
      <c r="D11" s="59">
        <f>IF(計算用!$Q$9="","",IF(計算用!$B$1=1,INDEX(計算用!$H$3:$H$452,計算用!$Q$9),INDEX(振り分け!$D$7:$D$456,計算用!$Q$9)))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IF(計算用!$Q$10="","",8)</f>
        <v/>
      </c>
      <c r="B12" s="54">
        <f>IF(計算用!$Q$10="","",IF(計算用!$B$1=1,INDEX(計算用!$F$3:$F$452,計算用!$Q$10),INDEX(振り分け!$B$7:$B$456,計算用!$Q$10)))</f>
        <v/>
      </c>
      <c r="C12" s="54">
        <f>IF(計算用!$Q$10="","",IF(計算用!$B$1=1,INDEX(計算用!$G$3:$G$452,計算用!$Q$10),INDEX(振り分け!$C$7:$C$456,計算用!$Q$10)))</f>
        <v/>
      </c>
      <c r="D12" s="59">
        <f>IF(計算用!$Q$10="","",IF(計算用!$B$1=1,INDEX(計算用!$H$3:$H$452,計算用!$Q$10),INDEX(振り分け!$D$7:$D$456,計算用!$Q$10)))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IF(計算用!$Q$11="","",9)</f>
        <v/>
      </c>
      <c r="B13" s="54">
        <f>IF(計算用!$Q$11="","",IF(計算用!$B$1=1,INDEX(計算用!$F$3:$F$452,計算用!$Q$11),INDEX(振り分け!$B$7:$B$456,計算用!$Q$11)))</f>
        <v/>
      </c>
      <c r="C13" s="54">
        <f>IF(計算用!$Q$11="","",IF(計算用!$B$1=1,INDEX(計算用!$G$3:$G$452,計算用!$Q$11),INDEX(振り分け!$C$7:$C$456,計算用!$Q$11)))</f>
        <v/>
      </c>
      <c r="D13" s="59">
        <f>IF(計算用!$Q$11="","",IF(計算用!$B$1=1,INDEX(計算用!$H$3:$H$452,計算用!$Q$11),INDEX(振り分け!$D$7:$D$456,計算用!$Q$11)))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IF(計算用!$Q$12="","",10)</f>
        <v/>
      </c>
      <c r="B14" s="54">
        <f>IF(計算用!$Q$12="","",IF(計算用!$B$1=1,INDEX(計算用!$F$3:$F$452,計算用!$Q$12),INDEX(振り分け!$B$7:$B$456,計算用!$Q$12)))</f>
        <v/>
      </c>
      <c r="C14" s="54">
        <f>IF(計算用!$Q$12="","",IF(計算用!$B$1=1,INDEX(計算用!$G$3:$G$452,計算用!$Q$12),INDEX(振り分け!$C$7:$C$456,計算用!$Q$12)))</f>
        <v/>
      </c>
      <c r="D14" s="59">
        <f>IF(計算用!$Q$12="","",IF(計算用!$B$1=1,INDEX(計算用!$H$3:$H$452,計算用!$Q$12),INDEX(振り分け!$D$7:$D$456,計算用!$Q$12)))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IF(計算用!$Q$13="","",11)</f>
        <v/>
      </c>
      <c r="B15" s="54">
        <f>IF(計算用!$Q$13="","",IF(計算用!$B$1=1,INDEX(計算用!$F$3:$F$452,計算用!$Q$13),INDEX(振り分け!$B$7:$B$456,計算用!$Q$13)))</f>
        <v/>
      </c>
      <c r="C15" s="54">
        <f>IF(計算用!$Q$13="","",IF(計算用!$B$1=1,INDEX(計算用!$G$3:$G$452,計算用!$Q$13),INDEX(振り分け!$C$7:$C$456,計算用!$Q$13)))</f>
        <v/>
      </c>
      <c r="D15" s="59">
        <f>IF(計算用!$Q$13="","",IF(計算用!$B$1=1,INDEX(計算用!$H$3:$H$452,計算用!$Q$13),INDEX(振り分け!$D$7:$D$456,計算用!$Q$13)))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IF(計算用!$Q$14="","",12)</f>
        <v/>
      </c>
      <c r="B16" s="54">
        <f>IF(計算用!$Q$14="","",IF(計算用!$B$1=1,INDEX(計算用!$F$3:$F$452,計算用!$Q$14),INDEX(振り分け!$B$7:$B$456,計算用!$Q$14)))</f>
        <v/>
      </c>
      <c r="C16" s="54">
        <f>IF(計算用!$Q$14="","",IF(計算用!$B$1=1,INDEX(計算用!$G$3:$G$452,計算用!$Q$14),INDEX(振り分け!$C$7:$C$456,計算用!$Q$14)))</f>
        <v/>
      </c>
      <c r="D16" s="59">
        <f>IF(計算用!$Q$14="","",IF(計算用!$B$1=1,INDEX(計算用!$H$3:$H$452,計算用!$Q$14),INDEX(振り分け!$D$7:$D$456,計算用!$Q$14)))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IF(計算用!$Q$15="","",13)</f>
        <v/>
      </c>
      <c r="B17" s="54">
        <f>IF(計算用!$Q$15="","",IF(計算用!$B$1=1,INDEX(計算用!$F$3:$F$452,計算用!$Q$15),INDEX(振り分け!$B$7:$B$456,計算用!$Q$15)))</f>
        <v/>
      </c>
      <c r="C17" s="54">
        <f>IF(計算用!$Q$15="","",IF(計算用!$B$1=1,INDEX(計算用!$G$3:$G$452,計算用!$Q$15),INDEX(振り分け!$C$7:$C$456,計算用!$Q$15)))</f>
        <v/>
      </c>
      <c r="D17" s="59">
        <f>IF(計算用!$Q$15="","",IF(計算用!$B$1=1,INDEX(計算用!$H$3:$H$452,計算用!$Q$15),INDEX(振り分け!$D$7:$D$456,計算用!$Q$15)))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IF(計算用!$Q$16="","",14)</f>
        <v/>
      </c>
      <c r="B18" s="54">
        <f>IF(計算用!$Q$16="","",IF(計算用!$B$1=1,INDEX(計算用!$F$3:$F$452,計算用!$Q$16),INDEX(振り分け!$B$7:$B$456,計算用!$Q$16)))</f>
        <v/>
      </c>
      <c r="C18" s="54">
        <f>IF(計算用!$Q$16="","",IF(計算用!$B$1=1,INDEX(計算用!$G$3:$G$452,計算用!$Q$16),INDEX(振り分け!$C$7:$C$456,計算用!$Q$16)))</f>
        <v/>
      </c>
      <c r="D18" s="59">
        <f>IF(計算用!$Q$16="","",IF(計算用!$B$1=1,INDEX(計算用!$H$3:$H$452,計算用!$Q$16),INDEX(振り分け!$D$7:$D$456,計算用!$Q$16)))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IF(計算用!$Q$17="","",15)</f>
        <v/>
      </c>
      <c r="B19" s="54">
        <f>IF(計算用!$Q$17="","",IF(計算用!$B$1=1,INDEX(計算用!$F$3:$F$452,計算用!$Q$17),INDEX(振り分け!$B$7:$B$456,計算用!$Q$17)))</f>
        <v/>
      </c>
      <c r="C19" s="54">
        <f>IF(計算用!$Q$17="","",IF(計算用!$B$1=1,INDEX(計算用!$G$3:$G$452,計算用!$Q$17),INDEX(振り分け!$C$7:$C$456,計算用!$Q$17)))</f>
        <v/>
      </c>
      <c r="D19" s="59">
        <f>IF(計算用!$Q$17="","",IF(計算用!$B$1=1,INDEX(計算用!$H$3:$H$452,計算用!$Q$17),INDEX(振り分け!$D$7:$D$456,計算用!$Q$17)))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IF(計算用!$Q$18="","",16)</f>
        <v/>
      </c>
      <c r="B20" s="54">
        <f>IF(計算用!$Q$18="","",IF(計算用!$B$1=1,INDEX(計算用!$F$3:$F$452,計算用!$Q$18),INDEX(振り分け!$B$7:$B$456,計算用!$Q$18)))</f>
        <v/>
      </c>
      <c r="C20" s="54">
        <f>IF(計算用!$Q$18="","",IF(計算用!$B$1=1,INDEX(計算用!$G$3:$G$452,計算用!$Q$18),INDEX(振り分け!$C$7:$C$456,計算用!$Q$18)))</f>
        <v/>
      </c>
      <c r="D20" s="59">
        <f>IF(計算用!$Q$18="","",IF(計算用!$B$1=1,INDEX(計算用!$H$3:$H$452,計算用!$Q$18),INDEX(振り分け!$D$7:$D$456,計算用!$Q$18)))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IF(計算用!$Q$19="","",17)</f>
        <v/>
      </c>
      <c r="B21" s="54">
        <f>IF(計算用!$Q$19="","",IF(計算用!$B$1=1,INDEX(計算用!$F$3:$F$452,計算用!$Q$19),INDEX(振り分け!$B$7:$B$456,計算用!$Q$19)))</f>
        <v/>
      </c>
      <c r="C21" s="54">
        <f>IF(計算用!$Q$19="","",IF(計算用!$B$1=1,INDEX(計算用!$G$3:$G$452,計算用!$Q$19),INDEX(振り分け!$C$7:$C$456,計算用!$Q$19)))</f>
        <v/>
      </c>
      <c r="D21" s="59">
        <f>IF(計算用!$Q$19="","",IF(計算用!$B$1=1,INDEX(計算用!$H$3:$H$452,計算用!$Q$19),INDEX(振り分け!$D$7:$D$456,計算用!$Q$19)))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IF(計算用!$Q$20="","",18)</f>
        <v/>
      </c>
      <c r="B22" s="54">
        <f>IF(計算用!$Q$20="","",IF(計算用!$B$1=1,INDEX(計算用!$F$3:$F$452,計算用!$Q$20),INDEX(振り分け!$B$7:$B$456,計算用!$Q$20)))</f>
        <v/>
      </c>
      <c r="C22" s="54">
        <f>IF(計算用!$Q$20="","",IF(計算用!$B$1=1,INDEX(計算用!$G$3:$G$452,計算用!$Q$20),INDEX(振り分け!$C$7:$C$456,計算用!$Q$20)))</f>
        <v/>
      </c>
      <c r="D22" s="59">
        <f>IF(計算用!$Q$20="","",IF(計算用!$B$1=1,INDEX(計算用!$H$3:$H$452,計算用!$Q$20),INDEX(振り分け!$D$7:$D$456,計算用!$Q$20)))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IF(計算用!$Q$21="","",19)</f>
        <v/>
      </c>
      <c r="B23" s="54">
        <f>IF(計算用!$Q$21="","",IF(計算用!$B$1=1,INDEX(計算用!$F$3:$F$452,計算用!$Q$21),INDEX(振り分け!$B$7:$B$456,計算用!$Q$21)))</f>
        <v/>
      </c>
      <c r="C23" s="54">
        <f>IF(計算用!$Q$21="","",IF(計算用!$B$1=1,INDEX(計算用!$G$3:$G$452,計算用!$Q$21),INDEX(振り分け!$C$7:$C$456,計算用!$Q$21)))</f>
        <v/>
      </c>
      <c r="D23" s="59">
        <f>IF(計算用!$Q$21="","",IF(計算用!$B$1=1,INDEX(計算用!$H$3:$H$452,計算用!$Q$21),INDEX(振り分け!$D$7:$D$456,計算用!$Q$21)))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IF(計算用!$Q$22="","",20)</f>
        <v/>
      </c>
      <c r="B24" s="54">
        <f>IF(計算用!$Q$22="","",IF(計算用!$B$1=1,INDEX(計算用!$F$3:$F$452,計算用!$Q$22),INDEX(振り分け!$B$7:$B$456,計算用!$Q$22)))</f>
        <v/>
      </c>
      <c r="C24" s="54">
        <f>IF(計算用!$Q$22="","",IF(計算用!$B$1=1,INDEX(計算用!$G$3:$G$452,計算用!$Q$22),INDEX(振り分け!$C$7:$C$456,計算用!$Q$22)))</f>
        <v/>
      </c>
      <c r="D24" s="59">
        <f>IF(計算用!$Q$22="","",IF(計算用!$B$1=1,INDEX(計算用!$H$3:$H$452,計算用!$Q$22),INDEX(振り分け!$D$7:$D$456,計算用!$Q$22)))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IF(計算用!$Q$23="","",21)</f>
        <v/>
      </c>
      <c r="B25" s="54">
        <f>IF(計算用!$Q$23="","",IF(計算用!$B$1=1,INDEX(計算用!$F$3:$F$452,計算用!$Q$23),INDEX(振り分け!$B$7:$B$456,計算用!$Q$23)))</f>
        <v/>
      </c>
      <c r="C25" s="54">
        <f>IF(計算用!$Q$23="","",IF(計算用!$B$1=1,INDEX(計算用!$G$3:$G$452,計算用!$Q$23),INDEX(振り分け!$C$7:$C$456,計算用!$Q$23)))</f>
        <v/>
      </c>
      <c r="D25" s="59">
        <f>IF(計算用!$Q$23="","",IF(計算用!$B$1=1,INDEX(計算用!$H$3:$H$452,計算用!$Q$23),INDEX(振り分け!$D$7:$D$456,計算用!$Q$23)))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IF(計算用!$Q$24="","",22)</f>
        <v/>
      </c>
      <c r="B26" s="54">
        <f>IF(計算用!$Q$24="","",IF(計算用!$B$1=1,INDEX(計算用!$F$3:$F$452,計算用!$Q$24),INDEX(振り分け!$B$7:$B$456,計算用!$Q$24)))</f>
        <v/>
      </c>
      <c r="C26" s="54">
        <f>IF(計算用!$Q$24="","",IF(計算用!$B$1=1,INDEX(計算用!$G$3:$G$452,計算用!$Q$24),INDEX(振り分け!$C$7:$C$456,計算用!$Q$24)))</f>
        <v/>
      </c>
      <c r="D26" s="59">
        <f>IF(計算用!$Q$24="","",IF(計算用!$B$1=1,INDEX(計算用!$H$3:$H$452,計算用!$Q$24),INDEX(振り分け!$D$7:$D$456,計算用!$Q$24)))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IF(計算用!$Q$25="","",23)</f>
        <v/>
      </c>
      <c r="B27" s="54">
        <f>IF(計算用!$Q$25="","",IF(計算用!$B$1=1,INDEX(計算用!$F$3:$F$452,計算用!$Q$25),INDEX(振り分け!$B$7:$B$456,計算用!$Q$25)))</f>
        <v/>
      </c>
      <c r="C27" s="54">
        <f>IF(計算用!$Q$25="","",IF(計算用!$B$1=1,INDEX(計算用!$G$3:$G$452,計算用!$Q$25),INDEX(振り分け!$C$7:$C$456,計算用!$Q$25)))</f>
        <v/>
      </c>
      <c r="D27" s="59">
        <f>IF(計算用!$Q$25="","",IF(計算用!$B$1=1,INDEX(計算用!$H$3:$H$452,計算用!$Q$25),INDEX(振り分け!$D$7:$D$456,計算用!$Q$25)))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IF(計算用!$Q$26="","",24)</f>
        <v/>
      </c>
      <c r="B28" s="54">
        <f>IF(計算用!$Q$26="","",IF(計算用!$B$1=1,INDEX(計算用!$F$3:$F$452,計算用!$Q$26),INDEX(振り分け!$B$7:$B$456,計算用!$Q$26)))</f>
        <v/>
      </c>
      <c r="C28" s="54">
        <f>IF(計算用!$Q$26="","",IF(計算用!$B$1=1,INDEX(計算用!$G$3:$G$452,計算用!$Q$26),INDEX(振り分け!$C$7:$C$456,計算用!$Q$26)))</f>
        <v/>
      </c>
      <c r="D28" s="59">
        <f>IF(計算用!$Q$26="","",IF(計算用!$B$1=1,INDEX(計算用!$H$3:$H$452,計算用!$Q$26),INDEX(振り分け!$D$7:$D$456,計算用!$Q$26)))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IF(計算用!$Q$27="","",25)</f>
        <v/>
      </c>
      <c r="B29" s="54">
        <f>IF(計算用!$Q$27="","",IF(計算用!$B$1=1,INDEX(計算用!$F$3:$F$452,計算用!$Q$27),INDEX(振り分け!$B$7:$B$456,計算用!$Q$27)))</f>
        <v/>
      </c>
      <c r="C29" s="54">
        <f>IF(計算用!$Q$27="","",IF(計算用!$B$1=1,INDEX(計算用!$G$3:$G$452,計算用!$Q$27),INDEX(振り分け!$C$7:$C$456,計算用!$Q$27)))</f>
        <v/>
      </c>
      <c r="D29" s="59">
        <f>IF(計算用!$Q$27="","",IF(計算用!$B$1=1,INDEX(計算用!$H$3:$H$452,計算用!$Q$27),INDEX(振り分け!$D$7:$D$456,計算用!$Q$27)))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IF(計算用!$Q$28="","",26)</f>
        <v/>
      </c>
      <c r="B30" s="54">
        <f>IF(計算用!$Q$28="","",IF(計算用!$B$1=1,INDEX(計算用!$F$3:$F$452,計算用!$Q$28),INDEX(振り分け!$B$7:$B$456,計算用!$Q$28)))</f>
        <v/>
      </c>
      <c r="C30" s="54">
        <f>IF(計算用!$Q$28="","",IF(計算用!$B$1=1,INDEX(計算用!$G$3:$G$452,計算用!$Q$28),INDEX(振り分け!$C$7:$C$456,計算用!$Q$28)))</f>
        <v/>
      </c>
      <c r="D30" s="59">
        <f>IF(計算用!$Q$28="","",IF(計算用!$B$1=1,INDEX(計算用!$H$3:$H$452,計算用!$Q$28),INDEX(振り分け!$D$7:$D$456,計算用!$Q$28)))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IF(計算用!$Q$29="","",27)</f>
        <v/>
      </c>
      <c r="B31" s="54">
        <f>IF(計算用!$Q$29="","",IF(計算用!$B$1=1,INDEX(計算用!$F$3:$F$452,計算用!$Q$29),INDEX(振り分け!$B$7:$B$456,計算用!$Q$29)))</f>
        <v/>
      </c>
      <c r="C31" s="54">
        <f>IF(計算用!$Q$29="","",IF(計算用!$B$1=1,INDEX(計算用!$G$3:$G$452,計算用!$Q$29),INDEX(振り分け!$C$7:$C$456,計算用!$Q$29)))</f>
        <v/>
      </c>
      <c r="D31" s="59">
        <f>IF(計算用!$Q$29="","",IF(計算用!$B$1=1,INDEX(計算用!$H$3:$H$452,計算用!$Q$29),INDEX(振り分け!$D$7:$D$456,計算用!$Q$29)))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IF(計算用!$Q$30="","",28)</f>
        <v/>
      </c>
      <c r="B32" s="54">
        <f>IF(計算用!$Q$30="","",IF(計算用!$B$1=1,INDEX(計算用!$F$3:$F$452,計算用!$Q$30),INDEX(振り分け!$B$7:$B$456,計算用!$Q$30)))</f>
        <v/>
      </c>
      <c r="C32" s="54">
        <f>IF(計算用!$Q$30="","",IF(計算用!$B$1=1,INDEX(計算用!$G$3:$G$452,計算用!$Q$30),INDEX(振り分け!$C$7:$C$456,計算用!$Q$30)))</f>
        <v/>
      </c>
      <c r="D32" s="59">
        <f>IF(計算用!$Q$30="","",IF(計算用!$B$1=1,INDEX(計算用!$H$3:$H$452,計算用!$Q$30),INDEX(振り分け!$D$7:$D$456,計算用!$Q$30)))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IF(計算用!$Q$31="","",29)</f>
        <v/>
      </c>
      <c r="B33" s="54">
        <f>IF(計算用!$Q$31="","",IF(計算用!$B$1=1,INDEX(計算用!$F$3:$F$452,計算用!$Q$31),INDEX(振り分け!$B$7:$B$456,計算用!$Q$31)))</f>
        <v/>
      </c>
      <c r="C33" s="54">
        <f>IF(計算用!$Q$31="","",IF(計算用!$B$1=1,INDEX(計算用!$G$3:$G$452,計算用!$Q$31),INDEX(振り分け!$C$7:$C$456,計算用!$Q$31)))</f>
        <v/>
      </c>
      <c r="D33" s="59">
        <f>IF(計算用!$Q$31="","",IF(計算用!$B$1=1,INDEX(計算用!$H$3:$H$452,計算用!$Q$31),INDEX(振り分け!$D$7:$D$456,計算用!$Q$31)))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IF(計算用!$Q$32="","",30)</f>
        <v/>
      </c>
      <c r="B34" s="54">
        <f>IF(計算用!$Q$32="","",IF(計算用!$B$1=1,INDEX(計算用!$F$3:$F$452,計算用!$Q$32),INDEX(振り分け!$B$7:$B$456,計算用!$Q$32)))</f>
        <v/>
      </c>
      <c r="C34" s="54">
        <f>IF(計算用!$Q$32="","",IF(計算用!$B$1=1,INDEX(計算用!$G$3:$G$452,計算用!$Q$32),INDEX(振り分け!$C$7:$C$456,計算用!$Q$32)))</f>
        <v/>
      </c>
      <c r="D34" s="59">
        <f>IF(計算用!$Q$32="","",IF(計算用!$B$1=1,INDEX(計算用!$H$3:$H$452,計算用!$Q$32),INDEX(振り分け!$D$7:$D$456,計算用!$Q$32)))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IF(計算用!$Q$33="","",31)</f>
        <v/>
      </c>
      <c r="B35" s="54">
        <f>IF(計算用!$Q$33="","",IF(計算用!$B$1=1,INDEX(計算用!$F$3:$F$452,計算用!$Q$33),INDEX(振り分け!$B$7:$B$456,計算用!$Q$33)))</f>
        <v/>
      </c>
      <c r="C35" s="54">
        <f>IF(計算用!$Q$33="","",IF(計算用!$B$1=1,INDEX(計算用!$G$3:$G$452,計算用!$Q$33),INDEX(振り分け!$C$7:$C$456,計算用!$Q$33)))</f>
        <v/>
      </c>
      <c r="D35" s="59">
        <f>IF(計算用!$Q$33="","",IF(計算用!$B$1=1,INDEX(計算用!$H$3:$H$452,計算用!$Q$33),INDEX(振り分け!$D$7:$D$456,計算用!$Q$33)))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IF(計算用!$Q$34="","",32)</f>
        <v/>
      </c>
      <c r="B36" s="54">
        <f>IF(計算用!$Q$34="","",IF(計算用!$B$1=1,INDEX(計算用!$F$3:$F$452,計算用!$Q$34),INDEX(振り分け!$B$7:$B$456,計算用!$Q$34)))</f>
        <v/>
      </c>
      <c r="C36" s="54">
        <f>IF(計算用!$Q$34="","",IF(計算用!$B$1=1,INDEX(計算用!$G$3:$G$452,計算用!$Q$34),INDEX(振り分け!$C$7:$C$456,計算用!$Q$34)))</f>
        <v/>
      </c>
      <c r="D36" s="59">
        <f>IF(計算用!$Q$34="","",IF(計算用!$B$1=1,INDEX(計算用!$H$3:$H$452,計算用!$Q$34),INDEX(振り分け!$D$7:$D$456,計算用!$Q$34)))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IF(計算用!$Q$35="","",33)</f>
        <v/>
      </c>
      <c r="B37" s="54">
        <f>IF(計算用!$Q$35="","",IF(計算用!$B$1=1,INDEX(計算用!$F$3:$F$452,計算用!$Q$35),INDEX(振り分け!$B$7:$B$456,計算用!$Q$35)))</f>
        <v/>
      </c>
      <c r="C37" s="54">
        <f>IF(計算用!$Q$35="","",IF(計算用!$B$1=1,INDEX(計算用!$G$3:$G$452,計算用!$Q$35),INDEX(振り分け!$C$7:$C$456,計算用!$Q$35)))</f>
        <v/>
      </c>
      <c r="D37" s="59">
        <f>IF(計算用!$Q$35="","",IF(計算用!$B$1=1,INDEX(計算用!$H$3:$H$452,計算用!$Q$35),INDEX(振り分け!$D$7:$D$456,計算用!$Q$35)))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IF(計算用!$Q$36="","",34)</f>
        <v/>
      </c>
      <c r="B38" s="54">
        <f>IF(計算用!$Q$36="","",IF(計算用!$B$1=1,INDEX(計算用!$F$3:$F$452,計算用!$Q$36),INDEX(振り分け!$B$7:$B$456,計算用!$Q$36)))</f>
        <v/>
      </c>
      <c r="C38" s="54">
        <f>IF(計算用!$Q$36="","",IF(計算用!$B$1=1,INDEX(計算用!$G$3:$G$452,計算用!$Q$36),INDEX(振り分け!$C$7:$C$456,計算用!$Q$36)))</f>
        <v/>
      </c>
      <c r="D38" s="59">
        <f>IF(計算用!$Q$36="","",IF(計算用!$B$1=1,INDEX(計算用!$H$3:$H$452,計算用!$Q$36),INDEX(振り分け!$D$7:$D$456,計算用!$Q$36)))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IF(計算用!$Q$37="","",35)</f>
        <v/>
      </c>
      <c r="B39" s="54">
        <f>IF(計算用!$Q$37="","",IF(計算用!$B$1=1,INDEX(計算用!$F$3:$F$452,計算用!$Q$37),INDEX(振り分け!$B$7:$B$456,計算用!$Q$37)))</f>
        <v/>
      </c>
      <c r="C39" s="54">
        <f>IF(計算用!$Q$37="","",IF(計算用!$B$1=1,INDEX(計算用!$G$3:$G$452,計算用!$Q$37),INDEX(振り分け!$C$7:$C$456,計算用!$Q$37)))</f>
        <v/>
      </c>
      <c r="D39" s="59">
        <f>IF(計算用!$Q$37="","",IF(計算用!$B$1=1,INDEX(計算用!$H$3:$H$452,計算用!$Q$37),INDEX(振り分け!$D$7:$D$456,計算用!$Q$37)))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IF(計算用!$Q$38="","",36)</f>
        <v/>
      </c>
      <c r="B40" s="54">
        <f>IF(計算用!$Q$38="","",IF(計算用!$B$1=1,INDEX(計算用!$F$3:$F$452,計算用!$Q$38),INDEX(振り分け!$B$7:$B$456,計算用!$Q$38)))</f>
        <v/>
      </c>
      <c r="C40" s="54">
        <f>IF(計算用!$Q$38="","",IF(計算用!$B$1=1,INDEX(計算用!$G$3:$G$452,計算用!$Q$38),INDEX(振り分け!$C$7:$C$456,計算用!$Q$38)))</f>
        <v/>
      </c>
      <c r="D40" s="59">
        <f>IF(計算用!$Q$38="","",IF(計算用!$B$1=1,INDEX(計算用!$H$3:$H$452,計算用!$Q$38),INDEX(振り分け!$D$7:$D$456,計算用!$Q$38)))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IF(計算用!$Q$39="","",37)</f>
        <v/>
      </c>
      <c r="B41" s="54">
        <f>IF(計算用!$Q$39="","",IF(計算用!$B$1=1,INDEX(計算用!$F$3:$F$452,計算用!$Q$39),INDEX(振り分け!$B$7:$B$456,計算用!$Q$39)))</f>
        <v/>
      </c>
      <c r="C41" s="54">
        <f>IF(計算用!$Q$39="","",IF(計算用!$B$1=1,INDEX(計算用!$G$3:$G$452,計算用!$Q$39),INDEX(振り分け!$C$7:$C$456,計算用!$Q$39)))</f>
        <v/>
      </c>
      <c r="D41" s="59">
        <f>IF(計算用!$Q$39="","",IF(計算用!$B$1=1,INDEX(計算用!$H$3:$H$452,計算用!$Q$39),INDEX(振り分け!$D$7:$D$456,計算用!$Q$39)))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IF(計算用!$Q$40="","",38)</f>
        <v/>
      </c>
      <c r="B42" s="54">
        <f>IF(計算用!$Q$40="","",IF(計算用!$B$1=1,INDEX(計算用!$F$3:$F$452,計算用!$Q$40),INDEX(振り分け!$B$7:$B$456,計算用!$Q$40)))</f>
        <v/>
      </c>
      <c r="C42" s="54">
        <f>IF(計算用!$Q$40="","",IF(計算用!$B$1=1,INDEX(計算用!$G$3:$G$452,計算用!$Q$40),INDEX(振り分け!$C$7:$C$456,計算用!$Q$40)))</f>
        <v/>
      </c>
      <c r="D42" s="59">
        <f>IF(計算用!$Q$40="","",IF(計算用!$B$1=1,INDEX(計算用!$H$3:$H$452,計算用!$Q$40),INDEX(振り分け!$D$7:$D$456,計算用!$Q$40)))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IF(計算用!$Q$41="","",39)</f>
        <v/>
      </c>
      <c r="B43" s="54">
        <f>IF(計算用!$Q$41="","",IF(計算用!$B$1=1,INDEX(計算用!$F$3:$F$452,計算用!$Q$41),INDEX(振り分け!$B$7:$B$456,計算用!$Q$41)))</f>
        <v/>
      </c>
      <c r="C43" s="54">
        <f>IF(計算用!$Q$41="","",IF(計算用!$B$1=1,INDEX(計算用!$G$3:$G$452,計算用!$Q$41),INDEX(振り分け!$C$7:$C$456,計算用!$Q$41)))</f>
        <v/>
      </c>
      <c r="D43" s="59">
        <f>IF(計算用!$Q$41="","",IF(計算用!$B$1=1,INDEX(計算用!$H$3:$H$452,計算用!$Q$41),INDEX(振り分け!$D$7:$D$456,計算用!$Q$41)))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IF(計算用!$Q$42="","",40)</f>
        <v/>
      </c>
      <c r="B44" s="54">
        <f>IF(計算用!$Q$42="","",IF(計算用!$B$1=1,INDEX(計算用!$F$3:$F$452,計算用!$Q$42),INDEX(振り分け!$B$7:$B$456,計算用!$Q$42)))</f>
        <v/>
      </c>
      <c r="C44" s="54">
        <f>IF(計算用!$Q$42="","",IF(計算用!$B$1=1,INDEX(計算用!$G$3:$G$452,計算用!$Q$42),INDEX(振り分け!$C$7:$C$456,計算用!$Q$42)))</f>
        <v/>
      </c>
      <c r="D44" s="59">
        <f>IF(計算用!$Q$42="","",IF(計算用!$B$1=1,INDEX(計算用!$H$3:$H$452,計算用!$Q$42),INDEX(振り分け!$D$7:$D$456,計算用!$Q$42)))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IF(計算用!$Q$43="","",41)</f>
        <v/>
      </c>
      <c r="B45" s="54">
        <f>IF(計算用!$Q$43="","",IF(計算用!$B$1=1,INDEX(計算用!$F$3:$F$452,計算用!$Q$43),INDEX(振り分け!$B$7:$B$456,計算用!$Q$43)))</f>
        <v/>
      </c>
      <c r="C45" s="54">
        <f>IF(計算用!$Q$43="","",IF(計算用!$B$1=1,INDEX(計算用!$G$3:$G$452,計算用!$Q$43),INDEX(振り分け!$C$7:$C$456,計算用!$Q$43)))</f>
        <v/>
      </c>
      <c r="D45" s="59">
        <f>IF(計算用!$Q$43="","",IF(計算用!$B$1=1,INDEX(計算用!$H$3:$H$452,計算用!$Q$43),INDEX(振り分け!$D$7:$D$456,計算用!$Q$43)))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IF(計算用!$Q$44="","",42)</f>
        <v/>
      </c>
      <c r="B46" s="54">
        <f>IF(計算用!$Q$44="","",IF(計算用!$B$1=1,INDEX(計算用!$F$3:$F$452,計算用!$Q$44),INDEX(振り分け!$B$7:$B$456,計算用!$Q$44)))</f>
        <v/>
      </c>
      <c r="C46" s="54">
        <f>IF(計算用!$Q$44="","",IF(計算用!$B$1=1,INDEX(計算用!$G$3:$G$452,計算用!$Q$44),INDEX(振り分け!$C$7:$C$456,計算用!$Q$44)))</f>
        <v/>
      </c>
      <c r="D46" s="59">
        <f>IF(計算用!$Q$44="","",IF(計算用!$B$1=1,INDEX(計算用!$H$3:$H$452,計算用!$Q$44),INDEX(振り分け!$D$7:$D$456,計算用!$Q$44)))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IF(計算用!$Q$45="","",43)</f>
        <v/>
      </c>
      <c r="B47" s="54">
        <f>IF(計算用!$Q$45="","",IF(計算用!$B$1=1,INDEX(計算用!$F$3:$F$452,計算用!$Q$45),INDEX(振り分け!$B$7:$B$456,計算用!$Q$45)))</f>
        <v/>
      </c>
      <c r="C47" s="54">
        <f>IF(計算用!$Q$45="","",IF(計算用!$B$1=1,INDEX(計算用!$G$3:$G$452,計算用!$Q$45),INDEX(振り分け!$C$7:$C$456,計算用!$Q$45)))</f>
        <v/>
      </c>
      <c r="D47" s="59">
        <f>IF(計算用!$Q$45="","",IF(計算用!$B$1=1,INDEX(計算用!$H$3:$H$452,計算用!$Q$45),INDEX(振り分け!$D$7:$D$456,計算用!$Q$45)))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IF(計算用!$Q$46="","",44)</f>
        <v/>
      </c>
      <c r="B48" s="54">
        <f>IF(計算用!$Q$46="","",IF(計算用!$B$1=1,INDEX(計算用!$F$3:$F$452,計算用!$Q$46),INDEX(振り分け!$B$7:$B$456,計算用!$Q$46)))</f>
        <v/>
      </c>
      <c r="C48" s="54">
        <f>IF(計算用!$Q$46="","",IF(計算用!$B$1=1,INDEX(計算用!$G$3:$G$452,計算用!$Q$46),INDEX(振り分け!$C$7:$C$456,計算用!$Q$46)))</f>
        <v/>
      </c>
      <c r="D48" s="59">
        <f>IF(計算用!$Q$46="","",IF(計算用!$B$1=1,INDEX(計算用!$H$3:$H$452,計算用!$Q$46),INDEX(振り分け!$D$7:$D$456,計算用!$Q$46)))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IF(計算用!$Q$47="","",45)</f>
        <v/>
      </c>
      <c r="B49" s="54">
        <f>IF(計算用!$Q$47="","",IF(計算用!$B$1=1,INDEX(計算用!$F$3:$F$452,計算用!$Q$47),INDEX(振り分け!$B$7:$B$456,計算用!$Q$47)))</f>
        <v/>
      </c>
      <c r="C49" s="54">
        <f>IF(計算用!$Q$47="","",IF(計算用!$B$1=1,INDEX(計算用!$G$3:$G$452,計算用!$Q$47),INDEX(振り分け!$C$7:$C$456,計算用!$Q$47)))</f>
        <v/>
      </c>
      <c r="D49" s="59">
        <f>IF(計算用!$Q$47="","",IF(計算用!$B$1=1,INDEX(計算用!$H$3:$H$452,計算用!$Q$47),INDEX(振り分け!$D$7:$D$456,計算用!$Q$47)))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IF(計算用!$Q$48="","",46)</f>
        <v/>
      </c>
      <c r="B50" s="54">
        <f>IF(計算用!$Q$48="","",IF(計算用!$B$1=1,INDEX(計算用!$F$3:$F$452,計算用!$Q$48),INDEX(振り分け!$B$7:$B$456,計算用!$Q$48)))</f>
        <v/>
      </c>
      <c r="C50" s="54">
        <f>IF(計算用!$Q$48="","",IF(計算用!$B$1=1,INDEX(計算用!$G$3:$G$452,計算用!$Q$48),INDEX(振り分け!$C$7:$C$456,計算用!$Q$48)))</f>
        <v/>
      </c>
      <c r="D50" s="59">
        <f>IF(計算用!$Q$48="","",IF(計算用!$B$1=1,INDEX(計算用!$H$3:$H$452,計算用!$Q$48),INDEX(振り分け!$D$7:$D$456,計算用!$Q$48)))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IF(計算用!$Q$49="","",47)</f>
        <v/>
      </c>
      <c r="B51" s="54">
        <f>IF(計算用!$Q$49="","",IF(計算用!$B$1=1,INDEX(計算用!$F$3:$F$452,計算用!$Q$49),INDEX(振り分け!$B$7:$B$456,計算用!$Q$49)))</f>
        <v/>
      </c>
      <c r="C51" s="54">
        <f>IF(計算用!$Q$49="","",IF(計算用!$B$1=1,INDEX(計算用!$G$3:$G$452,計算用!$Q$49),INDEX(振り分け!$C$7:$C$456,計算用!$Q$49)))</f>
        <v/>
      </c>
      <c r="D51" s="59">
        <f>IF(計算用!$Q$49="","",IF(計算用!$B$1=1,INDEX(計算用!$H$3:$H$452,計算用!$Q$49),INDEX(振り分け!$D$7:$D$456,計算用!$Q$49)))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IF(計算用!$Q$50="","",48)</f>
        <v/>
      </c>
      <c r="B52" s="54">
        <f>IF(計算用!$Q$50="","",IF(計算用!$B$1=1,INDEX(計算用!$F$3:$F$452,計算用!$Q$50),INDEX(振り分け!$B$7:$B$456,計算用!$Q$50)))</f>
        <v/>
      </c>
      <c r="C52" s="54">
        <f>IF(計算用!$Q$50="","",IF(計算用!$B$1=1,INDEX(計算用!$G$3:$G$452,計算用!$Q$50),INDEX(振り分け!$C$7:$C$456,計算用!$Q$50)))</f>
        <v/>
      </c>
      <c r="D52" s="59">
        <f>IF(計算用!$Q$50="","",IF(計算用!$B$1=1,INDEX(計算用!$H$3:$H$452,計算用!$Q$50),INDEX(振り分け!$D$7:$D$456,計算用!$Q$50)))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IF(計算用!$Q$51="","",49)</f>
        <v/>
      </c>
      <c r="B53" s="54">
        <f>IF(計算用!$Q$51="","",IF(計算用!$B$1=1,INDEX(計算用!$F$3:$F$452,計算用!$Q$51),INDEX(振り分け!$B$7:$B$456,計算用!$Q$51)))</f>
        <v/>
      </c>
      <c r="C53" s="54">
        <f>IF(計算用!$Q$51="","",IF(計算用!$B$1=1,INDEX(計算用!$G$3:$G$452,計算用!$Q$51),INDEX(振り分け!$C$7:$C$456,計算用!$Q$51)))</f>
        <v/>
      </c>
      <c r="D53" s="59">
        <f>IF(計算用!$Q$51="","",IF(計算用!$B$1=1,INDEX(計算用!$H$3:$H$452,計算用!$Q$51),INDEX(振り分け!$D$7:$D$456,計算用!$Q$51)))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IF(計算用!$Q$52="","",50)</f>
        <v/>
      </c>
      <c r="B54" s="54">
        <f>IF(計算用!$Q$52="","",IF(計算用!$B$1=1,INDEX(計算用!$F$3:$F$452,計算用!$Q$52),INDEX(振り分け!$B$7:$B$456,計算用!$Q$52)))</f>
        <v/>
      </c>
      <c r="C54" s="54">
        <f>IF(計算用!$Q$52="","",IF(計算用!$B$1=1,INDEX(計算用!$G$3:$G$452,計算用!$Q$52),INDEX(振り分け!$C$7:$C$456,計算用!$Q$52)))</f>
        <v/>
      </c>
      <c r="D54" s="59">
        <f>IF(計算用!$Q$52="","",IF(計算用!$B$1=1,INDEX(計算用!$H$3:$H$452,計算用!$Q$52),INDEX(振り分け!$D$7:$D$456,計算用!$Q$52)))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IF(設定!$P$16="","",設定!$B$3&amp;"　"&amp;設定!$P$16&amp;設定!$B$4&amp;"名簿"&amp;IF(計算用!$B$1=0,"（仮・前年度の組）",""))</f>
        <v/>
      </c>
    </row>
    <row r="2">
      <c r="A2" s="44">
        <f>IF(設定!$P$16="","","担当："&amp;設定!$S$16&amp;"　　活動場所："&amp;設定!$T$16&amp;"　　人数："&amp;定員チェック!$F$15&amp;"名（"&amp;設定!$B$8&amp;"年"&amp;定員チェック!$G$15&amp;"・"&amp;設定!$B$9&amp;"年"&amp;定員チェック!$H$15&amp;"・"&amp;設定!$B$10&amp;"年"&amp;定員チェック!$I$15&amp;"）")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IF(計算用!$R$3="","",1)</f>
        <v/>
      </c>
      <c r="B5" s="54">
        <f>IF(計算用!$R$3="","",IF(計算用!$B$1=1,INDEX(計算用!$F$3:$F$452,計算用!$R$3),INDEX(振り分け!$B$7:$B$456,計算用!$R$3)))</f>
        <v/>
      </c>
      <c r="C5" s="54">
        <f>IF(計算用!$R$3="","",IF(計算用!$B$1=1,INDEX(計算用!$G$3:$G$452,計算用!$R$3),INDEX(振り分け!$C$7:$C$456,計算用!$R$3)))</f>
        <v/>
      </c>
      <c r="D5" s="59">
        <f>IF(計算用!$R$3="","",IF(計算用!$B$1=1,INDEX(計算用!$H$3:$H$452,計算用!$R$3),INDEX(振り分け!$D$7:$D$456,計算用!$R$3)))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IF(計算用!$R$4="","",2)</f>
        <v/>
      </c>
      <c r="B6" s="54">
        <f>IF(計算用!$R$4="","",IF(計算用!$B$1=1,INDEX(計算用!$F$3:$F$452,計算用!$R$4),INDEX(振り分け!$B$7:$B$456,計算用!$R$4)))</f>
        <v/>
      </c>
      <c r="C6" s="54">
        <f>IF(計算用!$R$4="","",IF(計算用!$B$1=1,INDEX(計算用!$G$3:$G$452,計算用!$R$4),INDEX(振り分け!$C$7:$C$456,計算用!$R$4)))</f>
        <v/>
      </c>
      <c r="D6" s="59">
        <f>IF(計算用!$R$4="","",IF(計算用!$B$1=1,INDEX(計算用!$H$3:$H$452,計算用!$R$4),INDEX(振り分け!$D$7:$D$456,計算用!$R$4)))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IF(計算用!$R$5="","",3)</f>
        <v/>
      </c>
      <c r="B7" s="54">
        <f>IF(計算用!$R$5="","",IF(計算用!$B$1=1,INDEX(計算用!$F$3:$F$452,計算用!$R$5),INDEX(振り分け!$B$7:$B$456,計算用!$R$5)))</f>
        <v/>
      </c>
      <c r="C7" s="54">
        <f>IF(計算用!$R$5="","",IF(計算用!$B$1=1,INDEX(計算用!$G$3:$G$452,計算用!$R$5),INDEX(振り分け!$C$7:$C$456,計算用!$R$5)))</f>
        <v/>
      </c>
      <c r="D7" s="59">
        <f>IF(計算用!$R$5="","",IF(計算用!$B$1=1,INDEX(計算用!$H$3:$H$452,計算用!$R$5),INDEX(振り分け!$D$7:$D$456,計算用!$R$5)))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IF(計算用!$R$6="","",4)</f>
        <v/>
      </c>
      <c r="B8" s="54">
        <f>IF(計算用!$R$6="","",IF(計算用!$B$1=1,INDEX(計算用!$F$3:$F$452,計算用!$R$6),INDEX(振り分け!$B$7:$B$456,計算用!$R$6)))</f>
        <v/>
      </c>
      <c r="C8" s="54">
        <f>IF(計算用!$R$6="","",IF(計算用!$B$1=1,INDEX(計算用!$G$3:$G$452,計算用!$R$6),INDEX(振り分け!$C$7:$C$456,計算用!$R$6)))</f>
        <v/>
      </c>
      <c r="D8" s="59">
        <f>IF(計算用!$R$6="","",IF(計算用!$B$1=1,INDEX(計算用!$H$3:$H$452,計算用!$R$6),INDEX(振り分け!$D$7:$D$456,計算用!$R$6)))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IF(計算用!$R$7="","",5)</f>
        <v/>
      </c>
      <c r="B9" s="54">
        <f>IF(計算用!$R$7="","",IF(計算用!$B$1=1,INDEX(計算用!$F$3:$F$452,計算用!$R$7),INDEX(振り分け!$B$7:$B$456,計算用!$R$7)))</f>
        <v/>
      </c>
      <c r="C9" s="54">
        <f>IF(計算用!$R$7="","",IF(計算用!$B$1=1,INDEX(計算用!$G$3:$G$452,計算用!$R$7),INDEX(振り分け!$C$7:$C$456,計算用!$R$7)))</f>
        <v/>
      </c>
      <c r="D9" s="59">
        <f>IF(計算用!$R$7="","",IF(計算用!$B$1=1,INDEX(計算用!$H$3:$H$452,計算用!$R$7),INDEX(振り分け!$D$7:$D$456,計算用!$R$7)))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IF(計算用!$R$8="","",6)</f>
        <v/>
      </c>
      <c r="B10" s="54">
        <f>IF(計算用!$R$8="","",IF(計算用!$B$1=1,INDEX(計算用!$F$3:$F$452,計算用!$R$8),INDEX(振り分け!$B$7:$B$456,計算用!$R$8)))</f>
        <v/>
      </c>
      <c r="C10" s="54">
        <f>IF(計算用!$R$8="","",IF(計算用!$B$1=1,INDEX(計算用!$G$3:$G$452,計算用!$R$8),INDEX(振り分け!$C$7:$C$456,計算用!$R$8)))</f>
        <v/>
      </c>
      <c r="D10" s="59">
        <f>IF(計算用!$R$8="","",IF(計算用!$B$1=1,INDEX(計算用!$H$3:$H$452,計算用!$R$8),INDEX(振り分け!$D$7:$D$456,計算用!$R$8)))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IF(計算用!$R$9="","",7)</f>
        <v/>
      </c>
      <c r="B11" s="54">
        <f>IF(計算用!$R$9="","",IF(計算用!$B$1=1,INDEX(計算用!$F$3:$F$452,計算用!$R$9),INDEX(振り分け!$B$7:$B$456,計算用!$R$9)))</f>
        <v/>
      </c>
      <c r="C11" s="54">
        <f>IF(計算用!$R$9="","",IF(計算用!$B$1=1,INDEX(計算用!$G$3:$G$452,計算用!$R$9),INDEX(振り分け!$C$7:$C$456,計算用!$R$9)))</f>
        <v/>
      </c>
      <c r="D11" s="59">
        <f>IF(計算用!$R$9="","",IF(計算用!$B$1=1,INDEX(計算用!$H$3:$H$452,計算用!$R$9),INDEX(振り分け!$D$7:$D$456,計算用!$R$9)))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IF(計算用!$R$10="","",8)</f>
        <v/>
      </c>
      <c r="B12" s="54">
        <f>IF(計算用!$R$10="","",IF(計算用!$B$1=1,INDEX(計算用!$F$3:$F$452,計算用!$R$10),INDEX(振り分け!$B$7:$B$456,計算用!$R$10)))</f>
        <v/>
      </c>
      <c r="C12" s="54">
        <f>IF(計算用!$R$10="","",IF(計算用!$B$1=1,INDEX(計算用!$G$3:$G$452,計算用!$R$10),INDEX(振り分け!$C$7:$C$456,計算用!$R$10)))</f>
        <v/>
      </c>
      <c r="D12" s="59">
        <f>IF(計算用!$R$10="","",IF(計算用!$B$1=1,INDEX(計算用!$H$3:$H$452,計算用!$R$10),INDEX(振り分け!$D$7:$D$456,計算用!$R$10)))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IF(計算用!$R$11="","",9)</f>
        <v/>
      </c>
      <c r="B13" s="54">
        <f>IF(計算用!$R$11="","",IF(計算用!$B$1=1,INDEX(計算用!$F$3:$F$452,計算用!$R$11),INDEX(振り分け!$B$7:$B$456,計算用!$R$11)))</f>
        <v/>
      </c>
      <c r="C13" s="54">
        <f>IF(計算用!$R$11="","",IF(計算用!$B$1=1,INDEX(計算用!$G$3:$G$452,計算用!$R$11),INDEX(振り分け!$C$7:$C$456,計算用!$R$11)))</f>
        <v/>
      </c>
      <c r="D13" s="59">
        <f>IF(計算用!$R$11="","",IF(計算用!$B$1=1,INDEX(計算用!$H$3:$H$452,計算用!$R$11),INDEX(振り分け!$D$7:$D$456,計算用!$R$11)))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IF(計算用!$R$12="","",10)</f>
        <v/>
      </c>
      <c r="B14" s="54">
        <f>IF(計算用!$R$12="","",IF(計算用!$B$1=1,INDEX(計算用!$F$3:$F$452,計算用!$R$12),INDEX(振り分け!$B$7:$B$456,計算用!$R$12)))</f>
        <v/>
      </c>
      <c r="C14" s="54">
        <f>IF(計算用!$R$12="","",IF(計算用!$B$1=1,INDEX(計算用!$G$3:$G$452,計算用!$R$12),INDEX(振り分け!$C$7:$C$456,計算用!$R$12)))</f>
        <v/>
      </c>
      <c r="D14" s="59">
        <f>IF(計算用!$R$12="","",IF(計算用!$B$1=1,INDEX(計算用!$H$3:$H$452,計算用!$R$12),INDEX(振り分け!$D$7:$D$456,計算用!$R$12)))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IF(計算用!$R$13="","",11)</f>
        <v/>
      </c>
      <c r="B15" s="54">
        <f>IF(計算用!$R$13="","",IF(計算用!$B$1=1,INDEX(計算用!$F$3:$F$452,計算用!$R$13),INDEX(振り分け!$B$7:$B$456,計算用!$R$13)))</f>
        <v/>
      </c>
      <c r="C15" s="54">
        <f>IF(計算用!$R$13="","",IF(計算用!$B$1=1,INDEX(計算用!$G$3:$G$452,計算用!$R$13),INDEX(振り分け!$C$7:$C$456,計算用!$R$13)))</f>
        <v/>
      </c>
      <c r="D15" s="59">
        <f>IF(計算用!$R$13="","",IF(計算用!$B$1=1,INDEX(計算用!$H$3:$H$452,計算用!$R$13),INDEX(振り分け!$D$7:$D$456,計算用!$R$13)))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IF(計算用!$R$14="","",12)</f>
        <v/>
      </c>
      <c r="B16" s="54">
        <f>IF(計算用!$R$14="","",IF(計算用!$B$1=1,INDEX(計算用!$F$3:$F$452,計算用!$R$14),INDEX(振り分け!$B$7:$B$456,計算用!$R$14)))</f>
        <v/>
      </c>
      <c r="C16" s="54">
        <f>IF(計算用!$R$14="","",IF(計算用!$B$1=1,INDEX(計算用!$G$3:$G$452,計算用!$R$14),INDEX(振り分け!$C$7:$C$456,計算用!$R$14)))</f>
        <v/>
      </c>
      <c r="D16" s="59">
        <f>IF(計算用!$R$14="","",IF(計算用!$B$1=1,INDEX(計算用!$H$3:$H$452,計算用!$R$14),INDEX(振り分け!$D$7:$D$456,計算用!$R$14)))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IF(計算用!$R$15="","",13)</f>
        <v/>
      </c>
      <c r="B17" s="54">
        <f>IF(計算用!$R$15="","",IF(計算用!$B$1=1,INDEX(計算用!$F$3:$F$452,計算用!$R$15),INDEX(振り分け!$B$7:$B$456,計算用!$R$15)))</f>
        <v/>
      </c>
      <c r="C17" s="54">
        <f>IF(計算用!$R$15="","",IF(計算用!$B$1=1,INDEX(計算用!$G$3:$G$452,計算用!$R$15),INDEX(振り分け!$C$7:$C$456,計算用!$R$15)))</f>
        <v/>
      </c>
      <c r="D17" s="59">
        <f>IF(計算用!$R$15="","",IF(計算用!$B$1=1,INDEX(計算用!$H$3:$H$452,計算用!$R$15),INDEX(振り分け!$D$7:$D$456,計算用!$R$15)))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IF(計算用!$R$16="","",14)</f>
        <v/>
      </c>
      <c r="B18" s="54">
        <f>IF(計算用!$R$16="","",IF(計算用!$B$1=1,INDEX(計算用!$F$3:$F$452,計算用!$R$16),INDEX(振り分け!$B$7:$B$456,計算用!$R$16)))</f>
        <v/>
      </c>
      <c r="C18" s="54">
        <f>IF(計算用!$R$16="","",IF(計算用!$B$1=1,INDEX(計算用!$G$3:$G$452,計算用!$R$16),INDEX(振り分け!$C$7:$C$456,計算用!$R$16)))</f>
        <v/>
      </c>
      <c r="D18" s="59">
        <f>IF(計算用!$R$16="","",IF(計算用!$B$1=1,INDEX(計算用!$H$3:$H$452,計算用!$R$16),INDEX(振り分け!$D$7:$D$456,計算用!$R$16)))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IF(計算用!$R$17="","",15)</f>
        <v/>
      </c>
      <c r="B19" s="54">
        <f>IF(計算用!$R$17="","",IF(計算用!$B$1=1,INDEX(計算用!$F$3:$F$452,計算用!$R$17),INDEX(振り分け!$B$7:$B$456,計算用!$R$17)))</f>
        <v/>
      </c>
      <c r="C19" s="54">
        <f>IF(計算用!$R$17="","",IF(計算用!$B$1=1,INDEX(計算用!$G$3:$G$452,計算用!$R$17),INDEX(振り分け!$C$7:$C$456,計算用!$R$17)))</f>
        <v/>
      </c>
      <c r="D19" s="59">
        <f>IF(計算用!$R$17="","",IF(計算用!$B$1=1,INDEX(計算用!$H$3:$H$452,計算用!$R$17),INDEX(振り分け!$D$7:$D$456,計算用!$R$17)))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IF(計算用!$R$18="","",16)</f>
        <v/>
      </c>
      <c r="B20" s="54">
        <f>IF(計算用!$R$18="","",IF(計算用!$B$1=1,INDEX(計算用!$F$3:$F$452,計算用!$R$18),INDEX(振り分け!$B$7:$B$456,計算用!$R$18)))</f>
        <v/>
      </c>
      <c r="C20" s="54">
        <f>IF(計算用!$R$18="","",IF(計算用!$B$1=1,INDEX(計算用!$G$3:$G$452,計算用!$R$18),INDEX(振り分け!$C$7:$C$456,計算用!$R$18)))</f>
        <v/>
      </c>
      <c r="D20" s="59">
        <f>IF(計算用!$R$18="","",IF(計算用!$B$1=1,INDEX(計算用!$H$3:$H$452,計算用!$R$18),INDEX(振り分け!$D$7:$D$456,計算用!$R$18)))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IF(計算用!$R$19="","",17)</f>
        <v/>
      </c>
      <c r="B21" s="54">
        <f>IF(計算用!$R$19="","",IF(計算用!$B$1=1,INDEX(計算用!$F$3:$F$452,計算用!$R$19),INDEX(振り分け!$B$7:$B$456,計算用!$R$19)))</f>
        <v/>
      </c>
      <c r="C21" s="54">
        <f>IF(計算用!$R$19="","",IF(計算用!$B$1=1,INDEX(計算用!$G$3:$G$452,計算用!$R$19),INDEX(振り分け!$C$7:$C$456,計算用!$R$19)))</f>
        <v/>
      </c>
      <c r="D21" s="59">
        <f>IF(計算用!$R$19="","",IF(計算用!$B$1=1,INDEX(計算用!$H$3:$H$452,計算用!$R$19),INDEX(振り分け!$D$7:$D$456,計算用!$R$19)))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IF(計算用!$R$20="","",18)</f>
        <v/>
      </c>
      <c r="B22" s="54">
        <f>IF(計算用!$R$20="","",IF(計算用!$B$1=1,INDEX(計算用!$F$3:$F$452,計算用!$R$20),INDEX(振り分け!$B$7:$B$456,計算用!$R$20)))</f>
        <v/>
      </c>
      <c r="C22" s="54">
        <f>IF(計算用!$R$20="","",IF(計算用!$B$1=1,INDEX(計算用!$G$3:$G$452,計算用!$R$20),INDEX(振り分け!$C$7:$C$456,計算用!$R$20)))</f>
        <v/>
      </c>
      <c r="D22" s="59">
        <f>IF(計算用!$R$20="","",IF(計算用!$B$1=1,INDEX(計算用!$H$3:$H$452,計算用!$R$20),INDEX(振り分け!$D$7:$D$456,計算用!$R$20)))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IF(計算用!$R$21="","",19)</f>
        <v/>
      </c>
      <c r="B23" s="54">
        <f>IF(計算用!$R$21="","",IF(計算用!$B$1=1,INDEX(計算用!$F$3:$F$452,計算用!$R$21),INDEX(振り分け!$B$7:$B$456,計算用!$R$21)))</f>
        <v/>
      </c>
      <c r="C23" s="54">
        <f>IF(計算用!$R$21="","",IF(計算用!$B$1=1,INDEX(計算用!$G$3:$G$452,計算用!$R$21),INDEX(振り分け!$C$7:$C$456,計算用!$R$21)))</f>
        <v/>
      </c>
      <c r="D23" s="59">
        <f>IF(計算用!$R$21="","",IF(計算用!$B$1=1,INDEX(計算用!$H$3:$H$452,計算用!$R$21),INDEX(振り分け!$D$7:$D$456,計算用!$R$21)))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IF(計算用!$R$22="","",20)</f>
        <v/>
      </c>
      <c r="B24" s="54">
        <f>IF(計算用!$R$22="","",IF(計算用!$B$1=1,INDEX(計算用!$F$3:$F$452,計算用!$R$22),INDEX(振り分け!$B$7:$B$456,計算用!$R$22)))</f>
        <v/>
      </c>
      <c r="C24" s="54">
        <f>IF(計算用!$R$22="","",IF(計算用!$B$1=1,INDEX(計算用!$G$3:$G$452,計算用!$R$22),INDEX(振り分け!$C$7:$C$456,計算用!$R$22)))</f>
        <v/>
      </c>
      <c r="D24" s="59">
        <f>IF(計算用!$R$22="","",IF(計算用!$B$1=1,INDEX(計算用!$H$3:$H$452,計算用!$R$22),INDEX(振り分け!$D$7:$D$456,計算用!$R$22)))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IF(計算用!$R$23="","",21)</f>
        <v/>
      </c>
      <c r="B25" s="54">
        <f>IF(計算用!$R$23="","",IF(計算用!$B$1=1,INDEX(計算用!$F$3:$F$452,計算用!$R$23),INDEX(振り分け!$B$7:$B$456,計算用!$R$23)))</f>
        <v/>
      </c>
      <c r="C25" s="54">
        <f>IF(計算用!$R$23="","",IF(計算用!$B$1=1,INDEX(計算用!$G$3:$G$452,計算用!$R$23),INDEX(振り分け!$C$7:$C$456,計算用!$R$23)))</f>
        <v/>
      </c>
      <c r="D25" s="59">
        <f>IF(計算用!$R$23="","",IF(計算用!$B$1=1,INDEX(計算用!$H$3:$H$452,計算用!$R$23),INDEX(振り分け!$D$7:$D$456,計算用!$R$23)))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IF(計算用!$R$24="","",22)</f>
        <v/>
      </c>
      <c r="B26" s="54">
        <f>IF(計算用!$R$24="","",IF(計算用!$B$1=1,INDEX(計算用!$F$3:$F$452,計算用!$R$24),INDEX(振り分け!$B$7:$B$456,計算用!$R$24)))</f>
        <v/>
      </c>
      <c r="C26" s="54">
        <f>IF(計算用!$R$24="","",IF(計算用!$B$1=1,INDEX(計算用!$G$3:$G$452,計算用!$R$24),INDEX(振り分け!$C$7:$C$456,計算用!$R$24)))</f>
        <v/>
      </c>
      <c r="D26" s="59">
        <f>IF(計算用!$R$24="","",IF(計算用!$B$1=1,INDEX(計算用!$H$3:$H$452,計算用!$R$24),INDEX(振り分け!$D$7:$D$456,計算用!$R$24)))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IF(計算用!$R$25="","",23)</f>
        <v/>
      </c>
      <c r="B27" s="54">
        <f>IF(計算用!$R$25="","",IF(計算用!$B$1=1,INDEX(計算用!$F$3:$F$452,計算用!$R$25),INDEX(振り分け!$B$7:$B$456,計算用!$R$25)))</f>
        <v/>
      </c>
      <c r="C27" s="54">
        <f>IF(計算用!$R$25="","",IF(計算用!$B$1=1,INDEX(計算用!$G$3:$G$452,計算用!$R$25),INDEX(振り分け!$C$7:$C$456,計算用!$R$25)))</f>
        <v/>
      </c>
      <c r="D27" s="59">
        <f>IF(計算用!$R$25="","",IF(計算用!$B$1=1,INDEX(計算用!$H$3:$H$452,計算用!$R$25),INDEX(振り分け!$D$7:$D$456,計算用!$R$25)))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IF(計算用!$R$26="","",24)</f>
        <v/>
      </c>
      <c r="B28" s="54">
        <f>IF(計算用!$R$26="","",IF(計算用!$B$1=1,INDEX(計算用!$F$3:$F$452,計算用!$R$26),INDEX(振り分け!$B$7:$B$456,計算用!$R$26)))</f>
        <v/>
      </c>
      <c r="C28" s="54">
        <f>IF(計算用!$R$26="","",IF(計算用!$B$1=1,INDEX(計算用!$G$3:$G$452,計算用!$R$26),INDEX(振り分け!$C$7:$C$456,計算用!$R$26)))</f>
        <v/>
      </c>
      <c r="D28" s="59">
        <f>IF(計算用!$R$26="","",IF(計算用!$B$1=1,INDEX(計算用!$H$3:$H$452,計算用!$R$26),INDEX(振り分け!$D$7:$D$456,計算用!$R$26)))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IF(計算用!$R$27="","",25)</f>
        <v/>
      </c>
      <c r="B29" s="54">
        <f>IF(計算用!$R$27="","",IF(計算用!$B$1=1,INDEX(計算用!$F$3:$F$452,計算用!$R$27),INDEX(振り分け!$B$7:$B$456,計算用!$R$27)))</f>
        <v/>
      </c>
      <c r="C29" s="54">
        <f>IF(計算用!$R$27="","",IF(計算用!$B$1=1,INDEX(計算用!$G$3:$G$452,計算用!$R$27),INDEX(振り分け!$C$7:$C$456,計算用!$R$27)))</f>
        <v/>
      </c>
      <c r="D29" s="59">
        <f>IF(計算用!$R$27="","",IF(計算用!$B$1=1,INDEX(計算用!$H$3:$H$452,計算用!$R$27),INDEX(振り分け!$D$7:$D$456,計算用!$R$27)))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IF(計算用!$R$28="","",26)</f>
        <v/>
      </c>
      <c r="B30" s="54">
        <f>IF(計算用!$R$28="","",IF(計算用!$B$1=1,INDEX(計算用!$F$3:$F$452,計算用!$R$28),INDEX(振り分け!$B$7:$B$456,計算用!$R$28)))</f>
        <v/>
      </c>
      <c r="C30" s="54">
        <f>IF(計算用!$R$28="","",IF(計算用!$B$1=1,INDEX(計算用!$G$3:$G$452,計算用!$R$28),INDEX(振り分け!$C$7:$C$456,計算用!$R$28)))</f>
        <v/>
      </c>
      <c r="D30" s="59">
        <f>IF(計算用!$R$28="","",IF(計算用!$B$1=1,INDEX(計算用!$H$3:$H$452,計算用!$R$28),INDEX(振り分け!$D$7:$D$456,計算用!$R$28)))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IF(計算用!$R$29="","",27)</f>
        <v/>
      </c>
      <c r="B31" s="54">
        <f>IF(計算用!$R$29="","",IF(計算用!$B$1=1,INDEX(計算用!$F$3:$F$452,計算用!$R$29),INDEX(振り分け!$B$7:$B$456,計算用!$R$29)))</f>
        <v/>
      </c>
      <c r="C31" s="54">
        <f>IF(計算用!$R$29="","",IF(計算用!$B$1=1,INDEX(計算用!$G$3:$G$452,計算用!$R$29),INDEX(振り分け!$C$7:$C$456,計算用!$R$29)))</f>
        <v/>
      </c>
      <c r="D31" s="59">
        <f>IF(計算用!$R$29="","",IF(計算用!$B$1=1,INDEX(計算用!$H$3:$H$452,計算用!$R$29),INDEX(振り分け!$D$7:$D$456,計算用!$R$29)))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IF(計算用!$R$30="","",28)</f>
        <v/>
      </c>
      <c r="B32" s="54">
        <f>IF(計算用!$R$30="","",IF(計算用!$B$1=1,INDEX(計算用!$F$3:$F$452,計算用!$R$30),INDEX(振り分け!$B$7:$B$456,計算用!$R$30)))</f>
        <v/>
      </c>
      <c r="C32" s="54">
        <f>IF(計算用!$R$30="","",IF(計算用!$B$1=1,INDEX(計算用!$G$3:$G$452,計算用!$R$30),INDEX(振り分け!$C$7:$C$456,計算用!$R$30)))</f>
        <v/>
      </c>
      <c r="D32" s="59">
        <f>IF(計算用!$R$30="","",IF(計算用!$B$1=1,INDEX(計算用!$H$3:$H$452,計算用!$R$30),INDEX(振り分け!$D$7:$D$456,計算用!$R$30)))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IF(計算用!$R$31="","",29)</f>
        <v/>
      </c>
      <c r="B33" s="54">
        <f>IF(計算用!$R$31="","",IF(計算用!$B$1=1,INDEX(計算用!$F$3:$F$452,計算用!$R$31),INDEX(振り分け!$B$7:$B$456,計算用!$R$31)))</f>
        <v/>
      </c>
      <c r="C33" s="54">
        <f>IF(計算用!$R$31="","",IF(計算用!$B$1=1,INDEX(計算用!$G$3:$G$452,計算用!$R$31),INDEX(振り分け!$C$7:$C$456,計算用!$R$31)))</f>
        <v/>
      </c>
      <c r="D33" s="59">
        <f>IF(計算用!$R$31="","",IF(計算用!$B$1=1,INDEX(計算用!$H$3:$H$452,計算用!$R$31),INDEX(振り分け!$D$7:$D$456,計算用!$R$31)))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IF(計算用!$R$32="","",30)</f>
        <v/>
      </c>
      <c r="B34" s="54">
        <f>IF(計算用!$R$32="","",IF(計算用!$B$1=1,INDEX(計算用!$F$3:$F$452,計算用!$R$32),INDEX(振り分け!$B$7:$B$456,計算用!$R$32)))</f>
        <v/>
      </c>
      <c r="C34" s="54">
        <f>IF(計算用!$R$32="","",IF(計算用!$B$1=1,INDEX(計算用!$G$3:$G$452,計算用!$R$32),INDEX(振り分け!$C$7:$C$456,計算用!$R$32)))</f>
        <v/>
      </c>
      <c r="D34" s="59">
        <f>IF(計算用!$R$32="","",IF(計算用!$B$1=1,INDEX(計算用!$H$3:$H$452,計算用!$R$32),INDEX(振り分け!$D$7:$D$456,計算用!$R$32)))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IF(計算用!$R$33="","",31)</f>
        <v/>
      </c>
      <c r="B35" s="54">
        <f>IF(計算用!$R$33="","",IF(計算用!$B$1=1,INDEX(計算用!$F$3:$F$452,計算用!$R$33),INDEX(振り分け!$B$7:$B$456,計算用!$R$33)))</f>
        <v/>
      </c>
      <c r="C35" s="54">
        <f>IF(計算用!$R$33="","",IF(計算用!$B$1=1,INDEX(計算用!$G$3:$G$452,計算用!$R$33),INDEX(振り分け!$C$7:$C$456,計算用!$R$33)))</f>
        <v/>
      </c>
      <c r="D35" s="59">
        <f>IF(計算用!$R$33="","",IF(計算用!$B$1=1,INDEX(計算用!$H$3:$H$452,計算用!$R$33),INDEX(振り分け!$D$7:$D$456,計算用!$R$33)))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IF(計算用!$R$34="","",32)</f>
        <v/>
      </c>
      <c r="B36" s="54">
        <f>IF(計算用!$R$34="","",IF(計算用!$B$1=1,INDEX(計算用!$F$3:$F$452,計算用!$R$34),INDEX(振り分け!$B$7:$B$456,計算用!$R$34)))</f>
        <v/>
      </c>
      <c r="C36" s="54">
        <f>IF(計算用!$R$34="","",IF(計算用!$B$1=1,INDEX(計算用!$G$3:$G$452,計算用!$R$34),INDEX(振り分け!$C$7:$C$456,計算用!$R$34)))</f>
        <v/>
      </c>
      <c r="D36" s="59">
        <f>IF(計算用!$R$34="","",IF(計算用!$B$1=1,INDEX(計算用!$H$3:$H$452,計算用!$R$34),INDEX(振り分け!$D$7:$D$456,計算用!$R$34)))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IF(計算用!$R$35="","",33)</f>
        <v/>
      </c>
      <c r="B37" s="54">
        <f>IF(計算用!$R$35="","",IF(計算用!$B$1=1,INDEX(計算用!$F$3:$F$452,計算用!$R$35),INDEX(振り分け!$B$7:$B$456,計算用!$R$35)))</f>
        <v/>
      </c>
      <c r="C37" s="54">
        <f>IF(計算用!$R$35="","",IF(計算用!$B$1=1,INDEX(計算用!$G$3:$G$452,計算用!$R$35),INDEX(振り分け!$C$7:$C$456,計算用!$R$35)))</f>
        <v/>
      </c>
      <c r="D37" s="59">
        <f>IF(計算用!$R$35="","",IF(計算用!$B$1=1,INDEX(計算用!$H$3:$H$452,計算用!$R$35),INDEX(振り分け!$D$7:$D$456,計算用!$R$35)))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IF(計算用!$R$36="","",34)</f>
        <v/>
      </c>
      <c r="B38" s="54">
        <f>IF(計算用!$R$36="","",IF(計算用!$B$1=1,INDEX(計算用!$F$3:$F$452,計算用!$R$36),INDEX(振り分け!$B$7:$B$456,計算用!$R$36)))</f>
        <v/>
      </c>
      <c r="C38" s="54">
        <f>IF(計算用!$R$36="","",IF(計算用!$B$1=1,INDEX(計算用!$G$3:$G$452,計算用!$R$36),INDEX(振り分け!$C$7:$C$456,計算用!$R$36)))</f>
        <v/>
      </c>
      <c r="D38" s="59">
        <f>IF(計算用!$R$36="","",IF(計算用!$B$1=1,INDEX(計算用!$H$3:$H$452,計算用!$R$36),INDEX(振り分け!$D$7:$D$456,計算用!$R$36)))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IF(計算用!$R$37="","",35)</f>
        <v/>
      </c>
      <c r="B39" s="54">
        <f>IF(計算用!$R$37="","",IF(計算用!$B$1=1,INDEX(計算用!$F$3:$F$452,計算用!$R$37),INDEX(振り分け!$B$7:$B$456,計算用!$R$37)))</f>
        <v/>
      </c>
      <c r="C39" s="54">
        <f>IF(計算用!$R$37="","",IF(計算用!$B$1=1,INDEX(計算用!$G$3:$G$452,計算用!$R$37),INDEX(振り分け!$C$7:$C$456,計算用!$R$37)))</f>
        <v/>
      </c>
      <c r="D39" s="59">
        <f>IF(計算用!$R$37="","",IF(計算用!$B$1=1,INDEX(計算用!$H$3:$H$452,計算用!$R$37),INDEX(振り分け!$D$7:$D$456,計算用!$R$37)))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IF(計算用!$R$38="","",36)</f>
        <v/>
      </c>
      <c r="B40" s="54">
        <f>IF(計算用!$R$38="","",IF(計算用!$B$1=1,INDEX(計算用!$F$3:$F$452,計算用!$R$38),INDEX(振り分け!$B$7:$B$456,計算用!$R$38)))</f>
        <v/>
      </c>
      <c r="C40" s="54">
        <f>IF(計算用!$R$38="","",IF(計算用!$B$1=1,INDEX(計算用!$G$3:$G$452,計算用!$R$38),INDEX(振り分け!$C$7:$C$456,計算用!$R$38)))</f>
        <v/>
      </c>
      <c r="D40" s="59">
        <f>IF(計算用!$R$38="","",IF(計算用!$B$1=1,INDEX(計算用!$H$3:$H$452,計算用!$R$38),INDEX(振り分け!$D$7:$D$456,計算用!$R$38)))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IF(計算用!$R$39="","",37)</f>
        <v/>
      </c>
      <c r="B41" s="54">
        <f>IF(計算用!$R$39="","",IF(計算用!$B$1=1,INDEX(計算用!$F$3:$F$452,計算用!$R$39),INDEX(振り分け!$B$7:$B$456,計算用!$R$39)))</f>
        <v/>
      </c>
      <c r="C41" s="54">
        <f>IF(計算用!$R$39="","",IF(計算用!$B$1=1,INDEX(計算用!$G$3:$G$452,計算用!$R$39),INDEX(振り分け!$C$7:$C$456,計算用!$R$39)))</f>
        <v/>
      </c>
      <c r="D41" s="59">
        <f>IF(計算用!$R$39="","",IF(計算用!$B$1=1,INDEX(計算用!$H$3:$H$452,計算用!$R$39),INDEX(振り分け!$D$7:$D$456,計算用!$R$39)))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IF(計算用!$R$40="","",38)</f>
        <v/>
      </c>
      <c r="B42" s="54">
        <f>IF(計算用!$R$40="","",IF(計算用!$B$1=1,INDEX(計算用!$F$3:$F$452,計算用!$R$40),INDEX(振り分け!$B$7:$B$456,計算用!$R$40)))</f>
        <v/>
      </c>
      <c r="C42" s="54">
        <f>IF(計算用!$R$40="","",IF(計算用!$B$1=1,INDEX(計算用!$G$3:$G$452,計算用!$R$40),INDEX(振り分け!$C$7:$C$456,計算用!$R$40)))</f>
        <v/>
      </c>
      <c r="D42" s="59">
        <f>IF(計算用!$R$40="","",IF(計算用!$B$1=1,INDEX(計算用!$H$3:$H$452,計算用!$R$40),INDEX(振り分け!$D$7:$D$456,計算用!$R$40)))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IF(計算用!$R$41="","",39)</f>
        <v/>
      </c>
      <c r="B43" s="54">
        <f>IF(計算用!$R$41="","",IF(計算用!$B$1=1,INDEX(計算用!$F$3:$F$452,計算用!$R$41),INDEX(振り分け!$B$7:$B$456,計算用!$R$41)))</f>
        <v/>
      </c>
      <c r="C43" s="54">
        <f>IF(計算用!$R$41="","",IF(計算用!$B$1=1,INDEX(計算用!$G$3:$G$452,計算用!$R$41),INDEX(振り分け!$C$7:$C$456,計算用!$R$41)))</f>
        <v/>
      </c>
      <c r="D43" s="59">
        <f>IF(計算用!$R$41="","",IF(計算用!$B$1=1,INDEX(計算用!$H$3:$H$452,計算用!$R$41),INDEX(振り分け!$D$7:$D$456,計算用!$R$41)))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IF(計算用!$R$42="","",40)</f>
        <v/>
      </c>
      <c r="B44" s="54">
        <f>IF(計算用!$R$42="","",IF(計算用!$B$1=1,INDEX(計算用!$F$3:$F$452,計算用!$R$42),INDEX(振り分け!$B$7:$B$456,計算用!$R$42)))</f>
        <v/>
      </c>
      <c r="C44" s="54">
        <f>IF(計算用!$R$42="","",IF(計算用!$B$1=1,INDEX(計算用!$G$3:$G$452,計算用!$R$42),INDEX(振り分け!$C$7:$C$456,計算用!$R$42)))</f>
        <v/>
      </c>
      <c r="D44" s="59">
        <f>IF(計算用!$R$42="","",IF(計算用!$B$1=1,INDEX(計算用!$H$3:$H$452,計算用!$R$42),INDEX(振り分け!$D$7:$D$456,計算用!$R$42)))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IF(計算用!$R$43="","",41)</f>
        <v/>
      </c>
      <c r="B45" s="54">
        <f>IF(計算用!$R$43="","",IF(計算用!$B$1=1,INDEX(計算用!$F$3:$F$452,計算用!$R$43),INDEX(振り分け!$B$7:$B$456,計算用!$R$43)))</f>
        <v/>
      </c>
      <c r="C45" s="54">
        <f>IF(計算用!$R$43="","",IF(計算用!$B$1=1,INDEX(計算用!$G$3:$G$452,計算用!$R$43),INDEX(振り分け!$C$7:$C$456,計算用!$R$43)))</f>
        <v/>
      </c>
      <c r="D45" s="59">
        <f>IF(計算用!$R$43="","",IF(計算用!$B$1=1,INDEX(計算用!$H$3:$H$452,計算用!$R$43),INDEX(振り分け!$D$7:$D$456,計算用!$R$43)))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IF(計算用!$R$44="","",42)</f>
        <v/>
      </c>
      <c r="B46" s="54">
        <f>IF(計算用!$R$44="","",IF(計算用!$B$1=1,INDEX(計算用!$F$3:$F$452,計算用!$R$44),INDEX(振り分け!$B$7:$B$456,計算用!$R$44)))</f>
        <v/>
      </c>
      <c r="C46" s="54">
        <f>IF(計算用!$R$44="","",IF(計算用!$B$1=1,INDEX(計算用!$G$3:$G$452,計算用!$R$44),INDEX(振り分け!$C$7:$C$456,計算用!$R$44)))</f>
        <v/>
      </c>
      <c r="D46" s="59">
        <f>IF(計算用!$R$44="","",IF(計算用!$B$1=1,INDEX(計算用!$H$3:$H$452,計算用!$R$44),INDEX(振り分け!$D$7:$D$456,計算用!$R$44)))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IF(計算用!$R$45="","",43)</f>
        <v/>
      </c>
      <c r="B47" s="54">
        <f>IF(計算用!$R$45="","",IF(計算用!$B$1=1,INDEX(計算用!$F$3:$F$452,計算用!$R$45),INDEX(振り分け!$B$7:$B$456,計算用!$R$45)))</f>
        <v/>
      </c>
      <c r="C47" s="54">
        <f>IF(計算用!$R$45="","",IF(計算用!$B$1=1,INDEX(計算用!$G$3:$G$452,計算用!$R$45),INDEX(振り分け!$C$7:$C$456,計算用!$R$45)))</f>
        <v/>
      </c>
      <c r="D47" s="59">
        <f>IF(計算用!$R$45="","",IF(計算用!$B$1=1,INDEX(計算用!$H$3:$H$452,計算用!$R$45),INDEX(振り分け!$D$7:$D$456,計算用!$R$45)))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IF(計算用!$R$46="","",44)</f>
        <v/>
      </c>
      <c r="B48" s="54">
        <f>IF(計算用!$R$46="","",IF(計算用!$B$1=1,INDEX(計算用!$F$3:$F$452,計算用!$R$46),INDEX(振り分け!$B$7:$B$456,計算用!$R$46)))</f>
        <v/>
      </c>
      <c r="C48" s="54">
        <f>IF(計算用!$R$46="","",IF(計算用!$B$1=1,INDEX(計算用!$G$3:$G$452,計算用!$R$46),INDEX(振り分け!$C$7:$C$456,計算用!$R$46)))</f>
        <v/>
      </c>
      <c r="D48" s="59">
        <f>IF(計算用!$R$46="","",IF(計算用!$B$1=1,INDEX(計算用!$H$3:$H$452,計算用!$R$46),INDEX(振り分け!$D$7:$D$456,計算用!$R$46)))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IF(計算用!$R$47="","",45)</f>
        <v/>
      </c>
      <c r="B49" s="54">
        <f>IF(計算用!$R$47="","",IF(計算用!$B$1=1,INDEX(計算用!$F$3:$F$452,計算用!$R$47),INDEX(振り分け!$B$7:$B$456,計算用!$R$47)))</f>
        <v/>
      </c>
      <c r="C49" s="54">
        <f>IF(計算用!$R$47="","",IF(計算用!$B$1=1,INDEX(計算用!$G$3:$G$452,計算用!$R$47),INDEX(振り分け!$C$7:$C$456,計算用!$R$47)))</f>
        <v/>
      </c>
      <c r="D49" s="59">
        <f>IF(計算用!$R$47="","",IF(計算用!$B$1=1,INDEX(計算用!$H$3:$H$452,計算用!$R$47),INDEX(振り分け!$D$7:$D$456,計算用!$R$47)))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IF(計算用!$R$48="","",46)</f>
        <v/>
      </c>
      <c r="B50" s="54">
        <f>IF(計算用!$R$48="","",IF(計算用!$B$1=1,INDEX(計算用!$F$3:$F$452,計算用!$R$48),INDEX(振り分け!$B$7:$B$456,計算用!$R$48)))</f>
        <v/>
      </c>
      <c r="C50" s="54">
        <f>IF(計算用!$R$48="","",IF(計算用!$B$1=1,INDEX(計算用!$G$3:$G$452,計算用!$R$48),INDEX(振り分け!$C$7:$C$456,計算用!$R$48)))</f>
        <v/>
      </c>
      <c r="D50" s="59">
        <f>IF(計算用!$R$48="","",IF(計算用!$B$1=1,INDEX(計算用!$H$3:$H$452,計算用!$R$48),INDEX(振り分け!$D$7:$D$456,計算用!$R$48)))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IF(計算用!$R$49="","",47)</f>
        <v/>
      </c>
      <c r="B51" s="54">
        <f>IF(計算用!$R$49="","",IF(計算用!$B$1=1,INDEX(計算用!$F$3:$F$452,計算用!$R$49),INDEX(振り分け!$B$7:$B$456,計算用!$R$49)))</f>
        <v/>
      </c>
      <c r="C51" s="54">
        <f>IF(計算用!$R$49="","",IF(計算用!$B$1=1,INDEX(計算用!$G$3:$G$452,計算用!$R$49),INDEX(振り分け!$C$7:$C$456,計算用!$R$49)))</f>
        <v/>
      </c>
      <c r="D51" s="59">
        <f>IF(計算用!$R$49="","",IF(計算用!$B$1=1,INDEX(計算用!$H$3:$H$452,計算用!$R$49),INDEX(振り分け!$D$7:$D$456,計算用!$R$49)))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IF(計算用!$R$50="","",48)</f>
        <v/>
      </c>
      <c r="B52" s="54">
        <f>IF(計算用!$R$50="","",IF(計算用!$B$1=1,INDEX(計算用!$F$3:$F$452,計算用!$R$50),INDEX(振り分け!$B$7:$B$456,計算用!$R$50)))</f>
        <v/>
      </c>
      <c r="C52" s="54">
        <f>IF(計算用!$R$50="","",IF(計算用!$B$1=1,INDEX(計算用!$G$3:$G$452,計算用!$R$50),INDEX(振り分け!$C$7:$C$456,計算用!$R$50)))</f>
        <v/>
      </c>
      <c r="D52" s="59">
        <f>IF(計算用!$R$50="","",IF(計算用!$B$1=1,INDEX(計算用!$H$3:$H$452,計算用!$R$50),INDEX(振り分け!$D$7:$D$456,計算用!$R$50)))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IF(計算用!$R$51="","",49)</f>
        <v/>
      </c>
      <c r="B53" s="54">
        <f>IF(計算用!$R$51="","",IF(計算用!$B$1=1,INDEX(計算用!$F$3:$F$452,計算用!$R$51),INDEX(振り分け!$B$7:$B$456,計算用!$R$51)))</f>
        <v/>
      </c>
      <c r="C53" s="54">
        <f>IF(計算用!$R$51="","",IF(計算用!$B$1=1,INDEX(計算用!$G$3:$G$452,計算用!$R$51),INDEX(振り分け!$C$7:$C$456,計算用!$R$51)))</f>
        <v/>
      </c>
      <c r="D53" s="59">
        <f>IF(計算用!$R$51="","",IF(計算用!$B$1=1,INDEX(計算用!$H$3:$H$452,計算用!$R$51),INDEX(振り分け!$D$7:$D$456,計算用!$R$51)))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IF(計算用!$R$52="","",50)</f>
        <v/>
      </c>
      <c r="B54" s="54">
        <f>IF(計算用!$R$52="","",IF(計算用!$B$1=1,INDEX(計算用!$F$3:$F$452,計算用!$R$52),INDEX(振り分け!$B$7:$B$456,計算用!$R$52)))</f>
        <v/>
      </c>
      <c r="C54" s="54">
        <f>IF(計算用!$R$52="","",IF(計算用!$B$1=1,INDEX(計算用!$G$3:$G$452,計算用!$R$52),INDEX(振り分け!$C$7:$C$456,計算用!$R$52)))</f>
        <v/>
      </c>
      <c r="D54" s="59">
        <f>IF(計算用!$R$52="","",IF(計算用!$B$1=1,INDEX(計算用!$H$3:$H$452,計算用!$R$52),INDEX(振り分け!$D$7:$D$456,計算用!$R$52)))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IF(設定!$P$17="","",設定!$B$3&amp;"　"&amp;設定!$P$17&amp;設定!$B$4&amp;"名簿"&amp;IF(計算用!$B$1=0,"（仮・前年度の組）",""))</f>
        <v/>
      </c>
    </row>
    <row r="2">
      <c r="A2" s="44">
        <f>IF(設定!$P$17="","","担当："&amp;設定!$S$17&amp;"　　活動場所："&amp;設定!$T$17&amp;"　　人数："&amp;定員チェック!$F$16&amp;"名（"&amp;設定!$B$8&amp;"年"&amp;定員チェック!$G$16&amp;"・"&amp;設定!$B$9&amp;"年"&amp;定員チェック!$H$16&amp;"・"&amp;設定!$B$10&amp;"年"&amp;定員チェック!$I$16&amp;"）")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IF(計算用!$S$3="","",1)</f>
        <v/>
      </c>
      <c r="B5" s="54">
        <f>IF(計算用!$S$3="","",IF(計算用!$B$1=1,INDEX(計算用!$F$3:$F$452,計算用!$S$3),INDEX(振り分け!$B$7:$B$456,計算用!$S$3)))</f>
        <v/>
      </c>
      <c r="C5" s="54">
        <f>IF(計算用!$S$3="","",IF(計算用!$B$1=1,INDEX(計算用!$G$3:$G$452,計算用!$S$3),INDEX(振り分け!$C$7:$C$456,計算用!$S$3)))</f>
        <v/>
      </c>
      <c r="D5" s="59">
        <f>IF(計算用!$S$3="","",IF(計算用!$B$1=1,INDEX(計算用!$H$3:$H$452,計算用!$S$3),INDEX(振り分け!$D$7:$D$456,計算用!$S$3)))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IF(計算用!$S$4="","",2)</f>
        <v/>
      </c>
      <c r="B6" s="54">
        <f>IF(計算用!$S$4="","",IF(計算用!$B$1=1,INDEX(計算用!$F$3:$F$452,計算用!$S$4),INDEX(振り分け!$B$7:$B$456,計算用!$S$4)))</f>
        <v/>
      </c>
      <c r="C6" s="54">
        <f>IF(計算用!$S$4="","",IF(計算用!$B$1=1,INDEX(計算用!$G$3:$G$452,計算用!$S$4),INDEX(振り分け!$C$7:$C$456,計算用!$S$4)))</f>
        <v/>
      </c>
      <c r="D6" s="59">
        <f>IF(計算用!$S$4="","",IF(計算用!$B$1=1,INDEX(計算用!$H$3:$H$452,計算用!$S$4),INDEX(振り分け!$D$7:$D$456,計算用!$S$4)))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IF(計算用!$S$5="","",3)</f>
        <v/>
      </c>
      <c r="B7" s="54">
        <f>IF(計算用!$S$5="","",IF(計算用!$B$1=1,INDEX(計算用!$F$3:$F$452,計算用!$S$5),INDEX(振り分け!$B$7:$B$456,計算用!$S$5)))</f>
        <v/>
      </c>
      <c r="C7" s="54">
        <f>IF(計算用!$S$5="","",IF(計算用!$B$1=1,INDEX(計算用!$G$3:$G$452,計算用!$S$5),INDEX(振り分け!$C$7:$C$456,計算用!$S$5)))</f>
        <v/>
      </c>
      <c r="D7" s="59">
        <f>IF(計算用!$S$5="","",IF(計算用!$B$1=1,INDEX(計算用!$H$3:$H$452,計算用!$S$5),INDEX(振り分け!$D$7:$D$456,計算用!$S$5)))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IF(計算用!$S$6="","",4)</f>
        <v/>
      </c>
      <c r="B8" s="54">
        <f>IF(計算用!$S$6="","",IF(計算用!$B$1=1,INDEX(計算用!$F$3:$F$452,計算用!$S$6),INDEX(振り分け!$B$7:$B$456,計算用!$S$6)))</f>
        <v/>
      </c>
      <c r="C8" s="54">
        <f>IF(計算用!$S$6="","",IF(計算用!$B$1=1,INDEX(計算用!$G$3:$G$452,計算用!$S$6),INDEX(振り分け!$C$7:$C$456,計算用!$S$6)))</f>
        <v/>
      </c>
      <c r="D8" s="59">
        <f>IF(計算用!$S$6="","",IF(計算用!$B$1=1,INDEX(計算用!$H$3:$H$452,計算用!$S$6),INDEX(振り分け!$D$7:$D$456,計算用!$S$6)))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IF(計算用!$S$7="","",5)</f>
        <v/>
      </c>
      <c r="B9" s="54">
        <f>IF(計算用!$S$7="","",IF(計算用!$B$1=1,INDEX(計算用!$F$3:$F$452,計算用!$S$7),INDEX(振り分け!$B$7:$B$456,計算用!$S$7)))</f>
        <v/>
      </c>
      <c r="C9" s="54">
        <f>IF(計算用!$S$7="","",IF(計算用!$B$1=1,INDEX(計算用!$G$3:$G$452,計算用!$S$7),INDEX(振り分け!$C$7:$C$456,計算用!$S$7)))</f>
        <v/>
      </c>
      <c r="D9" s="59">
        <f>IF(計算用!$S$7="","",IF(計算用!$B$1=1,INDEX(計算用!$H$3:$H$452,計算用!$S$7),INDEX(振り分け!$D$7:$D$456,計算用!$S$7)))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IF(計算用!$S$8="","",6)</f>
        <v/>
      </c>
      <c r="B10" s="54">
        <f>IF(計算用!$S$8="","",IF(計算用!$B$1=1,INDEX(計算用!$F$3:$F$452,計算用!$S$8),INDEX(振り分け!$B$7:$B$456,計算用!$S$8)))</f>
        <v/>
      </c>
      <c r="C10" s="54">
        <f>IF(計算用!$S$8="","",IF(計算用!$B$1=1,INDEX(計算用!$G$3:$G$452,計算用!$S$8),INDEX(振り分け!$C$7:$C$456,計算用!$S$8)))</f>
        <v/>
      </c>
      <c r="D10" s="59">
        <f>IF(計算用!$S$8="","",IF(計算用!$B$1=1,INDEX(計算用!$H$3:$H$452,計算用!$S$8),INDEX(振り分け!$D$7:$D$456,計算用!$S$8)))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IF(計算用!$S$9="","",7)</f>
        <v/>
      </c>
      <c r="B11" s="54">
        <f>IF(計算用!$S$9="","",IF(計算用!$B$1=1,INDEX(計算用!$F$3:$F$452,計算用!$S$9),INDEX(振り分け!$B$7:$B$456,計算用!$S$9)))</f>
        <v/>
      </c>
      <c r="C11" s="54">
        <f>IF(計算用!$S$9="","",IF(計算用!$B$1=1,INDEX(計算用!$G$3:$G$452,計算用!$S$9),INDEX(振り分け!$C$7:$C$456,計算用!$S$9)))</f>
        <v/>
      </c>
      <c r="D11" s="59">
        <f>IF(計算用!$S$9="","",IF(計算用!$B$1=1,INDEX(計算用!$H$3:$H$452,計算用!$S$9),INDEX(振り分け!$D$7:$D$456,計算用!$S$9)))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IF(計算用!$S$10="","",8)</f>
        <v/>
      </c>
      <c r="B12" s="54">
        <f>IF(計算用!$S$10="","",IF(計算用!$B$1=1,INDEX(計算用!$F$3:$F$452,計算用!$S$10),INDEX(振り分け!$B$7:$B$456,計算用!$S$10)))</f>
        <v/>
      </c>
      <c r="C12" s="54">
        <f>IF(計算用!$S$10="","",IF(計算用!$B$1=1,INDEX(計算用!$G$3:$G$452,計算用!$S$10),INDEX(振り分け!$C$7:$C$456,計算用!$S$10)))</f>
        <v/>
      </c>
      <c r="D12" s="59">
        <f>IF(計算用!$S$10="","",IF(計算用!$B$1=1,INDEX(計算用!$H$3:$H$452,計算用!$S$10),INDEX(振り分け!$D$7:$D$456,計算用!$S$10)))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IF(計算用!$S$11="","",9)</f>
        <v/>
      </c>
      <c r="B13" s="54">
        <f>IF(計算用!$S$11="","",IF(計算用!$B$1=1,INDEX(計算用!$F$3:$F$452,計算用!$S$11),INDEX(振り分け!$B$7:$B$456,計算用!$S$11)))</f>
        <v/>
      </c>
      <c r="C13" s="54">
        <f>IF(計算用!$S$11="","",IF(計算用!$B$1=1,INDEX(計算用!$G$3:$G$452,計算用!$S$11),INDEX(振り分け!$C$7:$C$456,計算用!$S$11)))</f>
        <v/>
      </c>
      <c r="D13" s="59">
        <f>IF(計算用!$S$11="","",IF(計算用!$B$1=1,INDEX(計算用!$H$3:$H$452,計算用!$S$11),INDEX(振り分け!$D$7:$D$456,計算用!$S$11)))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IF(計算用!$S$12="","",10)</f>
        <v/>
      </c>
      <c r="B14" s="54">
        <f>IF(計算用!$S$12="","",IF(計算用!$B$1=1,INDEX(計算用!$F$3:$F$452,計算用!$S$12),INDEX(振り分け!$B$7:$B$456,計算用!$S$12)))</f>
        <v/>
      </c>
      <c r="C14" s="54">
        <f>IF(計算用!$S$12="","",IF(計算用!$B$1=1,INDEX(計算用!$G$3:$G$452,計算用!$S$12),INDEX(振り分け!$C$7:$C$456,計算用!$S$12)))</f>
        <v/>
      </c>
      <c r="D14" s="59">
        <f>IF(計算用!$S$12="","",IF(計算用!$B$1=1,INDEX(計算用!$H$3:$H$452,計算用!$S$12),INDEX(振り分け!$D$7:$D$456,計算用!$S$12)))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IF(計算用!$S$13="","",11)</f>
        <v/>
      </c>
      <c r="B15" s="54">
        <f>IF(計算用!$S$13="","",IF(計算用!$B$1=1,INDEX(計算用!$F$3:$F$452,計算用!$S$13),INDEX(振り分け!$B$7:$B$456,計算用!$S$13)))</f>
        <v/>
      </c>
      <c r="C15" s="54">
        <f>IF(計算用!$S$13="","",IF(計算用!$B$1=1,INDEX(計算用!$G$3:$G$452,計算用!$S$13),INDEX(振り分け!$C$7:$C$456,計算用!$S$13)))</f>
        <v/>
      </c>
      <c r="D15" s="59">
        <f>IF(計算用!$S$13="","",IF(計算用!$B$1=1,INDEX(計算用!$H$3:$H$452,計算用!$S$13),INDEX(振り分け!$D$7:$D$456,計算用!$S$13)))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IF(計算用!$S$14="","",12)</f>
        <v/>
      </c>
      <c r="B16" s="54">
        <f>IF(計算用!$S$14="","",IF(計算用!$B$1=1,INDEX(計算用!$F$3:$F$452,計算用!$S$14),INDEX(振り分け!$B$7:$B$456,計算用!$S$14)))</f>
        <v/>
      </c>
      <c r="C16" s="54">
        <f>IF(計算用!$S$14="","",IF(計算用!$B$1=1,INDEX(計算用!$G$3:$G$452,計算用!$S$14),INDEX(振り分け!$C$7:$C$456,計算用!$S$14)))</f>
        <v/>
      </c>
      <c r="D16" s="59">
        <f>IF(計算用!$S$14="","",IF(計算用!$B$1=1,INDEX(計算用!$H$3:$H$452,計算用!$S$14),INDEX(振り分け!$D$7:$D$456,計算用!$S$14)))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IF(計算用!$S$15="","",13)</f>
        <v/>
      </c>
      <c r="B17" s="54">
        <f>IF(計算用!$S$15="","",IF(計算用!$B$1=1,INDEX(計算用!$F$3:$F$452,計算用!$S$15),INDEX(振り分け!$B$7:$B$456,計算用!$S$15)))</f>
        <v/>
      </c>
      <c r="C17" s="54">
        <f>IF(計算用!$S$15="","",IF(計算用!$B$1=1,INDEX(計算用!$G$3:$G$452,計算用!$S$15),INDEX(振り分け!$C$7:$C$456,計算用!$S$15)))</f>
        <v/>
      </c>
      <c r="D17" s="59">
        <f>IF(計算用!$S$15="","",IF(計算用!$B$1=1,INDEX(計算用!$H$3:$H$452,計算用!$S$15),INDEX(振り分け!$D$7:$D$456,計算用!$S$15)))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IF(計算用!$S$16="","",14)</f>
        <v/>
      </c>
      <c r="B18" s="54">
        <f>IF(計算用!$S$16="","",IF(計算用!$B$1=1,INDEX(計算用!$F$3:$F$452,計算用!$S$16),INDEX(振り分け!$B$7:$B$456,計算用!$S$16)))</f>
        <v/>
      </c>
      <c r="C18" s="54">
        <f>IF(計算用!$S$16="","",IF(計算用!$B$1=1,INDEX(計算用!$G$3:$G$452,計算用!$S$16),INDEX(振り分け!$C$7:$C$456,計算用!$S$16)))</f>
        <v/>
      </c>
      <c r="D18" s="59">
        <f>IF(計算用!$S$16="","",IF(計算用!$B$1=1,INDEX(計算用!$H$3:$H$452,計算用!$S$16),INDEX(振り分け!$D$7:$D$456,計算用!$S$16)))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IF(計算用!$S$17="","",15)</f>
        <v/>
      </c>
      <c r="B19" s="54">
        <f>IF(計算用!$S$17="","",IF(計算用!$B$1=1,INDEX(計算用!$F$3:$F$452,計算用!$S$17),INDEX(振り分け!$B$7:$B$456,計算用!$S$17)))</f>
        <v/>
      </c>
      <c r="C19" s="54">
        <f>IF(計算用!$S$17="","",IF(計算用!$B$1=1,INDEX(計算用!$G$3:$G$452,計算用!$S$17),INDEX(振り分け!$C$7:$C$456,計算用!$S$17)))</f>
        <v/>
      </c>
      <c r="D19" s="59">
        <f>IF(計算用!$S$17="","",IF(計算用!$B$1=1,INDEX(計算用!$H$3:$H$452,計算用!$S$17),INDEX(振り分け!$D$7:$D$456,計算用!$S$17)))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IF(計算用!$S$18="","",16)</f>
        <v/>
      </c>
      <c r="B20" s="54">
        <f>IF(計算用!$S$18="","",IF(計算用!$B$1=1,INDEX(計算用!$F$3:$F$452,計算用!$S$18),INDEX(振り分け!$B$7:$B$456,計算用!$S$18)))</f>
        <v/>
      </c>
      <c r="C20" s="54">
        <f>IF(計算用!$S$18="","",IF(計算用!$B$1=1,INDEX(計算用!$G$3:$G$452,計算用!$S$18),INDEX(振り分け!$C$7:$C$456,計算用!$S$18)))</f>
        <v/>
      </c>
      <c r="D20" s="59">
        <f>IF(計算用!$S$18="","",IF(計算用!$B$1=1,INDEX(計算用!$H$3:$H$452,計算用!$S$18),INDEX(振り分け!$D$7:$D$456,計算用!$S$18)))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IF(計算用!$S$19="","",17)</f>
        <v/>
      </c>
      <c r="B21" s="54">
        <f>IF(計算用!$S$19="","",IF(計算用!$B$1=1,INDEX(計算用!$F$3:$F$452,計算用!$S$19),INDEX(振り分け!$B$7:$B$456,計算用!$S$19)))</f>
        <v/>
      </c>
      <c r="C21" s="54">
        <f>IF(計算用!$S$19="","",IF(計算用!$B$1=1,INDEX(計算用!$G$3:$G$452,計算用!$S$19),INDEX(振り分け!$C$7:$C$456,計算用!$S$19)))</f>
        <v/>
      </c>
      <c r="D21" s="59">
        <f>IF(計算用!$S$19="","",IF(計算用!$B$1=1,INDEX(計算用!$H$3:$H$452,計算用!$S$19),INDEX(振り分け!$D$7:$D$456,計算用!$S$19)))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IF(計算用!$S$20="","",18)</f>
        <v/>
      </c>
      <c r="B22" s="54">
        <f>IF(計算用!$S$20="","",IF(計算用!$B$1=1,INDEX(計算用!$F$3:$F$452,計算用!$S$20),INDEX(振り分け!$B$7:$B$456,計算用!$S$20)))</f>
        <v/>
      </c>
      <c r="C22" s="54">
        <f>IF(計算用!$S$20="","",IF(計算用!$B$1=1,INDEX(計算用!$G$3:$G$452,計算用!$S$20),INDEX(振り分け!$C$7:$C$456,計算用!$S$20)))</f>
        <v/>
      </c>
      <c r="D22" s="59">
        <f>IF(計算用!$S$20="","",IF(計算用!$B$1=1,INDEX(計算用!$H$3:$H$452,計算用!$S$20),INDEX(振り分け!$D$7:$D$456,計算用!$S$20)))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IF(計算用!$S$21="","",19)</f>
        <v/>
      </c>
      <c r="B23" s="54">
        <f>IF(計算用!$S$21="","",IF(計算用!$B$1=1,INDEX(計算用!$F$3:$F$452,計算用!$S$21),INDEX(振り分け!$B$7:$B$456,計算用!$S$21)))</f>
        <v/>
      </c>
      <c r="C23" s="54">
        <f>IF(計算用!$S$21="","",IF(計算用!$B$1=1,INDEX(計算用!$G$3:$G$452,計算用!$S$21),INDEX(振り分け!$C$7:$C$456,計算用!$S$21)))</f>
        <v/>
      </c>
      <c r="D23" s="59">
        <f>IF(計算用!$S$21="","",IF(計算用!$B$1=1,INDEX(計算用!$H$3:$H$452,計算用!$S$21),INDEX(振り分け!$D$7:$D$456,計算用!$S$21)))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IF(計算用!$S$22="","",20)</f>
        <v/>
      </c>
      <c r="B24" s="54">
        <f>IF(計算用!$S$22="","",IF(計算用!$B$1=1,INDEX(計算用!$F$3:$F$452,計算用!$S$22),INDEX(振り分け!$B$7:$B$456,計算用!$S$22)))</f>
        <v/>
      </c>
      <c r="C24" s="54">
        <f>IF(計算用!$S$22="","",IF(計算用!$B$1=1,INDEX(計算用!$G$3:$G$452,計算用!$S$22),INDEX(振り分け!$C$7:$C$456,計算用!$S$22)))</f>
        <v/>
      </c>
      <c r="D24" s="59">
        <f>IF(計算用!$S$22="","",IF(計算用!$B$1=1,INDEX(計算用!$H$3:$H$452,計算用!$S$22),INDEX(振り分け!$D$7:$D$456,計算用!$S$22)))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IF(計算用!$S$23="","",21)</f>
        <v/>
      </c>
      <c r="B25" s="54">
        <f>IF(計算用!$S$23="","",IF(計算用!$B$1=1,INDEX(計算用!$F$3:$F$452,計算用!$S$23),INDEX(振り分け!$B$7:$B$456,計算用!$S$23)))</f>
        <v/>
      </c>
      <c r="C25" s="54">
        <f>IF(計算用!$S$23="","",IF(計算用!$B$1=1,INDEX(計算用!$G$3:$G$452,計算用!$S$23),INDEX(振り分け!$C$7:$C$456,計算用!$S$23)))</f>
        <v/>
      </c>
      <c r="D25" s="59">
        <f>IF(計算用!$S$23="","",IF(計算用!$B$1=1,INDEX(計算用!$H$3:$H$452,計算用!$S$23),INDEX(振り分け!$D$7:$D$456,計算用!$S$23)))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IF(計算用!$S$24="","",22)</f>
        <v/>
      </c>
      <c r="B26" s="54">
        <f>IF(計算用!$S$24="","",IF(計算用!$B$1=1,INDEX(計算用!$F$3:$F$452,計算用!$S$24),INDEX(振り分け!$B$7:$B$456,計算用!$S$24)))</f>
        <v/>
      </c>
      <c r="C26" s="54">
        <f>IF(計算用!$S$24="","",IF(計算用!$B$1=1,INDEX(計算用!$G$3:$G$452,計算用!$S$24),INDEX(振り分け!$C$7:$C$456,計算用!$S$24)))</f>
        <v/>
      </c>
      <c r="D26" s="59">
        <f>IF(計算用!$S$24="","",IF(計算用!$B$1=1,INDEX(計算用!$H$3:$H$452,計算用!$S$24),INDEX(振り分け!$D$7:$D$456,計算用!$S$24)))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IF(計算用!$S$25="","",23)</f>
        <v/>
      </c>
      <c r="B27" s="54">
        <f>IF(計算用!$S$25="","",IF(計算用!$B$1=1,INDEX(計算用!$F$3:$F$452,計算用!$S$25),INDEX(振り分け!$B$7:$B$456,計算用!$S$25)))</f>
        <v/>
      </c>
      <c r="C27" s="54">
        <f>IF(計算用!$S$25="","",IF(計算用!$B$1=1,INDEX(計算用!$G$3:$G$452,計算用!$S$25),INDEX(振り分け!$C$7:$C$456,計算用!$S$25)))</f>
        <v/>
      </c>
      <c r="D27" s="59">
        <f>IF(計算用!$S$25="","",IF(計算用!$B$1=1,INDEX(計算用!$H$3:$H$452,計算用!$S$25),INDEX(振り分け!$D$7:$D$456,計算用!$S$25)))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IF(計算用!$S$26="","",24)</f>
        <v/>
      </c>
      <c r="B28" s="54">
        <f>IF(計算用!$S$26="","",IF(計算用!$B$1=1,INDEX(計算用!$F$3:$F$452,計算用!$S$26),INDEX(振り分け!$B$7:$B$456,計算用!$S$26)))</f>
        <v/>
      </c>
      <c r="C28" s="54">
        <f>IF(計算用!$S$26="","",IF(計算用!$B$1=1,INDEX(計算用!$G$3:$G$452,計算用!$S$26),INDEX(振り分け!$C$7:$C$456,計算用!$S$26)))</f>
        <v/>
      </c>
      <c r="D28" s="59">
        <f>IF(計算用!$S$26="","",IF(計算用!$B$1=1,INDEX(計算用!$H$3:$H$452,計算用!$S$26),INDEX(振り分け!$D$7:$D$456,計算用!$S$26)))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IF(計算用!$S$27="","",25)</f>
        <v/>
      </c>
      <c r="B29" s="54">
        <f>IF(計算用!$S$27="","",IF(計算用!$B$1=1,INDEX(計算用!$F$3:$F$452,計算用!$S$27),INDEX(振り分け!$B$7:$B$456,計算用!$S$27)))</f>
        <v/>
      </c>
      <c r="C29" s="54">
        <f>IF(計算用!$S$27="","",IF(計算用!$B$1=1,INDEX(計算用!$G$3:$G$452,計算用!$S$27),INDEX(振り分け!$C$7:$C$456,計算用!$S$27)))</f>
        <v/>
      </c>
      <c r="D29" s="59">
        <f>IF(計算用!$S$27="","",IF(計算用!$B$1=1,INDEX(計算用!$H$3:$H$452,計算用!$S$27),INDEX(振り分け!$D$7:$D$456,計算用!$S$27)))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IF(計算用!$S$28="","",26)</f>
        <v/>
      </c>
      <c r="B30" s="54">
        <f>IF(計算用!$S$28="","",IF(計算用!$B$1=1,INDEX(計算用!$F$3:$F$452,計算用!$S$28),INDEX(振り分け!$B$7:$B$456,計算用!$S$28)))</f>
        <v/>
      </c>
      <c r="C30" s="54">
        <f>IF(計算用!$S$28="","",IF(計算用!$B$1=1,INDEX(計算用!$G$3:$G$452,計算用!$S$28),INDEX(振り分け!$C$7:$C$456,計算用!$S$28)))</f>
        <v/>
      </c>
      <c r="D30" s="59">
        <f>IF(計算用!$S$28="","",IF(計算用!$B$1=1,INDEX(計算用!$H$3:$H$452,計算用!$S$28),INDEX(振り分け!$D$7:$D$456,計算用!$S$28)))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IF(計算用!$S$29="","",27)</f>
        <v/>
      </c>
      <c r="B31" s="54">
        <f>IF(計算用!$S$29="","",IF(計算用!$B$1=1,INDEX(計算用!$F$3:$F$452,計算用!$S$29),INDEX(振り分け!$B$7:$B$456,計算用!$S$29)))</f>
        <v/>
      </c>
      <c r="C31" s="54">
        <f>IF(計算用!$S$29="","",IF(計算用!$B$1=1,INDEX(計算用!$G$3:$G$452,計算用!$S$29),INDEX(振り分け!$C$7:$C$456,計算用!$S$29)))</f>
        <v/>
      </c>
      <c r="D31" s="59">
        <f>IF(計算用!$S$29="","",IF(計算用!$B$1=1,INDEX(計算用!$H$3:$H$452,計算用!$S$29),INDEX(振り分け!$D$7:$D$456,計算用!$S$29)))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IF(計算用!$S$30="","",28)</f>
        <v/>
      </c>
      <c r="B32" s="54">
        <f>IF(計算用!$S$30="","",IF(計算用!$B$1=1,INDEX(計算用!$F$3:$F$452,計算用!$S$30),INDEX(振り分け!$B$7:$B$456,計算用!$S$30)))</f>
        <v/>
      </c>
      <c r="C32" s="54">
        <f>IF(計算用!$S$30="","",IF(計算用!$B$1=1,INDEX(計算用!$G$3:$G$452,計算用!$S$30),INDEX(振り分け!$C$7:$C$456,計算用!$S$30)))</f>
        <v/>
      </c>
      <c r="D32" s="59">
        <f>IF(計算用!$S$30="","",IF(計算用!$B$1=1,INDEX(計算用!$H$3:$H$452,計算用!$S$30),INDEX(振り分け!$D$7:$D$456,計算用!$S$30)))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IF(計算用!$S$31="","",29)</f>
        <v/>
      </c>
      <c r="B33" s="54">
        <f>IF(計算用!$S$31="","",IF(計算用!$B$1=1,INDEX(計算用!$F$3:$F$452,計算用!$S$31),INDEX(振り分け!$B$7:$B$456,計算用!$S$31)))</f>
        <v/>
      </c>
      <c r="C33" s="54">
        <f>IF(計算用!$S$31="","",IF(計算用!$B$1=1,INDEX(計算用!$G$3:$G$452,計算用!$S$31),INDEX(振り分け!$C$7:$C$456,計算用!$S$31)))</f>
        <v/>
      </c>
      <c r="D33" s="59">
        <f>IF(計算用!$S$31="","",IF(計算用!$B$1=1,INDEX(計算用!$H$3:$H$452,計算用!$S$31),INDEX(振り分け!$D$7:$D$456,計算用!$S$31)))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IF(計算用!$S$32="","",30)</f>
        <v/>
      </c>
      <c r="B34" s="54">
        <f>IF(計算用!$S$32="","",IF(計算用!$B$1=1,INDEX(計算用!$F$3:$F$452,計算用!$S$32),INDEX(振り分け!$B$7:$B$456,計算用!$S$32)))</f>
        <v/>
      </c>
      <c r="C34" s="54">
        <f>IF(計算用!$S$32="","",IF(計算用!$B$1=1,INDEX(計算用!$G$3:$G$452,計算用!$S$32),INDEX(振り分け!$C$7:$C$456,計算用!$S$32)))</f>
        <v/>
      </c>
      <c r="D34" s="59">
        <f>IF(計算用!$S$32="","",IF(計算用!$B$1=1,INDEX(計算用!$H$3:$H$452,計算用!$S$32),INDEX(振り分け!$D$7:$D$456,計算用!$S$32)))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IF(計算用!$S$33="","",31)</f>
        <v/>
      </c>
      <c r="B35" s="54">
        <f>IF(計算用!$S$33="","",IF(計算用!$B$1=1,INDEX(計算用!$F$3:$F$452,計算用!$S$33),INDEX(振り分け!$B$7:$B$456,計算用!$S$33)))</f>
        <v/>
      </c>
      <c r="C35" s="54">
        <f>IF(計算用!$S$33="","",IF(計算用!$B$1=1,INDEX(計算用!$G$3:$G$452,計算用!$S$33),INDEX(振り分け!$C$7:$C$456,計算用!$S$33)))</f>
        <v/>
      </c>
      <c r="D35" s="59">
        <f>IF(計算用!$S$33="","",IF(計算用!$B$1=1,INDEX(計算用!$H$3:$H$452,計算用!$S$33),INDEX(振り分け!$D$7:$D$456,計算用!$S$33)))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IF(計算用!$S$34="","",32)</f>
        <v/>
      </c>
      <c r="B36" s="54">
        <f>IF(計算用!$S$34="","",IF(計算用!$B$1=1,INDEX(計算用!$F$3:$F$452,計算用!$S$34),INDEX(振り分け!$B$7:$B$456,計算用!$S$34)))</f>
        <v/>
      </c>
      <c r="C36" s="54">
        <f>IF(計算用!$S$34="","",IF(計算用!$B$1=1,INDEX(計算用!$G$3:$G$452,計算用!$S$34),INDEX(振り分け!$C$7:$C$456,計算用!$S$34)))</f>
        <v/>
      </c>
      <c r="D36" s="59">
        <f>IF(計算用!$S$34="","",IF(計算用!$B$1=1,INDEX(計算用!$H$3:$H$452,計算用!$S$34),INDEX(振り分け!$D$7:$D$456,計算用!$S$34)))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IF(計算用!$S$35="","",33)</f>
        <v/>
      </c>
      <c r="B37" s="54">
        <f>IF(計算用!$S$35="","",IF(計算用!$B$1=1,INDEX(計算用!$F$3:$F$452,計算用!$S$35),INDEX(振り分け!$B$7:$B$456,計算用!$S$35)))</f>
        <v/>
      </c>
      <c r="C37" s="54">
        <f>IF(計算用!$S$35="","",IF(計算用!$B$1=1,INDEX(計算用!$G$3:$G$452,計算用!$S$35),INDEX(振り分け!$C$7:$C$456,計算用!$S$35)))</f>
        <v/>
      </c>
      <c r="D37" s="59">
        <f>IF(計算用!$S$35="","",IF(計算用!$B$1=1,INDEX(計算用!$H$3:$H$452,計算用!$S$35),INDEX(振り分け!$D$7:$D$456,計算用!$S$35)))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IF(計算用!$S$36="","",34)</f>
        <v/>
      </c>
      <c r="B38" s="54">
        <f>IF(計算用!$S$36="","",IF(計算用!$B$1=1,INDEX(計算用!$F$3:$F$452,計算用!$S$36),INDEX(振り分け!$B$7:$B$456,計算用!$S$36)))</f>
        <v/>
      </c>
      <c r="C38" s="54">
        <f>IF(計算用!$S$36="","",IF(計算用!$B$1=1,INDEX(計算用!$G$3:$G$452,計算用!$S$36),INDEX(振り分け!$C$7:$C$456,計算用!$S$36)))</f>
        <v/>
      </c>
      <c r="D38" s="59">
        <f>IF(計算用!$S$36="","",IF(計算用!$B$1=1,INDEX(計算用!$H$3:$H$452,計算用!$S$36),INDEX(振り分け!$D$7:$D$456,計算用!$S$36)))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IF(計算用!$S$37="","",35)</f>
        <v/>
      </c>
      <c r="B39" s="54">
        <f>IF(計算用!$S$37="","",IF(計算用!$B$1=1,INDEX(計算用!$F$3:$F$452,計算用!$S$37),INDEX(振り分け!$B$7:$B$456,計算用!$S$37)))</f>
        <v/>
      </c>
      <c r="C39" s="54">
        <f>IF(計算用!$S$37="","",IF(計算用!$B$1=1,INDEX(計算用!$G$3:$G$452,計算用!$S$37),INDEX(振り分け!$C$7:$C$456,計算用!$S$37)))</f>
        <v/>
      </c>
      <c r="D39" s="59">
        <f>IF(計算用!$S$37="","",IF(計算用!$B$1=1,INDEX(計算用!$H$3:$H$452,計算用!$S$37),INDEX(振り分け!$D$7:$D$456,計算用!$S$37)))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IF(計算用!$S$38="","",36)</f>
        <v/>
      </c>
      <c r="B40" s="54">
        <f>IF(計算用!$S$38="","",IF(計算用!$B$1=1,INDEX(計算用!$F$3:$F$452,計算用!$S$38),INDEX(振り分け!$B$7:$B$456,計算用!$S$38)))</f>
        <v/>
      </c>
      <c r="C40" s="54">
        <f>IF(計算用!$S$38="","",IF(計算用!$B$1=1,INDEX(計算用!$G$3:$G$452,計算用!$S$38),INDEX(振り分け!$C$7:$C$456,計算用!$S$38)))</f>
        <v/>
      </c>
      <c r="D40" s="59">
        <f>IF(計算用!$S$38="","",IF(計算用!$B$1=1,INDEX(計算用!$H$3:$H$452,計算用!$S$38),INDEX(振り分け!$D$7:$D$456,計算用!$S$38)))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IF(計算用!$S$39="","",37)</f>
        <v/>
      </c>
      <c r="B41" s="54">
        <f>IF(計算用!$S$39="","",IF(計算用!$B$1=1,INDEX(計算用!$F$3:$F$452,計算用!$S$39),INDEX(振り分け!$B$7:$B$456,計算用!$S$39)))</f>
        <v/>
      </c>
      <c r="C41" s="54">
        <f>IF(計算用!$S$39="","",IF(計算用!$B$1=1,INDEX(計算用!$G$3:$G$452,計算用!$S$39),INDEX(振り分け!$C$7:$C$456,計算用!$S$39)))</f>
        <v/>
      </c>
      <c r="D41" s="59">
        <f>IF(計算用!$S$39="","",IF(計算用!$B$1=1,INDEX(計算用!$H$3:$H$452,計算用!$S$39),INDEX(振り分け!$D$7:$D$456,計算用!$S$39)))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IF(計算用!$S$40="","",38)</f>
        <v/>
      </c>
      <c r="B42" s="54">
        <f>IF(計算用!$S$40="","",IF(計算用!$B$1=1,INDEX(計算用!$F$3:$F$452,計算用!$S$40),INDEX(振り分け!$B$7:$B$456,計算用!$S$40)))</f>
        <v/>
      </c>
      <c r="C42" s="54">
        <f>IF(計算用!$S$40="","",IF(計算用!$B$1=1,INDEX(計算用!$G$3:$G$452,計算用!$S$40),INDEX(振り分け!$C$7:$C$456,計算用!$S$40)))</f>
        <v/>
      </c>
      <c r="D42" s="59">
        <f>IF(計算用!$S$40="","",IF(計算用!$B$1=1,INDEX(計算用!$H$3:$H$452,計算用!$S$40),INDEX(振り分け!$D$7:$D$456,計算用!$S$40)))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IF(計算用!$S$41="","",39)</f>
        <v/>
      </c>
      <c r="B43" s="54">
        <f>IF(計算用!$S$41="","",IF(計算用!$B$1=1,INDEX(計算用!$F$3:$F$452,計算用!$S$41),INDEX(振り分け!$B$7:$B$456,計算用!$S$41)))</f>
        <v/>
      </c>
      <c r="C43" s="54">
        <f>IF(計算用!$S$41="","",IF(計算用!$B$1=1,INDEX(計算用!$G$3:$G$452,計算用!$S$41),INDEX(振り分け!$C$7:$C$456,計算用!$S$41)))</f>
        <v/>
      </c>
      <c r="D43" s="59">
        <f>IF(計算用!$S$41="","",IF(計算用!$B$1=1,INDEX(計算用!$H$3:$H$452,計算用!$S$41),INDEX(振り分け!$D$7:$D$456,計算用!$S$41)))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IF(計算用!$S$42="","",40)</f>
        <v/>
      </c>
      <c r="B44" s="54">
        <f>IF(計算用!$S$42="","",IF(計算用!$B$1=1,INDEX(計算用!$F$3:$F$452,計算用!$S$42),INDEX(振り分け!$B$7:$B$456,計算用!$S$42)))</f>
        <v/>
      </c>
      <c r="C44" s="54">
        <f>IF(計算用!$S$42="","",IF(計算用!$B$1=1,INDEX(計算用!$G$3:$G$452,計算用!$S$42),INDEX(振り分け!$C$7:$C$456,計算用!$S$42)))</f>
        <v/>
      </c>
      <c r="D44" s="59">
        <f>IF(計算用!$S$42="","",IF(計算用!$B$1=1,INDEX(計算用!$H$3:$H$452,計算用!$S$42),INDEX(振り分け!$D$7:$D$456,計算用!$S$42)))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IF(計算用!$S$43="","",41)</f>
        <v/>
      </c>
      <c r="B45" s="54">
        <f>IF(計算用!$S$43="","",IF(計算用!$B$1=1,INDEX(計算用!$F$3:$F$452,計算用!$S$43),INDEX(振り分け!$B$7:$B$456,計算用!$S$43)))</f>
        <v/>
      </c>
      <c r="C45" s="54">
        <f>IF(計算用!$S$43="","",IF(計算用!$B$1=1,INDEX(計算用!$G$3:$G$452,計算用!$S$43),INDEX(振り分け!$C$7:$C$456,計算用!$S$43)))</f>
        <v/>
      </c>
      <c r="D45" s="59">
        <f>IF(計算用!$S$43="","",IF(計算用!$B$1=1,INDEX(計算用!$H$3:$H$452,計算用!$S$43),INDEX(振り分け!$D$7:$D$456,計算用!$S$43)))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IF(計算用!$S$44="","",42)</f>
        <v/>
      </c>
      <c r="B46" s="54">
        <f>IF(計算用!$S$44="","",IF(計算用!$B$1=1,INDEX(計算用!$F$3:$F$452,計算用!$S$44),INDEX(振り分け!$B$7:$B$456,計算用!$S$44)))</f>
        <v/>
      </c>
      <c r="C46" s="54">
        <f>IF(計算用!$S$44="","",IF(計算用!$B$1=1,INDEX(計算用!$G$3:$G$452,計算用!$S$44),INDEX(振り分け!$C$7:$C$456,計算用!$S$44)))</f>
        <v/>
      </c>
      <c r="D46" s="59">
        <f>IF(計算用!$S$44="","",IF(計算用!$B$1=1,INDEX(計算用!$H$3:$H$452,計算用!$S$44),INDEX(振り分け!$D$7:$D$456,計算用!$S$44)))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IF(計算用!$S$45="","",43)</f>
        <v/>
      </c>
      <c r="B47" s="54">
        <f>IF(計算用!$S$45="","",IF(計算用!$B$1=1,INDEX(計算用!$F$3:$F$452,計算用!$S$45),INDEX(振り分け!$B$7:$B$456,計算用!$S$45)))</f>
        <v/>
      </c>
      <c r="C47" s="54">
        <f>IF(計算用!$S$45="","",IF(計算用!$B$1=1,INDEX(計算用!$G$3:$G$452,計算用!$S$45),INDEX(振り分け!$C$7:$C$456,計算用!$S$45)))</f>
        <v/>
      </c>
      <c r="D47" s="59">
        <f>IF(計算用!$S$45="","",IF(計算用!$B$1=1,INDEX(計算用!$H$3:$H$452,計算用!$S$45),INDEX(振り分け!$D$7:$D$456,計算用!$S$45)))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IF(計算用!$S$46="","",44)</f>
        <v/>
      </c>
      <c r="B48" s="54">
        <f>IF(計算用!$S$46="","",IF(計算用!$B$1=1,INDEX(計算用!$F$3:$F$452,計算用!$S$46),INDEX(振り分け!$B$7:$B$456,計算用!$S$46)))</f>
        <v/>
      </c>
      <c r="C48" s="54">
        <f>IF(計算用!$S$46="","",IF(計算用!$B$1=1,INDEX(計算用!$G$3:$G$452,計算用!$S$46),INDEX(振り分け!$C$7:$C$456,計算用!$S$46)))</f>
        <v/>
      </c>
      <c r="D48" s="59">
        <f>IF(計算用!$S$46="","",IF(計算用!$B$1=1,INDEX(計算用!$H$3:$H$452,計算用!$S$46),INDEX(振り分け!$D$7:$D$456,計算用!$S$46)))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IF(計算用!$S$47="","",45)</f>
        <v/>
      </c>
      <c r="B49" s="54">
        <f>IF(計算用!$S$47="","",IF(計算用!$B$1=1,INDEX(計算用!$F$3:$F$452,計算用!$S$47),INDEX(振り分け!$B$7:$B$456,計算用!$S$47)))</f>
        <v/>
      </c>
      <c r="C49" s="54">
        <f>IF(計算用!$S$47="","",IF(計算用!$B$1=1,INDEX(計算用!$G$3:$G$452,計算用!$S$47),INDEX(振り分け!$C$7:$C$456,計算用!$S$47)))</f>
        <v/>
      </c>
      <c r="D49" s="59">
        <f>IF(計算用!$S$47="","",IF(計算用!$B$1=1,INDEX(計算用!$H$3:$H$452,計算用!$S$47),INDEX(振り分け!$D$7:$D$456,計算用!$S$47)))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IF(計算用!$S$48="","",46)</f>
        <v/>
      </c>
      <c r="B50" s="54">
        <f>IF(計算用!$S$48="","",IF(計算用!$B$1=1,INDEX(計算用!$F$3:$F$452,計算用!$S$48),INDEX(振り分け!$B$7:$B$456,計算用!$S$48)))</f>
        <v/>
      </c>
      <c r="C50" s="54">
        <f>IF(計算用!$S$48="","",IF(計算用!$B$1=1,INDEX(計算用!$G$3:$G$452,計算用!$S$48),INDEX(振り分け!$C$7:$C$456,計算用!$S$48)))</f>
        <v/>
      </c>
      <c r="D50" s="59">
        <f>IF(計算用!$S$48="","",IF(計算用!$B$1=1,INDEX(計算用!$H$3:$H$452,計算用!$S$48),INDEX(振り分け!$D$7:$D$456,計算用!$S$48)))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IF(計算用!$S$49="","",47)</f>
        <v/>
      </c>
      <c r="B51" s="54">
        <f>IF(計算用!$S$49="","",IF(計算用!$B$1=1,INDEX(計算用!$F$3:$F$452,計算用!$S$49),INDEX(振り分け!$B$7:$B$456,計算用!$S$49)))</f>
        <v/>
      </c>
      <c r="C51" s="54">
        <f>IF(計算用!$S$49="","",IF(計算用!$B$1=1,INDEX(計算用!$G$3:$G$452,計算用!$S$49),INDEX(振り分け!$C$7:$C$456,計算用!$S$49)))</f>
        <v/>
      </c>
      <c r="D51" s="59">
        <f>IF(計算用!$S$49="","",IF(計算用!$B$1=1,INDEX(計算用!$H$3:$H$452,計算用!$S$49),INDEX(振り分け!$D$7:$D$456,計算用!$S$49)))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IF(計算用!$S$50="","",48)</f>
        <v/>
      </c>
      <c r="B52" s="54">
        <f>IF(計算用!$S$50="","",IF(計算用!$B$1=1,INDEX(計算用!$F$3:$F$452,計算用!$S$50),INDEX(振り分け!$B$7:$B$456,計算用!$S$50)))</f>
        <v/>
      </c>
      <c r="C52" s="54">
        <f>IF(計算用!$S$50="","",IF(計算用!$B$1=1,INDEX(計算用!$G$3:$G$452,計算用!$S$50),INDEX(振り分け!$C$7:$C$456,計算用!$S$50)))</f>
        <v/>
      </c>
      <c r="D52" s="59">
        <f>IF(計算用!$S$50="","",IF(計算用!$B$1=1,INDEX(計算用!$H$3:$H$452,計算用!$S$50),INDEX(振り分け!$D$7:$D$456,計算用!$S$50)))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IF(計算用!$S$51="","",49)</f>
        <v/>
      </c>
      <c r="B53" s="54">
        <f>IF(計算用!$S$51="","",IF(計算用!$B$1=1,INDEX(計算用!$F$3:$F$452,計算用!$S$51),INDEX(振り分け!$B$7:$B$456,計算用!$S$51)))</f>
        <v/>
      </c>
      <c r="C53" s="54">
        <f>IF(計算用!$S$51="","",IF(計算用!$B$1=1,INDEX(計算用!$G$3:$G$452,計算用!$S$51),INDEX(振り分け!$C$7:$C$456,計算用!$S$51)))</f>
        <v/>
      </c>
      <c r="D53" s="59">
        <f>IF(計算用!$S$51="","",IF(計算用!$B$1=1,INDEX(計算用!$H$3:$H$452,計算用!$S$51),INDEX(振り分け!$D$7:$D$456,計算用!$S$51)))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IF(計算用!$S$52="","",50)</f>
        <v/>
      </c>
      <c r="B54" s="54">
        <f>IF(計算用!$S$52="","",IF(計算用!$B$1=1,INDEX(計算用!$F$3:$F$452,計算用!$S$52),INDEX(振り分け!$B$7:$B$456,計算用!$S$52)))</f>
        <v/>
      </c>
      <c r="C54" s="54">
        <f>IF(計算用!$S$52="","",IF(計算用!$B$1=1,INDEX(計算用!$G$3:$G$452,計算用!$S$52),INDEX(振り分け!$C$7:$C$456,計算用!$S$52)))</f>
        <v/>
      </c>
      <c r="D54" s="59">
        <f>IF(計算用!$S$52="","",IF(計算用!$B$1=1,INDEX(計算用!$H$3:$H$452,計算用!$S$52),INDEX(振り分け!$D$7:$D$456,計算用!$S$52)))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IF(設定!$P$18="","",設定!$B$3&amp;"　"&amp;設定!$P$18&amp;設定!$B$4&amp;"名簿"&amp;IF(計算用!$B$1=0,"（仮・前年度の組）",""))</f>
        <v/>
      </c>
    </row>
    <row r="2">
      <c r="A2" s="44">
        <f>IF(設定!$P$18="","","担当："&amp;設定!$S$18&amp;"　　活動場所："&amp;設定!$T$18&amp;"　　人数："&amp;定員チェック!$F$17&amp;"名（"&amp;設定!$B$8&amp;"年"&amp;定員チェック!$G$17&amp;"・"&amp;設定!$B$9&amp;"年"&amp;定員チェック!$H$17&amp;"・"&amp;設定!$B$10&amp;"年"&amp;定員チェック!$I$17&amp;"）")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IF(計算用!$T$3="","",1)</f>
        <v/>
      </c>
      <c r="B5" s="54">
        <f>IF(計算用!$T$3="","",IF(計算用!$B$1=1,INDEX(計算用!$F$3:$F$452,計算用!$T$3),INDEX(振り分け!$B$7:$B$456,計算用!$T$3)))</f>
        <v/>
      </c>
      <c r="C5" s="54">
        <f>IF(計算用!$T$3="","",IF(計算用!$B$1=1,INDEX(計算用!$G$3:$G$452,計算用!$T$3),INDEX(振り分け!$C$7:$C$456,計算用!$T$3)))</f>
        <v/>
      </c>
      <c r="D5" s="59">
        <f>IF(計算用!$T$3="","",IF(計算用!$B$1=1,INDEX(計算用!$H$3:$H$452,計算用!$T$3),INDEX(振り分け!$D$7:$D$456,計算用!$T$3)))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IF(計算用!$T$4="","",2)</f>
        <v/>
      </c>
      <c r="B6" s="54">
        <f>IF(計算用!$T$4="","",IF(計算用!$B$1=1,INDEX(計算用!$F$3:$F$452,計算用!$T$4),INDEX(振り分け!$B$7:$B$456,計算用!$T$4)))</f>
        <v/>
      </c>
      <c r="C6" s="54">
        <f>IF(計算用!$T$4="","",IF(計算用!$B$1=1,INDEX(計算用!$G$3:$G$452,計算用!$T$4),INDEX(振り分け!$C$7:$C$456,計算用!$T$4)))</f>
        <v/>
      </c>
      <c r="D6" s="59">
        <f>IF(計算用!$T$4="","",IF(計算用!$B$1=1,INDEX(計算用!$H$3:$H$452,計算用!$T$4),INDEX(振り分け!$D$7:$D$456,計算用!$T$4)))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IF(計算用!$T$5="","",3)</f>
        <v/>
      </c>
      <c r="B7" s="54">
        <f>IF(計算用!$T$5="","",IF(計算用!$B$1=1,INDEX(計算用!$F$3:$F$452,計算用!$T$5),INDEX(振り分け!$B$7:$B$456,計算用!$T$5)))</f>
        <v/>
      </c>
      <c r="C7" s="54">
        <f>IF(計算用!$T$5="","",IF(計算用!$B$1=1,INDEX(計算用!$G$3:$G$452,計算用!$T$5),INDEX(振り分け!$C$7:$C$456,計算用!$T$5)))</f>
        <v/>
      </c>
      <c r="D7" s="59">
        <f>IF(計算用!$T$5="","",IF(計算用!$B$1=1,INDEX(計算用!$H$3:$H$452,計算用!$T$5),INDEX(振り分け!$D$7:$D$456,計算用!$T$5)))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IF(計算用!$T$6="","",4)</f>
        <v/>
      </c>
      <c r="B8" s="54">
        <f>IF(計算用!$T$6="","",IF(計算用!$B$1=1,INDEX(計算用!$F$3:$F$452,計算用!$T$6),INDEX(振り分け!$B$7:$B$456,計算用!$T$6)))</f>
        <v/>
      </c>
      <c r="C8" s="54">
        <f>IF(計算用!$T$6="","",IF(計算用!$B$1=1,INDEX(計算用!$G$3:$G$452,計算用!$T$6),INDEX(振り分け!$C$7:$C$456,計算用!$T$6)))</f>
        <v/>
      </c>
      <c r="D8" s="59">
        <f>IF(計算用!$T$6="","",IF(計算用!$B$1=1,INDEX(計算用!$H$3:$H$452,計算用!$T$6),INDEX(振り分け!$D$7:$D$456,計算用!$T$6)))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IF(計算用!$T$7="","",5)</f>
        <v/>
      </c>
      <c r="B9" s="54">
        <f>IF(計算用!$T$7="","",IF(計算用!$B$1=1,INDEX(計算用!$F$3:$F$452,計算用!$T$7),INDEX(振り分け!$B$7:$B$456,計算用!$T$7)))</f>
        <v/>
      </c>
      <c r="C9" s="54">
        <f>IF(計算用!$T$7="","",IF(計算用!$B$1=1,INDEX(計算用!$G$3:$G$452,計算用!$T$7),INDEX(振り分け!$C$7:$C$456,計算用!$T$7)))</f>
        <v/>
      </c>
      <c r="D9" s="59">
        <f>IF(計算用!$T$7="","",IF(計算用!$B$1=1,INDEX(計算用!$H$3:$H$452,計算用!$T$7),INDEX(振り分け!$D$7:$D$456,計算用!$T$7)))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IF(計算用!$T$8="","",6)</f>
        <v/>
      </c>
      <c r="B10" s="54">
        <f>IF(計算用!$T$8="","",IF(計算用!$B$1=1,INDEX(計算用!$F$3:$F$452,計算用!$T$8),INDEX(振り分け!$B$7:$B$456,計算用!$T$8)))</f>
        <v/>
      </c>
      <c r="C10" s="54">
        <f>IF(計算用!$T$8="","",IF(計算用!$B$1=1,INDEX(計算用!$G$3:$G$452,計算用!$T$8),INDEX(振り分け!$C$7:$C$456,計算用!$T$8)))</f>
        <v/>
      </c>
      <c r="D10" s="59">
        <f>IF(計算用!$T$8="","",IF(計算用!$B$1=1,INDEX(計算用!$H$3:$H$452,計算用!$T$8),INDEX(振り分け!$D$7:$D$456,計算用!$T$8)))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IF(計算用!$T$9="","",7)</f>
        <v/>
      </c>
      <c r="B11" s="54">
        <f>IF(計算用!$T$9="","",IF(計算用!$B$1=1,INDEX(計算用!$F$3:$F$452,計算用!$T$9),INDEX(振り分け!$B$7:$B$456,計算用!$T$9)))</f>
        <v/>
      </c>
      <c r="C11" s="54">
        <f>IF(計算用!$T$9="","",IF(計算用!$B$1=1,INDEX(計算用!$G$3:$G$452,計算用!$T$9),INDEX(振り分け!$C$7:$C$456,計算用!$T$9)))</f>
        <v/>
      </c>
      <c r="D11" s="59">
        <f>IF(計算用!$T$9="","",IF(計算用!$B$1=1,INDEX(計算用!$H$3:$H$452,計算用!$T$9),INDEX(振り分け!$D$7:$D$456,計算用!$T$9)))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IF(計算用!$T$10="","",8)</f>
        <v/>
      </c>
      <c r="B12" s="54">
        <f>IF(計算用!$T$10="","",IF(計算用!$B$1=1,INDEX(計算用!$F$3:$F$452,計算用!$T$10),INDEX(振り分け!$B$7:$B$456,計算用!$T$10)))</f>
        <v/>
      </c>
      <c r="C12" s="54">
        <f>IF(計算用!$T$10="","",IF(計算用!$B$1=1,INDEX(計算用!$G$3:$G$452,計算用!$T$10),INDEX(振り分け!$C$7:$C$456,計算用!$T$10)))</f>
        <v/>
      </c>
      <c r="D12" s="59">
        <f>IF(計算用!$T$10="","",IF(計算用!$B$1=1,INDEX(計算用!$H$3:$H$452,計算用!$T$10),INDEX(振り分け!$D$7:$D$456,計算用!$T$10)))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IF(計算用!$T$11="","",9)</f>
        <v/>
      </c>
      <c r="B13" s="54">
        <f>IF(計算用!$T$11="","",IF(計算用!$B$1=1,INDEX(計算用!$F$3:$F$452,計算用!$T$11),INDEX(振り分け!$B$7:$B$456,計算用!$T$11)))</f>
        <v/>
      </c>
      <c r="C13" s="54">
        <f>IF(計算用!$T$11="","",IF(計算用!$B$1=1,INDEX(計算用!$G$3:$G$452,計算用!$T$11),INDEX(振り分け!$C$7:$C$456,計算用!$T$11)))</f>
        <v/>
      </c>
      <c r="D13" s="59">
        <f>IF(計算用!$T$11="","",IF(計算用!$B$1=1,INDEX(計算用!$H$3:$H$452,計算用!$T$11),INDEX(振り分け!$D$7:$D$456,計算用!$T$11)))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IF(計算用!$T$12="","",10)</f>
        <v/>
      </c>
      <c r="B14" s="54">
        <f>IF(計算用!$T$12="","",IF(計算用!$B$1=1,INDEX(計算用!$F$3:$F$452,計算用!$T$12),INDEX(振り分け!$B$7:$B$456,計算用!$T$12)))</f>
        <v/>
      </c>
      <c r="C14" s="54">
        <f>IF(計算用!$T$12="","",IF(計算用!$B$1=1,INDEX(計算用!$G$3:$G$452,計算用!$T$12),INDEX(振り分け!$C$7:$C$456,計算用!$T$12)))</f>
        <v/>
      </c>
      <c r="D14" s="59">
        <f>IF(計算用!$T$12="","",IF(計算用!$B$1=1,INDEX(計算用!$H$3:$H$452,計算用!$T$12),INDEX(振り分け!$D$7:$D$456,計算用!$T$12)))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IF(計算用!$T$13="","",11)</f>
        <v/>
      </c>
      <c r="B15" s="54">
        <f>IF(計算用!$T$13="","",IF(計算用!$B$1=1,INDEX(計算用!$F$3:$F$452,計算用!$T$13),INDEX(振り分け!$B$7:$B$456,計算用!$T$13)))</f>
        <v/>
      </c>
      <c r="C15" s="54">
        <f>IF(計算用!$T$13="","",IF(計算用!$B$1=1,INDEX(計算用!$G$3:$G$452,計算用!$T$13),INDEX(振り分け!$C$7:$C$456,計算用!$T$13)))</f>
        <v/>
      </c>
      <c r="D15" s="59">
        <f>IF(計算用!$T$13="","",IF(計算用!$B$1=1,INDEX(計算用!$H$3:$H$452,計算用!$T$13),INDEX(振り分け!$D$7:$D$456,計算用!$T$13)))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IF(計算用!$T$14="","",12)</f>
        <v/>
      </c>
      <c r="B16" s="54">
        <f>IF(計算用!$T$14="","",IF(計算用!$B$1=1,INDEX(計算用!$F$3:$F$452,計算用!$T$14),INDEX(振り分け!$B$7:$B$456,計算用!$T$14)))</f>
        <v/>
      </c>
      <c r="C16" s="54">
        <f>IF(計算用!$T$14="","",IF(計算用!$B$1=1,INDEX(計算用!$G$3:$G$452,計算用!$T$14),INDEX(振り分け!$C$7:$C$456,計算用!$T$14)))</f>
        <v/>
      </c>
      <c r="D16" s="59">
        <f>IF(計算用!$T$14="","",IF(計算用!$B$1=1,INDEX(計算用!$H$3:$H$452,計算用!$T$14),INDEX(振り分け!$D$7:$D$456,計算用!$T$14)))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IF(計算用!$T$15="","",13)</f>
        <v/>
      </c>
      <c r="B17" s="54">
        <f>IF(計算用!$T$15="","",IF(計算用!$B$1=1,INDEX(計算用!$F$3:$F$452,計算用!$T$15),INDEX(振り分け!$B$7:$B$456,計算用!$T$15)))</f>
        <v/>
      </c>
      <c r="C17" s="54">
        <f>IF(計算用!$T$15="","",IF(計算用!$B$1=1,INDEX(計算用!$G$3:$G$452,計算用!$T$15),INDEX(振り分け!$C$7:$C$456,計算用!$T$15)))</f>
        <v/>
      </c>
      <c r="D17" s="59">
        <f>IF(計算用!$T$15="","",IF(計算用!$B$1=1,INDEX(計算用!$H$3:$H$452,計算用!$T$15),INDEX(振り分け!$D$7:$D$456,計算用!$T$15)))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IF(計算用!$T$16="","",14)</f>
        <v/>
      </c>
      <c r="B18" s="54">
        <f>IF(計算用!$T$16="","",IF(計算用!$B$1=1,INDEX(計算用!$F$3:$F$452,計算用!$T$16),INDEX(振り分け!$B$7:$B$456,計算用!$T$16)))</f>
        <v/>
      </c>
      <c r="C18" s="54">
        <f>IF(計算用!$T$16="","",IF(計算用!$B$1=1,INDEX(計算用!$G$3:$G$452,計算用!$T$16),INDEX(振り分け!$C$7:$C$456,計算用!$T$16)))</f>
        <v/>
      </c>
      <c r="D18" s="59">
        <f>IF(計算用!$T$16="","",IF(計算用!$B$1=1,INDEX(計算用!$H$3:$H$452,計算用!$T$16),INDEX(振り分け!$D$7:$D$456,計算用!$T$16)))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IF(計算用!$T$17="","",15)</f>
        <v/>
      </c>
      <c r="B19" s="54">
        <f>IF(計算用!$T$17="","",IF(計算用!$B$1=1,INDEX(計算用!$F$3:$F$452,計算用!$T$17),INDEX(振り分け!$B$7:$B$456,計算用!$T$17)))</f>
        <v/>
      </c>
      <c r="C19" s="54">
        <f>IF(計算用!$T$17="","",IF(計算用!$B$1=1,INDEX(計算用!$G$3:$G$452,計算用!$T$17),INDEX(振り分け!$C$7:$C$456,計算用!$T$17)))</f>
        <v/>
      </c>
      <c r="D19" s="59">
        <f>IF(計算用!$T$17="","",IF(計算用!$B$1=1,INDEX(計算用!$H$3:$H$452,計算用!$T$17),INDEX(振り分け!$D$7:$D$456,計算用!$T$17)))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IF(計算用!$T$18="","",16)</f>
        <v/>
      </c>
      <c r="B20" s="54">
        <f>IF(計算用!$T$18="","",IF(計算用!$B$1=1,INDEX(計算用!$F$3:$F$452,計算用!$T$18),INDEX(振り分け!$B$7:$B$456,計算用!$T$18)))</f>
        <v/>
      </c>
      <c r="C20" s="54">
        <f>IF(計算用!$T$18="","",IF(計算用!$B$1=1,INDEX(計算用!$G$3:$G$452,計算用!$T$18),INDEX(振り分け!$C$7:$C$456,計算用!$T$18)))</f>
        <v/>
      </c>
      <c r="D20" s="59">
        <f>IF(計算用!$T$18="","",IF(計算用!$B$1=1,INDEX(計算用!$H$3:$H$452,計算用!$T$18),INDEX(振り分け!$D$7:$D$456,計算用!$T$18)))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IF(計算用!$T$19="","",17)</f>
        <v/>
      </c>
      <c r="B21" s="54">
        <f>IF(計算用!$T$19="","",IF(計算用!$B$1=1,INDEX(計算用!$F$3:$F$452,計算用!$T$19),INDEX(振り分け!$B$7:$B$456,計算用!$T$19)))</f>
        <v/>
      </c>
      <c r="C21" s="54">
        <f>IF(計算用!$T$19="","",IF(計算用!$B$1=1,INDEX(計算用!$G$3:$G$452,計算用!$T$19),INDEX(振り分け!$C$7:$C$456,計算用!$T$19)))</f>
        <v/>
      </c>
      <c r="D21" s="59">
        <f>IF(計算用!$T$19="","",IF(計算用!$B$1=1,INDEX(計算用!$H$3:$H$452,計算用!$T$19),INDEX(振り分け!$D$7:$D$456,計算用!$T$19)))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IF(計算用!$T$20="","",18)</f>
        <v/>
      </c>
      <c r="B22" s="54">
        <f>IF(計算用!$T$20="","",IF(計算用!$B$1=1,INDEX(計算用!$F$3:$F$452,計算用!$T$20),INDEX(振り分け!$B$7:$B$456,計算用!$T$20)))</f>
        <v/>
      </c>
      <c r="C22" s="54">
        <f>IF(計算用!$T$20="","",IF(計算用!$B$1=1,INDEX(計算用!$G$3:$G$452,計算用!$T$20),INDEX(振り分け!$C$7:$C$456,計算用!$T$20)))</f>
        <v/>
      </c>
      <c r="D22" s="59">
        <f>IF(計算用!$T$20="","",IF(計算用!$B$1=1,INDEX(計算用!$H$3:$H$452,計算用!$T$20),INDEX(振り分け!$D$7:$D$456,計算用!$T$20)))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IF(計算用!$T$21="","",19)</f>
        <v/>
      </c>
      <c r="B23" s="54">
        <f>IF(計算用!$T$21="","",IF(計算用!$B$1=1,INDEX(計算用!$F$3:$F$452,計算用!$T$21),INDEX(振り分け!$B$7:$B$456,計算用!$T$21)))</f>
        <v/>
      </c>
      <c r="C23" s="54">
        <f>IF(計算用!$T$21="","",IF(計算用!$B$1=1,INDEX(計算用!$G$3:$G$452,計算用!$T$21),INDEX(振り分け!$C$7:$C$456,計算用!$T$21)))</f>
        <v/>
      </c>
      <c r="D23" s="59">
        <f>IF(計算用!$T$21="","",IF(計算用!$B$1=1,INDEX(計算用!$H$3:$H$452,計算用!$T$21),INDEX(振り分け!$D$7:$D$456,計算用!$T$21)))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IF(計算用!$T$22="","",20)</f>
        <v/>
      </c>
      <c r="B24" s="54">
        <f>IF(計算用!$T$22="","",IF(計算用!$B$1=1,INDEX(計算用!$F$3:$F$452,計算用!$T$22),INDEX(振り分け!$B$7:$B$456,計算用!$T$22)))</f>
        <v/>
      </c>
      <c r="C24" s="54">
        <f>IF(計算用!$T$22="","",IF(計算用!$B$1=1,INDEX(計算用!$G$3:$G$452,計算用!$T$22),INDEX(振り分け!$C$7:$C$456,計算用!$T$22)))</f>
        <v/>
      </c>
      <c r="D24" s="59">
        <f>IF(計算用!$T$22="","",IF(計算用!$B$1=1,INDEX(計算用!$H$3:$H$452,計算用!$T$22),INDEX(振り分け!$D$7:$D$456,計算用!$T$22)))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IF(計算用!$T$23="","",21)</f>
        <v/>
      </c>
      <c r="B25" s="54">
        <f>IF(計算用!$T$23="","",IF(計算用!$B$1=1,INDEX(計算用!$F$3:$F$452,計算用!$T$23),INDEX(振り分け!$B$7:$B$456,計算用!$T$23)))</f>
        <v/>
      </c>
      <c r="C25" s="54">
        <f>IF(計算用!$T$23="","",IF(計算用!$B$1=1,INDEX(計算用!$G$3:$G$452,計算用!$T$23),INDEX(振り分け!$C$7:$C$456,計算用!$T$23)))</f>
        <v/>
      </c>
      <c r="D25" s="59">
        <f>IF(計算用!$T$23="","",IF(計算用!$B$1=1,INDEX(計算用!$H$3:$H$452,計算用!$T$23),INDEX(振り分け!$D$7:$D$456,計算用!$T$23)))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IF(計算用!$T$24="","",22)</f>
        <v/>
      </c>
      <c r="B26" s="54">
        <f>IF(計算用!$T$24="","",IF(計算用!$B$1=1,INDEX(計算用!$F$3:$F$452,計算用!$T$24),INDEX(振り分け!$B$7:$B$456,計算用!$T$24)))</f>
        <v/>
      </c>
      <c r="C26" s="54">
        <f>IF(計算用!$T$24="","",IF(計算用!$B$1=1,INDEX(計算用!$G$3:$G$452,計算用!$T$24),INDEX(振り分け!$C$7:$C$456,計算用!$T$24)))</f>
        <v/>
      </c>
      <c r="D26" s="59">
        <f>IF(計算用!$T$24="","",IF(計算用!$B$1=1,INDEX(計算用!$H$3:$H$452,計算用!$T$24),INDEX(振り分け!$D$7:$D$456,計算用!$T$24)))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IF(計算用!$T$25="","",23)</f>
        <v/>
      </c>
      <c r="B27" s="54">
        <f>IF(計算用!$T$25="","",IF(計算用!$B$1=1,INDEX(計算用!$F$3:$F$452,計算用!$T$25),INDEX(振り分け!$B$7:$B$456,計算用!$T$25)))</f>
        <v/>
      </c>
      <c r="C27" s="54">
        <f>IF(計算用!$T$25="","",IF(計算用!$B$1=1,INDEX(計算用!$G$3:$G$452,計算用!$T$25),INDEX(振り分け!$C$7:$C$456,計算用!$T$25)))</f>
        <v/>
      </c>
      <c r="D27" s="59">
        <f>IF(計算用!$T$25="","",IF(計算用!$B$1=1,INDEX(計算用!$H$3:$H$452,計算用!$T$25),INDEX(振り分け!$D$7:$D$456,計算用!$T$25)))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IF(計算用!$T$26="","",24)</f>
        <v/>
      </c>
      <c r="B28" s="54">
        <f>IF(計算用!$T$26="","",IF(計算用!$B$1=1,INDEX(計算用!$F$3:$F$452,計算用!$T$26),INDEX(振り分け!$B$7:$B$456,計算用!$T$26)))</f>
        <v/>
      </c>
      <c r="C28" s="54">
        <f>IF(計算用!$T$26="","",IF(計算用!$B$1=1,INDEX(計算用!$G$3:$G$452,計算用!$T$26),INDEX(振り分け!$C$7:$C$456,計算用!$T$26)))</f>
        <v/>
      </c>
      <c r="D28" s="59">
        <f>IF(計算用!$T$26="","",IF(計算用!$B$1=1,INDEX(計算用!$H$3:$H$452,計算用!$T$26),INDEX(振り分け!$D$7:$D$456,計算用!$T$26)))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IF(計算用!$T$27="","",25)</f>
        <v/>
      </c>
      <c r="B29" s="54">
        <f>IF(計算用!$T$27="","",IF(計算用!$B$1=1,INDEX(計算用!$F$3:$F$452,計算用!$T$27),INDEX(振り分け!$B$7:$B$456,計算用!$T$27)))</f>
        <v/>
      </c>
      <c r="C29" s="54">
        <f>IF(計算用!$T$27="","",IF(計算用!$B$1=1,INDEX(計算用!$G$3:$G$452,計算用!$T$27),INDEX(振り分け!$C$7:$C$456,計算用!$T$27)))</f>
        <v/>
      </c>
      <c r="D29" s="59">
        <f>IF(計算用!$T$27="","",IF(計算用!$B$1=1,INDEX(計算用!$H$3:$H$452,計算用!$T$27),INDEX(振り分け!$D$7:$D$456,計算用!$T$27)))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IF(計算用!$T$28="","",26)</f>
        <v/>
      </c>
      <c r="B30" s="54">
        <f>IF(計算用!$T$28="","",IF(計算用!$B$1=1,INDEX(計算用!$F$3:$F$452,計算用!$T$28),INDEX(振り分け!$B$7:$B$456,計算用!$T$28)))</f>
        <v/>
      </c>
      <c r="C30" s="54">
        <f>IF(計算用!$T$28="","",IF(計算用!$B$1=1,INDEX(計算用!$G$3:$G$452,計算用!$T$28),INDEX(振り分け!$C$7:$C$456,計算用!$T$28)))</f>
        <v/>
      </c>
      <c r="D30" s="59">
        <f>IF(計算用!$T$28="","",IF(計算用!$B$1=1,INDEX(計算用!$H$3:$H$452,計算用!$T$28),INDEX(振り分け!$D$7:$D$456,計算用!$T$28)))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IF(計算用!$T$29="","",27)</f>
        <v/>
      </c>
      <c r="B31" s="54">
        <f>IF(計算用!$T$29="","",IF(計算用!$B$1=1,INDEX(計算用!$F$3:$F$452,計算用!$T$29),INDEX(振り分け!$B$7:$B$456,計算用!$T$29)))</f>
        <v/>
      </c>
      <c r="C31" s="54">
        <f>IF(計算用!$T$29="","",IF(計算用!$B$1=1,INDEX(計算用!$G$3:$G$452,計算用!$T$29),INDEX(振り分け!$C$7:$C$456,計算用!$T$29)))</f>
        <v/>
      </c>
      <c r="D31" s="59">
        <f>IF(計算用!$T$29="","",IF(計算用!$B$1=1,INDEX(計算用!$H$3:$H$452,計算用!$T$29),INDEX(振り分け!$D$7:$D$456,計算用!$T$29)))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IF(計算用!$T$30="","",28)</f>
        <v/>
      </c>
      <c r="B32" s="54">
        <f>IF(計算用!$T$30="","",IF(計算用!$B$1=1,INDEX(計算用!$F$3:$F$452,計算用!$T$30),INDEX(振り分け!$B$7:$B$456,計算用!$T$30)))</f>
        <v/>
      </c>
      <c r="C32" s="54">
        <f>IF(計算用!$T$30="","",IF(計算用!$B$1=1,INDEX(計算用!$G$3:$G$452,計算用!$T$30),INDEX(振り分け!$C$7:$C$456,計算用!$T$30)))</f>
        <v/>
      </c>
      <c r="D32" s="59">
        <f>IF(計算用!$T$30="","",IF(計算用!$B$1=1,INDEX(計算用!$H$3:$H$452,計算用!$T$30),INDEX(振り分け!$D$7:$D$456,計算用!$T$30)))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IF(計算用!$T$31="","",29)</f>
        <v/>
      </c>
      <c r="B33" s="54">
        <f>IF(計算用!$T$31="","",IF(計算用!$B$1=1,INDEX(計算用!$F$3:$F$452,計算用!$T$31),INDEX(振り分け!$B$7:$B$456,計算用!$T$31)))</f>
        <v/>
      </c>
      <c r="C33" s="54">
        <f>IF(計算用!$T$31="","",IF(計算用!$B$1=1,INDEX(計算用!$G$3:$G$452,計算用!$T$31),INDEX(振り分け!$C$7:$C$456,計算用!$T$31)))</f>
        <v/>
      </c>
      <c r="D33" s="59">
        <f>IF(計算用!$T$31="","",IF(計算用!$B$1=1,INDEX(計算用!$H$3:$H$452,計算用!$T$31),INDEX(振り分け!$D$7:$D$456,計算用!$T$31)))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IF(計算用!$T$32="","",30)</f>
        <v/>
      </c>
      <c r="B34" s="54">
        <f>IF(計算用!$T$32="","",IF(計算用!$B$1=1,INDEX(計算用!$F$3:$F$452,計算用!$T$32),INDEX(振り分け!$B$7:$B$456,計算用!$T$32)))</f>
        <v/>
      </c>
      <c r="C34" s="54">
        <f>IF(計算用!$T$32="","",IF(計算用!$B$1=1,INDEX(計算用!$G$3:$G$452,計算用!$T$32),INDEX(振り分け!$C$7:$C$456,計算用!$T$32)))</f>
        <v/>
      </c>
      <c r="D34" s="59">
        <f>IF(計算用!$T$32="","",IF(計算用!$B$1=1,INDEX(計算用!$H$3:$H$452,計算用!$T$32),INDEX(振り分け!$D$7:$D$456,計算用!$T$32)))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IF(計算用!$T$33="","",31)</f>
        <v/>
      </c>
      <c r="B35" s="54">
        <f>IF(計算用!$T$33="","",IF(計算用!$B$1=1,INDEX(計算用!$F$3:$F$452,計算用!$T$33),INDEX(振り分け!$B$7:$B$456,計算用!$T$33)))</f>
        <v/>
      </c>
      <c r="C35" s="54">
        <f>IF(計算用!$T$33="","",IF(計算用!$B$1=1,INDEX(計算用!$G$3:$G$452,計算用!$T$33),INDEX(振り分け!$C$7:$C$456,計算用!$T$33)))</f>
        <v/>
      </c>
      <c r="D35" s="59">
        <f>IF(計算用!$T$33="","",IF(計算用!$B$1=1,INDEX(計算用!$H$3:$H$452,計算用!$T$33),INDEX(振り分け!$D$7:$D$456,計算用!$T$33)))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IF(計算用!$T$34="","",32)</f>
        <v/>
      </c>
      <c r="B36" s="54">
        <f>IF(計算用!$T$34="","",IF(計算用!$B$1=1,INDEX(計算用!$F$3:$F$452,計算用!$T$34),INDEX(振り分け!$B$7:$B$456,計算用!$T$34)))</f>
        <v/>
      </c>
      <c r="C36" s="54">
        <f>IF(計算用!$T$34="","",IF(計算用!$B$1=1,INDEX(計算用!$G$3:$G$452,計算用!$T$34),INDEX(振り分け!$C$7:$C$456,計算用!$T$34)))</f>
        <v/>
      </c>
      <c r="D36" s="59">
        <f>IF(計算用!$T$34="","",IF(計算用!$B$1=1,INDEX(計算用!$H$3:$H$452,計算用!$T$34),INDEX(振り分け!$D$7:$D$456,計算用!$T$34)))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IF(計算用!$T$35="","",33)</f>
        <v/>
      </c>
      <c r="B37" s="54">
        <f>IF(計算用!$T$35="","",IF(計算用!$B$1=1,INDEX(計算用!$F$3:$F$452,計算用!$T$35),INDEX(振り分け!$B$7:$B$456,計算用!$T$35)))</f>
        <v/>
      </c>
      <c r="C37" s="54">
        <f>IF(計算用!$T$35="","",IF(計算用!$B$1=1,INDEX(計算用!$G$3:$G$452,計算用!$T$35),INDEX(振り分け!$C$7:$C$456,計算用!$T$35)))</f>
        <v/>
      </c>
      <c r="D37" s="59">
        <f>IF(計算用!$T$35="","",IF(計算用!$B$1=1,INDEX(計算用!$H$3:$H$452,計算用!$T$35),INDEX(振り分け!$D$7:$D$456,計算用!$T$35)))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IF(計算用!$T$36="","",34)</f>
        <v/>
      </c>
      <c r="B38" s="54">
        <f>IF(計算用!$T$36="","",IF(計算用!$B$1=1,INDEX(計算用!$F$3:$F$452,計算用!$T$36),INDEX(振り分け!$B$7:$B$456,計算用!$T$36)))</f>
        <v/>
      </c>
      <c r="C38" s="54">
        <f>IF(計算用!$T$36="","",IF(計算用!$B$1=1,INDEX(計算用!$G$3:$G$452,計算用!$T$36),INDEX(振り分け!$C$7:$C$456,計算用!$T$36)))</f>
        <v/>
      </c>
      <c r="D38" s="59">
        <f>IF(計算用!$T$36="","",IF(計算用!$B$1=1,INDEX(計算用!$H$3:$H$452,計算用!$T$36),INDEX(振り分け!$D$7:$D$456,計算用!$T$36)))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IF(計算用!$T$37="","",35)</f>
        <v/>
      </c>
      <c r="B39" s="54">
        <f>IF(計算用!$T$37="","",IF(計算用!$B$1=1,INDEX(計算用!$F$3:$F$452,計算用!$T$37),INDEX(振り分け!$B$7:$B$456,計算用!$T$37)))</f>
        <v/>
      </c>
      <c r="C39" s="54">
        <f>IF(計算用!$T$37="","",IF(計算用!$B$1=1,INDEX(計算用!$G$3:$G$452,計算用!$T$37),INDEX(振り分け!$C$7:$C$456,計算用!$T$37)))</f>
        <v/>
      </c>
      <c r="D39" s="59">
        <f>IF(計算用!$T$37="","",IF(計算用!$B$1=1,INDEX(計算用!$H$3:$H$452,計算用!$T$37),INDEX(振り分け!$D$7:$D$456,計算用!$T$37)))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IF(計算用!$T$38="","",36)</f>
        <v/>
      </c>
      <c r="B40" s="54">
        <f>IF(計算用!$T$38="","",IF(計算用!$B$1=1,INDEX(計算用!$F$3:$F$452,計算用!$T$38),INDEX(振り分け!$B$7:$B$456,計算用!$T$38)))</f>
        <v/>
      </c>
      <c r="C40" s="54">
        <f>IF(計算用!$T$38="","",IF(計算用!$B$1=1,INDEX(計算用!$G$3:$G$452,計算用!$T$38),INDEX(振り分け!$C$7:$C$456,計算用!$T$38)))</f>
        <v/>
      </c>
      <c r="D40" s="59">
        <f>IF(計算用!$T$38="","",IF(計算用!$B$1=1,INDEX(計算用!$H$3:$H$452,計算用!$T$38),INDEX(振り分け!$D$7:$D$456,計算用!$T$38)))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IF(計算用!$T$39="","",37)</f>
        <v/>
      </c>
      <c r="B41" s="54">
        <f>IF(計算用!$T$39="","",IF(計算用!$B$1=1,INDEX(計算用!$F$3:$F$452,計算用!$T$39),INDEX(振り分け!$B$7:$B$456,計算用!$T$39)))</f>
        <v/>
      </c>
      <c r="C41" s="54">
        <f>IF(計算用!$T$39="","",IF(計算用!$B$1=1,INDEX(計算用!$G$3:$G$452,計算用!$T$39),INDEX(振り分け!$C$7:$C$456,計算用!$T$39)))</f>
        <v/>
      </c>
      <c r="D41" s="59">
        <f>IF(計算用!$T$39="","",IF(計算用!$B$1=1,INDEX(計算用!$H$3:$H$452,計算用!$T$39),INDEX(振り分け!$D$7:$D$456,計算用!$T$39)))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IF(計算用!$T$40="","",38)</f>
        <v/>
      </c>
      <c r="B42" s="54">
        <f>IF(計算用!$T$40="","",IF(計算用!$B$1=1,INDEX(計算用!$F$3:$F$452,計算用!$T$40),INDEX(振り分け!$B$7:$B$456,計算用!$T$40)))</f>
        <v/>
      </c>
      <c r="C42" s="54">
        <f>IF(計算用!$T$40="","",IF(計算用!$B$1=1,INDEX(計算用!$G$3:$G$452,計算用!$T$40),INDEX(振り分け!$C$7:$C$456,計算用!$T$40)))</f>
        <v/>
      </c>
      <c r="D42" s="59">
        <f>IF(計算用!$T$40="","",IF(計算用!$B$1=1,INDEX(計算用!$H$3:$H$452,計算用!$T$40),INDEX(振り分け!$D$7:$D$456,計算用!$T$40)))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IF(計算用!$T$41="","",39)</f>
        <v/>
      </c>
      <c r="B43" s="54">
        <f>IF(計算用!$T$41="","",IF(計算用!$B$1=1,INDEX(計算用!$F$3:$F$452,計算用!$T$41),INDEX(振り分け!$B$7:$B$456,計算用!$T$41)))</f>
        <v/>
      </c>
      <c r="C43" s="54">
        <f>IF(計算用!$T$41="","",IF(計算用!$B$1=1,INDEX(計算用!$G$3:$G$452,計算用!$T$41),INDEX(振り分け!$C$7:$C$456,計算用!$T$41)))</f>
        <v/>
      </c>
      <c r="D43" s="59">
        <f>IF(計算用!$T$41="","",IF(計算用!$B$1=1,INDEX(計算用!$H$3:$H$452,計算用!$T$41),INDEX(振り分け!$D$7:$D$456,計算用!$T$41)))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IF(計算用!$T$42="","",40)</f>
        <v/>
      </c>
      <c r="B44" s="54">
        <f>IF(計算用!$T$42="","",IF(計算用!$B$1=1,INDEX(計算用!$F$3:$F$452,計算用!$T$42),INDEX(振り分け!$B$7:$B$456,計算用!$T$42)))</f>
        <v/>
      </c>
      <c r="C44" s="54">
        <f>IF(計算用!$T$42="","",IF(計算用!$B$1=1,INDEX(計算用!$G$3:$G$452,計算用!$T$42),INDEX(振り分け!$C$7:$C$456,計算用!$T$42)))</f>
        <v/>
      </c>
      <c r="D44" s="59">
        <f>IF(計算用!$T$42="","",IF(計算用!$B$1=1,INDEX(計算用!$H$3:$H$452,計算用!$T$42),INDEX(振り分け!$D$7:$D$456,計算用!$T$42)))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IF(計算用!$T$43="","",41)</f>
        <v/>
      </c>
      <c r="B45" s="54">
        <f>IF(計算用!$T$43="","",IF(計算用!$B$1=1,INDEX(計算用!$F$3:$F$452,計算用!$T$43),INDEX(振り分け!$B$7:$B$456,計算用!$T$43)))</f>
        <v/>
      </c>
      <c r="C45" s="54">
        <f>IF(計算用!$T$43="","",IF(計算用!$B$1=1,INDEX(計算用!$G$3:$G$452,計算用!$T$43),INDEX(振り分け!$C$7:$C$456,計算用!$T$43)))</f>
        <v/>
      </c>
      <c r="D45" s="59">
        <f>IF(計算用!$T$43="","",IF(計算用!$B$1=1,INDEX(計算用!$H$3:$H$452,計算用!$T$43),INDEX(振り分け!$D$7:$D$456,計算用!$T$43)))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IF(計算用!$T$44="","",42)</f>
        <v/>
      </c>
      <c r="B46" s="54">
        <f>IF(計算用!$T$44="","",IF(計算用!$B$1=1,INDEX(計算用!$F$3:$F$452,計算用!$T$44),INDEX(振り分け!$B$7:$B$456,計算用!$T$44)))</f>
        <v/>
      </c>
      <c r="C46" s="54">
        <f>IF(計算用!$T$44="","",IF(計算用!$B$1=1,INDEX(計算用!$G$3:$G$452,計算用!$T$44),INDEX(振り分け!$C$7:$C$456,計算用!$T$44)))</f>
        <v/>
      </c>
      <c r="D46" s="59">
        <f>IF(計算用!$T$44="","",IF(計算用!$B$1=1,INDEX(計算用!$H$3:$H$452,計算用!$T$44),INDEX(振り分け!$D$7:$D$456,計算用!$T$44)))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IF(計算用!$T$45="","",43)</f>
        <v/>
      </c>
      <c r="B47" s="54">
        <f>IF(計算用!$T$45="","",IF(計算用!$B$1=1,INDEX(計算用!$F$3:$F$452,計算用!$T$45),INDEX(振り分け!$B$7:$B$456,計算用!$T$45)))</f>
        <v/>
      </c>
      <c r="C47" s="54">
        <f>IF(計算用!$T$45="","",IF(計算用!$B$1=1,INDEX(計算用!$G$3:$G$452,計算用!$T$45),INDEX(振り分け!$C$7:$C$456,計算用!$T$45)))</f>
        <v/>
      </c>
      <c r="D47" s="59">
        <f>IF(計算用!$T$45="","",IF(計算用!$B$1=1,INDEX(計算用!$H$3:$H$452,計算用!$T$45),INDEX(振り分け!$D$7:$D$456,計算用!$T$45)))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IF(計算用!$T$46="","",44)</f>
        <v/>
      </c>
      <c r="B48" s="54">
        <f>IF(計算用!$T$46="","",IF(計算用!$B$1=1,INDEX(計算用!$F$3:$F$452,計算用!$T$46),INDEX(振り分け!$B$7:$B$456,計算用!$T$46)))</f>
        <v/>
      </c>
      <c r="C48" s="54">
        <f>IF(計算用!$T$46="","",IF(計算用!$B$1=1,INDEX(計算用!$G$3:$G$452,計算用!$T$46),INDEX(振り分け!$C$7:$C$456,計算用!$T$46)))</f>
        <v/>
      </c>
      <c r="D48" s="59">
        <f>IF(計算用!$T$46="","",IF(計算用!$B$1=1,INDEX(計算用!$H$3:$H$452,計算用!$T$46),INDEX(振り分け!$D$7:$D$456,計算用!$T$46)))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IF(計算用!$T$47="","",45)</f>
        <v/>
      </c>
      <c r="B49" s="54">
        <f>IF(計算用!$T$47="","",IF(計算用!$B$1=1,INDEX(計算用!$F$3:$F$452,計算用!$T$47),INDEX(振り分け!$B$7:$B$456,計算用!$T$47)))</f>
        <v/>
      </c>
      <c r="C49" s="54">
        <f>IF(計算用!$T$47="","",IF(計算用!$B$1=1,INDEX(計算用!$G$3:$G$452,計算用!$T$47),INDEX(振り分け!$C$7:$C$456,計算用!$T$47)))</f>
        <v/>
      </c>
      <c r="D49" s="59">
        <f>IF(計算用!$T$47="","",IF(計算用!$B$1=1,INDEX(計算用!$H$3:$H$452,計算用!$T$47),INDEX(振り分け!$D$7:$D$456,計算用!$T$47)))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IF(計算用!$T$48="","",46)</f>
        <v/>
      </c>
      <c r="B50" s="54">
        <f>IF(計算用!$T$48="","",IF(計算用!$B$1=1,INDEX(計算用!$F$3:$F$452,計算用!$T$48),INDEX(振り分け!$B$7:$B$456,計算用!$T$48)))</f>
        <v/>
      </c>
      <c r="C50" s="54">
        <f>IF(計算用!$T$48="","",IF(計算用!$B$1=1,INDEX(計算用!$G$3:$G$452,計算用!$T$48),INDEX(振り分け!$C$7:$C$456,計算用!$T$48)))</f>
        <v/>
      </c>
      <c r="D50" s="59">
        <f>IF(計算用!$T$48="","",IF(計算用!$B$1=1,INDEX(計算用!$H$3:$H$452,計算用!$T$48),INDEX(振り分け!$D$7:$D$456,計算用!$T$48)))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IF(計算用!$T$49="","",47)</f>
        <v/>
      </c>
      <c r="B51" s="54">
        <f>IF(計算用!$T$49="","",IF(計算用!$B$1=1,INDEX(計算用!$F$3:$F$452,計算用!$T$49),INDEX(振り分け!$B$7:$B$456,計算用!$T$49)))</f>
        <v/>
      </c>
      <c r="C51" s="54">
        <f>IF(計算用!$T$49="","",IF(計算用!$B$1=1,INDEX(計算用!$G$3:$G$452,計算用!$T$49),INDEX(振り分け!$C$7:$C$456,計算用!$T$49)))</f>
        <v/>
      </c>
      <c r="D51" s="59">
        <f>IF(計算用!$T$49="","",IF(計算用!$B$1=1,INDEX(計算用!$H$3:$H$452,計算用!$T$49),INDEX(振り分け!$D$7:$D$456,計算用!$T$49)))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IF(計算用!$T$50="","",48)</f>
        <v/>
      </c>
      <c r="B52" s="54">
        <f>IF(計算用!$T$50="","",IF(計算用!$B$1=1,INDEX(計算用!$F$3:$F$452,計算用!$T$50),INDEX(振り分け!$B$7:$B$456,計算用!$T$50)))</f>
        <v/>
      </c>
      <c r="C52" s="54">
        <f>IF(計算用!$T$50="","",IF(計算用!$B$1=1,INDEX(計算用!$G$3:$G$452,計算用!$T$50),INDEX(振り分け!$C$7:$C$456,計算用!$T$50)))</f>
        <v/>
      </c>
      <c r="D52" s="59">
        <f>IF(計算用!$T$50="","",IF(計算用!$B$1=1,INDEX(計算用!$H$3:$H$452,計算用!$T$50),INDEX(振り分け!$D$7:$D$456,計算用!$T$50)))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IF(計算用!$T$51="","",49)</f>
        <v/>
      </c>
      <c r="B53" s="54">
        <f>IF(計算用!$T$51="","",IF(計算用!$B$1=1,INDEX(計算用!$F$3:$F$452,計算用!$T$51),INDEX(振り分け!$B$7:$B$456,計算用!$T$51)))</f>
        <v/>
      </c>
      <c r="C53" s="54">
        <f>IF(計算用!$T$51="","",IF(計算用!$B$1=1,INDEX(計算用!$G$3:$G$452,計算用!$T$51),INDEX(振り分け!$C$7:$C$456,計算用!$T$51)))</f>
        <v/>
      </c>
      <c r="D53" s="59">
        <f>IF(計算用!$T$51="","",IF(計算用!$B$1=1,INDEX(計算用!$H$3:$H$452,計算用!$T$51),INDEX(振り分け!$D$7:$D$456,計算用!$T$51)))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IF(計算用!$T$52="","",50)</f>
        <v/>
      </c>
      <c r="B54" s="54">
        <f>IF(計算用!$T$52="","",IF(計算用!$B$1=1,INDEX(計算用!$F$3:$F$452,計算用!$T$52),INDEX(振り分け!$B$7:$B$456,計算用!$T$52)))</f>
        <v/>
      </c>
      <c r="C54" s="54">
        <f>IF(計算用!$T$52="","",IF(計算用!$B$1=1,INDEX(計算用!$G$3:$G$452,計算用!$T$52),INDEX(振り分け!$C$7:$C$456,計算用!$T$52)))</f>
        <v/>
      </c>
      <c r="D54" s="59">
        <f>IF(計算用!$T$52="","",IF(計算用!$B$1=1,INDEX(計算用!$H$3:$H$452,計算用!$T$52),INDEX(振り分け!$D$7:$D$456,計算用!$T$52)))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IF(設定!$P$19="","",設定!$B$3&amp;"　"&amp;設定!$P$19&amp;設定!$B$4&amp;"名簿"&amp;IF(計算用!$B$1=0,"（仮・前年度の組）",""))</f>
        <v/>
      </c>
    </row>
    <row r="2">
      <c r="A2" s="44">
        <f>IF(設定!$P$19="","","担当："&amp;設定!$S$19&amp;"　　活動場所："&amp;設定!$T$19&amp;"　　人数："&amp;定員チェック!$F$18&amp;"名（"&amp;設定!$B$8&amp;"年"&amp;定員チェック!$G$18&amp;"・"&amp;設定!$B$9&amp;"年"&amp;定員チェック!$H$18&amp;"・"&amp;設定!$B$10&amp;"年"&amp;定員チェック!$I$18&amp;"）")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IF(計算用!$U$3="","",1)</f>
        <v/>
      </c>
      <c r="B5" s="54">
        <f>IF(計算用!$U$3="","",IF(計算用!$B$1=1,INDEX(計算用!$F$3:$F$452,計算用!$U$3),INDEX(振り分け!$B$7:$B$456,計算用!$U$3)))</f>
        <v/>
      </c>
      <c r="C5" s="54">
        <f>IF(計算用!$U$3="","",IF(計算用!$B$1=1,INDEX(計算用!$G$3:$G$452,計算用!$U$3),INDEX(振り分け!$C$7:$C$456,計算用!$U$3)))</f>
        <v/>
      </c>
      <c r="D5" s="59">
        <f>IF(計算用!$U$3="","",IF(計算用!$B$1=1,INDEX(計算用!$H$3:$H$452,計算用!$U$3),INDEX(振り分け!$D$7:$D$456,計算用!$U$3)))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IF(計算用!$U$4="","",2)</f>
        <v/>
      </c>
      <c r="B6" s="54">
        <f>IF(計算用!$U$4="","",IF(計算用!$B$1=1,INDEX(計算用!$F$3:$F$452,計算用!$U$4),INDEX(振り分け!$B$7:$B$456,計算用!$U$4)))</f>
        <v/>
      </c>
      <c r="C6" s="54">
        <f>IF(計算用!$U$4="","",IF(計算用!$B$1=1,INDEX(計算用!$G$3:$G$452,計算用!$U$4),INDEX(振り分け!$C$7:$C$456,計算用!$U$4)))</f>
        <v/>
      </c>
      <c r="D6" s="59">
        <f>IF(計算用!$U$4="","",IF(計算用!$B$1=1,INDEX(計算用!$H$3:$H$452,計算用!$U$4),INDEX(振り分け!$D$7:$D$456,計算用!$U$4)))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IF(計算用!$U$5="","",3)</f>
        <v/>
      </c>
      <c r="B7" s="54">
        <f>IF(計算用!$U$5="","",IF(計算用!$B$1=1,INDEX(計算用!$F$3:$F$452,計算用!$U$5),INDEX(振り分け!$B$7:$B$456,計算用!$U$5)))</f>
        <v/>
      </c>
      <c r="C7" s="54">
        <f>IF(計算用!$U$5="","",IF(計算用!$B$1=1,INDEX(計算用!$G$3:$G$452,計算用!$U$5),INDEX(振り分け!$C$7:$C$456,計算用!$U$5)))</f>
        <v/>
      </c>
      <c r="D7" s="59">
        <f>IF(計算用!$U$5="","",IF(計算用!$B$1=1,INDEX(計算用!$H$3:$H$452,計算用!$U$5),INDEX(振り分け!$D$7:$D$456,計算用!$U$5)))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IF(計算用!$U$6="","",4)</f>
        <v/>
      </c>
      <c r="B8" s="54">
        <f>IF(計算用!$U$6="","",IF(計算用!$B$1=1,INDEX(計算用!$F$3:$F$452,計算用!$U$6),INDEX(振り分け!$B$7:$B$456,計算用!$U$6)))</f>
        <v/>
      </c>
      <c r="C8" s="54">
        <f>IF(計算用!$U$6="","",IF(計算用!$B$1=1,INDEX(計算用!$G$3:$G$452,計算用!$U$6),INDEX(振り分け!$C$7:$C$456,計算用!$U$6)))</f>
        <v/>
      </c>
      <c r="D8" s="59">
        <f>IF(計算用!$U$6="","",IF(計算用!$B$1=1,INDEX(計算用!$H$3:$H$452,計算用!$U$6),INDEX(振り分け!$D$7:$D$456,計算用!$U$6)))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IF(計算用!$U$7="","",5)</f>
        <v/>
      </c>
      <c r="B9" s="54">
        <f>IF(計算用!$U$7="","",IF(計算用!$B$1=1,INDEX(計算用!$F$3:$F$452,計算用!$U$7),INDEX(振り分け!$B$7:$B$456,計算用!$U$7)))</f>
        <v/>
      </c>
      <c r="C9" s="54">
        <f>IF(計算用!$U$7="","",IF(計算用!$B$1=1,INDEX(計算用!$G$3:$G$452,計算用!$U$7),INDEX(振り分け!$C$7:$C$456,計算用!$U$7)))</f>
        <v/>
      </c>
      <c r="D9" s="59">
        <f>IF(計算用!$U$7="","",IF(計算用!$B$1=1,INDEX(計算用!$H$3:$H$452,計算用!$U$7),INDEX(振り分け!$D$7:$D$456,計算用!$U$7)))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IF(計算用!$U$8="","",6)</f>
        <v/>
      </c>
      <c r="B10" s="54">
        <f>IF(計算用!$U$8="","",IF(計算用!$B$1=1,INDEX(計算用!$F$3:$F$452,計算用!$U$8),INDEX(振り分け!$B$7:$B$456,計算用!$U$8)))</f>
        <v/>
      </c>
      <c r="C10" s="54">
        <f>IF(計算用!$U$8="","",IF(計算用!$B$1=1,INDEX(計算用!$G$3:$G$452,計算用!$U$8),INDEX(振り分け!$C$7:$C$456,計算用!$U$8)))</f>
        <v/>
      </c>
      <c r="D10" s="59">
        <f>IF(計算用!$U$8="","",IF(計算用!$B$1=1,INDEX(計算用!$H$3:$H$452,計算用!$U$8),INDEX(振り分け!$D$7:$D$456,計算用!$U$8)))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IF(計算用!$U$9="","",7)</f>
        <v/>
      </c>
      <c r="B11" s="54">
        <f>IF(計算用!$U$9="","",IF(計算用!$B$1=1,INDEX(計算用!$F$3:$F$452,計算用!$U$9),INDEX(振り分け!$B$7:$B$456,計算用!$U$9)))</f>
        <v/>
      </c>
      <c r="C11" s="54">
        <f>IF(計算用!$U$9="","",IF(計算用!$B$1=1,INDEX(計算用!$G$3:$G$452,計算用!$U$9),INDEX(振り分け!$C$7:$C$456,計算用!$U$9)))</f>
        <v/>
      </c>
      <c r="D11" s="59">
        <f>IF(計算用!$U$9="","",IF(計算用!$B$1=1,INDEX(計算用!$H$3:$H$452,計算用!$U$9),INDEX(振り分け!$D$7:$D$456,計算用!$U$9)))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IF(計算用!$U$10="","",8)</f>
        <v/>
      </c>
      <c r="B12" s="54">
        <f>IF(計算用!$U$10="","",IF(計算用!$B$1=1,INDEX(計算用!$F$3:$F$452,計算用!$U$10),INDEX(振り分け!$B$7:$B$456,計算用!$U$10)))</f>
        <v/>
      </c>
      <c r="C12" s="54">
        <f>IF(計算用!$U$10="","",IF(計算用!$B$1=1,INDEX(計算用!$G$3:$G$452,計算用!$U$10),INDEX(振り分け!$C$7:$C$456,計算用!$U$10)))</f>
        <v/>
      </c>
      <c r="D12" s="59">
        <f>IF(計算用!$U$10="","",IF(計算用!$B$1=1,INDEX(計算用!$H$3:$H$452,計算用!$U$10),INDEX(振り分け!$D$7:$D$456,計算用!$U$10)))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IF(計算用!$U$11="","",9)</f>
        <v/>
      </c>
      <c r="B13" s="54">
        <f>IF(計算用!$U$11="","",IF(計算用!$B$1=1,INDEX(計算用!$F$3:$F$452,計算用!$U$11),INDEX(振り分け!$B$7:$B$456,計算用!$U$11)))</f>
        <v/>
      </c>
      <c r="C13" s="54">
        <f>IF(計算用!$U$11="","",IF(計算用!$B$1=1,INDEX(計算用!$G$3:$G$452,計算用!$U$11),INDEX(振り分け!$C$7:$C$456,計算用!$U$11)))</f>
        <v/>
      </c>
      <c r="D13" s="59">
        <f>IF(計算用!$U$11="","",IF(計算用!$B$1=1,INDEX(計算用!$H$3:$H$452,計算用!$U$11),INDEX(振り分け!$D$7:$D$456,計算用!$U$11)))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IF(計算用!$U$12="","",10)</f>
        <v/>
      </c>
      <c r="B14" s="54">
        <f>IF(計算用!$U$12="","",IF(計算用!$B$1=1,INDEX(計算用!$F$3:$F$452,計算用!$U$12),INDEX(振り分け!$B$7:$B$456,計算用!$U$12)))</f>
        <v/>
      </c>
      <c r="C14" s="54">
        <f>IF(計算用!$U$12="","",IF(計算用!$B$1=1,INDEX(計算用!$G$3:$G$452,計算用!$U$12),INDEX(振り分け!$C$7:$C$456,計算用!$U$12)))</f>
        <v/>
      </c>
      <c r="D14" s="59">
        <f>IF(計算用!$U$12="","",IF(計算用!$B$1=1,INDEX(計算用!$H$3:$H$452,計算用!$U$12),INDEX(振り分け!$D$7:$D$456,計算用!$U$12)))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IF(計算用!$U$13="","",11)</f>
        <v/>
      </c>
      <c r="B15" s="54">
        <f>IF(計算用!$U$13="","",IF(計算用!$B$1=1,INDEX(計算用!$F$3:$F$452,計算用!$U$13),INDEX(振り分け!$B$7:$B$456,計算用!$U$13)))</f>
        <v/>
      </c>
      <c r="C15" s="54">
        <f>IF(計算用!$U$13="","",IF(計算用!$B$1=1,INDEX(計算用!$G$3:$G$452,計算用!$U$13),INDEX(振り分け!$C$7:$C$456,計算用!$U$13)))</f>
        <v/>
      </c>
      <c r="D15" s="59">
        <f>IF(計算用!$U$13="","",IF(計算用!$B$1=1,INDEX(計算用!$H$3:$H$452,計算用!$U$13),INDEX(振り分け!$D$7:$D$456,計算用!$U$13)))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IF(計算用!$U$14="","",12)</f>
        <v/>
      </c>
      <c r="B16" s="54">
        <f>IF(計算用!$U$14="","",IF(計算用!$B$1=1,INDEX(計算用!$F$3:$F$452,計算用!$U$14),INDEX(振り分け!$B$7:$B$456,計算用!$U$14)))</f>
        <v/>
      </c>
      <c r="C16" s="54">
        <f>IF(計算用!$U$14="","",IF(計算用!$B$1=1,INDEX(計算用!$G$3:$G$452,計算用!$U$14),INDEX(振り分け!$C$7:$C$456,計算用!$U$14)))</f>
        <v/>
      </c>
      <c r="D16" s="59">
        <f>IF(計算用!$U$14="","",IF(計算用!$B$1=1,INDEX(計算用!$H$3:$H$452,計算用!$U$14),INDEX(振り分け!$D$7:$D$456,計算用!$U$14)))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IF(計算用!$U$15="","",13)</f>
        <v/>
      </c>
      <c r="B17" s="54">
        <f>IF(計算用!$U$15="","",IF(計算用!$B$1=1,INDEX(計算用!$F$3:$F$452,計算用!$U$15),INDEX(振り分け!$B$7:$B$456,計算用!$U$15)))</f>
        <v/>
      </c>
      <c r="C17" s="54">
        <f>IF(計算用!$U$15="","",IF(計算用!$B$1=1,INDEX(計算用!$G$3:$G$452,計算用!$U$15),INDEX(振り分け!$C$7:$C$456,計算用!$U$15)))</f>
        <v/>
      </c>
      <c r="D17" s="59">
        <f>IF(計算用!$U$15="","",IF(計算用!$B$1=1,INDEX(計算用!$H$3:$H$452,計算用!$U$15),INDEX(振り分け!$D$7:$D$456,計算用!$U$15)))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IF(計算用!$U$16="","",14)</f>
        <v/>
      </c>
      <c r="B18" s="54">
        <f>IF(計算用!$U$16="","",IF(計算用!$B$1=1,INDEX(計算用!$F$3:$F$452,計算用!$U$16),INDEX(振り分け!$B$7:$B$456,計算用!$U$16)))</f>
        <v/>
      </c>
      <c r="C18" s="54">
        <f>IF(計算用!$U$16="","",IF(計算用!$B$1=1,INDEX(計算用!$G$3:$G$452,計算用!$U$16),INDEX(振り分け!$C$7:$C$456,計算用!$U$16)))</f>
        <v/>
      </c>
      <c r="D18" s="59">
        <f>IF(計算用!$U$16="","",IF(計算用!$B$1=1,INDEX(計算用!$H$3:$H$452,計算用!$U$16),INDEX(振り分け!$D$7:$D$456,計算用!$U$16)))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IF(計算用!$U$17="","",15)</f>
        <v/>
      </c>
      <c r="B19" s="54">
        <f>IF(計算用!$U$17="","",IF(計算用!$B$1=1,INDEX(計算用!$F$3:$F$452,計算用!$U$17),INDEX(振り分け!$B$7:$B$456,計算用!$U$17)))</f>
        <v/>
      </c>
      <c r="C19" s="54">
        <f>IF(計算用!$U$17="","",IF(計算用!$B$1=1,INDEX(計算用!$G$3:$G$452,計算用!$U$17),INDEX(振り分け!$C$7:$C$456,計算用!$U$17)))</f>
        <v/>
      </c>
      <c r="D19" s="59">
        <f>IF(計算用!$U$17="","",IF(計算用!$B$1=1,INDEX(計算用!$H$3:$H$452,計算用!$U$17),INDEX(振り分け!$D$7:$D$456,計算用!$U$17)))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IF(計算用!$U$18="","",16)</f>
        <v/>
      </c>
      <c r="B20" s="54">
        <f>IF(計算用!$U$18="","",IF(計算用!$B$1=1,INDEX(計算用!$F$3:$F$452,計算用!$U$18),INDEX(振り分け!$B$7:$B$456,計算用!$U$18)))</f>
        <v/>
      </c>
      <c r="C20" s="54">
        <f>IF(計算用!$U$18="","",IF(計算用!$B$1=1,INDEX(計算用!$G$3:$G$452,計算用!$U$18),INDEX(振り分け!$C$7:$C$456,計算用!$U$18)))</f>
        <v/>
      </c>
      <c r="D20" s="59">
        <f>IF(計算用!$U$18="","",IF(計算用!$B$1=1,INDEX(計算用!$H$3:$H$452,計算用!$U$18),INDEX(振り分け!$D$7:$D$456,計算用!$U$18)))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IF(計算用!$U$19="","",17)</f>
        <v/>
      </c>
      <c r="B21" s="54">
        <f>IF(計算用!$U$19="","",IF(計算用!$B$1=1,INDEX(計算用!$F$3:$F$452,計算用!$U$19),INDEX(振り分け!$B$7:$B$456,計算用!$U$19)))</f>
        <v/>
      </c>
      <c r="C21" s="54">
        <f>IF(計算用!$U$19="","",IF(計算用!$B$1=1,INDEX(計算用!$G$3:$G$452,計算用!$U$19),INDEX(振り分け!$C$7:$C$456,計算用!$U$19)))</f>
        <v/>
      </c>
      <c r="D21" s="59">
        <f>IF(計算用!$U$19="","",IF(計算用!$B$1=1,INDEX(計算用!$H$3:$H$452,計算用!$U$19),INDEX(振り分け!$D$7:$D$456,計算用!$U$19)))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IF(計算用!$U$20="","",18)</f>
        <v/>
      </c>
      <c r="B22" s="54">
        <f>IF(計算用!$U$20="","",IF(計算用!$B$1=1,INDEX(計算用!$F$3:$F$452,計算用!$U$20),INDEX(振り分け!$B$7:$B$456,計算用!$U$20)))</f>
        <v/>
      </c>
      <c r="C22" s="54">
        <f>IF(計算用!$U$20="","",IF(計算用!$B$1=1,INDEX(計算用!$G$3:$G$452,計算用!$U$20),INDEX(振り分け!$C$7:$C$456,計算用!$U$20)))</f>
        <v/>
      </c>
      <c r="D22" s="59">
        <f>IF(計算用!$U$20="","",IF(計算用!$B$1=1,INDEX(計算用!$H$3:$H$452,計算用!$U$20),INDEX(振り分け!$D$7:$D$456,計算用!$U$20)))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IF(計算用!$U$21="","",19)</f>
        <v/>
      </c>
      <c r="B23" s="54">
        <f>IF(計算用!$U$21="","",IF(計算用!$B$1=1,INDEX(計算用!$F$3:$F$452,計算用!$U$21),INDEX(振り分け!$B$7:$B$456,計算用!$U$21)))</f>
        <v/>
      </c>
      <c r="C23" s="54">
        <f>IF(計算用!$U$21="","",IF(計算用!$B$1=1,INDEX(計算用!$G$3:$G$452,計算用!$U$21),INDEX(振り分け!$C$7:$C$456,計算用!$U$21)))</f>
        <v/>
      </c>
      <c r="D23" s="59">
        <f>IF(計算用!$U$21="","",IF(計算用!$B$1=1,INDEX(計算用!$H$3:$H$452,計算用!$U$21),INDEX(振り分け!$D$7:$D$456,計算用!$U$21)))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IF(計算用!$U$22="","",20)</f>
        <v/>
      </c>
      <c r="B24" s="54">
        <f>IF(計算用!$U$22="","",IF(計算用!$B$1=1,INDEX(計算用!$F$3:$F$452,計算用!$U$22),INDEX(振り分け!$B$7:$B$456,計算用!$U$22)))</f>
        <v/>
      </c>
      <c r="C24" s="54">
        <f>IF(計算用!$U$22="","",IF(計算用!$B$1=1,INDEX(計算用!$G$3:$G$452,計算用!$U$22),INDEX(振り分け!$C$7:$C$456,計算用!$U$22)))</f>
        <v/>
      </c>
      <c r="D24" s="59">
        <f>IF(計算用!$U$22="","",IF(計算用!$B$1=1,INDEX(計算用!$H$3:$H$452,計算用!$U$22),INDEX(振り分け!$D$7:$D$456,計算用!$U$22)))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IF(計算用!$U$23="","",21)</f>
        <v/>
      </c>
      <c r="B25" s="54">
        <f>IF(計算用!$U$23="","",IF(計算用!$B$1=1,INDEX(計算用!$F$3:$F$452,計算用!$U$23),INDEX(振り分け!$B$7:$B$456,計算用!$U$23)))</f>
        <v/>
      </c>
      <c r="C25" s="54">
        <f>IF(計算用!$U$23="","",IF(計算用!$B$1=1,INDEX(計算用!$G$3:$G$452,計算用!$U$23),INDEX(振り分け!$C$7:$C$456,計算用!$U$23)))</f>
        <v/>
      </c>
      <c r="D25" s="59">
        <f>IF(計算用!$U$23="","",IF(計算用!$B$1=1,INDEX(計算用!$H$3:$H$452,計算用!$U$23),INDEX(振り分け!$D$7:$D$456,計算用!$U$23)))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IF(計算用!$U$24="","",22)</f>
        <v/>
      </c>
      <c r="B26" s="54">
        <f>IF(計算用!$U$24="","",IF(計算用!$B$1=1,INDEX(計算用!$F$3:$F$452,計算用!$U$24),INDEX(振り分け!$B$7:$B$456,計算用!$U$24)))</f>
        <v/>
      </c>
      <c r="C26" s="54">
        <f>IF(計算用!$U$24="","",IF(計算用!$B$1=1,INDEX(計算用!$G$3:$G$452,計算用!$U$24),INDEX(振り分け!$C$7:$C$456,計算用!$U$24)))</f>
        <v/>
      </c>
      <c r="D26" s="59">
        <f>IF(計算用!$U$24="","",IF(計算用!$B$1=1,INDEX(計算用!$H$3:$H$452,計算用!$U$24),INDEX(振り分け!$D$7:$D$456,計算用!$U$24)))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IF(計算用!$U$25="","",23)</f>
        <v/>
      </c>
      <c r="B27" s="54">
        <f>IF(計算用!$U$25="","",IF(計算用!$B$1=1,INDEX(計算用!$F$3:$F$452,計算用!$U$25),INDEX(振り分け!$B$7:$B$456,計算用!$U$25)))</f>
        <v/>
      </c>
      <c r="C27" s="54">
        <f>IF(計算用!$U$25="","",IF(計算用!$B$1=1,INDEX(計算用!$G$3:$G$452,計算用!$U$25),INDEX(振り分け!$C$7:$C$456,計算用!$U$25)))</f>
        <v/>
      </c>
      <c r="D27" s="59">
        <f>IF(計算用!$U$25="","",IF(計算用!$B$1=1,INDEX(計算用!$H$3:$H$452,計算用!$U$25),INDEX(振り分け!$D$7:$D$456,計算用!$U$25)))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IF(計算用!$U$26="","",24)</f>
        <v/>
      </c>
      <c r="B28" s="54">
        <f>IF(計算用!$U$26="","",IF(計算用!$B$1=1,INDEX(計算用!$F$3:$F$452,計算用!$U$26),INDEX(振り分け!$B$7:$B$456,計算用!$U$26)))</f>
        <v/>
      </c>
      <c r="C28" s="54">
        <f>IF(計算用!$U$26="","",IF(計算用!$B$1=1,INDEX(計算用!$G$3:$G$452,計算用!$U$26),INDEX(振り分け!$C$7:$C$456,計算用!$U$26)))</f>
        <v/>
      </c>
      <c r="D28" s="59">
        <f>IF(計算用!$U$26="","",IF(計算用!$B$1=1,INDEX(計算用!$H$3:$H$452,計算用!$U$26),INDEX(振り分け!$D$7:$D$456,計算用!$U$26)))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IF(計算用!$U$27="","",25)</f>
        <v/>
      </c>
      <c r="B29" s="54">
        <f>IF(計算用!$U$27="","",IF(計算用!$B$1=1,INDEX(計算用!$F$3:$F$452,計算用!$U$27),INDEX(振り分け!$B$7:$B$456,計算用!$U$27)))</f>
        <v/>
      </c>
      <c r="C29" s="54">
        <f>IF(計算用!$U$27="","",IF(計算用!$B$1=1,INDEX(計算用!$G$3:$G$452,計算用!$U$27),INDEX(振り分け!$C$7:$C$456,計算用!$U$27)))</f>
        <v/>
      </c>
      <c r="D29" s="59">
        <f>IF(計算用!$U$27="","",IF(計算用!$B$1=1,INDEX(計算用!$H$3:$H$452,計算用!$U$27),INDEX(振り分け!$D$7:$D$456,計算用!$U$27)))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IF(計算用!$U$28="","",26)</f>
        <v/>
      </c>
      <c r="B30" s="54">
        <f>IF(計算用!$U$28="","",IF(計算用!$B$1=1,INDEX(計算用!$F$3:$F$452,計算用!$U$28),INDEX(振り分け!$B$7:$B$456,計算用!$U$28)))</f>
        <v/>
      </c>
      <c r="C30" s="54">
        <f>IF(計算用!$U$28="","",IF(計算用!$B$1=1,INDEX(計算用!$G$3:$G$452,計算用!$U$28),INDEX(振り分け!$C$7:$C$456,計算用!$U$28)))</f>
        <v/>
      </c>
      <c r="D30" s="59">
        <f>IF(計算用!$U$28="","",IF(計算用!$B$1=1,INDEX(計算用!$H$3:$H$452,計算用!$U$28),INDEX(振り分け!$D$7:$D$456,計算用!$U$28)))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IF(計算用!$U$29="","",27)</f>
        <v/>
      </c>
      <c r="B31" s="54">
        <f>IF(計算用!$U$29="","",IF(計算用!$B$1=1,INDEX(計算用!$F$3:$F$452,計算用!$U$29),INDEX(振り分け!$B$7:$B$456,計算用!$U$29)))</f>
        <v/>
      </c>
      <c r="C31" s="54">
        <f>IF(計算用!$U$29="","",IF(計算用!$B$1=1,INDEX(計算用!$G$3:$G$452,計算用!$U$29),INDEX(振り分け!$C$7:$C$456,計算用!$U$29)))</f>
        <v/>
      </c>
      <c r="D31" s="59">
        <f>IF(計算用!$U$29="","",IF(計算用!$B$1=1,INDEX(計算用!$H$3:$H$452,計算用!$U$29),INDEX(振り分け!$D$7:$D$456,計算用!$U$29)))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IF(計算用!$U$30="","",28)</f>
        <v/>
      </c>
      <c r="B32" s="54">
        <f>IF(計算用!$U$30="","",IF(計算用!$B$1=1,INDEX(計算用!$F$3:$F$452,計算用!$U$30),INDEX(振り分け!$B$7:$B$456,計算用!$U$30)))</f>
        <v/>
      </c>
      <c r="C32" s="54">
        <f>IF(計算用!$U$30="","",IF(計算用!$B$1=1,INDEX(計算用!$G$3:$G$452,計算用!$U$30),INDEX(振り分け!$C$7:$C$456,計算用!$U$30)))</f>
        <v/>
      </c>
      <c r="D32" s="59">
        <f>IF(計算用!$U$30="","",IF(計算用!$B$1=1,INDEX(計算用!$H$3:$H$452,計算用!$U$30),INDEX(振り分け!$D$7:$D$456,計算用!$U$30)))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IF(計算用!$U$31="","",29)</f>
        <v/>
      </c>
      <c r="B33" s="54">
        <f>IF(計算用!$U$31="","",IF(計算用!$B$1=1,INDEX(計算用!$F$3:$F$452,計算用!$U$31),INDEX(振り分け!$B$7:$B$456,計算用!$U$31)))</f>
        <v/>
      </c>
      <c r="C33" s="54">
        <f>IF(計算用!$U$31="","",IF(計算用!$B$1=1,INDEX(計算用!$G$3:$G$452,計算用!$U$31),INDEX(振り分け!$C$7:$C$456,計算用!$U$31)))</f>
        <v/>
      </c>
      <c r="D33" s="59">
        <f>IF(計算用!$U$31="","",IF(計算用!$B$1=1,INDEX(計算用!$H$3:$H$452,計算用!$U$31),INDEX(振り分け!$D$7:$D$456,計算用!$U$31)))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IF(計算用!$U$32="","",30)</f>
        <v/>
      </c>
      <c r="B34" s="54">
        <f>IF(計算用!$U$32="","",IF(計算用!$B$1=1,INDEX(計算用!$F$3:$F$452,計算用!$U$32),INDEX(振り分け!$B$7:$B$456,計算用!$U$32)))</f>
        <v/>
      </c>
      <c r="C34" s="54">
        <f>IF(計算用!$U$32="","",IF(計算用!$B$1=1,INDEX(計算用!$G$3:$G$452,計算用!$U$32),INDEX(振り分け!$C$7:$C$456,計算用!$U$32)))</f>
        <v/>
      </c>
      <c r="D34" s="59">
        <f>IF(計算用!$U$32="","",IF(計算用!$B$1=1,INDEX(計算用!$H$3:$H$452,計算用!$U$32),INDEX(振り分け!$D$7:$D$456,計算用!$U$32)))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IF(計算用!$U$33="","",31)</f>
        <v/>
      </c>
      <c r="B35" s="54">
        <f>IF(計算用!$U$33="","",IF(計算用!$B$1=1,INDEX(計算用!$F$3:$F$452,計算用!$U$33),INDEX(振り分け!$B$7:$B$456,計算用!$U$33)))</f>
        <v/>
      </c>
      <c r="C35" s="54">
        <f>IF(計算用!$U$33="","",IF(計算用!$B$1=1,INDEX(計算用!$G$3:$G$452,計算用!$U$33),INDEX(振り分け!$C$7:$C$456,計算用!$U$33)))</f>
        <v/>
      </c>
      <c r="D35" s="59">
        <f>IF(計算用!$U$33="","",IF(計算用!$B$1=1,INDEX(計算用!$H$3:$H$452,計算用!$U$33),INDEX(振り分け!$D$7:$D$456,計算用!$U$33)))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IF(計算用!$U$34="","",32)</f>
        <v/>
      </c>
      <c r="B36" s="54">
        <f>IF(計算用!$U$34="","",IF(計算用!$B$1=1,INDEX(計算用!$F$3:$F$452,計算用!$U$34),INDEX(振り分け!$B$7:$B$456,計算用!$U$34)))</f>
        <v/>
      </c>
      <c r="C36" s="54">
        <f>IF(計算用!$U$34="","",IF(計算用!$B$1=1,INDEX(計算用!$G$3:$G$452,計算用!$U$34),INDEX(振り分け!$C$7:$C$456,計算用!$U$34)))</f>
        <v/>
      </c>
      <c r="D36" s="59">
        <f>IF(計算用!$U$34="","",IF(計算用!$B$1=1,INDEX(計算用!$H$3:$H$452,計算用!$U$34),INDEX(振り分け!$D$7:$D$456,計算用!$U$34)))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IF(計算用!$U$35="","",33)</f>
        <v/>
      </c>
      <c r="B37" s="54">
        <f>IF(計算用!$U$35="","",IF(計算用!$B$1=1,INDEX(計算用!$F$3:$F$452,計算用!$U$35),INDEX(振り分け!$B$7:$B$456,計算用!$U$35)))</f>
        <v/>
      </c>
      <c r="C37" s="54">
        <f>IF(計算用!$U$35="","",IF(計算用!$B$1=1,INDEX(計算用!$G$3:$G$452,計算用!$U$35),INDEX(振り分け!$C$7:$C$456,計算用!$U$35)))</f>
        <v/>
      </c>
      <c r="D37" s="59">
        <f>IF(計算用!$U$35="","",IF(計算用!$B$1=1,INDEX(計算用!$H$3:$H$452,計算用!$U$35),INDEX(振り分け!$D$7:$D$456,計算用!$U$35)))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IF(計算用!$U$36="","",34)</f>
        <v/>
      </c>
      <c r="B38" s="54">
        <f>IF(計算用!$U$36="","",IF(計算用!$B$1=1,INDEX(計算用!$F$3:$F$452,計算用!$U$36),INDEX(振り分け!$B$7:$B$456,計算用!$U$36)))</f>
        <v/>
      </c>
      <c r="C38" s="54">
        <f>IF(計算用!$U$36="","",IF(計算用!$B$1=1,INDEX(計算用!$G$3:$G$452,計算用!$U$36),INDEX(振り分け!$C$7:$C$456,計算用!$U$36)))</f>
        <v/>
      </c>
      <c r="D38" s="59">
        <f>IF(計算用!$U$36="","",IF(計算用!$B$1=1,INDEX(計算用!$H$3:$H$452,計算用!$U$36),INDEX(振り分け!$D$7:$D$456,計算用!$U$36)))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IF(計算用!$U$37="","",35)</f>
        <v/>
      </c>
      <c r="B39" s="54">
        <f>IF(計算用!$U$37="","",IF(計算用!$B$1=1,INDEX(計算用!$F$3:$F$452,計算用!$U$37),INDEX(振り分け!$B$7:$B$456,計算用!$U$37)))</f>
        <v/>
      </c>
      <c r="C39" s="54">
        <f>IF(計算用!$U$37="","",IF(計算用!$B$1=1,INDEX(計算用!$G$3:$G$452,計算用!$U$37),INDEX(振り分け!$C$7:$C$456,計算用!$U$37)))</f>
        <v/>
      </c>
      <c r="D39" s="59">
        <f>IF(計算用!$U$37="","",IF(計算用!$B$1=1,INDEX(計算用!$H$3:$H$452,計算用!$U$37),INDEX(振り分け!$D$7:$D$456,計算用!$U$37)))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IF(計算用!$U$38="","",36)</f>
        <v/>
      </c>
      <c r="B40" s="54">
        <f>IF(計算用!$U$38="","",IF(計算用!$B$1=1,INDEX(計算用!$F$3:$F$452,計算用!$U$38),INDEX(振り分け!$B$7:$B$456,計算用!$U$38)))</f>
        <v/>
      </c>
      <c r="C40" s="54">
        <f>IF(計算用!$U$38="","",IF(計算用!$B$1=1,INDEX(計算用!$G$3:$G$452,計算用!$U$38),INDEX(振り分け!$C$7:$C$456,計算用!$U$38)))</f>
        <v/>
      </c>
      <c r="D40" s="59">
        <f>IF(計算用!$U$38="","",IF(計算用!$B$1=1,INDEX(計算用!$H$3:$H$452,計算用!$U$38),INDEX(振り分け!$D$7:$D$456,計算用!$U$38)))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IF(計算用!$U$39="","",37)</f>
        <v/>
      </c>
      <c r="B41" s="54">
        <f>IF(計算用!$U$39="","",IF(計算用!$B$1=1,INDEX(計算用!$F$3:$F$452,計算用!$U$39),INDEX(振り分け!$B$7:$B$456,計算用!$U$39)))</f>
        <v/>
      </c>
      <c r="C41" s="54">
        <f>IF(計算用!$U$39="","",IF(計算用!$B$1=1,INDEX(計算用!$G$3:$G$452,計算用!$U$39),INDEX(振り分け!$C$7:$C$456,計算用!$U$39)))</f>
        <v/>
      </c>
      <c r="D41" s="59">
        <f>IF(計算用!$U$39="","",IF(計算用!$B$1=1,INDEX(計算用!$H$3:$H$452,計算用!$U$39),INDEX(振り分け!$D$7:$D$456,計算用!$U$39)))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IF(計算用!$U$40="","",38)</f>
        <v/>
      </c>
      <c r="B42" s="54">
        <f>IF(計算用!$U$40="","",IF(計算用!$B$1=1,INDEX(計算用!$F$3:$F$452,計算用!$U$40),INDEX(振り分け!$B$7:$B$456,計算用!$U$40)))</f>
        <v/>
      </c>
      <c r="C42" s="54">
        <f>IF(計算用!$U$40="","",IF(計算用!$B$1=1,INDEX(計算用!$G$3:$G$452,計算用!$U$40),INDEX(振り分け!$C$7:$C$456,計算用!$U$40)))</f>
        <v/>
      </c>
      <c r="D42" s="59">
        <f>IF(計算用!$U$40="","",IF(計算用!$B$1=1,INDEX(計算用!$H$3:$H$452,計算用!$U$40),INDEX(振り分け!$D$7:$D$456,計算用!$U$40)))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IF(計算用!$U$41="","",39)</f>
        <v/>
      </c>
      <c r="B43" s="54">
        <f>IF(計算用!$U$41="","",IF(計算用!$B$1=1,INDEX(計算用!$F$3:$F$452,計算用!$U$41),INDEX(振り分け!$B$7:$B$456,計算用!$U$41)))</f>
        <v/>
      </c>
      <c r="C43" s="54">
        <f>IF(計算用!$U$41="","",IF(計算用!$B$1=1,INDEX(計算用!$G$3:$G$452,計算用!$U$41),INDEX(振り分け!$C$7:$C$456,計算用!$U$41)))</f>
        <v/>
      </c>
      <c r="D43" s="59">
        <f>IF(計算用!$U$41="","",IF(計算用!$B$1=1,INDEX(計算用!$H$3:$H$452,計算用!$U$41),INDEX(振り分け!$D$7:$D$456,計算用!$U$41)))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IF(計算用!$U$42="","",40)</f>
        <v/>
      </c>
      <c r="B44" s="54">
        <f>IF(計算用!$U$42="","",IF(計算用!$B$1=1,INDEX(計算用!$F$3:$F$452,計算用!$U$42),INDEX(振り分け!$B$7:$B$456,計算用!$U$42)))</f>
        <v/>
      </c>
      <c r="C44" s="54">
        <f>IF(計算用!$U$42="","",IF(計算用!$B$1=1,INDEX(計算用!$G$3:$G$452,計算用!$U$42),INDEX(振り分け!$C$7:$C$456,計算用!$U$42)))</f>
        <v/>
      </c>
      <c r="D44" s="59">
        <f>IF(計算用!$U$42="","",IF(計算用!$B$1=1,INDEX(計算用!$H$3:$H$452,計算用!$U$42),INDEX(振り分け!$D$7:$D$456,計算用!$U$42)))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IF(計算用!$U$43="","",41)</f>
        <v/>
      </c>
      <c r="B45" s="54">
        <f>IF(計算用!$U$43="","",IF(計算用!$B$1=1,INDEX(計算用!$F$3:$F$452,計算用!$U$43),INDEX(振り分け!$B$7:$B$456,計算用!$U$43)))</f>
        <v/>
      </c>
      <c r="C45" s="54">
        <f>IF(計算用!$U$43="","",IF(計算用!$B$1=1,INDEX(計算用!$G$3:$G$452,計算用!$U$43),INDEX(振り分け!$C$7:$C$456,計算用!$U$43)))</f>
        <v/>
      </c>
      <c r="D45" s="59">
        <f>IF(計算用!$U$43="","",IF(計算用!$B$1=1,INDEX(計算用!$H$3:$H$452,計算用!$U$43),INDEX(振り分け!$D$7:$D$456,計算用!$U$43)))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IF(計算用!$U$44="","",42)</f>
        <v/>
      </c>
      <c r="B46" s="54">
        <f>IF(計算用!$U$44="","",IF(計算用!$B$1=1,INDEX(計算用!$F$3:$F$452,計算用!$U$44),INDEX(振り分け!$B$7:$B$456,計算用!$U$44)))</f>
        <v/>
      </c>
      <c r="C46" s="54">
        <f>IF(計算用!$U$44="","",IF(計算用!$B$1=1,INDEX(計算用!$G$3:$G$452,計算用!$U$44),INDEX(振り分け!$C$7:$C$456,計算用!$U$44)))</f>
        <v/>
      </c>
      <c r="D46" s="59">
        <f>IF(計算用!$U$44="","",IF(計算用!$B$1=1,INDEX(計算用!$H$3:$H$452,計算用!$U$44),INDEX(振り分け!$D$7:$D$456,計算用!$U$44)))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IF(計算用!$U$45="","",43)</f>
        <v/>
      </c>
      <c r="B47" s="54">
        <f>IF(計算用!$U$45="","",IF(計算用!$B$1=1,INDEX(計算用!$F$3:$F$452,計算用!$U$45),INDEX(振り分け!$B$7:$B$456,計算用!$U$45)))</f>
        <v/>
      </c>
      <c r="C47" s="54">
        <f>IF(計算用!$U$45="","",IF(計算用!$B$1=1,INDEX(計算用!$G$3:$G$452,計算用!$U$45),INDEX(振り分け!$C$7:$C$456,計算用!$U$45)))</f>
        <v/>
      </c>
      <c r="D47" s="59">
        <f>IF(計算用!$U$45="","",IF(計算用!$B$1=1,INDEX(計算用!$H$3:$H$452,計算用!$U$45),INDEX(振り分け!$D$7:$D$456,計算用!$U$45)))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IF(計算用!$U$46="","",44)</f>
        <v/>
      </c>
      <c r="B48" s="54">
        <f>IF(計算用!$U$46="","",IF(計算用!$B$1=1,INDEX(計算用!$F$3:$F$452,計算用!$U$46),INDEX(振り分け!$B$7:$B$456,計算用!$U$46)))</f>
        <v/>
      </c>
      <c r="C48" s="54">
        <f>IF(計算用!$U$46="","",IF(計算用!$B$1=1,INDEX(計算用!$G$3:$G$452,計算用!$U$46),INDEX(振り分け!$C$7:$C$456,計算用!$U$46)))</f>
        <v/>
      </c>
      <c r="D48" s="59">
        <f>IF(計算用!$U$46="","",IF(計算用!$B$1=1,INDEX(計算用!$H$3:$H$452,計算用!$U$46),INDEX(振り分け!$D$7:$D$456,計算用!$U$46)))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IF(計算用!$U$47="","",45)</f>
        <v/>
      </c>
      <c r="B49" s="54">
        <f>IF(計算用!$U$47="","",IF(計算用!$B$1=1,INDEX(計算用!$F$3:$F$452,計算用!$U$47),INDEX(振り分け!$B$7:$B$456,計算用!$U$47)))</f>
        <v/>
      </c>
      <c r="C49" s="54">
        <f>IF(計算用!$U$47="","",IF(計算用!$B$1=1,INDEX(計算用!$G$3:$G$452,計算用!$U$47),INDEX(振り分け!$C$7:$C$456,計算用!$U$47)))</f>
        <v/>
      </c>
      <c r="D49" s="59">
        <f>IF(計算用!$U$47="","",IF(計算用!$B$1=1,INDEX(計算用!$H$3:$H$452,計算用!$U$47),INDEX(振り分け!$D$7:$D$456,計算用!$U$47)))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IF(計算用!$U$48="","",46)</f>
        <v/>
      </c>
      <c r="B50" s="54">
        <f>IF(計算用!$U$48="","",IF(計算用!$B$1=1,INDEX(計算用!$F$3:$F$452,計算用!$U$48),INDEX(振り分け!$B$7:$B$456,計算用!$U$48)))</f>
        <v/>
      </c>
      <c r="C50" s="54">
        <f>IF(計算用!$U$48="","",IF(計算用!$B$1=1,INDEX(計算用!$G$3:$G$452,計算用!$U$48),INDEX(振り分け!$C$7:$C$456,計算用!$U$48)))</f>
        <v/>
      </c>
      <c r="D50" s="59">
        <f>IF(計算用!$U$48="","",IF(計算用!$B$1=1,INDEX(計算用!$H$3:$H$452,計算用!$U$48),INDEX(振り分け!$D$7:$D$456,計算用!$U$48)))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IF(計算用!$U$49="","",47)</f>
        <v/>
      </c>
      <c r="B51" s="54">
        <f>IF(計算用!$U$49="","",IF(計算用!$B$1=1,INDEX(計算用!$F$3:$F$452,計算用!$U$49),INDEX(振り分け!$B$7:$B$456,計算用!$U$49)))</f>
        <v/>
      </c>
      <c r="C51" s="54">
        <f>IF(計算用!$U$49="","",IF(計算用!$B$1=1,INDEX(計算用!$G$3:$G$452,計算用!$U$49),INDEX(振り分け!$C$7:$C$456,計算用!$U$49)))</f>
        <v/>
      </c>
      <c r="D51" s="59">
        <f>IF(計算用!$U$49="","",IF(計算用!$B$1=1,INDEX(計算用!$H$3:$H$452,計算用!$U$49),INDEX(振り分け!$D$7:$D$456,計算用!$U$49)))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IF(計算用!$U$50="","",48)</f>
        <v/>
      </c>
      <c r="B52" s="54">
        <f>IF(計算用!$U$50="","",IF(計算用!$B$1=1,INDEX(計算用!$F$3:$F$452,計算用!$U$50),INDEX(振り分け!$B$7:$B$456,計算用!$U$50)))</f>
        <v/>
      </c>
      <c r="C52" s="54">
        <f>IF(計算用!$U$50="","",IF(計算用!$B$1=1,INDEX(計算用!$G$3:$G$452,計算用!$U$50),INDEX(振り分け!$C$7:$C$456,計算用!$U$50)))</f>
        <v/>
      </c>
      <c r="D52" s="59">
        <f>IF(計算用!$U$50="","",IF(計算用!$B$1=1,INDEX(計算用!$H$3:$H$452,計算用!$U$50),INDEX(振り分け!$D$7:$D$456,計算用!$U$50)))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IF(計算用!$U$51="","",49)</f>
        <v/>
      </c>
      <c r="B53" s="54">
        <f>IF(計算用!$U$51="","",IF(計算用!$B$1=1,INDEX(計算用!$F$3:$F$452,計算用!$U$51),INDEX(振り分け!$B$7:$B$456,計算用!$U$51)))</f>
        <v/>
      </c>
      <c r="C53" s="54">
        <f>IF(計算用!$U$51="","",IF(計算用!$B$1=1,INDEX(計算用!$G$3:$G$452,計算用!$U$51),INDEX(振り分け!$C$7:$C$456,計算用!$U$51)))</f>
        <v/>
      </c>
      <c r="D53" s="59">
        <f>IF(計算用!$U$51="","",IF(計算用!$B$1=1,INDEX(計算用!$H$3:$H$452,計算用!$U$51),INDEX(振り分け!$D$7:$D$456,計算用!$U$51)))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IF(計算用!$U$52="","",50)</f>
        <v/>
      </c>
      <c r="B54" s="54">
        <f>IF(計算用!$U$52="","",IF(計算用!$B$1=1,INDEX(計算用!$F$3:$F$452,計算用!$U$52),INDEX(振り分け!$B$7:$B$456,計算用!$U$52)))</f>
        <v/>
      </c>
      <c r="C54" s="54">
        <f>IF(計算用!$U$52="","",IF(計算用!$B$1=1,INDEX(計算用!$G$3:$G$452,計算用!$U$52),INDEX(振り分け!$C$7:$C$456,計算用!$U$52)))</f>
        <v/>
      </c>
      <c r="D54" s="59">
        <f>IF(計算用!$U$52="","",IF(計算用!$B$1=1,INDEX(計算用!$H$3:$H$452,計算用!$U$52),INDEX(振り分け!$D$7:$D$456,計算用!$U$52)))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IF(設定!$P$20="","",設定!$B$3&amp;"　"&amp;設定!$P$20&amp;設定!$B$4&amp;"名簿"&amp;IF(計算用!$B$1=0,"（仮・前年度の組）",""))</f>
        <v/>
      </c>
    </row>
    <row r="2">
      <c r="A2" s="44">
        <f>IF(設定!$P$20="","","担当："&amp;設定!$S$20&amp;"　　活動場所："&amp;設定!$T$20&amp;"　　人数："&amp;定員チェック!$F$19&amp;"名（"&amp;設定!$B$8&amp;"年"&amp;定員チェック!$G$19&amp;"・"&amp;設定!$B$9&amp;"年"&amp;定員チェック!$H$19&amp;"・"&amp;設定!$B$10&amp;"年"&amp;定員チェック!$I$19&amp;"）")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IF(計算用!$V$3="","",1)</f>
        <v/>
      </c>
      <c r="B5" s="54">
        <f>IF(計算用!$V$3="","",IF(計算用!$B$1=1,INDEX(計算用!$F$3:$F$452,計算用!$V$3),INDEX(振り分け!$B$7:$B$456,計算用!$V$3)))</f>
        <v/>
      </c>
      <c r="C5" s="54">
        <f>IF(計算用!$V$3="","",IF(計算用!$B$1=1,INDEX(計算用!$G$3:$G$452,計算用!$V$3),INDEX(振り分け!$C$7:$C$456,計算用!$V$3)))</f>
        <v/>
      </c>
      <c r="D5" s="59">
        <f>IF(計算用!$V$3="","",IF(計算用!$B$1=1,INDEX(計算用!$H$3:$H$452,計算用!$V$3),INDEX(振り分け!$D$7:$D$456,計算用!$V$3)))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IF(計算用!$V$4="","",2)</f>
        <v/>
      </c>
      <c r="B6" s="54">
        <f>IF(計算用!$V$4="","",IF(計算用!$B$1=1,INDEX(計算用!$F$3:$F$452,計算用!$V$4),INDEX(振り分け!$B$7:$B$456,計算用!$V$4)))</f>
        <v/>
      </c>
      <c r="C6" s="54">
        <f>IF(計算用!$V$4="","",IF(計算用!$B$1=1,INDEX(計算用!$G$3:$G$452,計算用!$V$4),INDEX(振り分け!$C$7:$C$456,計算用!$V$4)))</f>
        <v/>
      </c>
      <c r="D6" s="59">
        <f>IF(計算用!$V$4="","",IF(計算用!$B$1=1,INDEX(計算用!$H$3:$H$452,計算用!$V$4),INDEX(振り分け!$D$7:$D$456,計算用!$V$4)))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IF(計算用!$V$5="","",3)</f>
        <v/>
      </c>
      <c r="B7" s="54">
        <f>IF(計算用!$V$5="","",IF(計算用!$B$1=1,INDEX(計算用!$F$3:$F$452,計算用!$V$5),INDEX(振り分け!$B$7:$B$456,計算用!$V$5)))</f>
        <v/>
      </c>
      <c r="C7" s="54">
        <f>IF(計算用!$V$5="","",IF(計算用!$B$1=1,INDEX(計算用!$G$3:$G$452,計算用!$V$5),INDEX(振り分け!$C$7:$C$456,計算用!$V$5)))</f>
        <v/>
      </c>
      <c r="D7" s="59">
        <f>IF(計算用!$V$5="","",IF(計算用!$B$1=1,INDEX(計算用!$H$3:$H$452,計算用!$V$5),INDEX(振り分け!$D$7:$D$456,計算用!$V$5)))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IF(計算用!$V$6="","",4)</f>
        <v/>
      </c>
      <c r="B8" s="54">
        <f>IF(計算用!$V$6="","",IF(計算用!$B$1=1,INDEX(計算用!$F$3:$F$452,計算用!$V$6),INDEX(振り分け!$B$7:$B$456,計算用!$V$6)))</f>
        <v/>
      </c>
      <c r="C8" s="54">
        <f>IF(計算用!$V$6="","",IF(計算用!$B$1=1,INDEX(計算用!$G$3:$G$452,計算用!$V$6),INDEX(振り分け!$C$7:$C$456,計算用!$V$6)))</f>
        <v/>
      </c>
      <c r="D8" s="59">
        <f>IF(計算用!$V$6="","",IF(計算用!$B$1=1,INDEX(計算用!$H$3:$H$452,計算用!$V$6),INDEX(振り分け!$D$7:$D$456,計算用!$V$6)))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IF(計算用!$V$7="","",5)</f>
        <v/>
      </c>
      <c r="B9" s="54">
        <f>IF(計算用!$V$7="","",IF(計算用!$B$1=1,INDEX(計算用!$F$3:$F$452,計算用!$V$7),INDEX(振り分け!$B$7:$B$456,計算用!$V$7)))</f>
        <v/>
      </c>
      <c r="C9" s="54">
        <f>IF(計算用!$V$7="","",IF(計算用!$B$1=1,INDEX(計算用!$G$3:$G$452,計算用!$V$7),INDEX(振り分け!$C$7:$C$456,計算用!$V$7)))</f>
        <v/>
      </c>
      <c r="D9" s="59">
        <f>IF(計算用!$V$7="","",IF(計算用!$B$1=1,INDEX(計算用!$H$3:$H$452,計算用!$V$7),INDEX(振り分け!$D$7:$D$456,計算用!$V$7)))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IF(計算用!$V$8="","",6)</f>
        <v/>
      </c>
      <c r="B10" s="54">
        <f>IF(計算用!$V$8="","",IF(計算用!$B$1=1,INDEX(計算用!$F$3:$F$452,計算用!$V$8),INDEX(振り分け!$B$7:$B$456,計算用!$V$8)))</f>
        <v/>
      </c>
      <c r="C10" s="54">
        <f>IF(計算用!$V$8="","",IF(計算用!$B$1=1,INDEX(計算用!$G$3:$G$452,計算用!$V$8),INDEX(振り分け!$C$7:$C$456,計算用!$V$8)))</f>
        <v/>
      </c>
      <c r="D10" s="59">
        <f>IF(計算用!$V$8="","",IF(計算用!$B$1=1,INDEX(計算用!$H$3:$H$452,計算用!$V$8),INDEX(振り分け!$D$7:$D$456,計算用!$V$8)))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IF(計算用!$V$9="","",7)</f>
        <v/>
      </c>
      <c r="B11" s="54">
        <f>IF(計算用!$V$9="","",IF(計算用!$B$1=1,INDEX(計算用!$F$3:$F$452,計算用!$V$9),INDEX(振り分け!$B$7:$B$456,計算用!$V$9)))</f>
        <v/>
      </c>
      <c r="C11" s="54">
        <f>IF(計算用!$V$9="","",IF(計算用!$B$1=1,INDEX(計算用!$G$3:$G$452,計算用!$V$9),INDEX(振り分け!$C$7:$C$456,計算用!$V$9)))</f>
        <v/>
      </c>
      <c r="D11" s="59">
        <f>IF(計算用!$V$9="","",IF(計算用!$B$1=1,INDEX(計算用!$H$3:$H$452,計算用!$V$9),INDEX(振り分け!$D$7:$D$456,計算用!$V$9)))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IF(計算用!$V$10="","",8)</f>
        <v/>
      </c>
      <c r="B12" s="54">
        <f>IF(計算用!$V$10="","",IF(計算用!$B$1=1,INDEX(計算用!$F$3:$F$452,計算用!$V$10),INDEX(振り分け!$B$7:$B$456,計算用!$V$10)))</f>
        <v/>
      </c>
      <c r="C12" s="54">
        <f>IF(計算用!$V$10="","",IF(計算用!$B$1=1,INDEX(計算用!$G$3:$G$452,計算用!$V$10),INDEX(振り分け!$C$7:$C$456,計算用!$V$10)))</f>
        <v/>
      </c>
      <c r="D12" s="59">
        <f>IF(計算用!$V$10="","",IF(計算用!$B$1=1,INDEX(計算用!$H$3:$H$452,計算用!$V$10),INDEX(振り分け!$D$7:$D$456,計算用!$V$10)))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IF(計算用!$V$11="","",9)</f>
        <v/>
      </c>
      <c r="B13" s="54">
        <f>IF(計算用!$V$11="","",IF(計算用!$B$1=1,INDEX(計算用!$F$3:$F$452,計算用!$V$11),INDEX(振り分け!$B$7:$B$456,計算用!$V$11)))</f>
        <v/>
      </c>
      <c r="C13" s="54">
        <f>IF(計算用!$V$11="","",IF(計算用!$B$1=1,INDEX(計算用!$G$3:$G$452,計算用!$V$11),INDEX(振り分け!$C$7:$C$456,計算用!$V$11)))</f>
        <v/>
      </c>
      <c r="D13" s="59">
        <f>IF(計算用!$V$11="","",IF(計算用!$B$1=1,INDEX(計算用!$H$3:$H$452,計算用!$V$11),INDEX(振り分け!$D$7:$D$456,計算用!$V$11)))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IF(計算用!$V$12="","",10)</f>
        <v/>
      </c>
      <c r="B14" s="54">
        <f>IF(計算用!$V$12="","",IF(計算用!$B$1=1,INDEX(計算用!$F$3:$F$452,計算用!$V$12),INDEX(振り分け!$B$7:$B$456,計算用!$V$12)))</f>
        <v/>
      </c>
      <c r="C14" s="54">
        <f>IF(計算用!$V$12="","",IF(計算用!$B$1=1,INDEX(計算用!$G$3:$G$452,計算用!$V$12),INDEX(振り分け!$C$7:$C$456,計算用!$V$12)))</f>
        <v/>
      </c>
      <c r="D14" s="59">
        <f>IF(計算用!$V$12="","",IF(計算用!$B$1=1,INDEX(計算用!$H$3:$H$452,計算用!$V$12),INDEX(振り分け!$D$7:$D$456,計算用!$V$12)))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IF(計算用!$V$13="","",11)</f>
        <v/>
      </c>
      <c r="B15" s="54">
        <f>IF(計算用!$V$13="","",IF(計算用!$B$1=1,INDEX(計算用!$F$3:$F$452,計算用!$V$13),INDEX(振り分け!$B$7:$B$456,計算用!$V$13)))</f>
        <v/>
      </c>
      <c r="C15" s="54">
        <f>IF(計算用!$V$13="","",IF(計算用!$B$1=1,INDEX(計算用!$G$3:$G$452,計算用!$V$13),INDEX(振り分け!$C$7:$C$456,計算用!$V$13)))</f>
        <v/>
      </c>
      <c r="D15" s="59">
        <f>IF(計算用!$V$13="","",IF(計算用!$B$1=1,INDEX(計算用!$H$3:$H$452,計算用!$V$13),INDEX(振り分け!$D$7:$D$456,計算用!$V$13)))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IF(計算用!$V$14="","",12)</f>
        <v/>
      </c>
      <c r="B16" s="54">
        <f>IF(計算用!$V$14="","",IF(計算用!$B$1=1,INDEX(計算用!$F$3:$F$452,計算用!$V$14),INDEX(振り分け!$B$7:$B$456,計算用!$V$14)))</f>
        <v/>
      </c>
      <c r="C16" s="54">
        <f>IF(計算用!$V$14="","",IF(計算用!$B$1=1,INDEX(計算用!$G$3:$G$452,計算用!$V$14),INDEX(振り分け!$C$7:$C$456,計算用!$V$14)))</f>
        <v/>
      </c>
      <c r="D16" s="59">
        <f>IF(計算用!$V$14="","",IF(計算用!$B$1=1,INDEX(計算用!$H$3:$H$452,計算用!$V$14),INDEX(振り分け!$D$7:$D$456,計算用!$V$14)))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IF(計算用!$V$15="","",13)</f>
        <v/>
      </c>
      <c r="B17" s="54">
        <f>IF(計算用!$V$15="","",IF(計算用!$B$1=1,INDEX(計算用!$F$3:$F$452,計算用!$V$15),INDEX(振り分け!$B$7:$B$456,計算用!$V$15)))</f>
        <v/>
      </c>
      <c r="C17" s="54">
        <f>IF(計算用!$V$15="","",IF(計算用!$B$1=1,INDEX(計算用!$G$3:$G$452,計算用!$V$15),INDEX(振り分け!$C$7:$C$456,計算用!$V$15)))</f>
        <v/>
      </c>
      <c r="D17" s="59">
        <f>IF(計算用!$V$15="","",IF(計算用!$B$1=1,INDEX(計算用!$H$3:$H$452,計算用!$V$15),INDEX(振り分け!$D$7:$D$456,計算用!$V$15)))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IF(計算用!$V$16="","",14)</f>
        <v/>
      </c>
      <c r="B18" s="54">
        <f>IF(計算用!$V$16="","",IF(計算用!$B$1=1,INDEX(計算用!$F$3:$F$452,計算用!$V$16),INDEX(振り分け!$B$7:$B$456,計算用!$V$16)))</f>
        <v/>
      </c>
      <c r="C18" s="54">
        <f>IF(計算用!$V$16="","",IF(計算用!$B$1=1,INDEX(計算用!$G$3:$G$452,計算用!$V$16),INDEX(振り分け!$C$7:$C$456,計算用!$V$16)))</f>
        <v/>
      </c>
      <c r="D18" s="59">
        <f>IF(計算用!$V$16="","",IF(計算用!$B$1=1,INDEX(計算用!$H$3:$H$452,計算用!$V$16),INDEX(振り分け!$D$7:$D$456,計算用!$V$16)))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IF(計算用!$V$17="","",15)</f>
        <v/>
      </c>
      <c r="B19" s="54">
        <f>IF(計算用!$V$17="","",IF(計算用!$B$1=1,INDEX(計算用!$F$3:$F$452,計算用!$V$17),INDEX(振り分け!$B$7:$B$456,計算用!$V$17)))</f>
        <v/>
      </c>
      <c r="C19" s="54">
        <f>IF(計算用!$V$17="","",IF(計算用!$B$1=1,INDEX(計算用!$G$3:$G$452,計算用!$V$17),INDEX(振り分け!$C$7:$C$456,計算用!$V$17)))</f>
        <v/>
      </c>
      <c r="D19" s="59">
        <f>IF(計算用!$V$17="","",IF(計算用!$B$1=1,INDEX(計算用!$H$3:$H$452,計算用!$V$17),INDEX(振り分け!$D$7:$D$456,計算用!$V$17)))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IF(計算用!$V$18="","",16)</f>
        <v/>
      </c>
      <c r="B20" s="54">
        <f>IF(計算用!$V$18="","",IF(計算用!$B$1=1,INDEX(計算用!$F$3:$F$452,計算用!$V$18),INDEX(振り分け!$B$7:$B$456,計算用!$V$18)))</f>
        <v/>
      </c>
      <c r="C20" s="54">
        <f>IF(計算用!$V$18="","",IF(計算用!$B$1=1,INDEX(計算用!$G$3:$G$452,計算用!$V$18),INDEX(振り分け!$C$7:$C$456,計算用!$V$18)))</f>
        <v/>
      </c>
      <c r="D20" s="59">
        <f>IF(計算用!$V$18="","",IF(計算用!$B$1=1,INDEX(計算用!$H$3:$H$452,計算用!$V$18),INDEX(振り分け!$D$7:$D$456,計算用!$V$18)))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IF(計算用!$V$19="","",17)</f>
        <v/>
      </c>
      <c r="B21" s="54">
        <f>IF(計算用!$V$19="","",IF(計算用!$B$1=1,INDEX(計算用!$F$3:$F$452,計算用!$V$19),INDEX(振り分け!$B$7:$B$456,計算用!$V$19)))</f>
        <v/>
      </c>
      <c r="C21" s="54">
        <f>IF(計算用!$V$19="","",IF(計算用!$B$1=1,INDEX(計算用!$G$3:$G$452,計算用!$V$19),INDEX(振り分け!$C$7:$C$456,計算用!$V$19)))</f>
        <v/>
      </c>
      <c r="D21" s="59">
        <f>IF(計算用!$V$19="","",IF(計算用!$B$1=1,INDEX(計算用!$H$3:$H$452,計算用!$V$19),INDEX(振り分け!$D$7:$D$456,計算用!$V$19)))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IF(計算用!$V$20="","",18)</f>
        <v/>
      </c>
      <c r="B22" s="54">
        <f>IF(計算用!$V$20="","",IF(計算用!$B$1=1,INDEX(計算用!$F$3:$F$452,計算用!$V$20),INDEX(振り分け!$B$7:$B$456,計算用!$V$20)))</f>
        <v/>
      </c>
      <c r="C22" s="54">
        <f>IF(計算用!$V$20="","",IF(計算用!$B$1=1,INDEX(計算用!$G$3:$G$452,計算用!$V$20),INDEX(振り分け!$C$7:$C$456,計算用!$V$20)))</f>
        <v/>
      </c>
      <c r="D22" s="59">
        <f>IF(計算用!$V$20="","",IF(計算用!$B$1=1,INDEX(計算用!$H$3:$H$452,計算用!$V$20),INDEX(振り分け!$D$7:$D$456,計算用!$V$20)))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IF(計算用!$V$21="","",19)</f>
        <v/>
      </c>
      <c r="B23" s="54">
        <f>IF(計算用!$V$21="","",IF(計算用!$B$1=1,INDEX(計算用!$F$3:$F$452,計算用!$V$21),INDEX(振り分け!$B$7:$B$456,計算用!$V$21)))</f>
        <v/>
      </c>
      <c r="C23" s="54">
        <f>IF(計算用!$V$21="","",IF(計算用!$B$1=1,INDEX(計算用!$G$3:$G$452,計算用!$V$21),INDEX(振り分け!$C$7:$C$456,計算用!$V$21)))</f>
        <v/>
      </c>
      <c r="D23" s="59">
        <f>IF(計算用!$V$21="","",IF(計算用!$B$1=1,INDEX(計算用!$H$3:$H$452,計算用!$V$21),INDEX(振り分け!$D$7:$D$456,計算用!$V$21)))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IF(計算用!$V$22="","",20)</f>
        <v/>
      </c>
      <c r="B24" s="54">
        <f>IF(計算用!$V$22="","",IF(計算用!$B$1=1,INDEX(計算用!$F$3:$F$452,計算用!$V$22),INDEX(振り分け!$B$7:$B$456,計算用!$V$22)))</f>
        <v/>
      </c>
      <c r="C24" s="54">
        <f>IF(計算用!$V$22="","",IF(計算用!$B$1=1,INDEX(計算用!$G$3:$G$452,計算用!$V$22),INDEX(振り分け!$C$7:$C$456,計算用!$V$22)))</f>
        <v/>
      </c>
      <c r="D24" s="59">
        <f>IF(計算用!$V$22="","",IF(計算用!$B$1=1,INDEX(計算用!$H$3:$H$452,計算用!$V$22),INDEX(振り分け!$D$7:$D$456,計算用!$V$22)))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IF(計算用!$V$23="","",21)</f>
        <v/>
      </c>
      <c r="B25" s="54">
        <f>IF(計算用!$V$23="","",IF(計算用!$B$1=1,INDEX(計算用!$F$3:$F$452,計算用!$V$23),INDEX(振り分け!$B$7:$B$456,計算用!$V$23)))</f>
        <v/>
      </c>
      <c r="C25" s="54">
        <f>IF(計算用!$V$23="","",IF(計算用!$B$1=1,INDEX(計算用!$G$3:$G$452,計算用!$V$23),INDEX(振り分け!$C$7:$C$456,計算用!$V$23)))</f>
        <v/>
      </c>
      <c r="D25" s="59">
        <f>IF(計算用!$V$23="","",IF(計算用!$B$1=1,INDEX(計算用!$H$3:$H$452,計算用!$V$23),INDEX(振り分け!$D$7:$D$456,計算用!$V$23)))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IF(計算用!$V$24="","",22)</f>
        <v/>
      </c>
      <c r="B26" s="54">
        <f>IF(計算用!$V$24="","",IF(計算用!$B$1=1,INDEX(計算用!$F$3:$F$452,計算用!$V$24),INDEX(振り分け!$B$7:$B$456,計算用!$V$24)))</f>
        <v/>
      </c>
      <c r="C26" s="54">
        <f>IF(計算用!$V$24="","",IF(計算用!$B$1=1,INDEX(計算用!$G$3:$G$452,計算用!$V$24),INDEX(振り分け!$C$7:$C$456,計算用!$V$24)))</f>
        <v/>
      </c>
      <c r="D26" s="59">
        <f>IF(計算用!$V$24="","",IF(計算用!$B$1=1,INDEX(計算用!$H$3:$H$452,計算用!$V$24),INDEX(振り分け!$D$7:$D$456,計算用!$V$24)))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IF(計算用!$V$25="","",23)</f>
        <v/>
      </c>
      <c r="B27" s="54">
        <f>IF(計算用!$V$25="","",IF(計算用!$B$1=1,INDEX(計算用!$F$3:$F$452,計算用!$V$25),INDEX(振り分け!$B$7:$B$456,計算用!$V$25)))</f>
        <v/>
      </c>
      <c r="C27" s="54">
        <f>IF(計算用!$V$25="","",IF(計算用!$B$1=1,INDEX(計算用!$G$3:$G$452,計算用!$V$25),INDEX(振り分け!$C$7:$C$456,計算用!$V$25)))</f>
        <v/>
      </c>
      <c r="D27" s="59">
        <f>IF(計算用!$V$25="","",IF(計算用!$B$1=1,INDEX(計算用!$H$3:$H$452,計算用!$V$25),INDEX(振り分け!$D$7:$D$456,計算用!$V$25)))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IF(計算用!$V$26="","",24)</f>
        <v/>
      </c>
      <c r="B28" s="54">
        <f>IF(計算用!$V$26="","",IF(計算用!$B$1=1,INDEX(計算用!$F$3:$F$452,計算用!$V$26),INDEX(振り分け!$B$7:$B$456,計算用!$V$26)))</f>
        <v/>
      </c>
      <c r="C28" s="54">
        <f>IF(計算用!$V$26="","",IF(計算用!$B$1=1,INDEX(計算用!$G$3:$G$452,計算用!$V$26),INDEX(振り分け!$C$7:$C$456,計算用!$V$26)))</f>
        <v/>
      </c>
      <c r="D28" s="59">
        <f>IF(計算用!$V$26="","",IF(計算用!$B$1=1,INDEX(計算用!$H$3:$H$452,計算用!$V$26),INDEX(振り分け!$D$7:$D$456,計算用!$V$26)))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IF(計算用!$V$27="","",25)</f>
        <v/>
      </c>
      <c r="B29" s="54">
        <f>IF(計算用!$V$27="","",IF(計算用!$B$1=1,INDEX(計算用!$F$3:$F$452,計算用!$V$27),INDEX(振り分け!$B$7:$B$456,計算用!$V$27)))</f>
        <v/>
      </c>
      <c r="C29" s="54">
        <f>IF(計算用!$V$27="","",IF(計算用!$B$1=1,INDEX(計算用!$G$3:$G$452,計算用!$V$27),INDEX(振り分け!$C$7:$C$456,計算用!$V$27)))</f>
        <v/>
      </c>
      <c r="D29" s="59">
        <f>IF(計算用!$V$27="","",IF(計算用!$B$1=1,INDEX(計算用!$H$3:$H$452,計算用!$V$27),INDEX(振り分け!$D$7:$D$456,計算用!$V$27)))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IF(計算用!$V$28="","",26)</f>
        <v/>
      </c>
      <c r="B30" s="54">
        <f>IF(計算用!$V$28="","",IF(計算用!$B$1=1,INDEX(計算用!$F$3:$F$452,計算用!$V$28),INDEX(振り分け!$B$7:$B$456,計算用!$V$28)))</f>
        <v/>
      </c>
      <c r="C30" s="54">
        <f>IF(計算用!$V$28="","",IF(計算用!$B$1=1,INDEX(計算用!$G$3:$G$452,計算用!$V$28),INDEX(振り分け!$C$7:$C$456,計算用!$V$28)))</f>
        <v/>
      </c>
      <c r="D30" s="59">
        <f>IF(計算用!$V$28="","",IF(計算用!$B$1=1,INDEX(計算用!$H$3:$H$452,計算用!$V$28),INDEX(振り分け!$D$7:$D$456,計算用!$V$28)))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IF(計算用!$V$29="","",27)</f>
        <v/>
      </c>
      <c r="B31" s="54">
        <f>IF(計算用!$V$29="","",IF(計算用!$B$1=1,INDEX(計算用!$F$3:$F$452,計算用!$V$29),INDEX(振り分け!$B$7:$B$456,計算用!$V$29)))</f>
        <v/>
      </c>
      <c r="C31" s="54">
        <f>IF(計算用!$V$29="","",IF(計算用!$B$1=1,INDEX(計算用!$G$3:$G$452,計算用!$V$29),INDEX(振り分け!$C$7:$C$456,計算用!$V$29)))</f>
        <v/>
      </c>
      <c r="D31" s="59">
        <f>IF(計算用!$V$29="","",IF(計算用!$B$1=1,INDEX(計算用!$H$3:$H$452,計算用!$V$29),INDEX(振り分け!$D$7:$D$456,計算用!$V$29)))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IF(計算用!$V$30="","",28)</f>
        <v/>
      </c>
      <c r="B32" s="54">
        <f>IF(計算用!$V$30="","",IF(計算用!$B$1=1,INDEX(計算用!$F$3:$F$452,計算用!$V$30),INDEX(振り分け!$B$7:$B$456,計算用!$V$30)))</f>
        <v/>
      </c>
      <c r="C32" s="54">
        <f>IF(計算用!$V$30="","",IF(計算用!$B$1=1,INDEX(計算用!$G$3:$G$452,計算用!$V$30),INDEX(振り分け!$C$7:$C$456,計算用!$V$30)))</f>
        <v/>
      </c>
      <c r="D32" s="59">
        <f>IF(計算用!$V$30="","",IF(計算用!$B$1=1,INDEX(計算用!$H$3:$H$452,計算用!$V$30),INDEX(振り分け!$D$7:$D$456,計算用!$V$30)))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IF(計算用!$V$31="","",29)</f>
        <v/>
      </c>
      <c r="B33" s="54">
        <f>IF(計算用!$V$31="","",IF(計算用!$B$1=1,INDEX(計算用!$F$3:$F$452,計算用!$V$31),INDEX(振り分け!$B$7:$B$456,計算用!$V$31)))</f>
        <v/>
      </c>
      <c r="C33" s="54">
        <f>IF(計算用!$V$31="","",IF(計算用!$B$1=1,INDEX(計算用!$G$3:$G$452,計算用!$V$31),INDEX(振り分け!$C$7:$C$456,計算用!$V$31)))</f>
        <v/>
      </c>
      <c r="D33" s="59">
        <f>IF(計算用!$V$31="","",IF(計算用!$B$1=1,INDEX(計算用!$H$3:$H$452,計算用!$V$31),INDEX(振り分け!$D$7:$D$456,計算用!$V$31)))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IF(計算用!$V$32="","",30)</f>
        <v/>
      </c>
      <c r="B34" s="54">
        <f>IF(計算用!$V$32="","",IF(計算用!$B$1=1,INDEX(計算用!$F$3:$F$452,計算用!$V$32),INDEX(振り分け!$B$7:$B$456,計算用!$V$32)))</f>
        <v/>
      </c>
      <c r="C34" s="54">
        <f>IF(計算用!$V$32="","",IF(計算用!$B$1=1,INDEX(計算用!$G$3:$G$452,計算用!$V$32),INDEX(振り分け!$C$7:$C$456,計算用!$V$32)))</f>
        <v/>
      </c>
      <c r="D34" s="59">
        <f>IF(計算用!$V$32="","",IF(計算用!$B$1=1,INDEX(計算用!$H$3:$H$452,計算用!$V$32),INDEX(振り分け!$D$7:$D$456,計算用!$V$32)))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IF(計算用!$V$33="","",31)</f>
        <v/>
      </c>
      <c r="B35" s="54">
        <f>IF(計算用!$V$33="","",IF(計算用!$B$1=1,INDEX(計算用!$F$3:$F$452,計算用!$V$33),INDEX(振り分け!$B$7:$B$456,計算用!$V$33)))</f>
        <v/>
      </c>
      <c r="C35" s="54">
        <f>IF(計算用!$V$33="","",IF(計算用!$B$1=1,INDEX(計算用!$G$3:$G$452,計算用!$V$33),INDEX(振り分け!$C$7:$C$456,計算用!$V$33)))</f>
        <v/>
      </c>
      <c r="D35" s="59">
        <f>IF(計算用!$V$33="","",IF(計算用!$B$1=1,INDEX(計算用!$H$3:$H$452,計算用!$V$33),INDEX(振り分け!$D$7:$D$456,計算用!$V$33)))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IF(計算用!$V$34="","",32)</f>
        <v/>
      </c>
      <c r="B36" s="54">
        <f>IF(計算用!$V$34="","",IF(計算用!$B$1=1,INDEX(計算用!$F$3:$F$452,計算用!$V$34),INDEX(振り分け!$B$7:$B$456,計算用!$V$34)))</f>
        <v/>
      </c>
      <c r="C36" s="54">
        <f>IF(計算用!$V$34="","",IF(計算用!$B$1=1,INDEX(計算用!$G$3:$G$452,計算用!$V$34),INDEX(振り分け!$C$7:$C$456,計算用!$V$34)))</f>
        <v/>
      </c>
      <c r="D36" s="59">
        <f>IF(計算用!$V$34="","",IF(計算用!$B$1=1,INDEX(計算用!$H$3:$H$452,計算用!$V$34),INDEX(振り分け!$D$7:$D$456,計算用!$V$34)))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IF(計算用!$V$35="","",33)</f>
        <v/>
      </c>
      <c r="B37" s="54">
        <f>IF(計算用!$V$35="","",IF(計算用!$B$1=1,INDEX(計算用!$F$3:$F$452,計算用!$V$35),INDEX(振り分け!$B$7:$B$456,計算用!$V$35)))</f>
        <v/>
      </c>
      <c r="C37" s="54">
        <f>IF(計算用!$V$35="","",IF(計算用!$B$1=1,INDEX(計算用!$G$3:$G$452,計算用!$V$35),INDEX(振り分け!$C$7:$C$456,計算用!$V$35)))</f>
        <v/>
      </c>
      <c r="D37" s="59">
        <f>IF(計算用!$V$35="","",IF(計算用!$B$1=1,INDEX(計算用!$H$3:$H$452,計算用!$V$35),INDEX(振り分け!$D$7:$D$456,計算用!$V$35)))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IF(計算用!$V$36="","",34)</f>
        <v/>
      </c>
      <c r="B38" s="54">
        <f>IF(計算用!$V$36="","",IF(計算用!$B$1=1,INDEX(計算用!$F$3:$F$452,計算用!$V$36),INDEX(振り分け!$B$7:$B$456,計算用!$V$36)))</f>
        <v/>
      </c>
      <c r="C38" s="54">
        <f>IF(計算用!$V$36="","",IF(計算用!$B$1=1,INDEX(計算用!$G$3:$G$452,計算用!$V$36),INDEX(振り分け!$C$7:$C$456,計算用!$V$36)))</f>
        <v/>
      </c>
      <c r="D38" s="59">
        <f>IF(計算用!$V$36="","",IF(計算用!$B$1=1,INDEX(計算用!$H$3:$H$452,計算用!$V$36),INDEX(振り分け!$D$7:$D$456,計算用!$V$36)))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IF(計算用!$V$37="","",35)</f>
        <v/>
      </c>
      <c r="B39" s="54">
        <f>IF(計算用!$V$37="","",IF(計算用!$B$1=1,INDEX(計算用!$F$3:$F$452,計算用!$V$37),INDEX(振り分け!$B$7:$B$456,計算用!$V$37)))</f>
        <v/>
      </c>
      <c r="C39" s="54">
        <f>IF(計算用!$V$37="","",IF(計算用!$B$1=1,INDEX(計算用!$G$3:$G$452,計算用!$V$37),INDEX(振り分け!$C$7:$C$456,計算用!$V$37)))</f>
        <v/>
      </c>
      <c r="D39" s="59">
        <f>IF(計算用!$V$37="","",IF(計算用!$B$1=1,INDEX(計算用!$H$3:$H$452,計算用!$V$37),INDEX(振り分け!$D$7:$D$456,計算用!$V$37)))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IF(計算用!$V$38="","",36)</f>
        <v/>
      </c>
      <c r="B40" s="54">
        <f>IF(計算用!$V$38="","",IF(計算用!$B$1=1,INDEX(計算用!$F$3:$F$452,計算用!$V$38),INDEX(振り分け!$B$7:$B$456,計算用!$V$38)))</f>
        <v/>
      </c>
      <c r="C40" s="54">
        <f>IF(計算用!$V$38="","",IF(計算用!$B$1=1,INDEX(計算用!$G$3:$G$452,計算用!$V$38),INDEX(振り分け!$C$7:$C$456,計算用!$V$38)))</f>
        <v/>
      </c>
      <c r="D40" s="59">
        <f>IF(計算用!$V$38="","",IF(計算用!$B$1=1,INDEX(計算用!$H$3:$H$452,計算用!$V$38),INDEX(振り分け!$D$7:$D$456,計算用!$V$38)))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IF(計算用!$V$39="","",37)</f>
        <v/>
      </c>
      <c r="B41" s="54">
        <f>IF(計算用!$V$39="","",IF(計算用!$B$1=1,INDEX(計算用!$F$3:$F$452,計算用!$V$39),INDEX(振り分け!$B$7:$B$456,計算用!$V$39)))</f>
        <v/>
      </c>
      <c r="C41" s="54">
        <f>IF(計算用!$V$39="","",IF(計算用!$B$1=1,INDEX(計算用!$G$3:$G$452,計算用!$V$39),INDEX(振り分け!$C$7:$C$456,計算用!$V$39)))</f>
        <v/>
      </c>
      <c r="D41" s="59">
        <f>IF(計算用!$V$39="","",IF(計算用!$B$1=1,INDEX(計算用!$H$3:$H$452,計算用!$V$39),INDEX(振り分け!$D$7:$D$456,計算用!$V$39)))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IF(計算用!$V$40="","",38)</f>
        <v/>
      </c>
      <c r="B42" s="54">
        <f>IF(計算用!$V$40="","",IF(計算用!$B$1=1,INDEX(計算用!$F$3:$F$452,計算用!$V$40),INDEX(振り分け!$B$7:$B$456,計算用!$V$40)))</f>
        <v/>
      </c>
      <c r="C42" s="54">
        <f>IF(計算用!$V$40="","",IF(計算用!$B$1=1,INDEX(計算用!$G$3:$G$452,計算用!$V$40),INDEX(振り分け!$C$7:$C$456,計算用!$V$40)))</f>
        <v/>
      </c>
      <c r="D42" s="59">
        <f>IF(計算用!$V$40="","",IF(計算用!$B$1=1,INDEX(計算用!$H$3:$H$452,計算用!$V$40),INDEX(振り分け!$D$7:$D$456,計算用!$V$40)))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IF(計算用!$V$41="","",39)</f>
        <v/>
      </c>
      <c r="B43" s="54">
        <f>IF(計算用!$V$41="","",IF(計算用!$B$1=1,INDEX(計算用!$F$3:$F$452,計算用!$V$41),INDEX(振り分け!$B$7:$B$456,計算用!$V$41)))</f>
        <v/>
      </c>
      <c r="C43" s="54">
        <f>IF(計算用!$V$41="","",IF(計算用!$B$1=1,INDEX(計算用!$G$3:$G$452,計算用!$V$41),INDEX(振り分け!$C$7:$C$456,計算用!$V$41)))</f>
        <v/>
      </c>
      <c r="D43" s="59">
        <f>IF(計算用!$V$41="","",IF(計算用!$B$1=1,INDEX(計算用!$H$3:$H$452,計算用!$V$41),INDEX(振り分け!$D$7:$D$456,計算用!$V$41)))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IF(計算用!$V$42="","",40)</f>
        <v/>
      </c>
      <c r="B44" s="54">
        <f>IF(計算用!$V$42="","",IF(計算用!$B$1=1,INDEX(計算用!$F$3:$F$452,計算用!$V$42),INDEX(振り分け!$B$7:$B$456,計算用!$V$42)))</f>
        <v/>
      </c>
      <c r="C44" s="54">
        <f>IF(計算用!$V$42="","",IF(計算用!$B$1=1,INDEX(計算用!$G$3:$G$452,計算用!$V$42),INDEX(振り分け!$C$7:$C$456,計算用!$V$42)))</f>
        <v/>
      </c>
      <c r="D44" s="59">
        <f>IF(計算用!$V$42="","",IF(計算用!$B$1=1,INDEX(計算用!$H$3:$H$452,計算用!$V$42),INDEX(振り分け!$D$7:$D$456,計算用!$V$42)))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IF(計算用!$V$43="","",41)</f>
        <v/>
      </c>
      <c r="B45" s="54">
        <f>IF(計算用!$V$43="","",IF(計算用!$B$1=1,INDEX(計算用!$F$3:$F$452,計算用!$V$43),INDEX(振り分け!$B$7:$B$456,計算用!$V$43)))</f>
        <v/>
      </c>
      <c r="C45" s="54">
        <f>IF(計算用!$V$43="","",IF(計算用!$B$1=1,INDEX(計算用!$G$3:$G$452,計算用!$V$43),INDEX(振り分け!$C$7:$C$456,計算用!$V$43)))</f>
        <v/>
      </c>
      <c r="D45" s="59">
        <f>IF(計算用!$V$43="","",IF(計算用!$B$1=1,INDEX(計算用!$H$3:$H$452,計算用!$V$43),INDEX(振り分け!$D$7:$D$456,計算用!$V$43)))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IF(計算用!$V$44="","",42)</f>
        <v/>
      </c>
      <c r="B46" s="54">
        <f>IF(計算用!$V$44="","",IF(計算用!$B$1=1,INDEX(計算用!$F$3:$F$452,計算用!$V$44),INDEX(振り分け!$B$7:$B$456,計算用!$V$44)))</f>
        <v/>
      </c>
      <c r="C46" s="54">
        <f>IF(計算用!$V$44="","",IF(計算用!$B$1=1,INDEX(計算用!$G$3:$G$452,計算用!$V$44),INDEX(振り分け!$C$7:$C$456,計算用!$V$44)))</f>
        <v/>
      </c>
      <c r="D46" s="59">
        <f>IF(計算用!$V$44="","",IF(計算用!$B$1=1,INDEX(計算用!$H$3:$H$452,計算用!$V$44),INDEX(振り分け!$D$7:$D$456,計算用!$V$44)))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IF(計算用!$V$45="","",43)</f>
        <v/>
      </c>
      <c r="B47" s="54">
        <f>IF(計算用!$V$45="","",IF(計算用!$B$1=1,INDEX(計算用!$F$3:$F$452,計算用!$V$45),INDEX(振り分け!$B$7:$B$456,計算用!$V$45)))</f>
        <v/>
      </c>
      <c r="C47" s="54">
        <f>IF(計算用!$V$45="","",IF(計算用!$B$1=1,INDEX(計算用!$G$3:$G$452,計算用!$V$45),INDEX(振り分け!$C$7:$C$456,計算用!$V$45)))</f>
        <v/>
      </c>
      <c r="D47" s="59">
        <f>IF(計算用!$V$45="","",IF(計算用!$B$1=1,INDEX(計算用!$H$3:$H$452,計算用!$V$45),INDEX(振り分け!$D$7:$D$456,計算用!$V$45)))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IF(計算用!$V$46="","",44)</f>
        <v/>
      </c>
      <c r="B48" s="54">
        <f>IF(計算用!$V$46="","",IF(計算用!$B$1=1,INDEX(計算用!$F$3:$F$452,計算用!$V$46),INDEX(振り分け!$B$7:$B$456,計算用!$V$46)))</f>
        <v/>
      </c>
      <c r="C48" s="54">
        <f>IF(計算用!$V$46="","",IF(計算用!$B$1=1,INDEX(計算用!$G$3:$G$452,計算用!$V$46),INDEX(振り分け!$C$7:$C$456,計算用!$V$46)))</f>
        <v/>
      </c>
      <c r="D48" s="59">
        <f>IF(計算用!$V$46="","",IF(計算用!$B$1=1,INDEX(計算用!$H$3:$H$452,計算用!$V$46),INDEX(振り分け!$D$7:$D$456,計算用!$V$46)))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IF(計算用!$V$47="","",45)</f>
        <v/>
      </c>
      <c r="B49" s="54">
        <f>IF(計算用!$V$47="","",IF(計算用!$B$1=1,INDEX(計算用!$F$3:$F$452,計算用!$V$47),INDEX(振り分け!$B$7:$B$456,計算用!$V$47)))</f>
        <v/>
      </c>
      <c r="C49" s="54">
        <f>IF(計算用!$V$47="","",IF(計算用!$B$1=1,INDEX(計算用!$G$3:$G$452,計算用!$V$47),INDEX(振り分け!$C$7:$C$456,計算用!$V$47)))</f>
        <v/>
      </c>
      <c r="D49" s="59">
        <f>IF(計算用!$V$47="","",IF(計算用!$B$1=1,INDEX(計算用!$H$3:$H$452,計算用!$V$47),INDEX(振り分け!$D$7:$D$456,計算用!$V$47)))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IF(計算用!$V$48="","",46)</f>
        <v/>
      </c>
      <c r="B50" s="54">
        <f>IF(計算用!$V$48="","",IF(計算用!$B$1=1,INDEX(計算用!$F$3:$F$452,計算用!$V$48),INDEX(振り分け!$B$7:$B$456,計算用!$V$48)))</f>
        <v/>
      </c>
      <c r="C50" s="54">
        <f>IF(計算用!$V$48="","",IF(計算用!$B$1=1,INDEX(計算用!$G$3:$G$452,計算用!$V$48),INDEX(振り分け!$C$7:$C$456,計算用!$V$48)))</f>
        <v/>
      </c>
      <c r="D50" s="59">
        <f>IF(計算用!$V$48="","",IF(計算用!$B$1=1,INDEX(計算用!$H$3:$H$452,計算用!$V$48),INDEX(振り分け!$D$7:$D$456,計算用!$V$48)))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IF(計算用!$V$49="","",47)</f>
        <v/>
      </c>
      <c r="B51" s="54">
        <f>IF(計算用!$V$49="","",IF(計算用!$B$1=1,INDEX(計算用!$F$3:$F$452,計算用!$V$49),INDEX(振り分け!$B$7:$B$456,計算用!$V$49)))</f>
        <v/>
      </c>
      <c r="C51" s="54">
        <f>IF(計算用!$V$49="","",IF(計算用!$B$1=1,INDEX(計算用!$G$3:$G$452,計算用!$V$49),INDEX(振り分け!$C$7:$C$456,計算用!$V$49)))</f>
        <v/>
      </c>
      <c r="D51" s="59">
        <f>IF(計算用!$V$49="","",IF(計算用!$B$1=1,INDEX(計算用!$H$3:$H$452,計算用!$V$49),INDEX(振り分け!$D$7:$D$456,計算用!$V$49)))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IF(計算用!$V$50="","",48)</f>
        <v/>
      </c>
      <c r="B52" s="54">
        <f>IF(計算用!$V$50="","",IF(計算用!$B$1=1,INDEX(計算用!$F$3:$F$452,計算用!$V$50),INDEX(振り分け!$B$7:$B$456,計算用!$V$50)))</f>
        <v/>
      </c>
      <c r="C52" s="54">
        <f>IF(計算用!$V$50="","",IF(計算用!$B$1=1,INDEX(計算用!$G$3:$G$452,計算用!$V$50),INDEX(振り分け!$C$7:$C$456,計算用!$V$50)))</f>
        <v/>
      </c>
      <c r="D52" s="59">
        <f>IF(計算用!$V$50="","",IF(計算用!$B$1=1,INDEX(計算用!$H$3:$H$452,計算用!$V$50),INDEX(振り分け!$D$7:$D$456,計算用!$V$50)))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IF(計算用!$V$51="","",49)</f>
        <v/>
      </c>
      <c r="B53" s="54">
        <f>IF(計算用!$V$51="","",IF(計算用!$B$1=1,INDEX(計算用!$F$3:$F$452,計算用!$V$51),INDEX(振り分け!$B$7:$B$456,計算用!$V$51)))</f>
        <v/>
      </c>
      <c r="C53" s="54">
        <f>IF(計算用!$V$51="","",IF(計算用!$B$1=1,INDEX(計算用!$G$3:$G$452,計算用!$V$51),INDEX(振り分け!$C$7:$C$456,計算用!$V$51)))</f>
        <v/>
      </c>
      <c r="D53" s="59">
        <f>IF(計算用!$V$51="","",IF(計算用!$B$1=1,INDEX(計算用!$H$3:$H$452,計算用!$V$51),INDEX(振り分け!$D$7:$D$456,計算用!$V$51)))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IF(計算用!$V$52="","",50)</f>
        <v/>
      </c>
      <c r="B54" s="54">
        <f>IF(計算用!$V$52="","",IF(計算用!$B$1=1,INDEX(計算用!$F$3:$F$452,計算用!$V$52),INDEX(振り分け!$B$7:$B$456,計算用!$V$52)))</f>
        <v/>
      </c>
      <c r="C54" s="54">
        <f>IF(計算用!$V$52="","",IF(計算用!$B$1=1,INDEX(計算用!$G$3:$G$452,計算用!$V$52),INDEX(振り分け!$C$7:$C$456,計算用!$V$52)))</f>
        <v/>
      </c>
      <c r="D54" s="59">
        <f>IF(計算用!$V$52="","",IF(計算用!$B$1=1,INDEX(計算用!$H$3:$H$452,計算用!$V$52),INDEX(振り分け!$D$7:$D$456,計算用!$V$52)))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IF(設定!$P$21="","",設定!$B$3&amp;"　"&amp;設定!$P$21&amp;設定!$B$4&amp;"名簿"&amp;IF(計算用!$B$1=0,"（仮・前年度の組）",""))</f>
        <v/>
      </c>
    </row>
    <row r="2">
      <c r="A2" s="44">
        <f>IF(設定!$P$21="","","担当："&amp;設定!$S$21&amp;"　　活動場所："&amp;設定!$T$21&amp;"　　人数："&amp;定員チェック!$F$20&amp;"名（"&amp;設定!$B$8&amp;"年"&amp;定員チェック!$G$20&amp;"・"&amp;設定!$B$9&amp;"年"&amp;定員チェック!$H$20&amp;"・"&amp;設定!$B$10&amp;"年"&amp;定員チェック!$I$20&amp;"）")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IF(計算用!$W$3="","",1)</f>
        <v/>
      </c>
      <c r="B5" s="54">
        <f>IF(計算用!$W$3="","",IF(計算用!$B$1=1,INDEX(計算用!$F$3:$F$452,計算用!$W$3),INDEX(振り分け!$B$7:$B$456,計算用!$W$3)))</f>
        <v/>
      </c>
      <c r="C5" s="54">
        <f>IF(計算用!$W$3="","",IF(計算用!$B$1=1,INDEX(計算用!$G$3:$G$452,計算用!$W$3),INDEX(振り分け!$C$7:$C$456,計算用!$W$3)))</f>
        <v/>
      </c>
      <c r="D5" s="59">
        <f>IF(計算用!$W$3="","",IF(計算用!$B$1=1,INDEX(計算用!$H$3:$H$452,計算用!$W$3),INDEX(振り分け!$D$7:$D$456,計算用!$W$3)))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IF(計算用!$W$4="","",2)</f>
        <v/>
      </c>
      <c r="B6" s="54">
        <f>IF(計算用!$W$4="","",IF(計算用!$B$1=1,INDEX(計算用!$F$3:$F$452,計算用!$W$4),INDEX(振り分け!$B$7:$B$456,計算用!$W$4)))</f>
        <v/>
      </c>
      <c r="C6" s="54">
        <f>IF(計算用!$W$4="","",IF(計算用!$B$1=1,INDEX(計算用!$G$3:$G$452,計算用!$W$4),INDEX(振り分け!$C$7:$C$456,計算用!$W$4)))</f>
        <v/>
      </c>
      <c r="D6" s="59">
        <f>IF(計算用!$W$4="","",IF(計算用!$B$1=1,INDEX(計算用!$H$3:$H$452,計算用!$W$4),INDEX(振り分け!$D$7:$D$456,計算用!$W$4)))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IF(計算用!$W$5="","",3)</f>
        <v/>
      </c>
      <c r="B7" s="54">
        <f>IF(計算用!$W$5="","",IF(計算用!$B$1=1,INDEX(計算用!$F$3:$F$452,計算用!$W$5),INDEX(振り分け!$B$7:$B$456,計算用!$W$5)))</f>
        <v/>
      </c>
      <c r="C7" s="54">
        <f>IF(計算用!$W$5="","",IF(計算用!$B$1=1,INDEX(計算用!$G$3:$G$452,計算用!$W$5),INDEX(振り分け!$C$7:$C$456,計算用!$W$5)))</f>
        <v/>
      </c>
      <c r="D7" s="59">
        <f>IF(計算用!$W$5="","",IF(計算用!$B$1=1,INDEX(計算用!$H$3:$H$452,計算用!$W$5),INDEX(振り分け!$D$7:$D$456,計算用!$W$5)))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IF(計算用!$W$6="","",4)</f>
        <v/>
      </c>
      <c r="B8" s="54">
        <f>IF(計算用!$W$6="","",IF(計算用!$B$1=1,INDEX(計算用!$F$3:$F$452,計算用!$W$6),INDEX(振り分け!$B$7:$B$456,計算用!$W$6)))</f>
        <v/>
      </c>
      <c r="C8" s="54">
        <f>IF(計算用!$W$6="","",IF(計算用!$B$1=1,INDEX(計算用!$G$3:$G$452,計算用!$W$6),INDEX(振り分け!$C$7:$C$456,計算用!$W$6)))</f>
        <v/>
      </c>
      <c r="D8" s="59">
        <f>IF(計算用!$W$6="","",IF(計算用!$B$1=1,INDEX(計算用!$H$3:$H$452,計算用!$W$6),INDEX(振り分け!$D$7:$D$456,計算用!$W$6)))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IF(計算用!$W$7="","",5)</f>
        <v/>
      </c>
      <c r="B9" s="54">
        <f>IF(計算用!$W$7="","",IF(計算用!$B$1=1,INDEX(計算用!$F$3:$F$452,計算用!$W$7),INDEX(振り分け!$B$7:$B$456,計算用!$W$7)))</f>
        <v/>
      </c>
      <c r="C9" s="54">
        <f>IF(計算用!$W$7="","",IF(計算用!$B$1=1,INDEX(計算用!$G$3:$G$452,計算用!$W$7),INDEX(振り分け!$C$7:$C$456,計算用!$W$7)))</f>
        <v/>
      </c>
      <c r="D9" s="59">
        <f>IF(計算用!$W$7="","",IF(計算用!$B$1=1,INDEX(計算用!$H$3:$H$452,計算用!$W$7),INDEX(振り分け!$D$7:$D$456,計算用!$W$7)))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IF(計算用!$W$8="","",6)</f>
        <v/>
      </c>
      <c r="B10" s="54">
        <f>IF(計算用!$W$8="","",IF(計算用!$B$1=1,INDEX(計算用!$F$3:$F$452,計算用!$W$8),INDEX(振り分け!$B$7:$B$456,計算用!$W$8)))</f>
        <v/>
      </c>
      <c r="C10" s="54">
        <f>IF(計算用!$W$8="","",IF(計算用!$B$1=1,INDEX(計算用!$G$3:$G$452,計算用!$W$8),INDEX(振り分け!$C$7:$C$456,計算用!$W$8)))</f>
        <v/>
      </c>
      <c r="D10" s="59">
        <f>IF(計算用!$W$8="","",IF(計算用!$B$1=1,INDEX(計算用!$H$3:$H$452,計算用!$W$8),INDEX(振り分け!$D$7:$D$456,計算用!$W$8)))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IF(計算用!$W$9="","",7)</f>
        <v/>
      </c>
      <c r="B11" s="54">
        <f>IF(計算用!$W$9="","",IF(計算用!$B$1=1,INDEX(計算用!$F$3:$F$452,計算用!$W$9),INDEX(振り分け!$B$7:$B$456,計算用!$W$9)))</f>
        <v/>
      </c>
      <c r="C11" s="54">
        <f>IF(計算用!$W$9="","",IF(計算用!$B$1=1,INDEX(計算用!$G$3:$G$452,計算用!$W$9),INDEX(振り分け!$C$7:$C$456,計算用!$W$9)))</f>
        <v/>
      </c>
      <c r="D11" s="59">
        <f>IF(計算用!$W$9="","",IF(計算用!$B$1=1,INDEX(計算用!$H$3:$H$452,計算用!$W$9),INDEX(振り分け!$D$7:$D$456,計算用!$W$9)))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IF(計算用!$W$10="","",8)</f>
        <v/>
      </c>
      <c r="B12" s="54">
        <f>IF(計算用!$W$10="","",IF(計算用!$B$1=1,INDEX(計算用!$F$3:$F$452,計算用!$W$10),INDEX(振り分け!$B$7:$B$456,計算用!$W$10)))</f>
        <v/>
      </c>
      <c r="C12" s="54">
        <f>IF(計算用!$W$10="","",IF(計算用!$B$1=1,INDEX(計算用!$G$3:$G$452,計算用!$W$10),INDEX(振り分け!$C$7:$C$456,計算用!$W$10)))</f>
        <v/>
      </c>
      <c r="D12" s="59">
        <f>IF(計算用!$W$10="","",IF(計算用!$B$1=1,INDEX(計算用!$H$3:$H$452,計算用!$W$10),INDEX(振り分け!$D$7:$D$456,計算用!$W$10)))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IF(計算用!$W$11="","",9)</f>
        <v/>
      </c>
      <c r="B13" s="54">
        <f>IF(計算用!$W$11="","",IF(計算用!$B$1=1,INDEX(計算用!$F$3:$F$452,計算用!$W$11),INDEX(振り分け!$B$7:$B$456,計算用!$W$11)))</f>
        <v/>
      </c>
      <c r="C13" s="54">
        <f>IF(計算用!$W$11="","",IF(計算用!$B$1=1,INDEX(計算用!$G$3:$G$452,計算用!$W$11),INDEX(振り分け!$C$7:$C$456,計算用!$W$11)))</f>
        <v/>
      </c>
      <c r="D13" s="59">
        <f>IF(計算用!$W$11="","",IF(計算用!$B$1=1,INDEX(計算用!$H$3:$H$452,計算用!$W$11),INDEX(振り分け!$D$7:$D$456,計算用!$W$11)))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IF(計算用!$W$12="","",10)</f>
        <v/>
      </c>
      <c r="B14" s="54">
        <f>IF(計算用!$W$12="","",IF(計算用!$B$1=1,INDEX(計算用!$F$3:$F$452,計算用!$W$12),INDEX(振り分け!$B$7:$B$456,計算用!$W$12)))</f>
        <v/>
      </c>
      <c r="C14" s="54">
        <f>IF(計算用!$W$12="","",IF(計算用!$B$1=1,INDEX(計算用!$G$3:$G$452,計算用!$W$12),INDEX(振り分け!$C$7:$C$456,計算用!$W$12)))</f>
        <v/>
      </c>
      <c r="D14" s="59">
        <f>IF(計算用!$W$12="","",IF(計算用!$B$1=1,INDEX(計算用!$H$3:$H$452,計算用!$W$12),INDEX(振り分け!$D$7:$D$456,計算用!$W$12)))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IF(計算用!$W$13="","",11)</f>
        <v/>
      </c>
      <c r="B15" s="54">
        <f>IF(計算用!$W$13="","",IF(計算用!$B$1=1,INDEX(計算用!$F$3:$F$452,計算用!$W$13),INDEX(振り分け!$B$7:$B$456,計算用!$W$13)))</f>
        <v/>
      </c>
      <c r="C15" s="54">
        <f>IF(計算用!$W$13="","",IF(計算用!$B$1=1,INDEX(計算用!$G$3:$G$452,計算用!$W$13),INDEX(振り分け!$C$7:$C$456,計算用!$W$13)))</f>
        <v/>
      </c>
      <c r="D15" s="59">
        <f>IF(計算用!$W$13="","",IF(計算用!$B$1=1,INDEX(計算用!$H$3:$H$452,計算用!$W$13),INDEX(振り分け!$D$7:$D$456,計算用!$W$13)))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IF(計算用!$W$14="","",12)</f>
        <v/>
      </c>
      <c r="B16" s="54">
        <f>IF(計算用!$W$14="","",IF(計算用!$B$1=1,INDEX(計算用!$F$3:$F$452,計算用!$W$14),INDEX(振り分け!$B$7:$B$456,計算用!$W$14)))</f>
        <v/>
      </c>
      <c r="C16" s="54">
        <f>IF(計算用!$W$14="","",IF(計算用!$B$1=1,INDEX(計算用!$G$3:$G$452,計算用!$W$14),INDEX(振り分け!$C$7:$C$456,計算用!$W$14)))</f>
        <v/>
      </c>
      <c r="D16" s="59">
        <f>IF(計算用!$W$14="","",IF(計算用!$B$1=1,INDEX(計算用!$H$3:$H$452,計算用!$W$14),INDEX(振り分け!$D$7:$D$456,計算用!$W$14)))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IF(計算用!$W$15="","",13)</f>
        <v/>
      </c>
      <c r="B17" s="54">
        <f>IF(計算用!$W$15="","",IF(計算用!$B$1=1,INDEX(計算用!$F$3:$F$452,計算用!$W$15),INDEX(振り分け!$B$7:$B$456,計算用!$W$15)))</f>
        <v/>
      </c>
      <c r="C17" s="54">
        <f>IF(計算用!$W$15="","",IF(計算用!$B$1=1,INDEX(計算用!$G$3:$G$452,計算用!$W$15),INDEX(振り分け!$C$7:$C$456,計算用!$W$15)))</f>
        <v/>
      </c>
      <c r="D17" s="59">
        <f>IF(計算用!$W$15="","",IF(計算用!$B$1=1,INDEX(計算用!$H$3:$H$452,計算用!$W$15),INDEX(振り分け!$D$7:$D$456,計算用!$W$15)))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IF(計算用!$W$16="","",14)</f>
        <v/>
      </c>
      <c r="B18" s="54">
        <f>IF(計算用!$W$16="","",IF(計算用!$B$1=1,INDEX(計算用!$F$3:$F$452,計算用!$W$16),INDEX(振り分け!$B$7:$B$456,計算用!$W$16)))</f>
        <v/>
      </c>
      <c r="C18" s="54">
        <f>IF(計算用!$W$16="","",IF(計算用!$B$1=1,INDEX(計算用!$G$3:$G$452,計算用!$W$16),INDEX(振り分け!$C$7:$C$456,計算用!$W$16)))</f>
        <v/>
      </c>
      <c r="D18" s="59">
        <f>IF(計算用!$W$16="","",IF(計算用!$B$1=1,INDEX(計算用!$H$3:$H$452,計算用!$W$16),INDEX(振り分け!$D$7:$D$456,計算用!$W$16)))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IF(計算用!$W$17="","",15)</f>
        <v/>
      </c>
      <c r="B19" s="54">
        <f>IF(計算用!$W$17="","",IF(計算用!$B$1=1,INDEX(計算用!$F$3:$F$452,計算用!$W$17),INDEX(振り分け!$B$7:$B$456,計算用!$W$17)))</f>
        <v/>
      </c>
      <c r="C19" s="54">
        <f>IF(計算用!$W$17="","",IF(計算用!$B$1=1,INDEX(計算用!$G$3:$G$452,計算用!$W$17),INDEX(振り分け!$C$7:$C$456,計算用!$W$17)))</f>
        <v/>
      </c>
      <c r="D19" s="59">
        <f>IF(計算用!$W$17="","",IF(計算用!$B$1=1,INDEX(計算用!$H$3:$H$452,計算用!$W$17),INDEX(振り分け!$D$7:$D$456,計算用!$W$17)))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IF(計算用!$W$18="","",16)</f>
        <v/>
      </c>
      <c r="B20" s="54">
        <f>IF(計算用!$W$18="","",IF(計算用!$B$1=1,INDEX(計算用!$F$3:$F$452,計算用!$W$18),INDEX(振り分け!$B$7:$B$456,計算用!$W$18)))</f>
        <v/>
      </c>
      <c r="C20" s="54">
        <f>IF(計算用!$W$18="","",IF(計算用!$B$1=1,INDEX(計算用!$G$3:$G$452,計算用!$W$18),INDEX(振り分け!$C$7:$C$456,計算用!$W$18)))</f>
        <v/>
      </c>
      <c r="D20" s="59">
        <f>IF(計算用!$W$18="","",IF(計算用!$B$1=1,INDEX(計算用!$H$3:$H$452,計算用!$W$18),INDEX(振り分け!$D$7:$D$456,計算用!$W$18)))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IF(計算用!$W$19="","",17)</f>
        <v/>
      </c>
      <c r="B21" s="54">
        <f>IF(計算用!$W$19="","",IF(計算用!$B$1=1,INDEX(計算用!$F$3:$F$452,計算用!$W$19),INDEX(振り分け!$B$7:$B$456,計算用!$W$19)))</f>
        <v/>
      </c>
      <c r="C21" s="54">
        <f>IF(計算用!$W$19="","",IF(計算用!$B$1=1,INDEX(計算用!$G$3:$G$452,計算用!$W$19),INDEX(振り分け!$C$7:$C$456,計算用!$W$19)))</f>
        <v/>
      </c>
      <c r="D21" s="59">
        <f>IF(計算用!$W$19="","",IF(計算用!$B$1=1,INDEX(計算用!$H$3:$H$452,計算用!$W$19),INDEX(振り分け!$D$7:$D$456,計算用!$W$19)))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IF(計算用!$W$20="","",18)</f>
        <v/>
      </c>
      <c r="B22" s="54">
        <f>IF(計算用!$W$20="","",IF(計算用!$B$1=1,INDEX(計算用!$F$3:$F$452,計算用!$W$20),INDEX(振り分け!$B$7:$B$456,計算用!$W$20)))</f>
        <v/>
      </c>
      <c r="C22" s="54">
        <f>IF(計算用!$W$20="","",IF(計算用!$B$1=1,INDEX(計算用!$G$3:$G$452,計算用!$W$20),INDEX(振り分け!$C$7:$C$456,計算用!$W$20)))</f>
        <v/>
      </c>
      <c r="D22" s="59">
        <f>IF(計算用!$W$20="","",IF(計算用!$B$1=1,INDEX(計算用!$H$3:$H$452,計算用!$W$20),INDEX(振り分け!$D$7:$D$456,計算用!$W$20)))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IF(計算用!$W$21="","",19)</f>
        <v/>
      </c>
      <c r="B23" s="54">
        <f>IF(計算用!$W$21="","",IF(計算用!$B$1=1,INDEX(計算用!$F$3:$F$452,計算用!$W$21),INDEX(振り分け!$B$7:$B$456,計算用!$W$21)))</f>
        <v/>
      </c>
      <c r="C23" s="54">
        <f>IF(計算用!$W$21="","",IF(計算用!$B$1=1,INDEX(計算用!$G$3:$G$452,計算用!$W$21),INDEX(振り分け!$C$7:$C$456,計算用!$W$21)))</f>
        <v/>
      </c>
      <c r="D23" s="59">
        <f>IF(計算用!$W$21="","",IF(計算用!$B$1=1,INDEX(計算用!$H$3:$H$452,計算用!$W$21),INDEX(振り分け!$D$7:$D$456,計算用!$W$21)))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IF(計算用!$W$22="","",20)</f>
        <v/>
      </c>
      <c r="B24" s="54">
        <f>IF(計算用!$W$22="","",IF(計算用!$B$1=1,INDEX(計算用!$F$3:$F$452,計算用!$W$22),INDEX(振り分け!$B$7:$B$456,計算用!$W$22)))</f>
        <v/>
      </c>
      <c r="C24" s="54">
        <f>IF(計算用!$W$22="","",IF(計算用!$B$1=1,INDEX(計算用!$G$3:$G$452,計算用!$W$22),INDEX(振り分け!$C$7:$C$456,計算用!$W$22)))</f>
        <v/>
      </c>
      <c r="D24" s="59">
        <f>IF(計算用!$W$22="","",IF(計算用!$B$1=1,INDEX(計算用!$H$3:$H$452,計算用!$W$22),INDEX(振り分け!$D$7:$D$456,計算用!$W$22)))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IF(計算用!$W$23="","",21)</f>
        <v/>
      </c>
      <c r="B25" s="54">
        <f>IF(計算用!$W$23="","",IF(計算用!$B$1=1,INDEX(計算用!$F$3:$F$452,計算用!$W$23),INDEX(振り分け!$B$7:$B$456,計算用!$W$23)))</f>
        <v/>
      </c>
      <c r="C25" s="54">
        <f>IF(計算用!$W$23="","",IF(計算用!$B$1=1,INDEX(計算用!$G$3:$G$452,計算用!$W$23),INDEX(振り分け!$C$7:$C$456,計算用!$W$23)))</f>
        <v/>
      </c>
      <c r="D25" s="59">
        <f>IF(計算用!$W$23="","",IF(計算用!$B$1=1,INDEX(計算用!$H$3:$H$452,計算用!$W$23),INDEX(振り分け!$D$7:$D$456,計算用!$W$23)))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IF(計算用!$W$24="","",22)</f>
        <v/>
      </c>
      <c r="B26" s="54">
        <f>IF(計算用!$W$24="","",IF(計算用!$B$1=1,INDEX(計算用!$F$3:$F$452,計算用!$W$24),INDEX(振り分け!$B$7:$B$456,計算用!$W$24)))</f>
        <v/>
      </c>
      <c r="C26" s="54">
        <f>IF(計算用!$W$24="","",IF(計算用!$B$1=1,INDEX(計算用!$G$3:$G$452,計算用!$W$24),INDEX(振り分け!$C$7:$C$456,計算用!$W$24)))</f>
        <v/>
      </c>
      <c r="D26" s="59">
        <f>IF(計算用!$W$24="","",IF(計算用!$B$1=1,INDEX(計算用!$H$3:$H$452,計算用!$W$24),INDEX(振り分け!$D$7:$D$456,計算用!$W$24)))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IF(計算用!$W$25="","",23)</f>
        <v/>
      </c>
      <c r="B27" s="54">
        <f>IF(計算用!$W$25="","",IF(計算用!$B$1=1,INDEX(計算用!$F$3:$F$452,計算用!$W$25),INDEX(振り分け!$B$7:$B$456,計算用!$W$25)))</f>
        <v/>
      </c>
      <c r="C27" s="54">
        <f>IF(計算用!$W$25="","",IF(計算用!$B$1=1,INDEX(計算用!$G$3:$G$452,計算用!$W$25),INDEX(振り分け!$C$7:$C$456,計算用!$W$25)))</f>
        <v/>
      </c>
      <c r="D27" s="59">
        <f>IF(計算用!$W$25="","",IF(計算用!$B$1=1,INDEX(計算用!$H$3:$H$452,計算用!$W$25),INDEX(振り分け!$D$7:$D$456,計算用!$W$25)))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IF(計算用!$W$26="","",24)</f>
        <v/>
      </c>
      <c r="B28" s="54">
        <f>IF(計算用!$W$26="","",IF(計算用!$B$1=1,INDEX(計算用!$F$3:$F$452,計算用!$W$26),INDEX(振り分け!$B$7:$B$456,計算用!$W$26)))</f>
        <v/>
      </c>
      <c r="C28" s="54">
        <f>IF(計算用!$W$26="","",IF(計算用!$B$1=1,INDEX(計算用!$G$3:$G$452,計算用!$W$26),INDEX(振り分け!$C$7:$C$456,計算用!$W$26)))</f>
        <v/>
      </c>
      <c r="D28" s="59">
        <f>IF(計算用!$W$26="","",IF(計算用!$B$1=1,INDEX(計算用!$H$3:$H$452,計算用!$W$26),INDEX(振り分け!$D$7:$D$456,計算用!$W$26)))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IF(計算用!$W$27="","",25)</f>
        <v/>
      </c>
      <c r="B29" s="54">
        <f>IF(計算用!$W$27="","",IF(計算用!$B$1=1,INDEX(計算用!$F$3:$F$452,計算用!$W$27),INDEX(振り分け!$B$7:$B$456,計算用!$W$27)))</f>
        <v/>
      </c>
      <c r="C29" s="54">
        <f>IF(計算用!$W$27="","",IF(計算用!$B$1=1,INDEX(計算用!$G$3:$G$452,計算用!$W$27),INDEX(振り分け!$C$7:$C$456,計算用!$W$27)))</f>
        <v/>
      </c>
      <c r="D29" s="59">
        <f>IF(計算用!$W$27="","",IF(計算用!$B$1=1,INDEX(計算用!$H$3:$H$452,計算用!$W$27),INDEX(振り分け!$D$7:$D$456,計算用!$W$27)))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IF(計算用!$W$28="","",26)</f>
        <v/>
      </c>
      <c r="B30" s="54">
        <f>IF(計算用!$W$28="","",IF(計算用!$B$1=1,INDEX(計算用!$F$3:$F$452,計算用!$W$28),INDEX(振り分け!$B$7:$B$456,計算用!$W$28)))</f>
        <v/>
      </c>
      <c r="C30" s="54">
        <f>IF(計算用!$W$28="","",IF(計算用!$B$1=1,INDEX(計算用!$G$3:$G$452,計算用!$W$28),INDEX(振り分け!$C$7:$C$456,計算用!$W$28)))</f>
        <v/>
      </c>
      <c r="D30" s="59">
        <f>IF(計算用!$W$28="","",IF(計算用!$B$1=1,INDEX(計算用!$H$3:$H$452,計算用!$W$28),INDEX(振り分け!$D$7:$D$456,計算用!$W$28)))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IF(計算用!$W$29="","",27)</f>
        <v/>
      </c>
      <c r="B31" s="54">
        <f>IF(計算用!$W$29="","",IF(計算用!$B$1=1,INDEX(計算用!$F$3:$F$452,計算用!$W$29),INDEX(振り分け!$B$7:$B$456,計算用!$W$29)))</f>
        <v/>
      </c>
      <c r="C31" s="54">
        <f>IF(計算用!$W$29="","",IF(計算用!$B$1=1,INDEX(計算用!$G$3:$G$452,計算用!$W$29),INDEX(振り分け!$C$7:$C$456,計算用!$W$29)))</f>
        <v/>
      </c>
      <c r="D31" s="59">
        <f>IF(計算用!$W$29="","",IF(計算用!$B$1=1,INDEX(計算用!$H$3:$H$452,計算用!$W$29),INDEX(振り分け!$D$7:$D$456,計算用!$W$29)))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IF(計算用!$W$30="","",28)</f>
        <v/>
      </c>
      <c r="B32" s="54">
        <f>IF(計算用!$W$30="","",IF(計算用!$B$1=1,INDEX(計算用!$F$3:$F$452,計算用!$W$30),INDEX(振り分け!$B$7:$B$456,計算用!$W$30)))</f>
        <v/>
      </c>
      <c r="C32" s="54">
        <f>IF(計算用!$W$30="","",IF(計算用!$B$1=1,INDEX(計算用!$G$3:$G$452,計算用!$W$30),INDEX(振り分け!$C$7:$C$456,計算用!$W$30)))</f>
        <v/>
      </c>
      <c r="D32" s="59">
        <f>IF(計算用!$W$30="","",IF(計算用!$B$1=1,INDEX(計算用!$H$3:$H$452,計算用!$W$30),INDEX(振り分け!$D$7:$D$456,計算用!$W$30)))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IF(計算用!$W$31="","",29)</f>
        <v/>
      </c>
      <c r="B33" s="54">
        <f>IF(計算用!$W$31="","",IF(計算用!$B$1=1,INDEX(計算用!$F$3:$F$452,計算用!$W$31),INDEX(振り分け!$B$7:$B$456,計算用!$W$31)))</f>
        <v/>
      </c>
      <c r="C33" s="54">
        <f>IF(計算用!$W$31="","",IF(計算用!$B$1=1,INDEX(計算用!$G$3:$G$452,計算用!$W$31),INDEX(振り分け!$C$7:$C$456,計算用!$W$31)))</f>
        <v/>
      </c>
      <c r="D33" s="59">
        <f>IF(計算用!$W$31="","",IF(計算用!$B$1=1,INDEX(計算用!$H$3:$H$452,計算用!$W$31),INDEX(振り分け!$D$7:$D$456,計算用!$W$31)))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IF(計算用!$W$32="","",30)</f>
        <v/>
      </c>
      <c r="B34" s="54">
        <f>IF(計算用!$W$32="","",IF(計算用!$B$1=1,INDEX(計算用!$F$3:$F$452,計算用!$W$32),INDEX(振り分け!$B$7:$B$456,計算用!$W$32)))</f>
        <v/>
      </c>
      <c r="C34" s="54">
        <f>IF(計算用!$W$32="","",IF(計算用!$B$1=1,INDEX(計算用!$G$3:$G$452,計算用!$W$32),INDEX(振り分け!$C$7:$C$456,計算用!$W$32)))</f>
        <v/>
      </c>
      <c r="D34" s="59">
        <f>IF(計算用!$W$32="","",IF(計算用!$B$1=1,INDEX(計算用!$H$3:$H$452,計算用!$W$32),INDEX(振り分け!$D$7:$D$456,計算用!$W$32)))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IF(計算用!$W$33="","",31)</f>
        <v/>
      </c>
      <c r="B35" s="54">
        <f>IF(計算用!$W$33="","",IF(計算用!$B$1=1,INDEX(計算用!$F$3:$F$452,計算用!$W$33),INDEX(振り分け!$B$7:$B$456,計算用!$W$33)))</f>
        <v/>
      </c>
      <c r="C35" s="54">
        <f>IF(計算用!$W$33="","",IF(計算用!$B$1=1,INDEX(計算用!$G$3:$G$452,計算用!$W$33),INDEX(振り分け!$C$7:$C$456,計算用!$W$33)))</f>
        <v/>
      </c>
      <c r="D35" s="59">
        <f>IF(計算用!$W$33="","",IF(計算用!$B$1=1,INDEX(計算用!$H$3:$H$452,計算用!$W$33),INDEX(振り分け!$D$7:$D$456,計算用!$W$33)))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IF(計算用!$W$34="","",32)</f>
        <v/>
      </c>
      <c r="B36" s="54">
        <f>IF(計算用!$W$34="","",IF(計算用!$B$1=1,INDEX(計算用!$F$3:$F$452,計算用!$W$34),INDEX(振り分け!$B$7:$B$456,計算用!$W$34)))</f>
        <v/>
      </c>
      <c r="C36" s="54">
        <f>IF(計算用!$W$34="","",IF(計算用!$B$1=1,INDEX(計算用!$G$3:$G$452,計算用!$W$34),INDEX(振り分け!$C$7:$C$456,計算用!$W$34)))</f>
        <v/>
      </c>
      <c r="D36" s="59">
        <f>IF(計算用!$W$34="","",IF(計算用!$B$1=1,INDEX(計算用!$H$3:$H$452,計算用!$W$34),INDEX(振り分け!$D$7:$D$456,計算用!$W$34)))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IF(計算用!$W$35="","",33)</f>
        <v/>
      </c>
      <c r="B37" s="54">
        <f>IF(計算用!$W$35="","",IF(計算用!$B$1=1,INDEX(計算用!$F$3:$F$452,計算用!$W$35),INDEX(振り分け!$B$7:$B$456,計算用!$W$35)))</f>
        <v/>
      </c>
      <c r="C37" s="54">
        <f>IF(計算用!$W$35="","",IF(計算用!$B$1=1,INDEX(計算用!$G$3:$G$452,計算用!$W$35),INDEX(振り分け!$C$7:$C$456,計算用!$W$35)))</f>
        <v/>
      </c>
      <c r="D37" s="59">
        <f>IF(計算用!$W$35="","",IF(計算用!$B$1=1,INDEX(計算用!$H$3:$H$452,計算用!$W$35),INDEX(振り分け!$D$7:$D$456,計算用!$W$35)))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IF(計算用!$W$36="","",34)</f>
        <v/>
      </c>
      <c r="B38" s="54">
        <f>IF(計算用!$W$36="","",IF(計算用!$B$1=1,INDEX(計算用!$F$3:$F$452,計算用!$W$36),INDEX(振り分け!$B$7:$B$456,計算用!$W$36)))</f>
        <v/>
      </c>
      <c r="C38" s="54">
        <f>IF(計算用!$W$36="","",IF(計算用!$B$1=1,INDEX(計算用!$G$3:$G$452,計算用!$W$36),INDEX(振り分け!$C$7:$C$456,計算用!$W$36)))</f>
        <v/>
      </c>
      <c r="D38" s="59">
        <f>IF(計算用!$W$36="","",IF(計算用!$B$1=1,INDEX(計算用!$H$3:$H$452,計算用!$W$36),INDEX(振り分け!$D$7:$D$456,計算用!$W$36)))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IF(計算用!$W$37="","",35)</f>
        <v/>
      </c>
      <c r="B39" s="54">
        <f>IF(計算用!$W$37="","",IF(計算用!$B$1=1,INDEX(計算用!$F$3:$F$452,計算用!$W$37),INDEX(振り分け!$B$7:$B$456,計算用!$W$37)))</f>
        <v/>
      </c>
      <c r="C39" s="54">
        <f>IF(計算用!$W$37="","",IF(計算用!$B$1=1,INDEX(計算用!$G$3:$G$452,計算用!$W$37),INDEX(振り分け!$C$7:$C$456,計算用!$W$37)))</f>
        <v/>
      </c>
      <c r="D39" s="59">
        <f>IF(計算用!$W$37="","",IF(計算用!$B$1=1,INDEX(計算用!$H$3:$H$452,計算用!$W$37),INDEX(振り分け!$D$7:$D$456,計算用!$W$37)))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IF(計算用!$W$38="","",36)</f>
        <v/>
      </c>
      <c r="B40" s="54">
        <f>IF(計算用!$W$38="","",IF(計算用!$B$1=1,INDEX(計算用!$F$3:$F$452,計算用!$W$38),INDEX(振り分け!$B$7:$B$456,計算用!$W$38)))</f>
        <v/>
      </c>
      <c r="C40" s="54">
        <f>IF(計算用!$W$38="","",IF(計算用!$B$1=1,INDEX(計算用!$G$3:$G$452,計算用!$W$38),INDEX(振り分け!$C$7:$C$456,計算用!$W$38)))</f>
        <v/>
      </c>
      <c r="D40" s="59">
        <f>IF(計算用!$W$38="","",IF(計算用!$B$1=1,INDEX(計算用!$H$3:$H$452,計算用!$W$38),INDEX(振り分け!$D$7:$D$456,計算用!$W$38)))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IF(計算用!$W$39="","",37)</f>
        <v/>
      </c>
      <c r="B41" s="54">
        <f>IF(計算用!$W$39="","",IF(計算用!$B$1=1,INDEX(計算用!$F$3:$F$452,計算用!$W$39),INDEX(振り分け!$B$7:$B$456,計算用!$W$39)))</f>
        <v/>
      </c>
      <c r="C41" s="54">
        <f>IF(計算用!$W$39="","",IF(計算用!$B$1=1,INDEX(計算用!$G$3:$G$452,計算用!$W$39),INDEX(振り分け!$C$7:$C$456,計算用!$W$39)))</f>
        <v/>
      </c>
      <c r="D41" s="59">
        <f>IF(計算用!$W$39="","",IF(計算用!$B$1=1,INDEX(計算用!$H$3:$H$452,計算用!$W$39),INDEX(振り分け!$D$7:$D$456,計算用!$W$39)))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IF(計算用!$W$40="","",38)</f>
        <v/>
      </c>
      <c r="B42" s="54">
        <f>IF(計算用!$W$40="","",IF(計算用!$B$1=1,INDEX(計算用!$F$3:$F$452,計算用!$W$40),INDEX(振り分け!$B$7:$B$456,計算用!$W$40)))</f>
        <v/>
      </c>
      <c r="C42" s="54">
        <f>IF(計算用!$W$40="","",IF(計算用!$B$1=1,INDEX(計算用!$G$3:$G$452,計算用!$W$40),INDEX(振り分け!$C$7:$C$456,計算用!$W$40)))</f>
        <v/>
      </c>
      <c r="D42" s="59">
        <f>IF(計算用!$W$40="","",IF(計算用!$B$1=1,INDEX(計算用!$H$3:$H$452,計算用!$W$40),INDEX(振り分け!$D$7:$D$456,計算用!$W$40)))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IF(計算用!$W$41="","",39)</f>
        <v/>
      </c>
      <c r="B43" s="54">
        <f>IF(計算用!$W$41="","",IF(計算用!$B$1=1,INDEX(計算用!$F$3:$F$452,計算用!$W$41),INDEX(振り分け!$B$7:$B$456,計算用!$W$41)))</f>
        <v/>
      </c>
      <c r="C43" s="54">
        <f>IF(計算用!$W$41="","",IF(計算用!$B$1=1,INDEX(計算用!$G$3:$G$452,計算用!$W$41),INDEX(振り分け!$C$7:$C$456,計算用!$W$41)))</f>
        <v/>
      </c>
      <c r="D43" s="59">
        <f>IF(計算用!$W$41="","",IF(計算用!$B$1=1,INDEX(計算用!$H$3:$H$452,計算用!$W$41),INDEX(振り分け!$D$7:$D$456,計算用!$W$41)))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IF(計算用!$W$42="","",40)</f>
        <v/>
      </c>
      <c r="B44" s="54">
        <f>IF(計算用!$W$42="","",IF(計算用!$B$1=1,INDEX(計算用!$F$3:$F$452,計算用!$W$42),INDEX(振り分け!$B$7:$B$456,計算用!$W$42)))</f>
        <v/>
      </c>
      <c r="C44" s="54">
        <f>IF(計算用!$W$42="","",IF(計算用!$B$1=1,INDEX(計算用!$G$3:$G$452,計算用!$W$42),INDEX(振り分け!$C$7:$C$456,計算用!$W$42)))</f>
        <v/>
      </c>
      <c r="D44" s="59">
        <f>IF(計算用!$W$42="","",IF(計算用!$B$1=1,INDEX(計算用!$H$3:$H$452,計算用!$W$42),INDEX(振り分け!$D$7:$D$456,計算用!$W$42)))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IF(計算用!$W$43="","",41)</f>
        <v/>
      </c>
      <c r="B45" s="54">
        <f>IF(計算用!$W$43="","",IF(計算用!$B$1=1,INDEX(計算用!$F$3:$F$452,計算用!$W$43),INDEX(振り分け!$B$7:$B$456,計算用!$W$43)))</f>
        <v/>
      </c>
      <c r="C45" s="54">
        <f>IF(計算用!$W$43="","",IF(計算用!$B$1=1,INDEX(計算用!$G$3:$G$452,計算用!$W$43),INDEX(振り分け!$C$7:$C$456,計算用!$W$43)))</f>
        <v/>
      </c>
      <c r="D45" s="59">
        <f>IF(計算用!$W$43="","",IF(計算用!$B$1=1,INDEX(計算用!$H$3:$H$452,計算用!$W$43),INDEX(振り分け!$D$7:$D$456,計算用!$W$43)))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IF(計算用!$W$44="","",42)</f>
        <v/>
      </c>
      <c r="B46" s="54">
        <f>IF(計算用!$W$44="","",IF(計算用!$B$1=1,INDEX(計算用!$F$3:$F$452,計算用!$W$44),INDEX(振り分け!$B$7:$B$456,計算用!$W$44)))</f>
        <v/>
      </c>
      <c r="C46" s="54">
        <f>IF(計算用!$W$44="","",IF(計算用!$B$1=1,INDEX(計算用!$G$3:$G$452,計算用!$W$44),INDEX(振り分け!$C$7:$C$456,計算用!$W$44)))</f>
        <v/>
      </c>
      <c r="D46" s="59">
        <f>IF(計算用!$W$44="","",IF(計算用!$B$1=1,INDEX(計算用!$H$3:$H$452,計算用!$W$44),INDEX(振り分け!$D$7:$D$456,計算用!$W$44)))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IF(計算用!$W$45="","",43)</f>
        <v/>
      </c>
      <c r="B47" s="54">
        <f>IF(計算用!$W$45="","",IF(計算用!$B$1=1,INDEX(計算用!$F$3:$F$452,計算用!$W$45),INDEX(振り分け!$B$7:$B$456,計算用!$W$45)))</f>
        <v/>
      </c>
      <c r="C47" s="54">
        <f>IF(計算用!$W$45="","",IF(計算用!$B$1=1,INDEX(計算用!$G$3:$G$452,計算用!$W$45),INDEX(振り分け!$C$7:$C$456,計算用!$W$45)))</f>
        <v/>
      </c>
      <c r="D47" s="59">
        <f>IF(計算用!$W$45="","",IF(計算用!$B$1=1,INDEX(計算用!$H$3:$H$452,計算用!$W$45),INDEX(振り分け!$D$7:$D$456,計算用!$W$45)))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IF(計算用!$W$46="","",44)</f>
        <v/>
      </c>
      <c r="B48" s="54">
        <f>IF(計算用!$W$46="","",IF(計算用!$B$1=1,INDEX(計算用!$F$3:$F$452,計算用!$W$46),INDEX(振り分け!$B$7:$B$456,計算用!$W$46)))</f>
        <v/>
      </c>
      <c r="C48" s="54">
        <f>IF(計算用!$W$46="","",IF(計算用!$B$1=1,INDEX(計算用!$G$3:$G$452,計算用!$W$46),INDEX(振り分け!$C$7:$C$456,計算用!$W$46)))</f>
        <v/>
      </c>
      <c r="D48" s="59">
        <f>IF(計算用!$W$46="","",IF(計算用!$B$1=1,INDEX(計算用!$H$3:$H$452,計算用!$W$46),INDEX(振り分け!$D$7:$D$456,計算用!$W$46)))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IF(計算用!$W$47="","",45)</f>
        <v/>
      </c>
      <c r="B49" s="54">
        <f>IF(計算用!$W$47="","",IF(計算用!$B$1=1,INDEX(計算用!$F$3:$F$452,計算用!$W$47),INDEX(振り分け!$B$7:$B$456,計算用!$W$47)))</f>
        <v/>
      </c>
      <c r="C49" s="54">
        <f>IF(計算用!$W$47="","",IF(計算用!$B$1=1,INDEX(計算用!$G$3:$G$452,計算用!$W$47),INDEX(振り分け!$C$7:$C$456,計算用!$W$47)))</f>
        <v/>
      </c>
      <c r="D49" s="59">
        <f>IF(計算用!$W$47="","",IF(計算用!$B$1=1,INDEX(計算用!$H$3:$H$452,計算用!$W$47),INDEX(振り分け!$D$7:$D$456,計算用!$W$47)))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IF(計算用!$W$48="","",46)</f>
        <v/>
      </c>
      <c r="B50" s="54">
        <f>IF(計算用!$W$48="","",IF(計算用!$B$1=1,INDEX(計算用!$F$3:$F$452,計算用!$W$48),INDEX(振り分け!$B$7:$B$456,計算用!$W$48)))</f>
        <v/>
      </c>
      <c r="C50" s="54">
        <f>IF(計算用!$W$48="","",IF(計算用!$B$1=1,INDEX(計算用!$G$3:$G$452,計算用!$W$48),INDEX(振り分け!$C$7:$C$456,計算用!$W$48)))</f>
        <v/>
      </c>
      <c r="D50" s="59">
        <f>IF(計算用!$W$48="","",IF(計算用!$B$1=1,INDEX(計算用!$H$3:$H$452,計算用!$W$48),INDEX(振り分け!$D$7:$D$456,計算用!$W$48)))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IF(計算用!$W$49="","",47)</f>
        <v/>
      </c>
      <c r="B51" s="54">
        <f>IF(計算用!$W$49="","",IF(計算用!$B$1=1,INDEX(計算用!$F$3:$F$452,計算用!$W$49),INDEX(振り分け!$B$7:$B$456,計算用!$W$49)))</f>
        <v/>
      </c>
      <c r="C51" s="54">
        <f>IF(計算用!$W$49="","",IF(計算用!$B$1=1,INDEX(計算用!$G$3:$G$452,計算用!$W$49),INDEX(振り分け!$C$7:$C$456,計算用!$W$49)))</f>
        <v/>
      </c>
      <c r="D51" s="59">
        <f>IF(計算用!$W$49="","",IF(計算用!$B$1=1,INDEX(計算用!$H$3:$H$452,計算用!$W$49),INDEX(振り分け!$D$7:$D$456,計算用!$W$49)))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IF(計算用!$W$50="","",48)</f>
        <v/>
      </c>
      <c r="B52" s="54">
        <f>IF(計算用!$W$50="","",IF(計算用!$B$1=1,INDEX(計算用!$F$3:$F$452,計算用!$W$50),INDEX(振り分け!$B$7:$B$456,計算用!$W$50)))</f>
        <v/>
      </c>
      <c r="C52" s="54">
        <f>IF(計算用!$W$50="","",IF(計算用!$B$1=1,INDEX(計算用!$G$3:$G$452,計算用!$W$50),INDEX(振り分け!$C$7:$C$456,計算用!$W$50)))</f>
        <v/>
      </c>
      <c r="D52" s="59">
        <f>IF(計算用!$W$50="","",IF(計算用!$B$1=1,INDEX(計算用!$H$3:$H$452,計算用!$W$50),INDEX(振り分け!$D$7:$D$456,計算用!$W$50)))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IF(計算用!$W$51="","",49)</f>
        <v/>
      </c>
      <c r="B53" s="54">
        <f>IF(計算用!$W$51="","",IF(計算用!$B$1=1,INDEX(計算用!$F$3:$F$452,計算用!$W$51),INDEX(振り分け!$B$7:$B$456,計算用!$W$51)))</f>
        <v/>
      </c>
      <c r="C53" s="54">
        <f>IF(計算用!$W$51="","",IF(計算用!$B$1=1,INDEX(計算用!$G$3:$G$452,計算用!$W$51),INDEX(振り分け!$C$7:$C$456,計算用!$W$51)))</f>
        <v/>
      </c>
      <c r="D53" s="59">
        <f>IF(計算用!$W$51="","",IF(計算用!$B$1=1,INDEX(計算用!$H$3:$H$452,計算用!$W$51),INDEX(振り分け!$D$7:$D$456,計算用!$W$51)))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IF(計算用!$W$52="","",50)</f>
        <v/>
      </c>
      <c r="B54" s="54">
        <f>IF(計算用!$W$52="","",IF(計算用!$B$1=1,INDEX(計算用!$F$3:$F$452,計算用!$W$52),INDEX(振り分け!$B$7:$B$456,計算用!$W$52)))</f>
        <v/>
      </c>
      <c r="C54" s="54">
        <f>IF(計算用!$W$52="","",IF(計算用!$B$1=1,INDEX(計算用!$G$3:$G$452,計算用!$W$52),INDEX(振り分け!$C$7:$C$456,計算用!$W$52)))</f>
        <v/>
      </c>
      <c r="D54" s="59">
        <f>IF(計算用!$W$52="","",IF(計算用!$B$1=1,INDEX(計算用!$H$3:$H$452,計算用!$W$52),INDEX(振り分け!$D$7:$D$456,計算用!$W$52)))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IF(設定!$P$22="","",設定!$B$3&amp;"　"&amp;設定!$P$22&amp;設定!$B$4&amp;"名簿"&amp;IF(計算用!$B$1=0,"（仮・前年度の組）",""))</f>
        <v/>
      </c>
    </row>
    <row r="2">
      <c r="A2" s="44">
        <f>IF(設定!$P$22="","","担当："&amp;設定!$S$22&amp;"　　活動場所："&amp;設定!$T$22&amp;"　　人数："&amp;定員チェック!$F$21&amp;"名（"&amp;設定!$B$8&amp;"年"&amp;定員チェック!$G$21&amp;"・"&amp;設定!$B$9&amp;"年"&amp;定員チェック!$H$21&amp;"・"&amp;設定!$B$10&amp;"年"&amp;定員チェック!$I$21&amp;"）")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IF(計算用!$X$3="","",1)</f>
        <v/>
      </c>
      <c r="B5" s="54">
        <f>IF(計算用!$X$3="","",IF(計算用!$B$1=1,INDEX(計算用!$F$3:$F$452,計算用!$X$3),INDEX(振り分け!$B$7:$B$456,計算用!$X$3)))</f>
        <v/>
      </c>
      <c r="C5" s="54">
        <f>IF(計算用!$X$3="","",IF(計算用!$B$1=1,INDEX(計算用!$G$3:$G$452,計算用!$X$3),INDEX(振り分け!$C$7:$C$456,計算用!$X$3)))</f>
        <v/>
      </c>
      <c r="D5" s="59">
        <f>IF(計算用!$X$3="","",IF(計算用!$B$1=1,INDEX(計算用!$H$3:$H$452,計算用!$X$3),INDEX(振り分け!$D$7:$D$456,計算用!$X$3)))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IF(計算用!$X$4="","",2)</f>
        <v/>
      </c>
      <c r="B6" s="54">
        <f>IF(計算用!$X$4="","",IF(計算用!$B$1=1,INDEX(計算用!$F$3:$F$452,計算用!$X$4),INDEX(振り分け!$B$7:$B$456,計算用!$X$4)))</f>
        <v/>
      </c>
      <c r="C6" s="54">
        <f>IF(計算用!$X$4="","",IF(計算用!$B$1=1,INDEX(計算用!$G$3:$G$452,計算用!$X$4),INDEX(振り分け!$C$7:$C$456,計算用!$X$4)))</f>
        <v/>
      </c>
      <c r="D6" s="59">
        <f>IF(計算用!$X$4="","",IF(計算用!$B$1=1,INDEX(計算用!$H$3:$H$452,計算用!$X$4),INDEX(振り分け!$D$7:$D$456,計算用!$X$4)))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IF(計算用!$X$5="","",3)</f>
        <v/>
      </c>
      <c r="B7" s="54">
        <f>IF(計算用!$X$5="","",IF(計算用!$B$1=1,INDEX(計算用!$F$3:$F$452,計算用!$X$5),INDEX(振り分け!$B$7:$B$456,計算用!$X$5)))</f>
        <v/>
      </c>
      <c r="C7" s="54">
        <f>IF(計算用!$X$5="","",IF(計算用!$B$1=1,INDEX(計算用!$G$3:$G$452,計算用!$X$5),INDEX(振り分け!$C$7:$C$456,計算用!$X$5)))</f>
        <v/>
      </c>
      <c r="D7" s="59">
        <f>IF(計算用!$X$5="","",IF(計算用!$B$1=1,INDEX(計算用!$H$3:$H$452,計算用!$X$5),INDEX(振り分け!$D$7:$D$456,計算用!$X$5)))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IF(計算用!$X$6="","",4)</f>
        <v/>
      </c>
      <c r="B8" s="54">
        <f>IF(計算用!$X$6="","",IF(計算用!$B$1=1,INDEX(計算用!$F$3:$F$452,計算用!$X$6),INDEX(振り分け!$B$7:$B$456,計算用!$X$6)))</f>
        <v/>
      </c>
      <c r="C8" s="54">
        <f>IF(計算用!$X$6="","",IF(計算用!$B$1=1,INDEX(計算用!$G$3:$G$452,計算用!$X$6),INDEX(振り分け!$C$7:$C$456,計算用!$X$6)))</f>
        <v/>
      </c>
      <c r="D8" s="59">
        <f>IF(計算用!$X$6="","",IF(計算用!$B$1=1,INDEX(計算用!$H$3:$H$452,計算用!$X$6),INDEX(振り分け!$D$7:$D$456,計算用!$X$6)))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IF(計算用!$X$7="","",5)</f>
        <v/>
      </c>
      <c r="B9" s="54">
        <f>IF(計算用!$X$7="","",IF(計算用!$B$1=1,INDEX(計算用!$F$3:$F$452,計算用!$X$7),INDEX(振り分け!$B$7:$B$456,計算用!$X$7)))</f>
        <v/>
      </c>
      <c r="C9" s="54">
        <f>IF(計算用!$X$7="","",IF(計算用!$B$1=1,INDEX(計算用!$G$3:$G$452,計算用!$X$7),INDEX(振り分け!$C$7:$C$456,計算用!$X$7)))</f>
        <v/>
      </c>
      <c r="D9" s="59">
        <f>IF(計算用!$X$7="","",IF(計算用!$B$1=1,INDEX(計算用!$H$3:$H$452,計算用!$X$7),INDEX(振り分け!$D$7:$D$456,計算用!$X$7)))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IF(計算用!$X$8="","",6)</f>
        <v/>
      </c>
      <c r="B10" s="54">
        <f>IF(計算用!$X$8="","",IF(計算用!$B$1=1,INDEX(計算用!$F$3:$F$452,計算用!$X$8),INDEX(振り分け!$B$7:$B$456,計算用!$X$8)))</f>
        <v/>
      </c>
      <c r="C10" s="54">
        <f>IF(計算用!$X$8="","",IF(計算用!$B$1=1,INDEX(計算用!$G$3:$G$452,計算用!$X$8),INDEX(振り分け!$C$7:$C$456,計算用!$X$8)))</f>
        <v/>
      </c>
      <c r="D10" s="59">
        <f>IF(計算用!$X$8="","",IF(計算用!$B$1=1,INDEX(計算用!$H$3:$H$452,計算用!$X$8),INDEX(振り分け!$D$7:$D$456,計算用!$X$8)))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IF(計算用!$X$9="","",7)</f>
        <v/>
      </c>
      <c r="B11" s="54">
        <f>IF(計算用!$X$9="","",IF(計算用!$B$1=1,INDEX(計算用!$F$3:$F$452,計算用!$X$9),INDEX(振り分け!$B$7:$B$456,計算用!$X$9)))</f>
        <v/>
      </c>
      <c r="C11" s="54">
        <f>IF(計算用!$X$9="","",IF(計算用!$B$1=1,INDEX(計算用!$G$3:$G$452,計算用!$X$9),INDEX(振り分け!$C$7:$C$456,計算用!$X$9)))</f>
        <v/>
      </c>
      <c r="D11" s="59">
        <f>IF(計算用!$X$9="","",IF(計算用!$B$1=1,INDEX(計算用!$H$3:$H$452,計算用!$X$9),INDEX(振り分け!$D$7:$D$456,計算用!$X$9)))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IF(計算用!$X$10="","",8)</f>
        <v/>
      </c>
      <c r="B12" s="54">
        <f>IF(計算用!$X$10="","",IF(計算用!$B$1=1,INDEX(計算用!$F$3:$F$452,計算用!$X$10),INDEX(振り分け!$B$7:$B$456,計算用!$X$10)))</f>
        <v/>
      </c>
      <c r="C12" s="54">
        <f>IF(計算用!$X$10="","",IF(計算用!$B$1=1,INDEX(計算用!$G$3:$G$452,計算用!$X$10),INDEX(振り分け!$C$7:$C$456,計算用!$X$10)))</f>
        <v/>
      </c>
      <c r="D12" s="59">
        <f>IF(計算用!$X$10="","",IF(計算用!$B$1=1,INDEX(計算用!$H$3:$H$452,計算用!$X$10),INDEX(振り分け!$D$7:$D$456,計算用!$X$10)))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IF(計算用!$X$11="","",9)</f>
        <v/>
      </c>
      <c r="B13" s="54">
        <f>IF(計算用!$X$11="","",IF(計算用!$B$1=1,INDEX(計算用!$F$3:$F$452,計算用!$X$11),INDEX(振り分け!$B$7:$B$456,計算用!$X$11)))</f>
        <v/>
      </c>
      <c r="C13" s="54">
        <f>IF(計算用!$X$11="","",IF(計算用!$B$1=1,INDEX(計算用!$G$3:$G$452,計算用!$X$11),INDEX(振り分け!$C$7:$C$456,計算用!$X$11)))</f>
        <v/>
      </c>
      <c r="D13" s="59">
        <f>IF(計算用!$X$11="","",IF(計算用!$B$1=1,INDEX(計算用!$H$3:$H$452,計算用!$X$11),INDEX(振り分け!$D$7:$D$456,計算用!$X$11)))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IF(計算用!$X$12="","",10)</f>
        <v/>
      </c>
      <c r="B14" s="54">
        <f>IF(計算用!$X$12="","",IF(計算用!$B$1=1,INDEX(計算用!$F$3:$F$452,計算用!$X$12),INDEX(振り分け!$B$7:$B$456,計算用!$X$12)))</f>
        <v/>
      </c>
      <c r="C14" s="54">
        <f>IF(計算用!$X$12="","",IF(計算用!$B$1=1,INDEX(計算用!$G$3:$G$452,計算用!$X$12),INDEX(振り分け!$C$7:$C$456,計算用!$X$12)))</f>
        <v/>
      </c>
      <c r="D14" s="59">
        <f>IF(計算用!$X$12="","",IF(計算用!$B$1=1,INDEX(計算用!$H$3:$H$452,計算用!$X$12),INDEX(振り分け!$D$7:$D$456,計算用!$X$12)))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IF(計算用!$X$13="","",11)</f>
        <v/>
      </c>
      <c r="B15" s="54">
        <f>IF(計算用!$X$13="","",IF(計算用!$B$1=1,INDEX(計算用!$F$3:$F$452,計算用!$X$13),INDEX(振り分け!$B$7:$B$456,計算用!$X$13)))</f>
        <v/>
      </c>
      <c r="C15" s="54">
        <f>IF(計算用!$X$13="","",IF(計算用!$B$1=1,INDEX(計算用!$G$3:$G$452,計算用!$X$13),INDEX(振り分け!$C$7:$C$456,計算用!$X$13)))</f>
        <v/>
      </c>
      <c r="D15" s="59">
        <f>IF(計算用!$X$13="","",IF(計算用!$B$1=1,INDEX(計算用!$H$3:$H$452,計算用!$X$13),INDEX(振り分け!$D$7:$D$456,計算用!$X$13)))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IF(計算用!$X$14="","",12)</f>
        <v/>
      </c>
      <c r="B16" s="54">
        <f>IF(計算用!$X$14="","",IF(計算用!$B$1=1,INDEX(計算用!$F$3:$F$452,計算用!$X$14),INDEX(振り分け!$B$7:$B$456,計算用!$X$14)))</f>
        <v/>
      </c>
      <c r="C16" s="54">
        <f>IF(計算用!$X$14="","",IF(計算用!$B$1=1,INDEX(計算用!$G$3:$G$452,計算用!$X$14),INDEX(振り分け!$C$7:$C$456,計算用!$X$14)))</f>
        <v/>
      </c>
      <c r="D16" s="59">
        <f>IF(計算用!$X$14="","",IF(計算用!$B$1=1,INDEX(計算用!$H$3:$H$452,計算用!$X$14),INDEX(振り分け!$D$7:$D$456,計算用!$X$14)))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IF(計算用!$X$15="","",13)</f>
        <v/>
      </c>
      <c r="B17" s="54">
        <f>IF(計算用!$X$15="","",IF(計算用!$B$1=1,INDEX(計算用!$F$3:$F$452,計算用!$X$15),INDEX(振り分け!$B$7:$B$456,計算用!$X$15)))</f>
        <v/>
      </c>
      <c r="C17" s="54">
        <f>IF(計算用!$X$15="","",IF(計算用!$B$1=1,INDEX(計算用!$G$3:$G$452,計算用!$X$15),INDEX(振り分け!$C$7:$C$456,計算用!$X$15)))</f>
        <v/>
      </c>
      <c r="D17" s="59">
        <f>IF(計算用!$X$15="","",IF(計算用!$B$1=1,INDEX(計算用!$H$3:$H$452,計算用!$X$15),INDEX(振り分け!$D$7:$D$456,計算用!$X$15)))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IF(計算用!$X$16="","",14)</f>
        <v/>
      </c>
      <c r="B18" s="54">
        <f>IF(計算用!$X$16="","",IF(計算用!$B$1=1,INDEX(計算用!$F$3:$F$452,計算用!$X$16),INDEX(振り分け!$B$7:$B$456,計算用!$X$16)))</f>
        <v/>
      </c>
      <c r="C18" s="54">
        <f>IF(計算用!$X$16="","",IF(計算用!$B$1=1,INDEX(計算用!$G$3:$G$452,計算用!$X$16),INDEX(振り分け!$C$7:$C$456,計算用!$X$16)))</f>
        <v/>
      </c>
      <c r="D18" s="59">
        <f>IF(計算用!$X$16="","",IF(計算用!$B$1=1,INDEX(計算用!$H$3:$H$452,計算用!$X$16),INDEX(振り分け!$D$7:$D$456,計算用!$X$16)))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IF(計算用!$X$17="","",15)</f>
        <v/>
      </c>
      <c r="B19" s="54">
        <f>IF(計算用!$X$17="","",IF(計算用!$B$1=1,INDEX(計算用!$F$3:$F$452,計算用!$X$17),INDEX(振り分け!$B$7:$B$456,計算用!$X$17)))</f>
        <v/>
      </c>
      <c r="C19" s="54">
        <f>IF(計算用!$X$17="","",IF(計算用!$B$1=1,INDEX(計算用!$G$3:$G$452,計算用!$X$17),INDEX(振り分け!$C$7:$C$456,計算用!$X$17)))</f>
        <v/>
      </c>
      <c r="D19" s="59">
        <f>IF(計算用!$X$17="","",IF(計算用!$B$1=1,INDEX(計算用!$H$3:$H$452,計算用!$X$17),INDEX(振り分け!$D$7:$D$456,計算用!$X$17)))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IF(計算用!$X$18="","",16)</f>
        <v/>
      </c>
      <c r="B20" s="54">
        <f>IF(計算用!$X$18="","",IF(計算用!$B$1=1,INDEX(計算用!$F$3:$F$452,計算用!$X$18),INDEX(振り分け!$B$7:$B$456,計算用!$X$18)))</f>
        <v/>
      </c>
      <c r="C20" s="54">
        <f>IF(計算用!$X$18="","",IF(計算用!$B$1=1,INDEX(計算用!$G$3:$G$452,計算用!$X$18),INDEX(振り分け!$C$7:$C$456,計算用!$X$18)))</f>
        <v/>
      </c>
      <c r="D20" s="59">
        <f>IF(計算用!$X$18="","",IF(計算用!$B$1=1,INDEX(計算用!$H$3:$H$452,計算用!$X$18),INDEX(振り分け!$D$7:$D$456,計算用!$X$18)))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IF(計算用!$X$19="","",17)</f>
        <v/>
      </c>
      <c r="B21" s="54">
        <f>IF(計算用!$X$19="","",IF(計算用!$B$1=1,INDEX(計算用!$F$3:$F$452,計算用!$X$19),INDEX(振り分け!$B$7:$B$456,計算用!$X$19)))</f>
        <v/>
      </c>
      <c r="C21" s="54">
        <f>IF(計算用!$X$19="","",IF(計算用!$B$1=1,INDEX(計算用!$G$3:$G$452,計算用!$X$19),INDEX(振り分け!$C$7:$C$456,計算用!$X$19)))</f>
        <v/>
      </c>
      <c r="D21" s="59">
        <f>IF(計算用!$X$19="","",IF(計算用!$B$1=1,INDEX(計算用!$H$3:$H$452,計算用!$X$19),INDEX(振り分け!$D$7:$D$456,計算用!$X$19)))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IF(計算用!$X$20="","",18)</f>
        <v/>
      </c>
      <c r="B22" s="54">
        <f>IF(計算用!$X$20="","",IF(計算用!$B$1=1,INDEX(計算用!$F$3:$F$452,計算用!$X$20),INDEX(振り分け!$B$7:$B$456,計算用!$X$20)))</f>
        <v/>
      </c>
      <c r="C22" s="54">
        <f>IF(計算用!$X$20="","",IF(計算用!$B$1=1,INDEX(計算用!$G$3:$G$452,計算用!$X$20),INDEX(振り分け!$C$7:$C$456,計算用!$X$20)))</f>
        <v/>
      </c>
      <c r="D22" s="59">
        <f>IF(計算用!$X$20="","",IF(計算用!$B$1=1,INDEX(計算用!$H$3:$H$452,計算用!$X$20),INDEX(振り分け!$D$7:$D$456,計算用!$X$20)))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IF(計算用!$X$21="","",19)</f>
        <v/>
      </c>
      <c r="B23" s="54">
        <f>IF(計算用!$X$21="","",IF(計算用!$B$1=1,INDEX(計算用!$F$3:$F$452,計算用!$X$21),INDEX(振り分け!$B$7:$B$456,計算用!$X$21)))</f>
        <v/>
      </c>
      <c r="C23" s="54">
        <f>IF(計算用!$X$21="","",IF(計算用!$B$1=1,INDEX(計算用!$G$3:$G$452,計算用!$X$21),INDEX(振り分け!$C$7:$C$456,計算用!$X$21)))</f>
        <v/>
      </c>
      <c r="D23" s="59">
        <f>IF(計算用!$X$21="","",IF(計算用!$B$1=1,INDEX(計算用!$H$3:$H$452,計算用!$X$21),INDEX(振り分け!$D$7:$D$456,計算用!$X$21)))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IF(計算用!$X$22="","",20)</f>
        <v/>
      </c>
      <c r="B24" s="54">
        <f>IF(計算用!$X$22="","",IF(計算用!$B$1=1,INDEX(計算用!$F$3:$F$452,計算用!$X$22),INDEX(振り分け!$B$7:$B$456,計算用!$X$22)))</f>
        <v/>
      </c>
      <c r="C24" s="54">
        <f>IF(計算用!$X$22="","",IF(計算用!$B$1=1,INDEX(計算用!$G$3:$G$452,計算用!$X$22),INDEX(振り分け!$C$7:$C$456,計算用!$X$22)))</f>
        <v/>
      </c>
      <c r="D24" s="59">
        <f>IF(計算用!$X$22="","",IF(計算用!$B$1=1,INDEX(計算用!$H$3:$H$452,計算用!$X$22),INDEX(振り分け!$D$7:$D$456,計算用!$X$22)))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IF(計算用!$X$23="","",21)</f>
        <v/>
      </c>
      <c r="B25" s="54">
        <f>IF(計算用!$X$23="","",IF(計算用!$B$1=1,INDEX(計算用!$F$3:$F$452,計算用!$X$23),INDEX(振り分け!$B$7:$B$456,計算用!$X$23)))</f>
        <v/>
      </c>
      <c r="C25" s="54">
        <f>IF(計算用!$X$23="","",IF(計算用!$B$1=1,INDEX(計算用!$G$3:$G$452,計算用!$X$23),INDEX(振り分け!$C$7:$C$456,計算用!$X$23)))</f>
        <v/>
      </c>
      <c r="D25" s="59">
        <f>IF(計算用!$X$23="","",IF(計算用!$B$1=1,INDEX(計算用!$H$3:$H$452,計算用!$X$23),INDEX(振り分け!$D$7:$D$456,計算用!$X$23)))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IF(計算用!$X$24="","",22)</f>
        <v/>
      </c>
      <c r="B26" s="54">
        <f>IF(計算用!$X$24="","",IF(計算用!$B$1=1,INDEX(計算用!$F$3:$F$452,計算用!$X$24),INDEX(振り分け!$B$7:$B$456,計算用!$X$24)))</f>
        <v/>
      </c>
      <c r="C26" s="54">
        <f>IF(計算用!$X$24="","",IF(計算用!$B$1=1,INDEX(計算用!$G$3:$G$452,計算用!$X$24),INDEX(振り分け!$C$7:$C$456,計算用!$X$24)))</f>
        <v/>
      </c>
      <c r="D26" s="59">
        <f>IF(計算用!$X$24="","",IF(計算用!$B$1=1,INDEX(計算用!$H$3:$H$452,計算用!$X$24),INDEX(振り分け!$D$7:$D$456,計算用!$X$24)))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IF(計算用!$X$25="","",23)</f>
        <v/>
      </c>
      <c r="B27" s="54">
        <f>IF(計算用!$X$25="","",IF(計算用!$B$1=1,INDEX(計算用!$F$3:$F$452,計算用!$X$25),INDEX(振り分け!$B$7:$B$456,計算用!$X$25)))</f>
        <v/>
      </c>
      <c r="C27" s="54">
        <f>IF(計算用!$X$25="","",IF(計算用!$B$1=1,INDEX(計算用!$G$3:$G$452,計算用!$X$25),INDEX(振り分け!$C$7:$C$456,計算用!$X$25)))</f>
        <v/>
      </c>
      <c r="D27" s="59">
        <f>IF(計算用!$X$25="","",IF(計算用!$B$1=1,INDEX(計算用!$H$3:$H$452,計算用!$X$25),INDEX(振り分け!$D$7:$D$456,計算用!$X$25)))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IF(計算用!$X$26="","",24)</f>
        <v/>
      </c>
      <c r="B28" s="54">
        <f>IF(計算用!$X$26="","",IF(計算用!$B$1=1,INDEX(計算用!$F$3:$F$452,計算用!$X$26),INDEX(振り分け!$B$7:$B$456,計算用!$X$26)))</f>
        <v/>
      </c>
      <c r="C28" s="54">
        <f>IF(計算用!$X$26="","",IF(計算用!$B$1=1,INDEX(計算用!$G$3:$G$452,計算用!$X$26),INDEX(振り分け!$C$7:$C$456,計算用!$X$26)))</f>
        <v/>
      </c>
      <c r="D28" s="59">
        <f>IF(計算用!$X$26="","",IF(計算用!$B$1=1,INDEX(計算用!$H$3:$H$452,計算用!$X$26),INDEX(振り分け!$D$7:$D$456,計算用!$X$26)))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IF(計算用!$X$27="","",25)</f>
        <v/>
      </c>
      <c r="B29" s="54">
        <f>IF(計算用!$X$27="","",IF(計算用!$B$1=1,INDEX(計算用!$F$3:$F$452,計算用!$X$27),INDEX(振り分け!$B$7:$B$456,計算用!$X$27)))</f>
        <v/>
      </c>
      <c r="C29" s="54">
        <f>IF(計算用!$X$27="","",IF(計算用!$B$1=1,INDEX(計算用!$G$3:$G$452,計算用!$X$27),INDEX(振り分け!$C$7:$C$456,計算用!$X$27)))</f>
        <v/>
      </c>
      <c r="D29" s="59">
        <f>IF(計算用!$X$27="","",IF(計算用!$B$1=1,INDEX(計算用!$H$3:$H$452,計算用!$X$27),INDEX(振り分け!$D$7:$D$456,計算用!$X$27)))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IF(計算用!$X$28="","",26)</f>
        <v/>
      </c>
      <c r="B30" s="54">
        <f>IF(計算用!$X$28="","",IF(計算用!$B$1=1,INDEX(計算用!$F$3:$F$452,計算用!$X$28),INDEX(振り分け!$B$7:$B$456,計算用!$X$28)))</f>
        <v/>
      </c>
      <c r="C30" s="54">
        <f>IF(計算用!$X$28="","",IF(計算用!$B$1=1,INDEX(計算用!$G$3:$G$452,計算用!$X$28),INDEX(振り分け!$C$7:$C$456,計算用!$X$28)))</f>
        <v/>
      </c>
      <c r="D30" s="59">
        <f>IF(計算用!$X$28="","",IF(計算用!$B$1=1,INDEX(計算用!$H$3:$H$452,計算用!$X$28),INDEX(振り分け!$D$7:$D$456,計算用!$X$28)))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IF(計算用!$X$29="","",27)</f>
        <v/>
      </c>
      <c r="B31" s="54">
        <f>IF(計算用!$X$29="","",IF(計算用!$B$1=1,INDEX(計算用!$F$3:$F$452,計算用!$X$29),INDEX(振り分け!$B$7:$B$456,計算用!$X$29)))</f>
        <v/>
      </c>
      <c r="C31" s="54">
        <f>IF(計算用!$X$29="","",IF(計算用!$B$1=1,INDEX(計算用!$G$3:$G$452,計算用!$X$29),INDEX(振り分け!$C$7:$C$456,計算用!$X$29)))</f>
        <v/>
      </c>
      <c r="D31" s="59">
        <f>IF(計算用!$X$29="","",IF(計算用!$B$1=1,INDEX(計算用!$H$3:$H$452,計算用!$X$29),INDEX(振り分け!$D$7:$D$456,計算用!$X$29)))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IF(計算用!$X$30="","",28)</f>
        <v/>
      </c>
      <c r="B32" s="54">
        <f>IF(計算用!$X$30="","",IF(計算用!$B$1=1,INDEX(計算用!$F$3:$F$452,計算用!$X$30),INDEX(振り分け!$B$7:$B$456,計算用!$X$30)))</f>
        <v/>
      </c>
      <c r="C32" s="54">
        <f>IF(計算用!$X$30="","",IF(計算用!$B$1=1,INDEX(計算用!$G$3:$G$452,計算用!$X$30),INDEX(振り分け!$C$7:$C$456,計算用!$X$30)))</f>
        <v/>
      </c>
      <c r="D32" s="59">
        <f>IF(計算用!$X$30="","",IF(計算用!$B$1=1,INDEX(計算用!$H$3:$H$452,計算用!$X$30),INDEX(振り分け!$D$7:$D$456,計算用!$X$30)))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IF(計算用!$X$31="","",29)</f>
        <v/>
      </c>
      <c r="B33" s="54">
        <f>IF(計算用!$X$31="","",IF(計算用!$B$1=1,INDEX(計算用!$F$3:$F$452,計算用!$X$31),INDEX(振り分け!$B$7:$B$456,計算用!$X$31)))</f>
        <v/>
      </c>
      <c r="C33" s="54">
        <f>IF(計算用!$X$31="","",IF(計算用!$B$1=1,INDEX(計算用!$G$3:$G$452,計算用!$X$31),INDEX(振り分け!$C$7:$C$456,計算用!$X$31)))</f>
        <v/>
      </c>
      <c r="D33" s="59">
        <f>IF(計算用!$X$31="","",IF(計算用!$B$1=1,INDEX(計算用!$H$3:$H$452,計算用!$X$31),INDEX(振り分け!$D$7:$D$456,計算用!$X$31)))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IF(計算用!$X$32="","",30)</f>
        <v/>
      </c>
      <c r="B34" s="54">
        <f>IF(計算用!$X$32="","",IF(計算用!$B$1=1,INDEX(計算用!$F$3:$F$452,計算用!$X$32),INDEX(振り分け!$B$7:$B$456,計算用!$X$32)))</f>
        <v/>
      </c>
      <c r="C34" s="54">
        <f>IF(計算用!$X$32="","",IF(計算用!$B$1=1,INDEX(計算用!$G$3:$G$452,計算用!$X$32),INDEX(振り分け!$C$7:$C$456,計算用!$X$32)))</f>
        <v/>
      </c>
      <c r="D34" s="59">
        <f>IF(計算用!$X$32="","",IF(計算用!$B$1=1,INDEX(計算用!$H$3:$H$452,計算用!$X$32),INDEX(振り分け!$D$7:$D$456,計算用!$X$32)))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IF(計算用!$X$33="","",31)</f>
        <v/>
      </c>
      <c r="B35" s="54">
        <f>IF(計算用!$X$33="","",IF(計算用!$B$1=1,INDEX(計算用!$F$3:$F$452,計算用!$X$33),INDEX(振り分け!$B$7:$B$456,計算用!$X$33)))</f>
        <v/>
      </c>
      <c r="C35" s="54">
        <f>IF(計算用!$X$33="","",IF(計算用!$B$1=1,INDEX(計算用!$G$3:$G$452,計算用!$X$33),INDEX(振り分け!$C$7:$C$456,計算用!$X$33)))</f>
        <v/>
      </c>
      <c r="D35" s="59">
        <f>IF(計算用!$X$33="","",IF(計算用!$B$1=1,INDEX(計算用!$H$3:$H$452,計算用!$X$33),INDEX(振り分け!$D$7:$D$456,計算用!$X$33)))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IF(計算用!$X$34="","",32)</f>
        <v/>
      </c>
      <c r="B36" s="54">
        <f>IF(計算用!$X$34="","",IF(計算用!$B$1=1,INDEX(計算用!$F$3:$F$452,計算用!$X$34),INDEX(振り分け!$B$7:$B$456,計算用!$X$34)))</f>
        <v/>
      </c>
      <c r="C36" s="54">
        <f>IF(計算用!$X$34="","",IF(計算用!$B$1=1,INDEX(計算用!$G$3:$G$452,計算用!$X$34),INDEX(振り分け!$C$7:$C$456,計算用!$X$34)))</f>
        <v/>
      </c>
      <c r="D36" s="59">
        <f>IF(計算用!$X$34="","",IF(計算用!$B$1=1,INDEX(計算用!$H$3:$H$452,計算用!$X$34),INDEX(振り分け!$D$7:$D$456,計算用!$X$34)))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IF(計算用!$X$35="","",33)</f>
        <v/>
      </c>
      <c r="B37" s="54">
        <f>IF(計算用!$X$35="","",IF(計算用!$B$1=1,INDEX(計算用!$F$3:$F$452,計算用!$X$35),INDEX(振り分け!$B$7:$B$456,計算用!$X$35)))</f>
        <v/>
      </c>
      <c r="C37" s="54">
        <f>IF(計算用!$X$35="","",IF(計算用!$B$1=1,INDEX(計算用!$G$3:$G$452,計算用!$X$35),INDEX(振り分け!$C$7:$C$456,計算用!$X$35)))</f>
        <v/>
      </c>
      <c r="D37" s="59">
        <f>IF(計算用!$X$35="","",IF(計算用!$B$1=1,INDEX(計算用!$H$3:$H$452,計算用!$X$35),INDEX(振り分け!$D$7:$D$456,計算用!$X$35)))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IF(計算用!$X$36="","",34)</f>
        <v/>
      </c>
      <c r="B38" s="54">
        <f>IF(計算用!$X$36="","",IF(計算用!$B$1=1,INDEX(計算用!$F$3:$F$452,計算用!$X$36),INDEX(振り分け!$B$7:$B$456,計算用!$X$36)))</f>
        <v/>
      </c>
      <c r="C38" s="54">
        <f>IF(計算用!$X$36="","",IF(計算用!$B$1=1,INDEX(計算用!$G$3:$G$452,計算用!$X$36),INDEX(振り分け!$C$7:$C$456,計算用!$X$36)))</f>
        <v/>
      </c>
      <c r="D38" s="59">
        <f>IF(計算用!$X$36="","",IF(計算用!$B$1=1,INDEX(計算用!$H$3:$H$452,計算用!$X$36),INDEX(振り分け!$D$7:$D$456,計算用!$X$36)))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IF(計算用!$X$37="","",35)</f>
        <v/>
      </c>
      <c r="B39" s="54">
        <f>IF(計算用!$X$37="","",IF(計算用!$B$1=1,INDEX(計算用!$F$3:$F$452,計算用!$X$37),INDEX(振り分け!$B$7:$B$456,計算用!$X$37)))</f>
        <v/>
      </c>
      <c r="C39" s="54">
        <f>IF(計算用!$X$37="","",IF(計算用!$B$1=1,INDEX(計算用!$G$3:$G$452,計算用!$X$37),INDEX(振り分け!$C$7:$C$456,計算用!$X$37)))</f>
        <v/>
      </c>
      <c r="D39" s="59">
        <f>IF(計算用!$X$37="","",IF(計算用!$B$1=1,INDEX(計算用!$H$3:$H$452,計算用!$X$37),INDEX(振り分け!$D$7:$D$456,計算用!$X$37)))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IF(計算用!$X$38="","",36)</f>
        <v/>
      </c>
      <c r="B40" s="54">
        <f>IF(計算用!$X$38="","",IF(計算用!$B$1=1,INDEX(計算用!$F$3:$F$452,計算用!$X$38),INDEX(振り分け!$B$7:$B$456,計算用!$X$38)))</f>
        <v/>
      </c>
      <c r="C40" s="54">
        <f>IF(計算用!$X$38="","",IF(計算用!$B$1=1,INDEX(計算用!$G$3:$G$452,計算用!$X$38),INDEX(振り分け!$C$7:$C$456,計算用!$X$38)))</f>
        <v/>
      </c>
      <c r="D40" s="59">
        <f>IF(計算用!$X$38="","",IF(計算用!$B$1=1,INDEX(計算用!$H$3:$H$452,計算用!$X$38),INDEX(振り分け!$D$7:$D$456,計算用!$X$38)))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IF(計算用!$X$39="","",37)</f>
        <v/>
      </c>
      <c r="B41" s="54">
        <f>IF(計算用!$X$39="","",IF(計算用!$B$1=1,INDEX(計算用!$F$3:$F$452,計算用!$X$39),INDEX(振り分け!$B$7:$B$456,計算用!$X$39)))</f>
        <v/>
      </c>
      <c r="C41" s="54">
        <f>IF(計算用!$X$39="","",IF(計算用!$B$1=1,INDEX(計算用!$G$3:$G$452,計算用!$X$39),INDEX(振り分け!$C$7:$C$456,計算用!$X$39)))</f>
        <v/>
      </c>
      <c r="D41" s="59">
        <f>IF(計算用!$X$39="","",IF(計算用!$B$1=1,INDEX(計算用!$H$3:$H$452,計算用!$X$39),INDEX(振り分け!$D$7:$D$456,計算用!$X$39)))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IF(計算用!$X$40="","",38)</f>
        <v/>
      </c>
      <c r="B42" s="54">
        <f>IF(計算用!$X$40="","",IF(計算用!$B$1=1,INDEX(計算用!$F$3:$F$452,計算用!$X$40),INDEX(振り分け!$B$7:$B$456,計算用!$X$40)))</f>
        <v/>
      </c>
      <c r="C42" s="54">
        <f>IF(計算用!$X$40="","",IF(計算用!$B$1=1,INDEX(計算用!$G$3:$G$452,計算用!$X$40),INDEX(振り分け!$C$7:$C$456,計算用!$X$40)))</f>
        <v/>
      </c>
      <c r="D42" s="59">
        <f>IF(計算用!$X$40="","",IF(計算用!$B$1=1,INDEX(計算用!$H$3:$H$452,計算用!$X$40),INDEX(振り分け!$D$7:$D$456,計算用!$X$40)))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IF(計算用!$X$41="","",39)</f>
        <v/>
      </c>
      <c r="B43" s="54">
        <f>IF(計算用!$X$41="","",IF(計算用!$B$1=1,INDEX(計算用!$F$3:$F$452,計算用!$X$41),INDEX(振り分け!$B$7:$B$456,計算用!$X$41)))</f>
        <v/>
      </c>
      <c r="C43" s="54">
        <f>IF(計算用!$X$41="","",IF(計算用!$B$1=1,INDEX(計算用!$G$3:$G$452,計算用!$X$41),INDEX(振り分け!$C$7:$C$456,計算用!$X$41)))</f>
        <v/>
      </c>
      <c r="D43" s="59">
        <f>IF(計算用!$X$41="","",IF(計算用!$B$1=1,INDEX(計算用!$H$3:$H$452,計算用!$X$41),INDEX(振り分け!$D$7:$D$456,計算用!$X$41)))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IF(計算用!$X$42="","",40)</f>
        <v/>
      </c>
      <c r="B44" s="54">
        <f>IF(計算用!$X$42="","",IF(計算用!$B$1=1,INDEX(計算用!$F$3:$F$452,計算用!$X$42),INDEX(振り分け!$B$7:$B$456,計算用!$X$42)))</f>
        <v/>
      </c>
      <c r="C44" s="54">
        <f>IF(計算用!$X$42="","",IF(計算用!$B$1=1,INDEX(計算用!$G$3:$G$452,計算用!$X$42),INDEX(振り分け!$C$7:$C$456,計算用!$X$42)))</f>
        <v/>
      </c>
      <c r="D44" s="59">
        <f>IF(計算用!$X$42="","",IF(計算用!$B$1=1,INDEX(計算用!$H$3:$H$452,計算用!$X$42),INDEX(振り分け!$D$7:$D$456,計算用!$X$42)))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IF(計算用!$X$43="","",41)</f>
        <v/>
      </c>
      <c r="B45" s="54">
        <f>IF(計算用!$X$43="","",IF(計算用!$B$1=1,INDEX(計算用!$F$3:$F$452,計算用!$X$43),INDEX(振り分け!$B$7:$B$456,計算用!$X$43)))</f>
        <v/>
      </c>
      <c r="C45" s="54">
        <f>IF(計算用!$X$43="","",IF(計算用!$B$1=1,INDEX(計算用!$G$3:$G$452,計算用!$X$43),INDEX(振り分け!$C$7:$C$456,計算用!$X$43)))</f>
        <v/>
      </c>
      <c r="D45" s="59">
        <f>IF(計算用!$X$43="","",IF(計算用!$B$1=1,INDEX(計算用!$H$3:$H$452,計算用!$X$43),INDEX(振り分け!$D$7:$D$456,計算用!$X$43)))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IF(計算用!$X$44="","",42)</f>
        <v/>
      </c>
      <c r="B46" s="54">
        <f>IF(計算用!$X$44="","",IF(計算用!$B$1=1,INDEX(計算用!$F$3:$F$452,計算用!$X$44),INDEX(振り分け!$B$7:$B$456,計算用!$X$44)))</f>
        <v/>
      </c>
      <c r="C46" s="54">
        <f>IF(計算用!$X$44="","",IF(計算用!$B$1=1,INDEX(計算用!$G$3:$G$452,計算用!$X$44),INDEX(振り分け!$C$7:$C$456,計算用!$X$44)))</f>
        <v/>
      </c>
      <c r="D46" s="59">
        <f>IF(計算用!$X$44="","",IF(計算用!$B$1=1,INDEX(計算用!$H$3:$H$452,計算用!$X$44),INDEX(振り分け!$D$7:$D$456,計算用!$X$44)))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IF(計算用!$X$45="","",43)</f>
        <v/>
      </c>
      <c r="B47" s="54">
        <f>IF(計算用!$X$45="","",IF(計算用!$B$1=1,INDEX(計算用!$F$3:$F$452,計算用!$X$45),INDEX(振り分け!$B$7:$B$456,計算用!$X$45)))</f>
        <v/>
      </c>
      <c r="C47" s="54">
        <f>IF(計算用!$X$45="","",IF(計算用!$B$1=1,INDEX(計算用!$G$3:$G$452,計算用!$X$45),INDEX(振り分け!$C$7:$C$456,計算用!$X$45)))</f>
        <v/>
      </c>
      <c r="D47" s="59">
        <f>IF(計算用!$X$45="","",IF(計算用!$B$1=1,INDEX(計算用!$H$3:$H$452,計算用!$X$45),INDEX(振り分け!$D$7:$D$456,計算用!$X$45)))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IF(計算用!$X$46="","",44)</f>
        <v/>
      </c>
      <c r="B48" s="54">
        <f>IF(計算用!$X$46="","",IF(計算用!$B$1=1,INDEX(計算用!$F$3:$F$452,計算用!$X$46),INDEX(振り分け!$B$7:$B$456,計算用!$X$46)))</f>
        <v/>
      </c>
      <c r="C48" s="54">
        <f>IF(計算用!$X$46="","",IF(計算用!$B$1=1,INDEX(計算用!$G$3:$G$452,計算用!$X$46),INDEX(振り分け!$C$7:$C$456,計算用!$X$46)))</f>
        <v/>
      </c>
      <c r="D48" s="59">
        <f>IF(計算用!$X$46="","",IF(計算用!$B$1=1,INDEX(計算用!$H$3:$H$452,計算用!$X$46),INDEX(振り分け!$D$7:$D$456,計算用!$X$46)))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IF(計算用!$X$47="","",45)</f>
        <v/>
      </c>
      <c r="B49" s="54">
        <f>IF(計算用!$X$47="","",IF(計算用!$B$1=1,INDEX(計算用!$F$3:$F$452,計算用!$X$47),INDEX(振り分け!$B$7:$B$456,計算用!$X$47)))</f>
        <v/>
      </c>
      <c r="C49" s="54">
        <f>IF(計算用!$X$47="","",IF(計算用!$B$1=1,INDEX(計算用!$G$3:$G$452,計算用!$X$47),INDEX(振り分け!$C$7:$C$456,計算用!$X$47)))</f>
        <v/>
      </c>
      <c r="D49" s="59">
        <f>IF(計算用!$X$47="","",IF(計算用!$B$1=1,INDEX(計算用!$H$3:$H$452,計算用!$X$47),INDEX(振り分け!$D$7:$D$456,計算用!$X$47)))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IF(計算用!$X$48="","",46)</f>
        <v/>
      </c>
      <c r="B50" s="54">
        <f>IF(計算用!$X$48="","",IF(計算用!$B$1=1,INDEX(計算用!$F$3:$F$452,計算用!$X$48),INDEX(振り分け!$B$7:$B$456,計算用!$X$48)))</f>
        <v/>
      </c>
      <c r="C50" s="54">
        <f>IF(計算用!$X$48="","",IF(計算用!$B$1=1,INDEX(計算用!$G$3:$G$452,計算用!$X$48),INDEX(振り分け!$C$7:$C$456,計算用!$X$48)))</f>
        <v/>
      </c>
      <c r="D50" s="59">
        <f>IF(計算用!$X$48="","",IF(計算用!$B$1=1,INDEX(計算用!$H$3:$H$452,計算用!$X$48),INDEX(振り分け!$D$7:$D$456,計算用!$X$48)))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IF(計算用!$X$49="","",47)</f>
        <v/>
      </c>
      <c r="B51" s="54">
        <f>IF(計算用!$X$49="","",IF(計算用!$B$1=1,INDEX(計算用!$F$3:$F$452,計算用!$X$49),INDEX(振り分け!$B$7:$B$456,計算用!$X$49)))</f>
        <v/>
      </c>
      <c r="C51" s="54">
        <f>IF(計算用!$X$49="","",IF(計算用!$B$1=1,INDEX(計算用!$G$3:$G$452,計算用!$X$49),INDEX(振り分け!$C$7:$C$456,計算用!$X$49)))</f>
        <v/>
      </c>
      <c r="D51" s="59">
        <f>IF(計算用!$X$49="","",IF(計算用!$B$1=1,INDEX(計算用!$H$3:$H$452,計算用!$X$49),INDEX(振り分け!$D$7:$D$456,計算用!$X$49)))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IF(計算用!$X$50="","",48)</f>
        <v/>
      </c>
      <c r="B52" s="54">
        <f>IF(計算用!$X$50="","",IF(計算用!$B$1=1,INDEX(計算用!$F$3:$F$452,計算用!$X$50),INDEX(振り分け!$B$7:$B$456,計算用!$X$50)))</f>
        <v/>
      </c>
      <c r="C52" s="54">
        <f>IF(計算用!$X$50="","",IF(計算用!$B$1=1,INDEX(計算用!$G$3:$G$452,計算用!$X$50),INDEX(振り分け!$C$7:$C$456,計算用!$X$50)))</f>
        <v/>
      </c>
      <c r="D52" s="59">
        <f>IF(計算用!$X$50="","",IF(計算用!$B$1=1,INDEX(計算用!$H$3:$H$452,計算用!$X$50),INDEX(振り分け!$D$7:$D$456,計算用!$X$50)))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IF(計算用!$X$51="","",49)</f>
        <v/>
      </c>
      <c r="B53" s="54">
        <f>IF(計算用!$X$51="","",IF(計算用!$B$1=1,INDEX(計算用!$F$3:$F$452,計算用!$X$51),INDEX(振り分け!$B$7:$B$456,計算用!$X$51)))</f>
        <v/>
      </c>
      <c r="C53" s="54">
        <f>IF(計算用!$X$51="","",IF(計算用!$B$1=1,INDEX(計算用!$G$3:$G$452,計算用!$X$51),INDEX(振り分け!$C$7:$C$456,計算用!$X$51)))</f>
        <v/>
      </c>
      <c r="D53" s="59">
        <f>IF(計算用!$X$51="","",IF(計算用!$B$1=1,INDEX(計算用!$H$3:$H$452,計算用!$X$51),INDEX(振り分け!$D$7:$D$456,計算用!$X$51)))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IF(計算用!$X$52="","",50)</f>
        <v/>
      </c>
      <c r="B54" s="54">
        <f>IF(計算用!$X$52="","",IF(計算用!$B$1=1,INDEX(計算用!$F$3:$F$452,計算用!$X$52),INDEX(振り分け!$B$7:$B$456,計算用!$X$52)))</f>
        <v/>
      </c>
      <c r="C54" s="54">
        <f>IF(計算用!$X$52="","",IF(計算用!$B$1=1,INDEX(計算用!$G$3:$G$452,計算用!$X$52),INDEX(振り分け!$C$7:$C$456,計算用!$X$52)))</f>
        <v/>
      </c>
      <c r="D54" s="59">
        <f>IF(計算用!$X$52="","",IF(計算用!$B$1=1,INDEX(計算用!$H$3:$H$452,計算用!$X$52),INDEX(振り分け!$D$7:$D$456,計算用!$X$52)))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IF(設定!$P$23="","",設定!$B$3&amp;"　"&amp;設定!$P$23&amp;設定!$B$4&amp;"名簿"&amp;IF(計算用!$B$1=0,"（仮・前年度の組）",""))</f>
        <v/>
      </c>
    </row>
    <row r="2">
      <c r="A2" s="44">
        <f>IF(設定!$P$23="","","担当："&amp;設定!$S$23&amp;"　　活動場所："&amp;設定!$T$23&amp;"　　人数："&amp;定員チェック!$F$22&amp;"名（"&amp;設定!$B$8&amp;"年"&amp;定員チェック!$G$22&amp;"・"&amp;設定!$B$9&amp;"年"&amp;定員チェック!$H$22&amp;"・"&amp;設定!$B$10&amp;"年"&amp;定員チェック!$I$22&amp;"）")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IF(計算用!$Y$3="","",1)</f>
        <v/>
      </c>
      <c r="B5" s="54">
        <f>IF(計算用!$Y$3="","",IF(計算用!$B$1=1,INDEX(計算用!$F$3:$F$452,計算用!$Y$3),INDEX(振り分け!$B$7:$B$456,計算用!$Y$3)))</f>
        <v/>
      </c>
      <c r="C5" s="54">
        <f>IF(計算用!$Y$3="","",IF(計算用!$B$1=1,INDEX(計算用!$G$3:$G$452,計算用!$Y$3),INDEX(振り分け!$C$7:$C$456,計算用!$Y$3)))</f>
        <v/>
      </c>
      <c r="D5" s="59">
        <f>IF(計算用!$Y$3="","",IF(計算用!$B$1=1,INDEX(計算用!$H$3:$H$452,計算用!$Y$3),INDEX(振り分け!$D$7:$D$456,計算用!$Y$3)))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IF(計算用!$Y$4="","",2)</f>
        <v/>
      </c>
      <c r="B6" s="54">
        <f>IF(計算用!$Y$4="","",IF(計算用!$B$1=1,INDEX(計算用!$F$3:$F$452,計算用!$Y$4),INDEX(振り分け!$B$7:$B$456,計算用!$Y$4)))</f>
        <v/>
      </c>
      <c r="C6" s="54">
        <f>IF(計算用!$Y$4="","",IF(計算用!$B$1=1,INDEX(計算用!$G$3:$G$452,計算用!$Y$4),INDEX(振り分け!$C$7:$C$456,計算用!$Y$4)))</f>
        <v/>
      </c>
      <c r="D6" s="59">
        <f>IF(計算用!$Y$4="","",IF(計算用!$B$1=1,INDEX(計算用!$H$3:$H$452,計算用!$Y$4),INDEX(振り分け!$D$7:$D$456,計算用!$Y$4)))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IF(計算用!$Y$5="","",3)</f>
        <v/>
      </c>
      <c r="B7" s="54">
        <f>IF(計算用!$Y$5="","",IF(計算用!$B$1=1,INDEX(計算用!$F$3:$F$452,計算用!$Y$5),INDEX(振り分け!$B$7:$B$456,計算用!$Y$5)))</f>
        <v/>
      </c>
      <c r="C7" s="54">
        <f>IF(計算用!$Y$5="","",IF(計算用!$B$1=1,INDEX(計算用!$G$3:$G$452,計算用!$Y$5),INDEX(振り分け!$C$7:$C$456,計算用!$Y$5)))</f>
        <v/>
      </c>
      <c r="D7" s="59">
        <f>IF(計算用!$Y$5="","",IF(計算用!$B$1=1,INDEX(計算用!$H$3:$H$452,計算用!$Y$5),INDEX(振り分け!$D$7:$D$456,計算用!$Y$5)))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IF(計算用!$Y$6="","",4)</f>
        <v/>
      </c>
      <c r="B8" s="54">
        <f>IF(計算用!$Y$6="","",IF(計算用!$B$1=1,INDEX(計算用!$F$3:$F$452,計算用!$Y$6),INDEX(振り分け!$B$7:$B$456,計算用!$Y$6)))</f>
        <v/>
      </c>
      <c r="C8" s="54">
        <f>IF(計算用!$Y$6="","",IF(計算用!$B$1=1,INDEX(計算用!$G$3:$G$452,計算用!$Y$6),INDEX(振り分け!$C$7:$C$456,計算用!$Y$6)))</f>
        <v/>
      </c>
      <c r="D8" s="59">
        <f>IF(計算用!$Y$6="","",IF(計算用!$B$1=1,INDEX(計算用!$H$3:$H$452,計算用!$Y$6),INDEX(振り分け!$D$7:$D$456,計算用!$Y$6)))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IF(計算用!$Y$7="","",5)</f>
        <v/>
      </c>
      <c r="B9" s="54">
        <f>IF(計算用!$Y$7="","",IF(計算用!$B$1=1,INDEX(計算用!$F$3:$F$452,計算用!$Y$7),INDEX(振り分け!$B$7:$B$456,計算用!$Y$7)))</f>
        <v/>
      </c>
      <c r="C9" s="54">
        <f>IF(計算用!$Y$7="","",IF(計算用!$B$1=1,INDEX(計算用!$G$3:$G$452,計算用!$Y$7),INDEX(振り分け!$C$7:$C$456,計算用!$Y$7)))</f>
        <v/>
      </c>
      <c r="D9" s="59">
        <f>IF(計算用!$Y$7="","",IF(計算用!$B$1=1,INDEX(計算用!$H$3:$H$452,計算用!$Y$7),INDEX(振り分け!$D$7:$D$456,計算用!$Y$7)))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IF(計算用!$Y$8="","",6)</f>
        <v/>
      </c>
      <c r="B10" s="54">
        <f>IF(計算用!$Y$8="","",IF(計算用!$B$1=1,INDEX(計算用!$F$3:$F$452,計算用!$Y$8),INDEX(振り分け!$B$7:$B$456,計算用!$Y$8)))</f>
        <v/>
      </c>
      <c r="C10" s="54">
        <f>IF(計算用!$Y$8="","",IF(計算用!$B$1=1,INDEX(計算用!$G$3:$G$452,計算用!$Y$8),INDEX(振り分け!$C$7:$C$456,計算用!$Y$8)))</f>
        <v/>
      </c>
      <c r="D10" s="59">
        <f>IF(計算用!$Y$8="","",IF(計算用!$B$1=1,INDEX(計算用!$H$3:$H$452,計算用!$Y$8),INDEX(振り分け!$D$7:$D$456,計算用!$Y$8)))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IF(計算用!$Y$9="","",7)</f>
        <v/>
      </c>
      <c r="B11" s="54">
        <f>IF(計算用!$Y$9="","",IF(計算用!$B$1=1,INDEX(計算用!$F$3:$F$452,計算用!$Y$9),INDEX(振り分け!$B$7:$B$456,計算用!$Y$9)))</f>
        <v/>
      </c>
      <c r="C11" s="54">
        <f>IF(計算用!$Y$9="","",IF(計算用!$B$1=1,INDEX(計算用!$G$3:$G$452,計算用!$Y$9),INDEX(振り分け!$C$7:$C$456,計算用!$Y$9)))</f>
        <v/>
      </c>
      <c r="D11" s="59">
        <f>IF(計算用!$Y$9="","",IF(計算用!$B$1=1,INDEX(計算用!$H$3:$H$452,計算用!$Y$9),INDEX(振り分け!$D$7:$D$456,計算用!$Y$9)))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IF(計算用!$Y$10="","",8)</f>
        <v/>
      </c>
      <c r="B12" s="54">
        <f>IF(計算用!$Y$10="","",IF(計算用!$B$1=1,INDEX(計算用!$F$3:$F$452,計算用!$Y$10),INDEX(振り分け!$B$7:$B$456,計算用!$Y$10)))</f>
        <v/>
      </c>
      <c r="C12" s="54">
        <f>IF(計算用!$Y$10="","",IF(計算用!$B$1=1,INDEX(計算用!$G$3:$G$452,計算用!$Y$10),INDEX(振り分け!$C$7:$C$456,計算用!$Y$10)))</f>
        <v/>
      </c>
      <c r="D12" s="59">
        <f>IF(計算用!$Y$10="","",IF(計算用!$B$1=1,INDEX(計算用!$H$3:$H$452,計算用!$Y$10),INDEX(振り分け!$D$7:$D$456,計算用!$Y$10)))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IF(計算用!$Y$11="","",9)</f>
        <v/>
      </c>
      <c r="B13" s="54">
        <f>IF(計算用!$Y$11="","",IF(計算用!$B$1=1,INDEX(計算用!$F$3:$F$452,計算用!$Y$11),INDEX(振り分け!$B$7:$B$456,計算用!$Y$11)))</f>
        <v/>
      </c>
      <c r="C13" s="54">
        <f>IF(計算用!$Y$11="","",IF(計算用!$B$1=1,INDEX(計算用!$G$3:$G$452,計算用!$Y$11),INDEX(振り分け!$C$7:$C$456,計算用!$Y$11)))</f>
        <v/>
      </c>
      <c r="D13" s="59">
        <f>IF(計算用!$Y$11="","",IF(計算用!$B$1=1,INDEX(計算用!$H$3:$H$452,計算用!$Y$11),INDEX(振り分け!$D$7:$D$456,計算用!$Y$11)))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IF(計算用!$Y$12="","",10)</f>
        <v/>
      </c>
      <c r="B14" s="54">
        <f>IF(計算用!$Y$12="","",IF(計算用!$B$1=1,INDEX(計算用!$F$3:$F$452,計算用!$Y$12),INDEX(振り分け!$B$7:$B$456,計算用!$Y$12)))</f>
        <v/>
      </c>
      <c r="C14" s="54">
        <f>IF(計算用!$Y$12="","",IF(計算用!$B$1=1,INDEX(計算用!$G$3:$G$452,計算用!$Y$12),INDEX(振り分け!$C$7:$C$456,計算用!$Y$12)))</f>
        <v/>
      </c>
      <c r="D14" s="59">
        <f>IF(計算用!$Y$12="","",IF(計算用!$B$1=1,INDEX(計算用!$H$3:$H$452,計算用!$Y$12),INDEX(振り分け!$D$7:$D$456,計算用!$Y$12)))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IF(計算用!$Y$13="","",11)</f>
        <v/>
      </c>
      <c r="B15" s="54">
        <f>IF(計算用!$Y$13="","",IF(計算用!$B$1=1,INDEX(計算用!$F$3:$F$452,計算用!$Y$13),INDEX(振り分け!$B$7:$B$456,計算用!$Y$13)))</f>
        <v/>
      </c>
      <c r="C15" s="54">
        <f>IF(計算用!$Y$13="","",IF(計算用!$B$1=1,INDEX(計算用!$G$3:$G$452,計算用!$Y$13),INDEX(振り分け!$C$7:$C$456,計算用!$Y$13)))</f>
        <v/>
      </c>
      <c r="D15" s="59">
        <f>IF(計算用!$Y$13="","",IF(計算用!$B$1=1,INDEX(計算用!$H$3:$H$452,計算用!$Y$13),INDEX(振り分け!$D$7:$D$456,計算用!$Y$13)))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IF(計算用!$Y$14="","",12)</f>
        <v/>
      </c>
      <c r="B16" s="54">
        <f>IF(計算用!$Y$14="","",IF(計算用!$B$1=1,INDEX(計算用!$F$3:$F$452,計算用!$Y$14),INDEX(振り分け!$B$7:$B$456,計算用!$Y$14)))</f>
        <v/>
      </c>
      <c r="C16" s="54">
        <f>IF(計算用!$Y$14="","",IF(計算用!$B$1=1,INDEX(計算用!$G$3:$G$452,計算用!$Y$14),INDEX(振り分け!$C$7:$C$456,計算用!$Y$14)))</f>
        <v/>
      </c>
      <c r="D16" s="59">
        <f>IF(計算用!$Y$14="","",IF(計算用!$B$1=1,INDEX(計算用!$H$3:$H$452,計算用!$Y$14),INDEX(振り分け!$D$7:$D$456,計算用!$Y$14)))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IF(計算用!$Y$15="","",13)</f>
        <v/>
      </c>
      <c r="B17" s="54">
        <f>IF(計算用!$Y$15="","",IF(計算用!$B$1=1,INDEX(計算用!$F$3:$F$452,計算用!$Y$15),INDEX(振り分け!$B$7:$B$456,計算用!$Y$15)))</f>
        <v/>
      </c>
      <c r="C17" s="54">
        <f>IF(計算用!$Y$15="","",IF(計算用!$B$1=1,INDEX(計算用!$G$3:$G$452,計算用!$Y$15),INDEX(振り分け!$C$7:$C$456,計算用!$Y$15)))</f>
        <v/>
      </c>
      <c r="D17" s="59">
        <f>IF(計算用!$Y$15="","",IF(計算用!$B$1=1,INDEX(計算用!$H$3:$H$452,計算用!$Y$15),INDEX(振り分け!$D$7:$D$456,計算用!$Y$15)))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IF(計算用!$Y$16="","",14)</f>
        <v/>
      </c>
      <c r="B18" s="54">
        <f>IF(計算用!$Y$16="","",IF(計算用!$B$1=1,INDEX(計算用!$F$3:$F$452,計算用!$Y$16),INDEX(振り分け!$B$7:$B$456,計算用!$Y$16)))</f>
        <v/>
      </c>
      <c r="C18" s="54">
        <f>IF(計算用!$Y$16="","",IF(計算用!$B$1=1,INDEX(計算用!$G$3:$G$452,計算用!$Y$16),INDEX(振り分け!$C$7:$C$456,計算用!$Y$16)))</f>
        <v/>
      </c>
      <c r="D18" s="59">
        <f>IF(計算用!$Y$16="","",IF(計算用!$B$1=1,INDEX(計算用!$H$3:$H$452,計算用!$Y$16),INDEX(振り分け!$D$7:$D$456,計算用!$Y$16)))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IF(計算用!$Y$17="","",15)</f>
        <v/>
      </c>
      <c r="B19" s="54">
        <f>IF(計算用!$Y$17="","",IF(計算用!$B$1=1,INDEX(計算用!$F$3:$F$452,計算用!$Y$17),INDEX(振り分け!$B$7:$B$456,計算用!$Y$17)))</f>
        <v/>
      </c>
      <c r="C19" s="54">
        <f>IF(計算用!$Y$17="","",IF(計算用!$B$1=1,INDEX(計算用!$G$3:$G$452,計算用!$Y$17),INDEX(振り分け!$C$7:$C$456,計算用!$Y$17)))</f>
        <v/>
      </c>
      <c r="D19" s="59">
        <f>IF(計算用!$Y$17="","",IF(計算用!$B$1=1,INDEX(計算用!$H$3:$H$452,計算用!$Y$17),INDEX(振り分け!$D$7:$D$456,計算用!$Y$17)))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IF(計算用!$Y$18="","",16)</f>
        <v/>
      </c>
      <c r="B20" s="54">
        <f>IF(計算用!$Y$18="","",IF(計算用!$B$1=1,INDEX(計算用!$F$3:$F$452,計算用!$Y$18),INDEX(振り分け!$B$7:$B$456,計算用!$Y$18)))</f>
        <v/>
      </c>
      <c r="C20" s="54">
        <f>IF(計算用!$Y$18="","",IF(計算用!$B$1=1,INDEX(計算用!$G$3:$G$452,計算用!$Y$18),INDEX(振り分け!$C$7:$C$456,計算用!$Y$18)))</f>
        <v/>
      </c>
      <c r="D20" s="59">
        <f>IF(計算用!$Y$18="","",IF(計算用!$B$1=1,INDEX(計算用!$H$3:$H$452,計算用!$Y$18),INDEX(振り分け!$D$7:$D$456,計算用!$Y$18)))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IF(計算用!$Y$19="","",17)</f>
        <v/>
      </c>
      <c r="B21" s="54">
        <f>IF(計算用!$Y$19="","",IF(計算用!$B$1=1,INDEX(計算用!$F$3:$F$452,計算用!$Y$19),INDEX(振り分け!$B$7:$B$456,計算用!$Y$19)))</f>
        <v/>
      </c>
      <c r="C21" s="54">
        <f>IF(計算用!$Y$19="","",IF(計算用!$B$1=1,INDEX(計算用!$G$3:$G$452,計算用!$Y$19),INDEX(振り分け!$C$7:$C$456,計算用!$Y$19)))</f>
        <v/>
      </c>
      <c r="D21" s="59">
        <f>IF(計算用!$Y$19="","",IF(計算用!$B$1=1,INDEX(計算用!$H$3:$H$452,計算用!$Y$19),INDEX(振り分け!$D$7:$D$456,計算用!$Y$19)))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IF(計算用!$Y$20="","",18)</f>
        <v/>
      </c>
      <c r="B22" s="54">
        <f>IF(計算用!$Y$20="","",IF(計算用!$B$1=1,INDEX(計算用!$F$3:$F$452,計算用!$Y$20),INDEX(振り分け!$B$7:$B$456,計算用!$Y$20)))</f>
        <v/>
      </c>
      <c r="C22" s="54">
        <f>IF(計算用!$Y$20="","",IF(計算用!$B$1=1,INDEX(計算用!$G$3:$G$452,計算用!$Y$20),INDEX(振り分け!$C$7:$C$456,計算用!$Y$20)))</f>
        <v/>
      </c>
      <c r="D22" s="59">
        <f>IF(計算用!$Y$20="","",IF(計算用!$B$1=1,INDEX(計算用!$H$3:$H$452,計算用!$Y$20),INDEX(振り分け!$D$7:$D$456,計算用!$Y$20)))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IF(計算用!$Y$21="","",19)</f>
        <v/>
      </c>
      <c r="B23" s="54">
        <f>IF(計算用!$Y$21="","",IF(計算用!$B$1=1,INDEX(計算用!$F$3:$F$452,計算用!$Y$21),INDEX(振り分け!$B$7:$B$456,計算用!$Y$21)))</f>
        <v/>
      </c>
      <c r="C23" s="54">
        <f>IF(計算用!$Y$21="","",IF(計算用!$B$1=1,INDEX(計算用!$G$3:$G$452,計算用!$Y$21),INDEX(振り分け!$C$7:$C$456,計算用!$Y$21)))</f>
        <v/>
      </c>
      <c r="D23" s="59">
        <f>IF(計算用!$Y$21="","",IF(計算用!$B$1=1,INDEX(計算用!$H$3:$H$452,計算用!$Y$21),INDEX(振り分け!$D$7:$D$456,計算用!$Y$21)))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IF(計算用!$Y$22="","",20)</f>
        <v/>
      </c>
      <c r="B24" s="54">
        <f>IF(計算用!$Y$22="","",IF(計算用!$B$1=1,INDEX(計算用!$F$3:$F$452,計算用!$Y$22),INDEX(振り分け!$B$7:$B$456,計算用!$Y$22)))</f>
        <v/>
      </c>
      <c r="C24" s="54">
        <f>IF(計算用!$Y$22="","",IF(計算用!$B$1=1,INDEX(計算用!$G$3:$G$452,計算用!$Y$22),INDEX(振り分け!$C$7:$C$456,計算用!$Y$22)))</f>
        <v/>
      </c>
      <c r="D24" s="59">
        <f>IF(計算用!$Y$22="","",IF(計算用!$B$1=1,INDEX(計算用!$H$3:$H$452,計算用!$Y$22),INDEX(振り分け!$D$7:$D$456,計算用!$Y$22)))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IF(計算用!$Y$23="","",21)</f>
        <v/>
      </c>
      <c r="B25" s="54">
        <f>IF(計算用!$Y$23="","",IF(計算用!$B$1=1,INDEX(計算用!$F$3:$F$452,計算用!$Y$23),INDEX(振り分け!$B$7:$B$456,計算用!$Y$23)))</f>
        <v/>
      </c>
      <c r="C25" s="54">
        <f>IF(計算用!$Y$23="","",IF(計算用!$B$1=1,INDEX(計算用!$G$3:$G$452,計算用!$Y$23),INDEX(振り分け!$C$7:$C$456,計算用!$Y$23)))</f>
        <v/>
      </c>
      <c r="D25" s="59">
        <f>IF(計算用!$Y$23="","",IF(計算用!$B$1=1,INDEX(計算用!$H$3:$H$452,計算用!$Y$23),INDEX(振り分け!$D$7:$D$456,計算用!$Y$23)))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IF(計算用!$Y$24="","",22)</f>
        <v/>
      </c>
      <c r="B26" s="54">
        <f>IF(計算用!$Y$24="","",IF(計算用!$B$1=1,INDEX(計算用!$F$3:$F$452,計算用!$Y$24),INDEX(振り分け!$B$7:$B$456,計算用!$Y$24)))</f>
        <v/>
      </c>
      <c r="C26" s="54">
        <f>IF(計算用!$Y$24="","",IF(計算用!$B$1=1,INDEX(計算用!$G$3:$G$452,計算用!$Y$24),INDEX(振り分け!$C$7:$C$456,計算用!$Y$24)))</f>
        <v/>
      </c>
      <c r="D26" s="59">
        <f>IF(計算用!$Y$24="","",IF(計算用!$B$1=1,INDEX(計算用!$H$3:$H$452,計算用!$Y$24),INDEX(振り分け!$D$7:$D$456,計算用!$Y$24)))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IF(計算用!$Y$25="","",23)</f>
        <v/>
      </c>
      <c r="B27" s="54">
        <f>IF(計算用!$Y$25="","",IF(計算用!$B$1=1,INDEX(計算用!$F$3:$F$452,計算用!$Y$25),INDEX(振り分け!$B$7:$B$456,計算用!$Y$25)))</f>
        <v/>
      </c>
      <c r="C27" s="54">
        <f>IF(計算用!$Y$25="","",IF(計算用!$B$1=1,INDEX(計算用!$G$3:$G$452,計算用!$Y$25),INDEX(振り分け!$C$7:$C$456,計算用!$Y$25)))</f>
        <v/>
      </c>
      <c r="D27" s="59">
        <f>IF(計算用!$Y$25="","",IF(計算用!$B$1=1,INDEX(計算用!$H$3:$H$452,計算用!$Y$25),INDEX(振り分け!$D$7:$D$456,計算用!$Y$25)))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IF(計算用!$Y$26="","",24)</f>
        <v/>
      </c>
      <c r="B28" s="54">
        <f>IF(計算用!$Y$26="","",IF(計算用!$B$1=1,INDEX(計算用!$F$3:$F$452,計算用!$Y$26),INDEX(振り分け!$B$7:$B$456,計算用!$Y$26)))</f>
        <v/>
      </c>
      <c r="C28" s="54">
        <f>IF(計算用!$Y$26="","",IF(計算用!$B$1=1,INDEX(計算用!$G$3:$G$452,計算用!$Y$26),INDEX(振り分け!$C$7:$C$456,計算用!$Y$26)))</f>
        <v/>
      </c>
      <c r="D28" s="59">
        <f>IF(計算用!$Y$26="","",IF(計算用!$B$1=1,INDEX(計算用!$H$3:$H$452,計算用!$Y$26),INDEX(振り分け!$D$7:$D$456,計算用!$Y$26)))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IF(計算用!$Y$27="","",25)</f>
        <v/>
      </c>
      <c r="B29" s="54">
        <f>IF(計算用!$Y$27="","",IF(計算用!$B$1=1,INDEX(計算用!$F$3:$F$452,計算用!$Y$27),INDEX(振り分け!$B$7:$B$456,計算用!$Y$27)))</f>
        <v/>
      </c>
      <c r="C29" s="54">
        <f>IF(計算用!$Y$27="","",IF(計算用!$B$1=1,INDEX(計算用!$G$3:$G$452,計算用!$Y$27),INDEX(振り分け!$C$7:$C$456,計算用!$Y$27)))</f>
        <v/>
      </c>
      <c r="D29" s="59">
        <f>IF(計算用!$Y$27="","",IF(計算用!$B$1=1,INDEX(計算用!$H$3:$H$452,計算用!$Y$27),INDEX(振り分け!$D$7:$D$456,計算用!$Y$27)))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IF(計算用!$Y$28="","",26)</f>
        <v/>
      </c>
      <c r="B30" s="54">
        <f>IF(計算用!$Y$28="","",IF(計算用!$B$1=1,INDEX(計算用!$F$3:$F$452,計算用!$Y$28),INDEX(振り分け!$B$7:$B$456,計算用!$Y$28)))</f>
        <v/>
      </c>
      <c r="C30" s="54">
        <f>IF(計算用!$Y$28="","",IF(計算用!$B$1=1,INDEX(計算用!$G$3:$G$452,計算用!$Y$28),INDEX(振り分け!$C$7:$C$456,計算用!$Y$28)))</f>
        <v/>
      </c>
      <c r="D30" s="59">
        <f>IF(計算用!$Y$28="","",IF(計算用!$B$1=1,INDEX(計算用!$H$3:$H$452,計算用!$Y$28),INDEX(振り分け!$D$7:$D$456,計算用!$Y$28)))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IF(計算用!$Y$29="","",27)</f>
        <v/>
      </c>
      <c r="B31" s="54">
        <f>IF(計算用!$Y$29="","",IF(計算用!$B$1=1,INDEX(計算用!$F$3:$F$452,計算用!$Y$29),INDEX(振り分け!$B$7:$B$456,計算用!$Y$29)))</f>
        <v/>
      </c>
      <c r="C31" s="54">
        <f>IF(計算用!$Y$29="","",IF(計算用!$B$1=1,INDEX(計算用!$G$3:$G$452,計算用!$Y$29),INDEX(振り分け!$C$7:$C$456,計算用!$Y$29)))</f>
        <v/>
      </c>
      <c r="D31" s="59">
        <f>IF(計算用!$Y$29="","",IF(計算用!$B$1=1,INDEX(計算用!$H$3:$H$452,計算用!$Y$29),INDEX(振り分け!$D$7:$D$456,計算用!$Y$29)))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IF(計算用!$Y$30="","",28)</f>
        <v/>
      </c>
      <c r="B32" s="54">
        <f>IF(計算用!$Y$30="","",IF(計算用!$B$1=1,INDEX(計算用!$F$3:$F$452,計算用!$Y$30),INDEX(振り分け!$B$7:$B$456,計算用!$Y$30)))</f>
        <v/>
      </c>
      <c r="C32" s="54">
        <f>IF(計算用!$Y$30="","",IF(計算用!$B$1=1,INDEX(計算用!$G$3:$G$452,計算用!$Y$30),INDEX(振り分け!$C$7:$C$456,計算用!$Y$30)))</f>
        <v/>
      </c>
      <c r="D32" s="59">
        <f>IF(計算用!$Y$30="","",IF(計算用!$B$1=1,INDEX(計算用!$H$3:$H$452,計算用!$Y$30),INDEX(振り分け!$D$7:$D$456,計算用!$Y$30)))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IF(計算用!$Y$31="","",29)</f>
        <v/>
      </c>
      <c r="B33" s="54">
        <f>IF(計算用!$Y$31="","",IF(計算用!$B$1=1,INDEX(計算用!$F$3:$F$452,計算用!$Y$31),INDEX(振り分け!$B$7:$B$456,計算用!$Y$31)))</f>
        <v/>
      </c>
      <c r="C33" s="54">
        <f>IF(計算用!$Y$31="","",IF(計算用!$B$1=1,INDEX(計算用!$G$3:$G$452,計算用!$Y$31),INDEX(振り分け!$C$7:$C$456,計算用!$Y$31)))</f>
        <v/>
      </c>
      <c r="D33" s="59">
        <f>IF(計算用!$Y$31="","",IF(計算用!$B$1=1,INDEX(計算用!$H$3:$H$452,計算用!$Y$31),INDEX(振り分け!$D$7:$D$456,計算用!$Y$31)))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IF(計算用!$Y$32="","",30)</f>
        <v/>
      </c>
      <c r="B34" s="54">
        <f>IF(計算用!$Y$32="","",IF(計算用!$B$1=1,INDEX(計算用!$F$3:$F$452,計算用!$Y$32),INDEX(振り分け!$B$7:$B$456,計算用!$Y$32)))</f>
        <v/>
      </c>
      <c r="C34" s="54">
        <f>IF(計算用!$Y$32="","",IF(計算用!$B$1=1,INDEX(計算用!$G$3:$G$452,計算用!$Y$32),INDEX(振り分け!$C$7:$C$456,計算用!$Y$32)))</f>
        <v/>
      </c>
      <c r="D34" s="59">
        <f>IF(計算用!$Y$32="","",IF(計算用!$B$1=1,INDEX(計算用!$H$3:$H$452,計算用!$Y$32),INDEX(振り分け!$D$7:$D$456,計算用!$Y$32)))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IF(計算用!$Y$33="","",31)</f>
        <v/>
      </c>
      <c r="B35" s="54">
        <f>IF(計算用!$Y$33="","",IF(計算用!$B$1=1,INDEX(計算用!$F$3:$F$452,計算用!$Y$33),INDEX(振り分け!$B$7:$B$456,計算用!$Y$33)))</f>
        <v/>
      </c>
      <c r="C35" s="54">
        <f>IF(計算用!$Y$33="","",IF(計算用!$B$1=1,INDEX(計算用!$G$3:$G$452,計算用!$Y$33),INDEX(振り分け!$C$7:$C$456,計算用!$Y$33)))</f>
        <v/>
      </c>
      <c r="D35" s="59">
        <f>IF(計算用!$Y$33="","",IF(計算用!$B$1=1,INDEX(計算用!$H$3:$H$452,計算用!$Y$33),INDEX(振り分け!$D$7:$D$456,計算用!$Y$33)))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IF(計算用!$Y$34="","",32)</f>
        <v/>
      </c>
      <c r="B36" s="54">
        <f>IF(計算用!$Y$34="","",IF(計算用!$B$1=1,INDEX(計算用!$F$3:$F$452,計算用!$Y$34),INDEX(振り分け!$B$7:$B$456,計算用!$Y$34)))</f>
        <v/>
      </c>
      <c r="C36" s="54">
        <f>IF(計算用!$Y$34="","",IF(計算用!$B$1=1,INDEX(計算用!$G$3:$G$452,計算用!$Y$34),INDEX(振り分け!$C$7:$C$456,計算用!$Y$34)))</f>
        <v/>
      </c>
      <c r="D36" s="59">
        <f>IF(計算用!$Y$34="","",IF(計算用!$B$1=1,INDEX(計算用!$H$3:$H$452,計算用!$Y$34),INDEX(振り分け!$D$7:$D$456,計算用!$Y$34)))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IF(計算用!$Y$35="","",33)</f>
        <v/>
      </c>
      <c r="B37" s="54">
        <f>IF(計算用!$Y$35="","",IF(計算用!$B$1=1,INDEX(計算用!$F$3:$F$452,計算用!$Y$35),INDEX(振り分け!$B$7:$B$456,計算用!$Y$35)))</f>
        <v/>
      </c>
      <c r="C37" s="54">
        <f>IF(計算用!$Y$35="","",IF(計算用!$B$1=1,INDEX(計算用!$G$3:$G$452,計算用!$Y$35),INDEX(振り分け!$C$7:$C$456,計算用!$Y$35)))</f>
        <v/>
      </c>
      <c r="D37" s="59">
        <f>IF(計算用!$Y$35="","",IF(計算用!$B$1=1,INDEX(計算用!$H$3:$H$452,計算用!$Y$35),INDEX(振り分け!$D$7:$D$456,計算用!$Y$35)))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IF(計算用!$Y$36="","",34)</f>
        <v/>
      </c>
      <c r="B38" s="54">
        <f>IF(計算用!$Y$36="","",IF(計算用!$B$1=1,INDEX(計算用!$F$3:$F$452,計算用!$Y$36),INDEX(振り分け!$B$7:$B$456,計算用!$Y$36)))</f>
        <v/>
      </c>
      <c r="C38" s="54">
        <f>IF(計算用!$Y$36="","",IF(計算用!$B$1=1,INDEX(計算用!$G$3:$G$452,計算用!$Y$36),INDEX(振り分け!$C$7:$C$456,計算用!$Y$36)))</f>
        <v/>
      </c>
      <c r="D38" s="59">
        <f>IF(計算用!$Y$36="","",IF(計算用!$B$1=1,INDEX(計算用!$H$3:$H$452,計算用!$Y$36),INDEX(振り分け!$D$7:$D$456,計算用!$Y$36)))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IF(計算用!$Y$37="","",35)</f>
        <v/>
      </c>
      <c r="B39" s="54">
        <f>IF(計算用!$Y$37="","",IF(計算用!$B$1=1,INDEX(計算用!$F$3:$F$452,計算用!$Y$37),INDEX(振り分け!$B$7:$B$456,計算用!$Y$37)))</f>
        <v/>
      </c>
      <c r="C39" s="54">
        <f>IF(計算用!$Y$37="","",IF(計算用!$B$1=1,INDEX(計算用!$G$3:$G$452,計算用!$Y$37),INDEX(振り分け!$C$7:$C$456,計算用!$Y$37)))</f>
        <v/>
      </c>
      <c r="D39" s="59">
        <f>IF(計算用!$Y$37="","",IF(計算用!$B$1=1,INDEX(計算用!$H$3:$H$452,計算用!$Y$37),INDEX(振り分け!$D$7:$D$456,計算用!$Y$37)))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IF(計算用!$Y$38="","",36)</f>
        <v/>
      </c>
      <c r="B40" s="54">
        <f>IF(計算用!$Y$38="","",IF(計算用!$B$1=1,INDEX(計算用!$F$3:$F$452,計算用!$Y$38),INDEX(振り分け!$B$7:$B$456,計算用!$Y$38)))</f>
        <v/>
      </c>
      <c r="C40" s="54">
        <f>IF(計算用!$Y$38="","",IF(計算用!$B$1=1,INDEX(計算用!$G$3:$G$452,計算用!$Y$38),INDEX(振り分け!$C$7:$C$456,計算用!$Y$38)))</f>
        <v/>
      </c>
      <c r="D40" s="59">
        <f>IF(計算用!$Y$38="","",IF(計算用!$B$1=1,INDEX(計算用!$H$3:$H$452,計算用!$Y$38),INDEX(振り分け!$D$7:$D$456,計算用!$Y$38)))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IF(計算用!$Y$39="","",37)</f>
        <v/>
      </c>
      <c r="B41" s="54">
        <f>IF(計算用!$Y$39="","",IF(計算用!$B$1=1,INDEX(計算用!$F$3:$F$452,計算用!$Y$39),INDEX(振り分け!$B$7:$B$456,計算用!$Y$39)))</f>
        <v/>
      </c>
      <c r="C41" s="54">
        <f>IF(計算用!$Y$39="","",IF(計算用!$B$1=1,INDEX(計算用!$G$3:$G$452,計算用!$Y$39),INDEX(振り分け!$C$7:$C$456,計算用!$Y$39)))</f>
        <v/>
      </c>
      <c r="D41" s="59">
        <f>IF(計算用!$Y$39="","",IF(計算用!$B$1=1,INDEX(計算用!$H$3:$H$452,計算用!$Y$39),INDEX(振り分け!$D$7:$D$456,計算用!$Y$39)))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IF(計算用!$Y$40="","",38)</f>
        <v/>
      </c>
      <c r="B42" s="54">
        <f>IF(計算用!$Y$40="","",IF(計算用!$B$1=1,INDEX(計算用!$F$3:$F$452,計算用!$Y$40),INDEX(振り分け!$B$7:$B$456,計算用!$Y$40)))</f>
        <v/>
      </c>
      <c r="C42" s="54">
        <f>IF(計算用!$Y$40="","",IF(計算用!$B$1=1,INDEX(計算用!$G$3:$G$452,計算用!$Y$40),INDEX(振り分け!$C$7:$C$456,計算用!$Y$40)))</f>
        <v/>
      </c>
      <c r="D42" s="59">
        <f>IF(計算用!$Y$40="","",IF(計算用!$B$1=1,INDEX(計算用!$H$3:$H$452,計算用!$Y$40),INDEX(振り分け!$D$7:$D$456,計算用!$Y$40)))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IF(計算用!$Y$41="","",39)</f>
        <v/>
      </c>
      <c r="B43" s="54">
        <f>IF(計算用!$Y$41="","",IF(計算用!$B$1=1,INDEX(計算用!$F$3:$F$452,計算用!$Y$41),INDEX(振り分け!$B$7:$B$456,計算用!$Y$41)))</f>
        <v/>
      </c>
      <c r="C43" s="54">
        <f>IF(計算用!$Y$41="","",IF(計算用!$B$1=1,INDEX(計算用!$G$3:$G$452,計算用!$Y$41),INDEX(振り分け!$C$7:$C$456,計算用!$Y$41)))</f>
        <v/>
      </c>
      <c r="D43" s="59">
        <f>IF(計算用!$Y$41="","",IF(計算用!$B$1=1,INDEX(計算用!$H$3:$H$452,計算用!$Y$41),INDEX(振り分け!$D$7:$D$456,計算用!$Y$41)))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IF(計算用!$Y$42="","",40)</f>
        <v/>
      </c>
      <c r="B44" s="54">
        <f>IF(計算用!$Y$42="","",IF(計算用!$B$1=1,INDEX(計算用!$F$3:$F$452,計算用!$Y$42),INDEX(振り分け!$B$7:$B$456,計算用!$Y$42)))</f>
        <v/>
      </c>
      <c r="C44" s="54">
        <f>IF(計算用!$Y$42="","",IF(計算用!$B$1=1,INDEX(計算用!$G$3:$G$452,計算用!$Y$42),INDEX(振り分け!$C$7:$C$456,計算用!$Y$42)))</f>
        <v/>
      </c>
      <c r="D44" s="59">
        <f>IF(計算用!$Y$42="","",IF(計算用!$B$1=1,INDEX(計算用!$H$3:$H$452,計算用!$Y$42),INDEX(振り分け!$D$7:$D$456,計算用!$Y$42)))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IF(計算用!$Y$43="","",41)</f>
        <v/>
      </c>
      <c r="B45" s="54">
        <f>IF(計算用!$Y$43="","",IF(計算用!$B$1=1,INDEX(計算用!$F$3:$F$452,計算用!$Y$43),INDEX(振り分け!$B$7:$B$456,計算用!$Y$43)))</f>
        <v/>
      </c>
      <c r="C45" s="54">
        <f>IF(計算用!$Y$43="","",IF(計算用!$B$1=1,INDEX(計算用!$G$3:$G$452,計算用!$Y$43),INDEX(振り分け!$C$7:$C$456,計算用!$Y$43)))</f>
        <v/>
      </c>
      <c r="D45" s="59">
        <f>IF(計算用!$Y$43="","",IF(計算用!$B$1=1,INDEX(計算用!$H$3:$H$452,計算用!$Y$43),INDEX(振り分け!$D$7:$D$456,計算用!$Y$43)))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IF(計算用!$Y$44="","",42)</f>
        <v/>
      </c>
      <c r="B46" s="54">
        <f>IF(計算用!$Y$44="","",IF(計算用!$B$1=1,INDEX(計算用!$F$3:$F$452,計算用!$Y$44),INDEX(振り分け!$B$7:$B$456,計算用!$Y$44)))</f>
        <v/>
      </c>
      <c r="C46" s="54">
        <f>IF(計算用!$Y$44="","",IF(計算用!$B$1=1,INDEX(計算用!$G$3:$G$452,計算用!$Y$44),INDEX(振り分け!$C$7:$C$456,計算用!$Y$44)))</f>
        <v/>
      </c>
      <c r="D46" s="59">
        <f>IF(計算用!$Y$44="","",IF(計算用!$B$1=1,INDEX(計算用!$H$3:$H$452,計算用!$Y$44),INDEX(振り分け!$D$7:$D$456,計算用!$Y$44)))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IF(計算用!$Y$45="","",43)</f>
        <v/>
      </c>
      <c r="B47" s="54">
        <f>IF(計算用!$Y$45="","",IF(計算用!$B$1=1,INDEX(計算用!$F$3:$F$452,計算用!$Y$45),INDEX(振り分け!$B$7:$B$456,計算用!$Y$45)))</f>
        <v/>
      </c>
      <c r="C47" s="54">
        <f>IF(計算用!$Y$45="","",IF(計算用!$B$1=1,INDEX(計算用!$G$3:$G$452,計算用!$Y$45),INDEX(振り分け!$C$7:$C$456,計算用!$Y$45)))</f>
        <v/>
      </c>
      <c r="D47" s="59">
        <f>IF(計算用!$Y$45="","",IF(計算用!$B$1=1,INDEX(計算用!$H$3:$H$452,計算用!$Y$45),INDEX(振り分け!$D$7:$D$456,計算用!$Y$45)))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IF(計算用!$Y$46="","",44)</f>
        <v/>
      </c>
      <c r="B48" s="54">
        <f>IF(計算用!$Y$46="","",IF(計算用!$B$1=1,INDEX(計算用!$F$3:$F$452,計算用!$Y$46),INDEX(振り分け!$B$7:$B$456,計算用!$Y$46)))</f>
        <v/>
      </c>
      <c r="C48" s="54">
        <f>IF(計算用!$Y$46="","",IF(計算用!$B$1=1,INDEX(計算用!$G$3:$G$452,計算用!$Y$46),INDEX(振り分け!$C$7:$C$456,計算用!$Y$46)))</f>
        <v/>
      </c>
      <c r="D48" s="59">
        <f>IF(計算用!$Y$46="","",IF(計算用!$B$1=1,INDEX(計算用!$H$3:$H$452,計算用!$Y$46),INDEX(振り分け!$D$7:$D$456,計算用!$Y$46)))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IF(計算用!$Y$47="","",45)</f>
        <v/>
      </c>
      <c r="B49" s="54">
        <f>IF(計算用!$Y$47="","",IF(計算用!$B$1=1,INDEX(計算用!$F$3:$F$452,計算用!$Y$47),INDEX(振り分け!$B$7:$B$456,計算用!$Y$47)))</f>
        <v/>
      </c>
      <c r="C49" s="54">
        <f>IF(計算用!$Y$47="","",IF(計算用!$B$1=1,INDEX(計算用!$G$3:$G$452,計算用!$Y$47),INDEX(振り分け!$C$7:$C$456,計算用!$Y$47)))</f>
        <v/>
      </c>
      <c r="D49" s="59">
        <f>IF(計算用!$Y$47="","",IF(計算用!$B$1=1,INDEX(計算用!$H$3:$H$452,計算用!$Y$47),INDEX(振り分け!$D$7:$D$456,計算用!$Y$47)))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IF(計算用!$Y$48="","",46)</f>
        <v/>
      </c>
      <c r="B50" s="54">
        <f>IF(計算用!$Y$48="","",IF(計算用!$B$1=1,INDEX(計算用!$F$3:$F$452,計算用!$Y$48),INDEX(振り分け!$B$7:$B$456,計算用!$Y$48)))</f>
        <v/>
      </c>
      <c r="C50" s="54">
        <f>IF(計算用!$Y$48="","",IF(計算用!$B$1=1,INDEX(計算用!$G$3:$G$452,計算用!$Y$48),INDEX(振り分け!$C$7:$C$456,計算用!$Y$48)))</f>
        <v/>
      </c>
      <c r="D50" s="59">
        <f>IF(計算用!$Y$48="","",IF(計算用!$B$1=1,INDEX(計算用!$H$3:$H$452,計算用!$Y$48),INDEX(振り分け!$D$7:$D$456,計算用!$Y$48)))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IF(計算用!$Y$49="","",47)</f>
        <v/>
      </c>
      <c r="B51" s="54">
        <f>IF(計算用!$Y$49="","",IF(計算用!$B$1=1,INDEX(計算用!$F$3:$F$452,計算用!$Y$49),INDEX(振り分け!$B$7:$B$456,計算用!$Y$49)))</f>
        <v/>
      </c>
      <c r="C51" s="54">
        <f>IF(計算用!$Y$49="","",IF(計算用!$B$1=1,INDEX(計算用!$G$3:$G$452,計算用!$Y$49),INDEX(振り分け!$C$7:$C$456,計算用!$Y$49)))</f>
        <v/>
      </c>
      <c r="D51" s="59">
        <f>IF(計算用!$Y$49="","",IF(計算用!$B$1=1,INDEX(計算用!$H$3:$H$452,計算用!$Y$49),INDEX(振り分け!$D$7:$D$456,計算用!$Y$49)))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IF(計算用!$Y$50="","",48)</f>
        <v/>
      </c>
      <c r="B52" s="54">
        <f>IF(計算用!$Y$50="","",IF(計算用!$B$1=1,INDEX(計算用!$F$3:$F$452,計算用!$Y$50),INDEX(振り分け!$B$7:$B$456,計算用!$Y$50)))</f>
        <v/>
      </c>
      <c r="C52" s="54">
        <f>IF(計算用!$Y$50="","",IF(計算用!$B$1=1,INDEX(計算用!$G$3:$G$452,計算用!$Y$50),INDEX(振り分け!$C$7:$C$456,計算用!$Y$50)))</f>
        <v/>
      </c>
      <c r="D52" s="59">
        <f>IF(計算用!$Y$50="","",IF(計算用!$B$1=1,INDEX(計算用!$H$3:$H$452,計算用!$Y$50),INDEX(振り分け!$D$7:$D$456,計算用!$Y$50)))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IF(計算用!$Y$51="","",49)</f>
        <v/>
      </c>
      <c r="B53" s="54">
        <f>IF(計算用!$Y$51="","",IF(計算用!$B$1=1,INDEX(計算用!$F$3:$F$452,計算用!$Y$51),INDEX(振り分け!$B$7:$B$456,計算用!$Y$51)))</f>
        <v/>
      </c>
      <c r="C53" s="54">
        <f>IF(計算用!$Y$51="","",IF(計算用!$B$1=1,INDEX(計算用!$G$3:$G$452,計算用!$Y$51),INDEX(振り分け!$C$7:$C$456,計算用!$Y$51)))</f>
        <v/>
      </c>
      <c r="D53" s="59">
        <f>IF(計算用!$Y$51="","",IF(計算用!$B$1=1,INDEX(計算用!$H$3:$H$452,計算用!$Y$51),INDEX(振り分け!$D$7:$D$456,計算用!$Y$51)))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IF(計算用!$Y$52="","",50)</f>
        <v/>
      </c>
      <c r="B54" s="54">
        <f>IF(計算用!$Y$52="","",IF(計算用!$B$1=1,INDEX(計算用!$F$3:$F$452,計算用!$Y$52),INDEX(振り分け!$B$7:$B$456,計算用!$Y$52)))</f>
        <v/>
      </c>
      <c r="C54" s="54">
        <f>IF(計算用!$Y$52="","",IF(計算用!$B$1=1,INDEX(計算用!$G$3:$G$452,計算用!$Y$52),INDEX(振り分け!$C$7:$C$456,計算用!$Y$52)))</f>
        <v/>
      </c>
      <c r="D54" s="59">
        <f>IF(計算用!$Y$52="","",IF(計算用!$B$1=1,INDEX(計算用!$H$3:$H$452,計算用!$Y$52),INDEX(振り分け!$D$7:$D$456,計算用!$Y$52)))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IF(設定!$P$24="","",設定!$B$3&amp;"　"&amp;設定!$P$24&amp;設定!$B$4&amp;"名簿"&amp;IF(計算用!$B$1=0,"（仮・前年度の組）",""))</f>
        <v/>
      </c>
    </row>
    <row r="2">
      <c r="A2" s="44">
        <f>IF(設定!$P$24="","","担当："&amp;設定!$S$24&amp;"　　活動場所："&amp;設定!$T$24&amp;"　　人数："&amp;定員チェック!$F$23&amp;"名（"&amp;設定!$B$8&amp;"年"&amp;定員チェック!$G$23&amp;"・"&amp;設定!$B$9&amp;"年"&amp;定員チェック!$H$23&amp;"・"&amp;設定!$B$10&amp;"年"&amp;定員チェック!$I$23&amp;"）")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IF(計算用!$Z$3="","",1)</f>
        <v/>
      </c>
      <c r="B5" s="54">
        <f>IF(計算用!$Z$3="","",IF(計算用!$B$1=1,INDEX(計算用!$F$3:$F$452,計算用!$Z$3),INDEX(振り分け!$B$7:$B$456,計算用!$Z$3)))</f>
        <v/>
      </c>
      <c r="C5" s="54">
        <f>IF(計算用!$Z$3="","",IF(計算用!$B$1=1,INDEX(計算用!$G$3:$G$452,計算用!$Z$3),INDEX(振り分け!$C$7:$C$456,計算用!$Z$3)))</f>
        <v/>
      </c>
      <c r="D5" s="59">
        <f>IF(計算用!$Z$3="","",IF(計算用!$B$1=1,INDEX(計算用!$H$3:$H$452,計算用!$Z$3),INDEX(振り分け!$D$7:$D$456,計算用!$Z$3)))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IF(計算用!$Z$4="","",2)</f>
        <v/>
      </c>
      <c r="B6" s="54">
        <f>IF(計算用!$Z$4="","",IF(計算用!$B$1=1,INDEX(計算用!$F$3:$F$452,計算用!$Z$4),INDEX(振り分け!$B$7:$B$456,計算用!$Z$4)))</f>
        <v/>
      </c>
      <c r="C6" s="54">
        <f>IF(計算用!$Z$4="","",IF(計算用!$B$1=1,INDEX(計算用!$G$3:$G$452,計算用!$Z$4),INDEX(振り分け!$C$7:$C$456,計算用!$Z$4)))</f>
        <v/>
      </c>
      <c r="D6" s="59">
        <f>IF(計算用!$Z$4="","",IF(計算用!$B$1=1,INDEX(計算用!$H$3:$H$452,計算用!$Z$4),INDEX(振り分け!$D$7:$D$456,計算用!$Z$4)))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IF(計算用!$Z$5="","",3)</f>
        <v/>
      </c>
      <c r="B7" s="54">
        <f>IF(計算用!$Z$5="","",IF(計算用!$B$1=1,INDEX(計算用!$F$3:$F$452,計算用!$Z$5),INDEX(振り分け!$B$7:$B$456,計算用!$Z$5)))</f>
        <v/>
      </c>
      <c r="C7" s="54">
        <f>IF(計算用!$Z$5="","",IF(計算用!$B$1=1,INDEX(計算用!$G$3:$G$452,計算用!$Z$5),INDEX(振り分け!$C$7:$C$456,計算用!$Z$5)))</f>
        <v/>
      </c>
      <c r="D7" s="59">
        <f>IF(計算用!$Z$5="","",IF(計算用!$B$1=1,INDEX(計算用!$H$3:$H$452,計算用!$Z$5),INDEX(振り分け!$D$7:$D$456,計算用!$Z$5)))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IF(計算用!$Z$6="","",4)</f>
        <v/>
      </c>
      <c r="B8" s="54">
        <f>IF(計算用!$Z$6="","",IF(計算用!$B$1=1,INDEX(計算用!$F$3:$F$452,計算用!$Z$6),INDEX(振り分け!$B$7:$B$456,計算用!$Z$6)))</f>
        <v/>
      </c>
      <c r="C8" s="54">
        <f>IF(計算用!$Z$6="","",IF(計算用!$B$1=1,INDEX(計算用!$G$3:$G$452,計算用!$Z$6),INDEX(振り分け!$C$7:$C$456,計算用!$Z$6)))</f>
        <v/>
      </c>
      <c r="D8" s="59">
        <f>IF(計算用!$Z$6="","",IF(計算用!$B$1=1,INDEX(計算用!$H$3:$H$452,計算用!$Z$6),INDEX(振り分け!$D$7:$D$456,計算用!$Z$6)))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IF(計算用!$Z$7="","",5)</f>
        <v/>
      </c>
      <c r="B9" s="54">
        <f>IF(計算用!$Z$7="","",IF(計算用!$B$1=1,INDEX(計算用!$F$3:$F$452,計算用!$Z$7),INDEX(振り分け!$B$7:$B$456,計算用!$Z$7)))</f>
        <v/>
      </c>
      <c r="C9" s="54">
        <f>IF(計算用!$Z$7="","",IF(計算用!$B$1=1,INDEX(計算用!$G$3:$G$452,計算用!$Z$7),INDEX(振り分け!$C$7:$C$456,計算用!$Z$7)))</f>
        <v/>
      </c>
      <c r="D9" s="59">
        <f>IF(計算用!$Z$7="","",IF(計算用!$B$1=1,INDEX(計算用!$H$3:$H$452,計算用!$Z$7),INDEX(振り分け!$D$7:$D$456,計算用!$Z$7)))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IF(計算用!$Z$8="","",6)</f>
        <v/>
      </c>
      <c r="B10" s="54">
        <f>IF(計算用!$Z$8="","",IF(計算用!$B$1=1,INDEX(計算用!$F$3:$F$452,計算用!$Z$8),INDEX(振り分け!$B$7:$B$456,計算用!$Z$8)))</f>
        <v/>
      </c>
      <c r="C10" s="54">
        <f>IF(計算用!$Z$8="","",IF(計算用!$B$1=1,INDEX(計算用!$G$3:$G$452,計算用!$Z$8),INDEX(振り分け!$C$7:$C$456,計算用!$Z$8)))</f>
        <v/>
      </c>
      <c r="D10" s="59">
        <f>IF(計算用!$Z$8="","",IF(計算用!$B$1=1,INDEX(計算用!$H$3:$H$452,計算用!$Z$8),INDEX(振り分け!$D$7:$D$456,計算用!$Z$8)))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IF(計算用!$Z$9="","",7)</f>
        <v/>
      </c>
      <c r="B11" s="54">
        <f>IF(計算用!$Z$9="","",IF(計算用!$B$1=1,INDEX(計算用!$F$3:$F$452,計算用!$Z$9),INDEX(振り分け!$B$7:$B$456,計算用!$Z$9)))</f>
        <v/>
      </c>
      <c r="C11" s="54">
        <f>IF(計算用!$Z$9="","",IF(計算用!$B$1=1,INDEX(計算用!$G$3:$G$452,計算用!$Z$9),INDEX(振り分け!$C$7:$C$456,計算用!$Z$9)))</f>
        <v/>
      </c>
      <c r="D11" s="59">
        <f>IF(計算用!$Z$9="","",IF(計算用!$B$1=1,INDEX(計算用!$H$3:$H$452,計算用!$Z$9),INDEX(振り分け!$D$7:$D$456,計算用!$Z$9)))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IF(計算用!$Z$10="","",8)</f>
        <v/>
      </c>
      <c r="B12" s="54">
        <f>IF(計算用!$Z$10="","",IF(計算用!$B$1=1,INDEX(計算用!$F$3:$F$452,計算用!$Z$10),INDEX(振り分け!$B$7:$B$456,計算用!$Z$10)))</f>
        <v/>
      </c>
      <c r="C12" s="54">
        <f>IF(計算用!$Z$10="","",IF(計算用!$B$1=1,INDEX(計算用!$G$3:$G$452,計算用!$Z$10),INDEX(振り分け!$C$7:$C$456,計算用!$Z$10)))</f>
        <v/>
      </c>
      <c r="D12" s="59">
        <f>IF(計算用!$Z$10="","",IF(計算用!$B$1=1,INDEX(計算用!$H$3:$H$452,計算用!$Z$10),INDEX(振り分け!$D$7:$D$456,計算用!$Z$10)))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IF(計算用!$Z$11="","",9)</f>
        <v/>
      </c>
      <c r="B13" s="54">
        <f>IF(計算用!$Z$11="","",IF(計算用!$B$1=1,INDEX(計算用!$F$3:$F$452,計算用!$Z$11),INDEX(振り分け!$B$7:$B$456,計算用!$Z$11)))</f>
        <v/>
      </c>
      <c r="C13" s="54">
        <f>IF(計算用!$Z$11="","",IF(計算用!$B$1=1,INDEX(計算用!$G$3:$G$452,計算用!$Z$11),INDEX(振り分け!$C$7:$C$456,計算用!$Z$11)))</f>
        <v/>
      </c>
      <c r="D13" s="59">
        <f>IF(計算用!$Z$11="","",IF(計算用!$B$1=1,INDEX(計算用!$H$3:$H$452,計算用!$Z$11),INDEX(振り分け!$D$7:$D$456,計算用!$Z$11)))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IF(計算用!$Z$12="","",10)</f>
        <v/>
      </c>
      <c r="B14" s="54">
        <f>IF(計算用!$Z$12="","",IF(計算用!$B$1=1,INDEX(計算用!$F$3:$F$452,計算用!$Z$12),INDEX(振り分け!$B$7:$B$456,計算用!$Z$12)))</f>
        <v/>
      </c>
      <c r="C14" s="54">
        <f>IF(計算用!$Z$12="","",IF(計算用!$B$1=1,INDEX(計算用!$G$3:$G$452,計算用!$Z$12),INDEX(振り分け!$C$7:$C$456,計算用!$Z$12)))</f>
        <v/>
      </c>
      <c r="D14" s="59">
        <f>IF(計算用!$Z$12="","",IF(計算用!$B$1=1,INDEX(計算用!$H$3:$H$452,計算用!$Z$12),INDEX(振り分け!$D$7:$D$456,計算用!$Z$12)))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IF(計算用!$Z$13="","",11)</f>
        <v/>
      </c>
      <c r="B15" s="54">
        <f>IF(計算用!$Z$13="","",IF(計算用!$B$1=1,INDEX(計算用!$F$3:$F$452,計算用!$Z$13),INDEX(振り分け!$B$7:$B$456,計算用!$Z$13)))</f>
        <v/>
      </c>
      <c r="C15" s="54">
        <f>IF(計算用!$Z$13="","",IF(計算用!$B$1=1,INDEX(計算用!$G$3:$G$452,計算用!$Z$13),INDEX(振り分け!$C$7:$C$456,計算用!$Z$13)))</f>
        <v/>
      </c>
      <c r="D15" s="59">
        <f>IF(計算用!$Z$13="","",IF(計算用!$B$1=1,INDEX(計算用!$H$3:$H$452,計算用!$Z$13),INDEX(振り分け!$D$7:$D$456,計算用!$Z$13)))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IF(計算用!$Z$14="","",12)</f>
        <v/>
      </c>
      <c r="B16" s="54">
        <f>IF(計算用!$Z$14="","",IF(計算用!$B$1=1,INDEX(計算用!$F$3:$F$452,計算用!$Z$14),INDEX(振り分け!$B$7:$B$456,計算用!$Z$14)))</f>
        <v/>
      </c>
      <c r="C16" s="54">
        <f>IF(計算用!$Z$14="","",IF(計算用!$B$1=1,INDEX(計算用!$G$3:$G$452,計算用!$Z$14),INDEX(振り分け!$C$7:$C$456,計算用!$Z$14)))</f>
        <v/>
      </c>
      <c r="D16" s="59">
        <f>IF(計算用!$Z$14="","",IF(計算用!$B$1=1,INDEX(計算用!$H$3:$H$452,計算用!$Z$14),INDEX(振り分け!$D$7:$D$456,計算用!$Z$14)))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IF(計算用!$Z$15="","",13)</f>
        <v/>
      </c>
      <c r="B17" s="54">
        <f>IF(計算用!$Z$15="","",IF(計算用!$B$1=1,INDEX(計算用!$F$3:$F$452,計算用!$Z$15),INDEX(振り分け!$B$7:$B$456,計算用!$Z$15)))</f>
        <v/>
      </c>
      <c r="C17" s="54">
        <f>IF(計算用!$Z$15="","",IF(計算用!$B$1=1,INDEX(計算用!$G$3:$G$452,計算用!$Z$15),INDEX(振り分け!$C$7:$C$456,計算用!$Z$15)))</f>
        <v/>
      </c>
      <c r="D17" s="59">
        <f>IF(計算用!$Z$15="","",IF(計算用!$B$1=1,INDEX(計算用!$H$3:$H$452,計算用!$Z$15),INDEX(振り分け!$D$7:$D$456,計算用!$Z$15)))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IF(計算用!$Z$16="","",14)</f>
        <v/>
      </c>
      <c r="B18" s="54">
        <f>IF(計算用!$Z$16="","",IF(計算用!$B$1=1,INDEX(計算用!$F$3:$F$452,計算用!$Z$16),INDEX(振り分け!$B$7:$B$456,計算用!$Z$16)))</f>
        <v/>
      </c>
      <c r="C18" s="54">
        <f>IF(計算用!$Z$16="","",IF(計算用!$B$1=1,INDEX(計算用!$G$3:$G$452,計算用!$Z$16),INDEX(振り分け!$C$7:$C$456,計算用!$Z$16)))</f>
        <v/>
      </c>
      <c r="D18" s="59">
        <f>IF(計算用!$Z$16="","",IF(計算用!$B$1=1,INDEX(計算用!$H$3:$H$452,計算用!$Z$16),INDEX(振り分け!$D$7:$D$456,計算用!$Z$16)))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IF(計算用!$Z$17="","",15)</f>
        <v/>
      </c>
      <c r="B19" s="54">
        <f>IF(計算用!$Z$17="","",IF(計算用!$B$1=1,INDEX(計算用!$F$3:$F$452,計算用!$Z$17),INDEX(振り分け!$B$7:$B$456,計算用!$Z$17)))</f>
        <v/>
      </c>
      <c r="C19" s="54">
        <f>IF(計算用!$Z$17="","",IF(計算用!$B$1=1,INDEX(計算用!$G$3:$G$452,計算用!$Z$17),INDEX(振り分け!$C$7:$C$456,計算用!$Z$17)))</f>
        <v/>
      </c>
      <c r="D19" s="59">
        <f>IF(計算用!$Z$17="","",IF(計算用!$B$1=1,INDEX(計算用!$H$3:$H$452,計算用!$Z$17),INDEX(振り分け!$D$7:$D$456,計算用!$Z$17)))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IF(計算用!$Z$18="","",16)</f>
        <v/>
      </c>
      <c r="B20" s="54">
        <f>IF(計算用!$Z$18="","",IF(計算用!$B$1=1,INDEX(計算用!$F$3:$F$452,計算用!$Z$18),INDEX(振り分け!$B$7:$B$456,計算用!$Z$18)))</f>
        <v/>
      </c>
      <c r="C20" s="54">
        <f>IF(計算用!$Z$18="","",IF(計算用!$B$1=1,INDEX(計算用!$G$3:$G$452,計算用!$Z$18),INDEX(振り分け!$C$7:$C$456,計算用!$Z$18)))</f>
        <v/>
      </c>
      <c r="D20" s="59">
        <f>IF(計算用!$Z$18="","",IF(計算用!$B$1=1,INDEX(計算用!$H$3:$H$452,計算用!$Z$18),INDEX(振り分け!$D$7:$D$456,計算用!$Z$18)))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IF(計算用!$Z$19="","",17)</f>
        <v/>
      </c>
      <c r="B21" s="54">
        <f>IF(計算用!$Z$19="","",IF(計算用!$B$1=1,INDEX(計算用!$F$3:$F$452,計算用!$Z$19),INDEX(振り分け!$B$7:$B$456,計算用!$Z$19)))</f>
        <v/>
      </c>
      <c r="C21" s="54">
        <f>IF(計算用!$Z$19="","",IF(計算用!$B$1=1,INDEX(計算用!$G$3:$G$452,計算用!$Z$19),INDEX(振り分け!$C$7:$C$456,計算用!$Z$19)))</f>
        <v/>
      </c>
      <c r="D21" s="59">
        <f>IF(計算用!$Z$19="","",IF(計算用!$B$1=1,INDEX(計算用!$H$3:$H$452,計算用!$Z$19),INDEX(振り分け!$D$7:$D$456,計算用!$Z$19)))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IF(計算用!$Z$20="","",18)</f>
        <v/>
      </c>
      <c r="B22" s="54">
        <f>IF(計算用!$Z$20="","",IF(計算用!$B$1=1,INDEX(計算用!$F$3:$F$452,計算用!$Z$20),INDEX(振り分け!$B$7:$B$456,計算用!$Z$20)))</f>
        <v/>
      </c>
      <c r="C22" s="54">
        <f>IF(計算用!$Z$20="","",IF(計算用!$B$1=1,INDEX(計算用!$G$3:$G$452,計算用!$Z$20),INDEX(振り分け!$C$7:$C$456,計算用!$Z$20)))</f>
        <v/>
      </c>
      <c r="D22" s="59">
        <f>IF(計算用!$Z$20="","",IF(計算用!$B$1=1,INDEX(計算用!$H$3:$H$452,計算用!$Z$20),INDEX(振り分け!$D$7:$D$456,計算用!$Z$20)))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IF(計算用!$Z$21="","",19)</f>
        <v/>
      </c>
      <c r="B23" s="54">
        <f>IF(計算用!$Z$21="","",IF(計算用!$B$1=1,INDEX(計算用!$F$3:$F$452,計算用!$Z$21),INDEX(振り分け!$B$7:$B$456,計算用!$Z$21)))</f>
        <v/>
      </c>
      <c r="C23" s="54">
        <f>IF(計算用!$Z$21="","",IF(計算用!$B$1=1,INDEX(計算用!$G$3:$G$452,計算用!$Z$21),INDEX(振り分け!$C$7:$C$456,計算用!$Z$21)))</f>
        <v/>
      </c>
      <c r="D23" s="59">
        <f>IF(計算用!$Z$21="","",IF(計算用!$B$1=1,INDEX(計算用!$H$3:$H$452,計算用!$Z$21),INDEX(振り分け!$D$7:$D$456,計算用!$Z$21)))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IF(計算用!$Z$22="","",20)</f>
        <v/>
      </c>
      <c r="B24" s="54">
        <f>IF(計算用!$Z$22="","",IF(計算用!$B$1=1,INDEX(計算用!$F$3:$F$452,計算用!$Z$22),INDEX(振り分け!$B$7:$B$456,計算用!$Z$22)))</f>
        <v/>
      </c>
      <c r="C24" s="54">
        <f>IF(計算用!$Z$22="","",IF(計算用!$B$1=1,INDEX(計算用!$G$3:$G$452,計算用!$Z$22),INDEX(振り分け!$C$7:$C$456,計算用!$Z$22)))</f>
        <v/>
      </c>
      <c r="D24" s="59">
        <f>IF(計算用!$Z$22="","",IF(計算用!$B$1=1,INDEX(計算用!$H$3:$H$452,計算用!$Z$22),INDEX(振り分け!$D$7:$D$456,計算用!$Z$22)))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IF(計算用!$Z$23="","",21)</f>
        <v/>
      </c>
      <c r="B25" s="54">
        <f>IF(計算用!$Z$23="","",IF(計算用!$B$1=1,INDEX(計算用!$F$3:$F$452,計算用!$Z$23),INDEX(振り分け!$B$7:$B$456,計算用!$Z$23)))</f>
        <v/>
      </c>
      <c r="C25" s="54">
        <f>IF(計算用!$Z$23="","",IF(計算用!$B$1=1,INDEX(計算用!$G$3:$G$452,計算用!$Z$23),INDEX(振り分け!$C$7:$C$456,計算用!$Z$23)))</f>
        <v/>
      </c>
      <c r="D25" s="59">
        <f>IF(計算用!$Z$23="","",IF(計算用!$B$1=1,INDEX(計算用!$H$3:$H$452,計算用!$Z$23),INDEX(振り分け!$D$7:$D$456,計算用!$Z$23)))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IF(計算用!$Z$24="","",22)</f>
        <v/>
      </c>
      <c r="B26" s="54">
        <f>IF(計算用!$Z$24="","",IF(計算用!$B$1=1,INDEX(計算用!$F$3:$F$452,計算用!$Z$24),INDEX(振り分け!$B$7:$B$456,計算用!$Z$24)))</f>
        <v/>
      </c>
      <c r="C26" s="54">
        <f>IF(計算用!$Z$24="","",IF(計算用!$B$1=1,INDEX(計算用!$G$3:$G$452,計算用!$Z$24),INDEX(振り分け!$C$7:$C$456,計算用!$Z$24)))</f>
        <v/>
      </c>
      <c r="D26" s="59">
        <f>IF(計算用!$Z$24="","",IF(計算用!$B$1=1,INDEX(計算用!$H$3:$H$452,計算用!$Z$24),INDEX(振り分け!$D$7:$D$456,計算用!$Z$24)))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IF(計算用!$Z$25="","",23)</f>
        <v/>
      </c>
      <c r="B27" s="54">
        <f>IF(計算用!$Z$25="","",IF(計算用!$B$1=1,INDEX(計算用!$F$3:$F$452,計算用!$Z$25),INDEX(振り分け!$B$7:$B$456,計算用!$Z$25)))</f>
        <v/>
      </c>
      <c r="C27" s="54">
        <f>IF(計算用!$Z$25="","",IF(計算用!$B$1=1,INDEX(計算用!$G$3:$G$452,計算用!$Z$25),INDEX(振り分け!$C$7:$C$456,計算用!$Z$25)))</f>
        <v/>
      </c>
      <c r="D27" s="59">
        <f>IF(計算用!$Z$25="","",IF(計算用!$B$1=1,INDEX(計算用!$H$3:$H$452,計算用!$Z$25),INDEX(振り分け!$D$7:$D$456,計算用!$Z$25)))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IF(計算用!$Z$26="","",24)</f>
        <v/>
      </c>
      <c r="B28" s="54">
        <f>IF(計算用!$Z$26="","",IF(計算用!$B$1=1,INDEX(計算用!$F$3:$F$452,計算用!$Z$26),INDEX(振り分け!$B$7:$B$456,計算用!$Z$26)))</f>
        <v/>
      </c>
      <c r="C28" s="54">
        <f>IF(計算用!$Z$26="","",IF(計算用!$B$1=1,INDEX(計算用!$G$3:$G$452,計算用!$Z$26),INDEX(振り分け!$C$7:$C$456,計算用!$Z$26)))</f>
        <v/>
      </c>
      <c r="D28" s="59">
        <f>IF(計算用!$Z$26="","",IF(計算用!$B$1=1,INDEX(計算用!$H$3:$H$452,計算用!$Z$26),INDEX(振り分け!$D$7:$D$456,計算用!$Z$26)))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IF(計算用!$Z$27="","",25)</f>
        <v/>
      </c>
      <c r="B29" s="54">
        <f>IF(計算用!$Z$27="","",IF(計算用!$B$1=1,INDEX(計算用!$F$3:$F$452,計算用!$Z$27),INDEX(振り分け!$B$7:$B$456,計算用!$Z$27)))</f>
        <v/>
      </c>
      <c r="C29" s="54">
        <f>IF(計算用!$Z$27="","",IF(計算用!$B$1=1,INDEX(計算用!$G$3:$G$452,計算用!$Z$27),INDEX(振り分け!$C$7:$C$456,計算用!$Z$27)))</f>
        <v/>
      </c>
      <c r="D29" s="59">
        <f>IF(計算用!$Z$27="","",IF(計算用!$B$1=1,INDEX(計算用!$H$3:$H$452,計算用!$Z$27),INDEX(振り分け!$D$7:$D$456,計算用!$Z$27)))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IF(計算用!$Z$28="","",26)</f>
        <v/>
      </c>
      <c r="B30" s="54">
        <f>IF(計算用!$Z$28="","",IF(計算用!$B$1=1,INDEX(計算用!$F$3:$F$452,計算用!$Z$28),INDEX(振り分け!$B$7:$B$456,計算用!$Z$28)))</f>
        <v/>
      </c>
      <c r="C30" s="54">
        <f>IF(計算用!$Z$28="","",IF(計算用!$B$1=1,INDEX(計算用!$G$3:$G$452,計算用!$Z$28),INDEX(振り分け!$C$7:$C$456,計算用!$Z$28)))</f>
        <v/>
      </c>
      <c r="D30" s="59">
        <f>IF(計算用!$Z$28="","",IF(計算用!$B$1=1,INDEX(計算用!$H$3:$H$452,計算用!$Z$28),INDEX(振り分け!$D$7:$D$456,計算用!$Z$28)))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IF(計算用!$Z$29="","",27)</f>
        <v/>
      </c>
      <c r="B31" s="54">
        <f>IF(計算用!$Z$29="","",IF(計算用!$B$1=1,INDEX(計算用!$F$3:$F$452,計算用!$Z$29),INDEX(振り分け!$B$7:$B$456,計算用!$Z$29)))</f>
        <v/>
      </c>
      <c r="C31" s="54">
        <f>IF(計算用!$Z$29="","",IF(計算用!$B$1=1,INDEX(計算用!$G$3:$G$452,計算用!$Z$29),INDEX(振り分け!$C$7:$C$456,計算用!$Z$29)))</f>
        <v/>
      </c>
      <c r="D31" s="59">
        <f>IF(計算用!$Z$29="","",IF(計算用!$B$1=1,INDEX(計算用!$H$3:$H$452,計算用!$Z$29),INDEX(振り分け!$D$7:$D$456,計算用!$Z$29)))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IF(計算用!$Z$30="","",28)</f>
        <v/>
      </c>
      <c r="B32" s="54">
        <f>IF(計算用!$Z$30="","",IF(計算用!$B$1=1,INDEX(計算用!$F$3:$F$452,計算用!$Z$30),INDEX(振り分け!$B$7:$B$456,計算用!$Z$30)))</f>
        <v/>
      </c>
      <c r="C32" s="54">
        <f>IF(計算用!$Z$30="","",IF(計算用!$B$1=1,INDEX(計算用!$G$3:$G$452,計算用!$Z$30),INDEX(振り分け!$C$7:$C$456,計算用!$Z$30)))</f>
        <v/>
      </c>
      <c r="D32" s="59">
        <f>IF(計算用!$Z$30="","",IF(計算用!$B$1=1,INDEX(計算用!$H$3:$H$452,計算用!$Z$30),INDEX(振り分け!$D$7:$D$456,計算用!$Z$30)))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IF(計算用!$Z$31="","",29)</f>
        <v/>
      </c>
      <c r="B33" s="54">
        <f>IF(計算用!$Z$31="","",IF(計算用!$B$1=1,INDEX(計算用!$F$3:$F$452,計算用!$Z$31),INDEX(振り分け!$B$7:$B$456,計算用!$Z$31)))</f>
        <v/>
      </c>
      <c r="C33" s="54">
        <f>IF(計算用!$Z$31="","",IF(計算用!$B$1=1,INDEX(計算用!$G$3:$G$452,計算用!$Z$31),INDEX(振り分け!$C$7:$C$456,計算用!$Z$31)))</f>
        <v/>
      </c>
      <c r="D33" s="59">
        <f>IF(計算用!$Z$31="","",IF(計算用!$B$1=1,INDEX(計算用!$H$3:$H$452,計算用!$Z$31),INDEX(振り分け!$D$7:$D$456,計算用!$Z$31)))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IF(計算用!$Z$32="","",30)</f>
        <v/>
      </c>
      <c r="B34" s="54">
        <f>IF(計算用!$Z$32="","",IF(計算用!$B$1=1,INDEX(計算用!$F$3:$F$452,計算用!$Z$32),INDEX(振り分け!$B$7:$B$456,計算用!$Z$32)))</f>
        <v/>
      </c>
      <c r="C34" s="54">
        <f>IF(計算用!$Z$32="","",IF(計算用!$B$1=1,INDEX(計算用!$G$3:$G$452,計算用!$Z$32),INDEX(振り分け!$C$7:$C$456,計算用!$Z$32)))</f>
        <v/>
      </c>
      <c r="D34" s="59">
        <f>IF(計算用!$Z$32="","",IF(計算用!$B$1=1,INDEX(計算用!$H$3:$H$452,計算用!$Z$32),INDEX(振り分け!$D$7:$D$456,計算用!$Z$32)))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IF(計算用!$Z$33="","",31)</f>
        <v/>
      </c>
      <c r="B35" s="54">
        <f>IF(計算用!$Z$33="","",IF(計算用!$B$1=1,INDEX(計算用!$F$3:$F$452,計算用!$Z$33),INDEX(振り分け!$B$7:$B$456,計算用!$Z$33)))</f>
        <v/>
      </c>
      <c r="C35" s="54">
        <f>IF(計算用!$Z$33="","",IF(計算用!$B$1=1,INDEX(計算用!$G$3:$G$452,計算用!$Z$33),INDEX(振り分け!$C$7:$C$456,計算用!$Z$33)))</f>
        <v/>
      </c>
      <c r="D35" s="59">
        <f>IF(計算用!$Z$33="","",IF(計算用!$B$1=1,INDEX(計算用!$H$3:$H$452,計算用!$Z$33),INDEX(振り分け!$D$7:$D$456,計算用!$Z$33)))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IF(計算用!$Z$34="","",32)</f>
        <v/>
      </c>
      <c r="B36" s="54">
        <f>IF(計算用!$Z$34="","",IF(計算用!$B$1=1,INDEX(計算用!$F$3:$F$452,計算用!$Z$34),INDEX(振り分け!$B$7:$B$456,計算用!$Z$34)))</f>
        <v/>
      </c>
      <c r="C36" s="54">
        <f>IF(計算用!$Z$34="","",IF(計算用!$B$1=1,INDEX(計算用!$G$3:$G$452,計算用!$Z$34),INDEX(振り分け!$C$7:$C$456,計算用!$Z$34)))</f>
        <v/>
      </c>
      <c r="D36" s="59">
        <f>IF(計算用!$Z$34="","",IF(計算用!$B$1=1,INDEX(計算用!$H$3:$H$452,計算用!$Z$34),INDEX(振り分け!$D$7:$D$456,計算用!$Z$34)))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IF(計算用!$Z$35="","",33)</f>
        <v/>
      </c>
      <c r="B37" s="54">
        <f>IF(計算用!$Z$35="","",IF(計算用!$B$1=1,INDEX(計算用!$F$3:$F$452,計算用!$Z$35),INDEX(振り分け!$B$7:$B$456,計算用!$Z$35)))</f>
        <v/>
      </c>
      <c r="C37" s="54">
        <f>IF(計算用!$Z$35="","",IF(計算用!$B$1=1,INDEX(計算用!$G$3:$G$452,計算用!$Z$35),INDEX(振り分け!$C$7:$C$456,計算用!$Z$35)))</f>
        <v/>
      </c>
      <c r="D37" s="59">
        <f>IF(計算用!$Z$35="","",IF(計算用!$B$1=1,INDEX(計算用!$H$3:$H$452,計算用!$Z$35),INDEX(振り分け!$D$7:$D$456,計算用!$Z$35)))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IF(計算用!$Z$36="","",34)</f>
        <v/>
      </c>
      <c r="B38" s="54">
        <f>IF(計算用!$Z$36="","",IF(計算用!$B$1=1,INDEX(計算用!$F$3:$F$452,計算用!$Z$36),INDEX(振り分け!$B$7:$B$456,計算用!$Z$36)))</f>
        <v/>
      </c>
      <c r="C38" s="54">
        <f>IF(計算用!$Z$36="","",IF(計算用!$B$1=1,INDEX(計算用!$G$3:$G$452,計算用!$Z$36),INDEX(振り分け!$C$7:$C$456,計算用!$Z$36)))</f>
        <v/>
      </c>
      <c r="D38" s="59">
        <f>IF(計算用!$Z$36="","",IF(計算用!$B$1=1,INDEX(計算用!$H$3:$H$452,計算用!$Z$36),INDEX(振り分け!$D$7:$D$456,計算用!$Z$36)))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IF(計算用!$Z$37="","",35)</f>
        <v/>
      </c>
      <c r="B39" s="54">
        <f>IF(計算用!$Z$37="","",IF(計算用!$B$1=1,INDEX(計算用!$F$3:$F$452,計算用!$Z$37),INDEX(振り分け!$B$7:$B$456,計算用!$Z$37)))</f>
        <v/>
      </c>
      <c r="C39" s="54">
        <f>IF(計算用!$Z$37="","",IF(計算用!$B$1=1,INDEX(計算用!$G$3:$G$452,計算用!$Z$37),INDEX(振り分け!$C$7:$C$456,計算用!$Z$37)))</f>
        <v/>
      </c>
      <c r="D39" s="59">
        <f>IF(計算用!$Z$37="","",IF(計算用!$B$1=1,INDEX(計算用!$H$3:$H$452,計算用!$Z$37),INDEX(振り分け!$D$7:$D$456,計算用!$Z$37)))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IF(計算用!$Z$38="","",36)</f>
        <v/>
      </c>
      <c r="B40" s="54">
        <f>IF(計算用!$Z$38="","",IF(計算用!$B$1=1,INDEX(計算用!$F$3:$F$452,計算用!$Z$38),INDEX(振り分け!$B$7:$B$456,計算用!$Z$38)))</f>
        <v/>
      </c>
      <c r="C40" s="54">
        <f>IF(計算用!$Z$38="","",IF(計算用!$B$1=1,INDEX(計算用!$G$3:$G$452,計算用!$Z$38),INDEX(振り分け!$C$7:$C$456,計算用!$Z$38)))</f>
        <v/>
      </c>
      <c r="D40" s="59">
        <f>IF(計算用!$Z$38="","",IF(計算用!$B$1=1,INDEX(計算用!$H$3:$H$452,計算用!$Z$38),INDEX(振り分け!$D$7:$D$456,計算用!$Z$38)))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IF(計算用!$Z$39="","",37)</f>
        <v/>
      </c>
      <c r="B41" s="54">
        <f>IF(計算用!$Z$39="","",IF(計算用!$B$1=1,INDEX(計算用!$F$3:$F$452,計算用!$Z$39),INDEX(振り分け!$B$7:$B$456,計算用!$Z$39)))</f>
        <v/>
      </c>
      <c r="C41" s="54">
        <f>IF(計算用!$Z$39="","",IF(計算用!$B$1=1,INDEX(計算用!$G$3:$G$452,計算用!$Z$39),INDEX(振り分け!$C$7:$C$456,計算用!$Z$39)))</f>
        <v/>
      </c>
      <c r="D41" s="59">
        <f>IF(計算用!$Z$39="","",IF(計算用!$B$1=1,INDEX(計算用!$H$3:$H$452,計算用!$Z$39),INDEX(振り分け!$D$7:$D$456,計算用!$Z$39)))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IF(計算用!$Z$40="","",38)</f>
        <v/>
      </c>
      <c r="B42" s="54">
        <f>IF(計算用!$Z$40="","",IF(計算用!$B$1=1,INDEX(計算用!$F$3:$F$452,計算用!$Z$40),INDEX(振り分け!$B$7:$B$456,計算用!$Z$40)))</f>
        <v/>
      </c>
      <c r="C42" s="54">
        <f>IF(計算用!$Z$40="","",IF(計算用!$B$1=1,INDEX(計算用!$G$3:$G$452,計算用!$Z$40),INDEX(振り分け!$C$7:$C$456,計算用!$Z$40)))</f>
        <v/>
      </c>
      <c r="D42" s="59">
        <f>IF(計算用!$Z$40="","",IF(計算用!$B$1=1,INDEX(計算用!$H$3:$H$452,計算用!$Z$40),INDEX(振り分け!$D$7:$D$456,計算用!$Z$40)))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IF(計算用!$Z$41="","",39)</f>
        <v/>
      </c>
      <c r="B43" s="54">
        <f>IF(計算用!$Z$41="","",IF(計算用!$B$1=1,INDEX(計算用!$F$3:$F$452,計算用!$Z$41),INDEX(振り分け!$B$7:$B$456,計算用!$Z$41)))</f>
        <v/>
      </c>
      <c r="C43" s="54">
        <f>IF(計算用!$Z$41="","",IF(計算用!$B$1=1,INDEX(計算用!$G$3:$G$452,計算用!$Z$41),INDEX(振り分け!$C$7:$C$456,計算用!$Z$41)))</f>
        <v/>
      </c>
      <c r="D43" s="59">
        <f>IF(計算用!$Z$41="","",IF(計算用!$B$1=1,INDEX(計算用!$H$3:$H$452,計算用!$Z$41),INDEX(振り分け!$D$7:$D$456,計算用!$Z$41)))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IF(計算用!$Z$42="","",40)</f>
        <v/>
      </c>
      <c r="B44" s="54">
        <f>IF(計算用!$Z$42="","",IF(計算用!$B$1=1,INDEX(計算用!$F$3:$F$452,計算用!$Z$42),INDEX(振り分け!$B$7:$B$456,計算用!$Z$42)))</f>
        <v/>
      </c>
      <c r="C44" s="54">
        <f>IF(計算用!$Z$42="","",IF(計算用!$B$1=1,INDEX(計算用!$G$3:$G$452,計算用!$Z$42),INDEX(振り分け!$C$7:$C$456,計算用!$Z$42)))</f>
        <v/>
      </c>
      <c r="D44" s="59">
        <f>IF(計算用!$Z$42="","",IF(計算用!$B$1=1,INDEX(計算用!$H$3:$H$452,計算用!$Z$42),INDEX(振り分け!$D$7:$D$456,計算用!$Z$42)))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IF(計算用!$Z$43="","",41)</f>
        <v/>
      </c>
      <c r="B45" s="54">
        <f>IF(計算用!$Z$43="","",IF(計算用!$B$1=1,INDEX(計算用!$F$3:$F$452,計算用!$Z$43),INDEX(振り分け!$B$7:$B$456,計算用!$Z$43)))</f>
        <v/>
      </c>
      <c r="C45" s="54">
        <f>IF(計算用!$Z$43="","",IF(計算用!$B$1=1,INDEX(計算用!$G$3:$G$452,計算用!$Z$43),INDEX(振り分け!$C$7:$C$456,計算用!$Z$43)))</f>
        <v/>
      </c>
      <c r="D45" s="59">
        <f>IF(計算用!$Z$43="","",IF(計算用!$B$1=1,INDEX(計算用!$H$3:$H$452,計算用!$Z$43),INDEX(振り分け!$D$7:$D$456,計算用!$Z$43)))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IF(計算用!$Z$44="","",42)</f>
        <v/>
      </c>
      <c r="B46" s="54">
        <f>IF(計算用!$Z$44="","",IF(計算用!$B$1=1,INDEX(計算用!$F$3:$F$452,計算用!$Z$44),INDEX(振り分け!$B$7:$B$456,計算用!$Z$44)))</f>
        <v/>
      </c>
      <c r="C46" s="54">
        <f>IF(計算用!$Z$44="","",IF(計算用!$B$1=1,INDEX(計算用!$G$3:$G$452,計算用!$Z$44),INDEX(振り分け!$C$7:$C$456,計算用!$Z$44)))</f>
        <v/>
      </c>
      <c r="D46" s="59">
        <f>IF(計算用!$Z$44="","",IF(計算用!$B$1=1,INDEX(計算用!$H$3:$H$452,計算用!$Z$44),INDEX(振り分け!$D$7:$D$456,計算用!$Z$44)))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IF(計算用!$Z$45="","",43)</f>
        <v/>
      </c>
      <c r="B47" s="54">
        <f>IF(計算用!$Z$45="","",IF(計算用!$B$1=1,INDEX(計算用!$F$3:$F$452,計算用!$Z$45),INDEX(振り分け!$B$7:$B$456,計算用!$Z$45)))</f>
        <v/>
      </c>
      <c r="C47" s="54">
        <f>IF(計算用!$Z$45="","",IF(計算用!$B$1=1,INDEX(計算用!$G$3:$G$452,計算用!$Z$45),INDEX(振り分け!$C$7:$C$456,計算用!$Z$45)))</f>
        <v/>
      </c>
      <c r="D47" s="59">
        <f>IF(計算用!$Z$45="","",IF(計算用!$B$1=1,INDEX(計算用!$H$3:$H$452,計算用!$Z$45),INDEX(振り分け!$D$7:$D$456,計算用!$Z$45)))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IF(計算用!$Z$46="","",44)</f>
        <v/>
      </c>
      <c r="B48" s="54">
        <f>IF(計算用!$Z$46="","",IF(計算用!$B$1=1,INDEX(計算用!$F$3:$F$452,計算用!$Z$46),INDEX(振り分け!$B$7:$B$456,計算用!$Z$46)))</f>
        <v/>
      </c>
      <c r="C48" s="54">
        <f>IF(計算用!$Z$46="","",IF(計算用!$B$1=1,INDEX(計算用!$G$3:$G$452,計算用!$Z$46),INDEX(振り分け!$C$7:$C$456,計算用!$Z$46)))</f>
        <v/>
      </c>
      <c r="D48" s="59">
        <f>IF(計算用!$Z$46="","",IF(計算用!$B$1=1,INDEX(計算用!$H$3:$H$452,計算用!$Z$46),INDEX(振り分け!$D$7:$D$456,計算用!$Z$46)))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IF(計算用!$Z$47="","",45)</f>
        <v/>
      </c>
      <c r="B49" s="54">
        <f>IF(計算用!$Z$47="","",IF(計算用!$B$1=1,INDEX(計算用!$F$3:$F$452,計算用!$Z$47),INDEX(振り分け!$B$7:$B$456,計算用!$Z$47)))</f>
        <v/>
      </c>
      <c r="C49" s="54">
        <f>IF(計算用!$Z$47="","",IF(計算用!$B$1=1,INDEX(計算用!$G$3:$G$452,計算用!$Z$47),INDEX(振り分け!$C$7:$C$456,計算用!$Z$47)))</f>
        <v/>
      </c>
      <c r="D49" s="59">
        <f>IF(計算用!$Z$47="","",IF(計算用!$B$1=1,INDEX(計算用!$H$3:$H$452,計算用!$Z$47),INDEX(振り分け!$D$7:$D$456,計算用!$Z$47)))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IF(計算用!$Z$48="","",46)</f>
        <v/>
      </c>
      <c r="B50" s="54">
        <f>IF(計算用!$Z$48="","",IF(計算用!$B$1=1,INDEX(計算用!$F$3:$F$452,計算用!$Z$48),INDEX(振り分け!$B$7:$B$456,計算用!$Z$48)))</f>
        <v/>
      </c>
      <c r="C50" s="54">
        <f>IF(計算用!$Z$48="","",IF(計算用!$B$1=1,INDEX(計算用!$G$3:$G$452,計算用!$Z$48),INDEX(振り分け!$C$7:$C$456,計算用!$Z$48)))</f>
        <v/>
      </c>
      <c r="D50" s="59">
        <f>IF(計算用!$Z$48="","",IF(計算用!$B$1=1,INDEX(計算用!$H$3:$H$452,計算用!$Z$48),INDEX(振り分け!$D$7:$D$456,計算用!$Z$48)))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IF(計算用!$Z$49="","",47)</f>
        <v/>
      </c>
      <c r="B51" s="54">
        <f>IF(計算用!$Z$49="","",IF(計算用!$B$1=1,INDEX(計算用!$F$3:$F$452,計算用!$Z$49),INDEX(振り分け!$B$7:$B$456,計算用!$Z$49)))</f>
        <v/>
      </c>
      <c r="C51" s="54">
        <f>IF(計算用!$Z$49="","",IF(計算用!$B$1=1,INDEX(計算用!$G$3:$G$452,計算用!$Z$49),INDEX(振り分け!$C$7:$C$456,計算用!$Z$49)))</f>
        <v/>
      </c>
      <c r="D51" s="59">
        <f>IF(計算用!$Z$49="","",IF(計算用!$B$1=1,INDEX(計算用!$H$3:$H$452,計算用!$Z$49),INDEX(振り分け!$D$7:$D$456,計算用!$Z$49)))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IF(計算用!$Z$50="","",48)</f>
        <v/>
      </c>
      <c r="B52" s="54">
        <f>IF(計算用!$Z$50="","",IF(計算用!$B$1=1,INDEX(計算用!$F$3:$F$452,計算用!$Z$50),INDEX(振り分け!$B$7:$B$456,計算用!$Z$50)))</f>
        <v/>
      </c>
      <c r="C52" s="54">
        <f>IF(計算用!$Z$50="","",IF(計算用!$B$1=1,INDEX(計算用!$G$3:$G$452,計算用!$Z$50),INDEX(振り分け!$C$7:$C$456,計算用!$Z$50)))</f>
        <v/>
      </c>
      <c r="D52" s="59">
        <f>IF(計算用!$Z$50="","",IF(計算用!$B$1=1,INDEX(計算用!$H$3:$H$452,計算用!$Z$50),INDEX(振り分け!$D$7:$D$456,計算用!$Z$50)))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IF(計算用!$Z$51="","",49)</f>
        <v/>
      </c>
      <c r="B53" s="54">
        <f>IF(計算用!$Z$51="","",IF(計算用!$B$1=1,INDEX(計算用!$F$3:$F$452,計算用!$Z$51),INDEX(振り分け!$B$7:$B$456,計算用!$Z$51)))</f>
        <v/>
      </c>
      <c r="C53" s="54">
        <f>IF(計算用!$Z$51="","",IF(計算用!$B$1=1,INDEX(計算用!$G$3:$G$452,計算用!$Z$51),INDEX(振り分け!$C$7:$C$456,計算用!$Z$51)))</f>
        <v/>
      </c>
      <c r="D53" s="59">
        <f>IF(計算用!$Z$51="","",IF(計算用!$B$1=1,INDEX(計算用!$H$3:$H$452,計算用!$Z$51),INDEX(振り分け!$D$7:$D$456,計算用!$Z$51)))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IF(計算用!$Z$52="","",50)</f>
        <v/>
      </c>
      <c r="B54" s="54">
        <f>IF(計算用!$Z$52="","",IF(計算用!$B$1=1,INDEX(計算用!$F$3:$F$452,計算用!$Z$52),INDEX(振り分け!$B$7:$B$456,計算用!$Z$52)))</f>
        <v/>
      </c>
      <c r="C54" s="54">
        <f>IF(計算用!$Z$52="","",IF(計算用!$B$1=1,INDEX(計算用!$G$3:$G$452,計算用!$Z$52),INDEX(振り分け!$C$7:$C$456,計算用!$Z$52)))</f>
        <v/>
      </c>
      <c r="D54" s="59">
        <f>IF(計算用!$Z$52="","",IF(計算用!$B$1=1,INDEX(計算用!$H$3:$H$452,計算用!$Z$52),INDEX(振り分け!$D$7:$D$456,計算用!$Z$52)))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IF(設定!$P$25="","",設定!$B$3&amp;"　"&amp;設定!$P$25&amp;設定!$B$4&amp;"名簿"&amp;IF(計算用!$B$1=0,"（仮・前年度の組）",""))</f>
        <v/>
      </c>
    </row>
    <row r="2">
      <c r="A2" s="44">
        <f>IF(設定!$P$25="","","担当："&amp;設定!$S$25&amp;"　　活動場所："&amp;設定!$T$25&amp;"　　人数："&amp;定員チェック!$F$24&amp;"名（"&amp;設定!$B$8&amp;"年"&amp;定員チェック!$G$24&amp;"・"&amp;設定!$B$9&amp;"年"&amp;定員チェック!$H$24&amp;"・"&amp;設定!$B$10&amp;"年"&amp;定員チェック!$I$24&amp;"）")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IF(計算用!$AA$3="","",1)</f>
        <v/>
      </c>
      <c r="B5" s="54">
        <f>IF(計算用!$AA$3="","",IF(計算用!$B$1=1,INDEX(計算用!$F$3:$F$452,計算用!$AA$3),INDEX(振り分け!$B$7:$B$456,計算用!$AA$3)))</f>
        <v/>
      </c>
      <c r="C5" s="54">
        <f>IF(計算用!$AA$3="","",IF(計算用!$B$1=1,INDEX(計算用!$G$3:$G$452,計算用!$AA$3),INDEX(振り分け!$C$7:$C$456,計算用!$AA$3)))</f>
        <v/>
      </c>
      <c r="D5" s="59">
        <f>IF(計算用!$AA$3="","",IF(計算用!$B$1=1,INDEX(計算用!$H$3:$H$452,計算用!$AA$3),INDEX(振り分け!$D$7:$D$456,計算用!$AA$3)))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IF(計算用!$AA$4="","",2)</f>
        <v/>
      </c>
      <c r="B6" s="54">
        <f>IF(計算用!$AA$4="","",IF(計算用!$B$1=1,INDEX(計算用!$F$3:$F$452,計算用!$AA$4),INDEX(振り分け!$B$7:$B$456,計算用!$AA$4)))</f>
        <v/>
      </c>
      <c r="C6" s="54">
        <f>IF(計算用!$AA$4="","",IF(計算用!$B$1=1,INDEX(計算用!$G$3:$G$452,計算用!$AA$4),INDEX(振り分け!$C$7:$C$456,計算用!$AA$4)))</f>
        <v/>
      </c>
      <c r="D6" s="59">
        <f>IF(計算用!$AA$4="","",IF(計算用!$B$1=1,INDEX(計算用!$H$3:$H$452,計算用!$AA$4),INDEX(振り分け!$D$7:$D$456,計算用!$AA$4)))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IF(計算用!$AA$5="","",3)</f>
        <v/>
      </c>
      <c r="B7" s="54">
        <f>IF(計算用!$AA$5="","",IF(計算用!$B$1=1,INDEX(計算用!$F$3:$F$452,計算用!$AA$5),INDEX(振り分け!$B$7:$B$456,計算用!$AA$5)))</f>
        <v/>
      </c>
      <c r="C7" s="54">
        <f>IF(計算用!$AA$5="","",IF(計算用!$B$1=1,INDEX(計算用!$G$3:$G$452,計算用!$AA$5),INDEX(振り分け!$C$7:$C$456,計算用!$AA$5)))</f>
        <v/>
      </c>
      <c r="D7" s="59">
        <f>IF(計算用!$AA$5="","",IF(計算用!$B$1=1,INDEX(計算用!$H$3:$H$452,計算用!$AA$5),INDEX(振り分け!$D$7:$D$456,計算用!$AA$5)))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IF(計算用!$AA$6="","",4)</f>
        <v/>
      </c>
      <c r="B8" s="54">
        <f>IF(計算用!$AA$6="","",IF(計算用!$B$1=1,INDEX(計算用!$F$3:$F$452,計算用!$AA$6),INDEX(振り分け!$B$7:$B$456,計算用!$AA$6)))</f>
        <v/>
      </c>
      <c r="C8" s="54">
        <f>IF(計算用!$AA$6="","",IF(計算用!$B$1=1,INDEX(計算用!$G$3:$G$452,計算用!$AA$6),INDEX(振り分け!$C$7:$C$456,計算用!$AA$6)))</f>
        <v/>
      </c>
      <c r="D8" s="59">
        <f>IF(計算用!$AA$6="","",IF(計算用!$B$1=1,INDEX(計算用!$H$3:$H$452,計算用!$AA$6),INDEX(振り分け!$D$7:$D$456,計算用!$AA$6)))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IF(計算用!$AA$7="","",5)</f>
        <v/>
      </c>
      <c r="B9" s="54">
        <f>IF(計算用!$AA$7="","",IF(計算用!$B$1=1,INDEX(計算用!$F$3:$F$452,計算用!$AA$7),INDEX(振り分け!$B$7:$B$456,計算用!$AA$7)))</f>
        <v/>
      </c>
      <c r="C9" s="54">
        <f>IF(計算用!$AA$7="","",IF(計算用!$B$1=1,INDEX(計算用!$G$3:$G$452,計算用!$AA$7),INDEX(振り分け!$C$7:$C$456,計算用!$AA$7)))</f>
        <v/>
      </c>
      <c r="D9" s="59">
        <f>IF(計算用!$AA$7="","",IF(計算用!$B$1=1,INDEX(計算用!$H$3:$H$452,計算用!$AA$7),INDEX(振り分け!$D$7:$D$456,計算用!$AA$7)))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IF(計算用!$AA$8="","",6)</f>
        <v/>
      </c>
      <c r="B10" s="54">
        <f>IF(計算用!$AA$8="","",IF(計算用!$B$1=1,INDEX(計算用!$F$3:$F$452,計算用!$AA$8),INDEX(振り分け!$B$7:$B$456,計算用!$AA$8)))</f>
        <v/>
      </c>
      <c r="C10" s="54">
        <f>IF(計算用!$AA$8="","",IF(計算用!$B$1=1,INDEX(計算用!$G$3:$G$452,計算用!$AA$8),INDEX(振り分け!$C$7:$C$456,計算用!$AA$8)))</f>
        <v/>
      </c>
      <c r="D10" s="59">
        <f>IF(計算用!$AA$8="","",IF(計算用!$B$1=1,INDEX(計算用!$H$3:$H$452,計算用!$AA$8),INDEX(振り分け!$D$7:$D$456,計算用!$AA$8)))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IF(計算用!$AA$9="","",7)</f>
        <v/>
      </c>
      <c r="B11" s="54">
        <f>IF(計算用!$AA$9="","",IF(計算用!$B$1=1,INDEX(計算用!$F$3:$F$452,計算用!$AA$9),INDEX(振り分け!$B$7:$B$456,計算用!$AA$9)))</f>
        <v/>
      </c>
      <c r="C11" s="54">
        <f>IF(計算用!$AA$9="","",IF(計算用!$B$1=1,INDEX(計算用!$G$3:$G$452,計算用!$AA$9),INDEX(振り分け!$C$7:$C$456,計算用!$AA$9)))</f>
        <v/>
      </c>
      <c r="D11" s="59">
        <f>IF(計算用!$AA$9="","",IF(計算用!$B$1=1,INDEX(計算用!$H$3:$H$452,計算用!$AA$9),INDEX(振り分け!$D$7:$D$456,計算用!$AA$9)))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IF(計算用!$AA$10="","",8)</f>
        <v/>
      </c>
      <c r="B12" s="54">
        <f>IF(計算用!$AA$10="","",IF(計算用!$B$1=1,INDEX(計算用!$F$3:$F$452,計算用!$AA$10),INDEX(振り分け!$B$7:$B$456,計算用!$AA$10)))</f>
        <v/>
      </c>
      <c r="C12" s="54">
        <f>IF(計算用!$AA$10="","",IF(計算用!$B$1=1,INDEX(計算用!$G$3:$G$452,計算用!$AA$10),INDEX(振り分け!$C$7:$C$456,計算用!$AA$10)))</f>
        <v/>
      </c>
      <c r="D12" s="59">
        <f>IF(計算用!$AA$10="","",IF(計算用!$B$1=1,INDEX(計算用!$H$3:$H$452,計算用!$AA$10),INDEX(振り分け!$D$7:$D$456,計算用!$AA$10)))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IF(計算用!$AA$11="","",9)</f>
        <v/>
      </c>
      <c r="B13" s="54">
        <f>IF(計算用!$AA$11="","",IF(計算用!$B$1=1,INDEX(計算用!$F$3:$F$452,計算用!$AA$11),INDEX(振り分け!$B$7:$B$456,計算用!$AA$11)))</f>
        <v/>
      </c>
      <c r="C13" s="54">
        <f>IF(計算用!$AA$11="","",IF(計算用!$B$1=1,INDEX(計算用!$G$3:$G$452,計算用!$AA$11),INDEX(振り分け!$C$7:$C$456,計算用!$AA$11)))</f>
        <v/>
      </c>
      <c r="D13" s="59">
        <f>IF(計算用!$AA$11="","",IF(計算用!$B$1=1,INDEX(計算用!$H$3:$H$452,計算用!$AA$11),INDEX(振り分け!$D$7:$D$456,計算用!$AA$11)))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IF(計算用!$AA$12="","",10)</f>
        <v/>
      </c>
      <c r="B14" s="54">
        <f>IF(計算用!$AA$12="","",IF(計算用!$B$1=1,INDEX(計算用!$F$3:$F$452,計算用!$AA$12),INDEX(振り分け!$B$7:$B$456,計算用!$AA$12)))</f>
        <v/>
      </c>
      <c r="C14" s="54">
        <f>IF(計算用!$AA$12="","",IF(計算用!$B$1=1,INDEX(計算用!$G$3:$G$452,計算用!$AA$12),INDEX(振り分け!$C$7:$C$456,計算用!$AA$12)))</f>
        <v/>
      </c>
      <c r="D14" s="59">
        <f>IF(計算用!$AA$12="","",IF(計算用!$B$1=1,INDEX(計算用!$H$3:$H$452,計算用!$AA$12),INDEX(振り分け!$D$7:$D$456,計算用!$AA$12)))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IF(計算用!$AA$13="","",11)</f>
        <v/>
      </c>
      <c r="B15" s="54">
        <f>IF(計算用!$AA$13="","",IF(計算用!$B$1=1,INDEX(計算用!$F$3:$F$452,計算用!$AA$13),INDEX(振り分け!$B$7:$B$456,計算用!$AA$13)))</f>
        <v/>
      </c>
      <c r="C15" s="54">
        <f>IF(計算用!$AA$13="","",IF(計算用!$B$1=1,INDEX(計算用!$G$3:$G$452,計算用!$AA$13),INDEX(振り分け!$C$7:$C$456,計算用!$AA$13)))</f>
        <v/>
      </c>
      <c r="D15" s="59">
        <f>IF(計算用!$AA$13="","",IF(計算用!$B$1=1,INDEX(計算用!$H$3:$H$452,計算用!$AA$13),INDEX(振り分け!$D$7:$D$456,計算用!$AA$13)))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IF(計算用!$AA$14="","",12)</f>
        <v/>
      </c>
      <c r="B16" s="54">
        <f>IF(計算用!$AA$14="","",IF(計算用!$B$1=1,INDEX(計算用!$F$3:$F$452,計算用!$AA$14),INDEX(振り分け!$B$7:$B$456,計算用!$AA$14)))</f>
        <v/>
      </c>
      <c r="C16" s="54">
        <f>IF(計算用!$AA$14="","",IF(計算用!$B$1=1,INDEX(計算用!$G$3:$G$452,計算用!$AA$14),INDEX(振り分け!$C$7:$C$456,計算用!$AA$14)))</f>
        <v/>
      </c>
      <c r="D16" s="59">
        <f>IF(計算用!$AA$14="","",IF(計算用!$B$1=1,INDEX(計算用!$H$3:$H$452,計算用!$AA$14),INDEX(振り分け!$D$7:$D$456,計算用!$AA$14)))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IF(計算用!$AA$15="","",13)</f>
        <v/>
      </c>
      <c r="B17" s="54">
        <f>IF(計算用!$AA$15="","",IF(計算用!$B$1=1,INDEX(計算用!$F$3:$F$452,計算用!$AA$15),INDEX(振り分け!$B$7:$B$456,計算用!$AA$15)))</f>
        <v/>
      </c>
      <c r="C17" s="54">
        <f>IF(計算用!$AA$15="","",IF(計算用!$B$1=1,INDEX(計算用!$G$3:$G$452,計算用!$AA$15),INDEX(振り分け!$C$7:$C$456,計算用!$AA$15)))</f>
        <v/>
      </c>
      <c r="D17" s="59">
        <f>IF(計算用!$AA$15="","",IF(計算用!$B$1=1,INDEX(計算用!$H$3:$H$452,計算用!$AA$15),INDEX(振り分け!$D$7:$D$456,計算用!$AA$15)))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IF(計算用!$AA$16="","",14)</f>
        <v/>
      </c>
      <c r="B18" s="54">
        <f>IF(計算用!$AA$16="","",IF(計算用!$B$1=1,INDEX(計算用!$F$3:$F$452,計算用!$AA$16),INDEX(振り分け!$B$7:$B$456,計算用!$AA$16)))</f>
        <v/>
      </c>
      <c r="C18" s="54">
        <f>IF(計算用!$AA$16="","",IF(計算用!$B$1=1,INDEX(計算用!$G$3:$G$452,計算用!$AA$16),INDEX(振り分け!$C$7:$C$456,計算用!$AA$16)))</f>
        <v/>
      </c>
      <c r="D18" s="59">
        <f>IF(計算用!$AA$16="","",IF(計算用!$B$1=1,INDEX(計算用!$H$3:$H$452,計算用!$AA$16),INDEX(振り分け!$D$7:$D$456,計算用!$AA$16)))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IF(計算用!$AA$17="","",15)</f>
        <v/>
      </c>
      <c r="B19" s="54">
        <f>IF(計算用!$AA$17="","",IF(計算用!$B$1=1,INDEX(計算用!$F$3:$F$452,計算用!$AA$17),INDEX(振り分け!$B$7:$B$456,計算用!$AA$17)))</f>
        <v/>
      </c>
      <c r="C19" s="54">
        <f>IF(計算用!$AA$17="","",IF(計算用!$B$1=1,INDEX(計算用!$G$3:$G$452,計算用!$AA$17),INDEX(振り分け!$C$7:$C$456,計算用!$AA$17)))</f>
        <v/>
      </c>
      <c r="D19" s="59">
        <f>IF(計算用!$AA$17="","",IF(計算用!$B$1=1,INDEX(計算用!$H$3:$H$452,計算用!$AA$17),INDEX(振り分け!$D$7:$D$456,計算用!$AA$17)))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IF(計算用!$AA$18="","",16)</f>
        <v/>
      </c>
      <c r="B20" s="54">
        <f>IF(計算用!$AA$18="","",IF(計算用!$B$1=1,INDEX(計算用!$F$3:$F$452,計算用!$AA$18),INDEX(振り分け!$B$7:$B$456,計算用!$AA$18)))</f>
        <v/>
      </c>
      <c r="C20" s="54">
        <f>IF(計算用!$AA$18="","",IF(計算用!$B$1=1,INDEX(計算用!$G$3:$G$452,計算用!$AA$18),INDEX(振り分け!$C$7:$C$456,計算用!$AA$18)))</f>
        <v/>
      </c>
      <c r="D20" s="59">
        <f>IF(計算用!$AA$18="","",IF(計算用!$B$1=1,INDEX(計算用!$H$3:$H$452,計算用!$AA$18),INDEX(振り分け!$D$7:$D$456,計算用!$AA$18)))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IF(計算用!$AA$19="","",17)</f>
        <v/>
      </c>
      <c r="B21" s="54">
        <f>IF(計算用!$AA$19="","",IF(計算用!$B$1=1,INDEX(計算用!$F$3:$F$452,計算用!$AA$19),INDEX(振り分け!$B$7:$B$456,計算用!$AA$19)))</f>
        <v/>
      </c>
      <c r="C21" s="54">
        <f>IF(計算用!$AA$19="","",IF(計算用!$B$1=1,INDEX(計算用!$G$3:$G$452,計算用!$AA$19),INDEX(振り分け!$C$7:$C$456,計算用!$AA$19)))</f>
        <v/>
      </c>
      <c r="D21" s="59">
        <f>IF(計算用!$AA$19="","",IF(計算用!$B$1=1,INDEX(計算用!$H$3:$H$452,計算用!$AA$19),INDEX(振り分け!$D$7:$D$456,計算用!$AA$19)))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IF(計算用!$AA$20="","",18)</f>
        <v/>
      </c>
      <c r="B22" s="54">
        <f>IF(計算用!$AA$20="","",IF(計算用!$B$1=1,INDEX(計算用!$F$3:$F$452,計算用!$AA$20),INDEX(振り分け!$B$7:$B$456,計算用!$AA$20)))</f>
        <v/>
      </c>
      <c r="C22" s="54">
        <f>IF(計算用!$AA$20="","",IF(計算用!$B$1=1,INDEX(計算用!$G$3:$G$452,計算用!$AA$20),INDEX(振り分け!$C$7:$C$456,計算用!$AA$20)))</f>
        <v/>
      </c>
      <c r="D22" s="59">
        <f>IF(計算用!$AA$20="","",IF(計算用!$B$1=1,INDEX(計算用!$H$3:$H$452,計算用!$AA$20),INDEX(振り分け!$D$7:$D$456,計算用!$AA$20)))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IF(計算用!$AA$21="","",19)</f>
        <v/>
      </c>
      <c r="B23" s="54">
        <f>IF(計算用!$AA$21="","",IF(計算用!$B$1=1,INDEX(計算用!$F$3:$F$452,計算用!$AA$21),INDEX(振り分け!$B$7:$B$456,計算用!$AA$21)))</f>
        <v/>
      </c>
      <c r="C23" s="54">
        <f>IF(計算用!$AA$21="","",IF(計算用!$B$1=1,INDEX(計算用!$G$3:$G$452,計算用!$AA$21),INDEX(振り分け!$C$7:$C$456,計算用!$AA$21)))</f>
        <v/>
      </c>
      <c r="D23" s="59">
        <f>IF(計算用!$AA$21="","",IF(計算用!$B$1=1,INDEX(計算用!$H$3:$H$452,計算用!$AA$21),INDEX(振り分け!$D$7:$D$456,計算用!$AA$21)))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IF(計算用!$AA$22="","",20)</f>
        <v/>
      </c>
      <c r="B24" s="54">
        <f>IF(計算用!$AA$22="","",IF(計算用!$B$1=1,INDEX(計算用!$F$3:$F$452,計算用!$AA$22),INDEX(振り分け!$B$7:$B$456,計算用!$AA$22)))</f>
        <v/>
      </c>
      <c r="C24" s="54">
        <f>IF(計算用!$AA$22="","",IF(計算用!$B$1=1,INDEX(計算用!$G$3:$G$452,計算用!$AA$22),INDEX(振り分け!$C$7:$C$456,計算用!$AA$22)))</f>
        <v/>
      </c>
      <c r="D24" s="59">
        <f>IF(計算用!$AA$22="","",IF(計算用!$B$1=1,INDEX(計算用!$H$3:$H$452,計算用!$AA$22),INDEX(振り分け!$D$7:$D$456,計算用!$AA$22)))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IF(計算用!$AA$23="","",21)</f>
        <v/>
      </c>
      <c r="B25" s="54">
        <f>IF(計算用!$AA$23="","",IF(計算用!$B$1=1,INDEX(計算用!$F$3:$F$452,計算用!$AA$23),INDEX(振り分け!$B$7:$B$456,計算用!$AA$23)))</f>
        <v/>
      </c>
      <c r="C25" s="54">
        <f>IF(計算用!$AA$23="","",IF(計算用!$B$1=1,INDEX(計算用!$G$3:$G$452,計算用!$AA$23),INDEX(振り分け!$C$7:$C$456,計算用!$AA$23)))</f>
        <v/>
      </c>
      <c r="D25" s="59">
        <f>IF(計算用!$AA$23="","",IF(計算用!$B$1=1,INDEX(計算用!$H$3:$H$452,計算用!$AA$23),INDEX(振り分け!$D$7:$D$456,計算用!$AA$23)))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IF(計算用!$AA$24="","",22)</f>
        <v/>
      </c>
      <c r="B26" s="54">
        <f>IF(計算用!$AA$24="","",IF(計算用!$B$1=1,INDEX(計算用!$F$3:$F$452,計算用!$AA$24),INDEX(振り分け!$B$7:$B$456,計算用!$AA$24)))</f>
        <v/>
      </c>
      <c r="C26" s="54">
        <f>IF(計算用!$AA$24="","",IF(計算用!$B$1=1,INDEX(計算用!$G$3:$G$452,計算用!$AA$24),INDEX(振り分け!$C$7:$C$456,計算用!$AA$24)))</f>
        <v/>
      </c>
      <c r="D26" s="59">
        <f>IF(計算用!$AA$24="","",IF(計算用!$B$1=1,INDEX(計算用!$H$3:$H$452,計算用!$AA$24),INDEX(振り分け!$D$7:$D$456,計算用!$AA$24)))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IF(計算用!$AA$25="","",23)</f>
        <v/>
      </c>
      <c r="B27" s="54">
        <f>IF(計算用!$AA$25="","",IF(計算用!$B$1=1,INDEX(計算用!$F$3:$F$452,計算用!$AA$25),INDEX(振り分け!$B$7:$B$456,計算用!$AA$25)))</f>
        <v/>
      </c>
      <c r="C27" s="54">
        <f>IF(計算用!$AA$25="","",IF(計算用!$B$1=1,INDEX(計算用!$G$3:$G$452,計算用!$AA$25),INDEX(振り分け!$C$7:$C$456,計算用!$AA$25)))</f>
        <v/>
      </c>
      <c r="D27" s="59">
        <f>IF(計算用!$AA$25="","",IF(計算用!$B$1=1,INDEX(計算用!$H$3:$H$452,計算用!$AA$25),INDEX(振り分け!$D$7:$D$456,計算用!$AA$25)))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IF(計算用!$AA$26="","",24)</f>
        <v/>
      </c>
      <c r="B28" s="54">
        <f>IF(計算用!$AA$26="","",IF(計算用!$B$1=1,INDEX(計算用!$F$3:$F$452,計算用!$AA$26),INDEX(振り分け!$B$7:$B$456,計算用!$AA$26)))</f>
        <v/>
      </c>
      <c r="C28" s="54">
        <f>IF(計算用!$AA$26="","",IF(計算用!$B$1=1,INDEX(計算用!$G$3:$G$452,計算用!$AA$26),INDEX(振り分け!$C$7:$C$456,計算用!$AA$26)))</f>
        <v/>
      </c>
      <c r="D28" s="59">
        <f>IF(計算用!$AA$26="","",IF(計算用!$B$1=1,INDEX(計算用!$H$3:$H$452,計算用!$AA$26),INDEX(振り分け!$D$7:$D$456,計算用!$AA$26)))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IF(計算用!$AA$27="","",25)</f>
        <v/>
      </c>
      <c r="B29" s="54">
        <f>IF(計算用!$AA$27="","",IF(計算用!$B$1=1,INDEX(計算用!$F$3:$F$452,計算用!$AA$27),INDEX(振り分け!$B$7:$B$456,計算用!$AA$27)))</f>
        <v/>
      </c>
      <c r="C29" s="54">
        <f>IF(計算用!$AA$27="","",IF(計算用!$B$1=1,INDEX(計算用!$G$3:$G$452,計算用!$AA$27),INDEX(振り分け!$C$7:$C$456,計算用!$AA$27)))</f>
        <v/>
      </c>
      <c r="D29" s="59">
        <f>IF(計算用!$AA$27="","",IF(計算用!$B$1=1,INDEX(計算用!$H$3:$H$452,計算用!$AA$27),INDEX(振り分け!$D$7:$D$456,計算用!$AA$27)))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IF(計算用!$AA$28="","",26)</f>
        <v/>
      </c>
      <c r="B30" s="54">
        <f>IF(計算用!$AA$28="","",IF(計算用!$B$1=1,INDEX(計算用!$F$3:$F$452,計算用!$AA$28),INDEX(振り分け!$B$7:$B$456,計算用!$AA$28)))</f>
        <v/>
      </c>
      <c r="C30" s="54">
        <f>IF(計算用!$AA$28="","",IF(計算用!$B$1=1,INDEX(計算用!$G$3:$G$452,計算用!$AA$28),INDEX(振り分け!$C$7:$C$456,計算用!$AA$28)))</f>
        <v/>
      </c>
      <c r="D30" s="59">
        <f>IF(計算用!$AA$28="","",IF(計算用!$B$1=1,INDEX(計算用!$H$3:$H$452,計算用!$AA$28),INDEX(振り分け!$D$7:$D$456,計算用!$AA$28)))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IF(計算用!$AA$29="","",27)</f>
        <v/>
      </c>
      <c r="B31" s="54">
        <f>IF(計算用!$AA$29="","",IF(計算用!$B$1=1,INDEX(計算用!$F$3:$F$452,計算用!$AA$29),INDEX(振り分け!$B$7:$B$456,計算用!$AA$29)))</f>
        <v/>
      </c>
      <c r="C31" s="54">
        <f>IF(計算用!$AA$29="","",IF(計算用!$B$1=1,INDEX(計算用!$G$3:$G$452,計算用!$AA$29),INDEX(振り分け!$C$7:$C$456,計算用!$AA$29)))</f>
        <v/>
      </c>
      <c r="D31" s="59">
        <f>IF(計算用!$AA$29="","",IF(計算用!$B$1=1,INDEX(計算用!$H$3:$H$452,計算用!$AA$29),INDEX(振り分け!$D$7:$D$456,計算用!$AA$29)))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IF(計算用!$AA$30="","",28)</f>
        <v/>
      </c>
      <c r="B32" s="54">
        <f>IF(計算用!$AA$30="","",IF(計算用!$B$1=1,INDEX(計算用!$F$3:$F$452,計算用!$AA$30),INDEX(振り分け!$B$7:$B$456,計算用!$AA$30)))</f>
        <v/>
      </c>
      <c r="C32" s="54">
        <f>IF(計算用!$AA$30="","",IF(計算用!$B$1=1,INDEX(計算用!$G$3:$G$452,計算用!$AA$30),INDEX(振り分け!$C$7:$C$456,計算用!$AA$30)))</f>
        <v/>
      </c>
      <c r="D32" s="59">
        <f>IF(計算用!$AA$30="","",IF(計算用!$B$1=1,INDEX(計算用!$H$3:$H$452,計算用!$AA$30),INDEX(振り分け!$D$7:$D$456,計算用!$AA$30)))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IF(計算用!$AA$31="","",29)</f>
        <v/>
      </c>
      <c r="B33" s="54">
        <f>IF(計算用!$AA$31="","",IF(計算用!$B$1=1,INDEX(計算用!$F$3:$F$452,計算用!$AA$31),INDEX(振り分け!$B$7:$B$456,計算用!$AA$31)))</f>
        <v/>
      </c>
      <c r="C33" s="54">
        <f>IF(計算用!$AA$31="","",IF(計算用!$B$1=1,INDEX(計算用!$G$3:$G$452,計算用!$AA$31),INDEX(振り分け!$C$7:$C$456,計算用!$AA$31)))</f>
        <v/>
      </c>
      <c r="D33" s="59">
        <f>IF(計算用!$AA$31="","",IF(計算用!$B$1=1,INDEX(計算用!$H$3:$H$452,計算用!$AA$31),INDEX(振り分け!$D$7:$D$456,計算用!$AA$31)))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IF(計算用!$AA$32="","",30)</f>
        <v/>
      </c>
      <c r="B34" s="54">
        <f>IF(計算用!$AA$32="","",IF(計算用!$B$1=1,INDEX(計算用!$F$3:$F$452,計算用!$AA$32),INDEX(振り分け!$B$7:$B$456,計算用!$AA$32)))</f>
        <v/>
      </c>
      <c r="C34" s="54">
        <f>IF(計算用!$AA$32="","",IF(計算用!$B$1=1,INDEX(計算用!$G$3:$G$452,計算用!$AA$32),INDEX(振り分け!$C$7:$C$456,計算用!$AA$32)))</f>
        <v/>
      </c>
      <c r="D34" s="59">
        <f>IF(計算用!$AA$32="","",IF(計算用!$B$1=1,INDEX(計算用!$H$3:$H$452,計算用!$AA$32),INDEX(振り分け!$D$7:$D$456,計算用!$AA$32)))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IF(計算用!$AA$33="","",31)</f>
        <v/>
      </c>
      <c r="B35" s="54">
        <f>IF(計算用!$AA$33="","",IF(計算用!$B$1=1,INDEX(計算用!$F$3:$F$452,計算用!$AA$33),INDEX(振り分け!$B$7:$B$456,計算用!$AA$33)))</f>
        <v/>
      </c>
      <c r="C35" s="54">
        <f>IF(計算用!$AA$33="","",IF(計算用!$B$1=1,INDEX(計算用!$G$3:$G$452,計算用!$AA$33),INDEX(振り分け!$C$7:$C$456,計算用!$AA$33)))</f>
        <v/>
      </c>
      <c r="D35" s="59">
        <f>IF(計算用!$AA$33="","",IF(計算用!$B$1=1,INDEX(計算用!$H$3:$H$452,計算用!$AA$33),INDEX(振り分け!$D$7:$D$456,計算用!$AA$33)))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IF(計算用!$AA$34="","",32)</f>
        <v/>
      </c>
      <c r="B36" s="54">
        <f>IF(計算用!$AA$34="","",IF(計算用!$B$1=1,INDEX(計算用!$F$3:$F$452,計算用!$AA$34),INDEX(振り分け!$B$7:$B$456,計算用!$AA$34)))</f>
        <v/>
      </c>
      <c r="C36" s="54">
        <f>IF(計算用!$AA$34="","",IF(計算用!$B$1=1,INDEX(計算用!$G$3:$G$452,計算用!$AA$34),INDEX(振り分け!$C$7:$C$456,計算用!$AA$34)))</f>
        <v/>
      </c>
      <c r="D36" s="59">
        <f>IF(計算用!$AA$34="","",IF(計算用!$B$1=1,INDEX(計算用!$H$3:$H$452,計算用!$AA$34),INDEX(振り分け!$D$7:$D$456,計算用!$AA$34)))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IF(計算用!$AA$35="","",33)</f>
        <v/>
      </c>
      <c r="B37" s="54">
        <f>IF(計算用!$AA$35="","",IF(計算用!$B$1=1,INDEX(計算用!$F$3:$F$452,計算用!$AA$35),INDEX(振り分け!$B$7:$B$456,計算用!$AA$35)))</f>
        <v/>
      </c>
      <c r="C37" s="54">
        <f>IF(計算用!$AA$35="","",IF(計算用!$B$1=1,INDEX(計算用!$G$3:$G$452,計算用!$AA$35),INDEX(振り分け!$C$7:$C$456,計算用!$AA$35)))</f>
        <v/>
      </c>
      <c r="D37" s="59">
        <f>IF(計算用!$AA$35="","",IF(計算用!$B$1=1,INDEX(計算用!$H$3:$H$452,計算用!$AA$35),INDEX(振り分け!$D$7:$D$456,計算用!$AA$35)))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IF(計算用!$AA$36="","",34)</f>
        <v/>
      </c>
      <c r="B38" s="54">
        <f>IF(計算用!$AA$36="","",IF(計算用!$B$1=1,INDEX(計算用!$F$3:$F$452,計算用!$AA$36),INDEX(振り分け!$B$7:$B$456,計算用!$AA$36)))</f>
        <v/>
      </c>
      <c r="C38" s="54">
        <f>IF(計算用!$AA$36="","",IF(計算用!$B$1=1,INDEX(計算用!$G$3:$G$452,計算用!$AA$36),INDEX(振り分け!$C$7:$C$456,計算用!$AA$36)))</f>
        <v/>
      </c>
      <c r="D38" s="59">
        <f>IF(計算用!$AA$36="","",IF(計算用!$B$1=1,INDEX(計算用!$H$3:$H$452,計算用!$AA$36),INDEX(振り分け!$D$7:$D$456,計算用!$AA$36)))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IF(計算用!$AA$37="","",35)</f>
        <v/>
      </c>
      <c r="B39" s="54">
        <f>IF(計算用!$AA$37="","",IF(計算用!$B$1=1,INDEX(計算用!$F$3:$F$452,計算用!$AA$37),INDEX(振り分け!$B$7:$B$456,計算用!$AA$37)))</f>
        <v/>
      </c>
      <c r="C39" s="54">
        <f>IF(計算用!$AA$37="","",IF(計算用!$B$1=1,INDEX(計算用!$G$3:$G$452,計算用!$AA$37),INDEX(振り分け!$C$7:$C$456,計算用!$AA$37)))</f>
        <v/>
      </c>
      <c r="D39" s="59">
        <f>IF(計算用!$AA$37="","",IF(計算用!$B$1=1,INDEX(計算用!$H$3:$H$452,計算用!$AA$37),INDEX(振り分け!$D$7:$D$456,計算用!$AA$37)))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IF(計算用!$AA$38="","",36)</f>
        <v/>
      </c>
      <c r="B40" s="54">
        <f>IF(計算用!$AA$38="","",IF(計算用!$B$1=1,INDEX(計算用!$F$3:$F$452,計算用!$AA$38),INDEX(振り分け!$B$7:$B$456,計算用!$AA$38)))</f>
        <v/>
      </c>
      <c r="C40" s="54">
        <f>IF(計算用!$AA$38="","",IF(計算用!$B$1=1,INDEX(計算用!$G$3:$G$452,計算用!$AA$38),INDEX(振り分け!$C$7:$C$456,計算用!$AA$38)))</f>
        <v/>
      </c>
      <c r="D40" s="59">
        <f>IF(計算用!$AA$38="","",IF(計算用!$B$1=1,INDEX(計算用!$H$3:$H$452,計算用!$AA$38),INDEX(振り分け!$D$7:$D$456,計算用!$AA$38)))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IF(計算用!$AA$39="","",37)</f>
        <v/>
      </c>
      <c r="B41" s="54">
        <f>IF(計算用!$AA$39="","",IF(計算用!$B$1=1,INDEX(計算用!$F$3:$F$452,計算用!$AA$39),INDEX(振り分け!$B$7:$B$456,計算用!$AA$39)))</f>
        <v/>
      </c>
      <c r="C41" s="54">
        <f>IF(計算用!$AA$39="","",IF(計算用!$B$1=1,INDEX(計算用!$G$3:$G$452,計算用!$AA$39),INDEX(振り分け!$C$7:$C$456,計算用!$AA$39)))</f>
        <v/>
      </c>
      <c r="D41" s="59">
        <f>IF(計算用!$AA$39="","",IF(計算用!$B$1=1,INDEX(計算用!$H$3:$H$452,計算用!$AA$39),INDEX(振り分け!$D$7:$D$456,計算用!$AA$39)))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IF(計算用!$AA$40="","",38)</f>
        <v/>
      </c>
      <c r="B42" s="54">
        <f>IF(計算用!$AA$40="","",IF(計算用!$B$1=1,INDEX(計算用!$F$3:$F$452,計算用!$AA$40),INDEX(振り分け!$B$7:$B$456,計算用!$AA$40)))</f>
        <v/>
      </c>
      <c r="C42" s="54">
        <f>IF(計算用!$AA$40="","",IF(計算用!$B$1=1,INDEX(計算用!$G$3:$G$452,計算用!$AA$40),INDEX(振り分け!$C$7:$C$456,計算用!$AA$40)))</f>
        <v/>
      </c>
      <c r="D42" s="59">
        <f>IF(計算用!$AA$40="","",IF(計算用!$B$1=1,INDEX(計算用!$H$3:$H$452,計算用!$AA$40),INDEX(振り分け!$D$7:$D$456,計算用!$AA$40)))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IF(計算用!$AA$41="","",39)</f>
        <v/>
      </c>
      <c r="B43" s="54">
        <f>IF(計算用!$AA$41="","",IF(計算用!$B$1=1,INDEX(計算用!$F$3:$F$452,計算用!$AA$41),INDEX(振り分け!$B$7:$B$456,計算用!$AA$41)))</f>
        <v/>
      </c>
      <c r="C43" s="54">
        <f>IF(計算用!$AA$41="","",IF(計算用!$B$1=1,INDEX(計算用!$G$3:$G$452,計算用!$AA$41),INDEX(振り分け!$C$7:$C$456,計算用!$AA$41)))</f>
        <v/>
      </c>
      <c r="D43" s="59">
        <f>IF(計算用!$AA$41="","",IF(計算用!$B$1=1,INDEX(計算用!$H$3:$H$452,計算用!$AA$41),INDEX(振り分け!$D$7:$D$456,計算用!$AA$41)))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IF(計算用!$AA$42="","",40)</f>
        <v/>
      </c>
      <c r="B44" s="54">
        <f>IF(計算用!$AA$42="","",IF(計算用!$B$1=1,INDEX(計算用!$F$3:$F$452,計算用!$AA$42),INDEX(振り分け!$B$7:$B$456,計算用!$AA$42)))</f>
        <v/>
      </c>
      <c r="C44" s="54">
        <f>IF(計算用!$AA$42="","",IF(計算用!$B$1=1,INDEX(計算用!$G$3:$G$452,計算用!$AA$42),INDEX(振り分け!$C$7:$C$456,計算用!$AA$42)))</f>
        <v/>
      </c>
      <c r="D44" s="59">
        <f>IF(計算用!$AA$42="","",IF(計算用!$B$1=1,INDEX(計算用!$H$3:$H$452,計算用!$AA$42),INDEX(振り分け!$D$7:$D$456,計算用!$AA$42)))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IF(計算用!$AA$43="","",41)</f>
        <v/>
      </c>
      <c r="B45" s="54">
        <f>IF(計算用!$AA$43="","",IF(計算用!$B$1=1,INDEX(計算用!$F$3:$F$452,計算用!$AA$43),INDEX(振り分け!$B$7:$B$456,計算用!$AA$43)))</f>
        <v/>
      </c>
      <c r="C45" s="54">
        <f>IF(計算用!$AA$43="","",IF(計算用!$B$1=1,INDEX(計算用!$G$3:$G$452,計算用!$AA$43),INDEX(振り分け!$C$7:$C$456,計算用!$AA$43)))</f>
        <v/>
      </c>
      <c r="D45" s="59">
        <f>IF(計算用!$AA$43="","",IF(計算用!$B$1=1,INDEX(計算用!$H$3:$H$452,計算用!$AA$43),INDEX(振り分け!$D$7:$D$456,計算用!$AA$43)))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IF(計算用!$AA$44="","",42)</f>
        <v/>
      </c>
      <c r="B46" s="54">
        <f>IF(計算用!$AA$44="","",IF(計算用!$B$1=1,INDEX(計算用!$F$3:$F$452,計算用!$AA$44),INDEX(振り分け!$B$7:$B$456,計算用!$AA$44)))</f>
        <v/>
      </c>
      <c r="C46" s="54">
        <f>IF(計算用!$AA$44="","",IF(計算用!$B$1=1,INDEX(計算用!$G$3:$G$452,計算用!$AA$44),INDEX(振り分け!$C$7:$C$456,計算用!$AA$44)))</f>
        <v/>
      </c>
      <c r="D46" s="59">
        <f>IF(計算用!$AA$44="","",IF(計算用!$B$1=1,INDEX(計算用!$H$3:$H$452,計算用!$AA$44),INDEX(振り分け!$D$7:$D$456,計算用!$AA$44)))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IF(計算用!$AA$45="","",43)</f>
        <v/>
      </c>
      <c r="B47" s="54">
        <f>IF(計算用!$AA$45="","",IF(計算用!$B$1=1,INDEX(計算用!$F$3:$F$452,計算用!$AA$45),INDEX(振り分け!$B$7:$B$456,計算用!$AA$45)))</f>
        <v/>
      </c>
      <c r="C47" s="54">
        <f>IF(計算用!$AA$45="","",IF(計算用!$B$1=1,INDEX(計算用!$G$3:$G$452,計算用!$AA$45),INDEX(振り分け!$C$7:$C$456,計算用!$AA$45)))</f>
        <v/>
      </c>
      <c r="D47" s="59">
        <f>IF(計算用!$AA$45="","",IF(計算用!$B$1=1,INDEX(計算用!$H$3:$H$452,計算用!$AA$45),INDEX(振り分け!$D$7:$D$456,計算用!$AA$45)))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IF(計算用!$AA$46="","",44)</f>
        <v/>
      </c>
      <c r="B48" s="54">
        <f>IF(計算用!$AA$46="","",IF(計算用!$B$1=1,INDEX(計算用!$F$3:$F$452,計算用!$AA$46),INDEX(振り分け!$B$7:$B$456,計算用!$AA$46)))</f>
        <v/>
      </c>
      <c r="C48" s="54">
        <f>IF(計算用!$AA$46="","",IF(計算用!$B$1=1,INDEX(計算用!$G$3:$G$452,計算用!$AA$46),INDEX(振り分け!$C$7:$C$456,計算用!$AA$46)))</f>
        <v/>
      </c>
      <c r="D48" s="59">
        <f>IF(計算用!$AA$46="","",IF(計算用!$B$1=1,INDEX(計算用!$H$3:$H$452,計算用!$AA$46),INDEX(振り分け!$D$7:$D$456,計算用!$AA$46)))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IF(計算用!$AA$47="","",45)</f>
        <v/>
      </c>
      <c r="B49" s="54">
        <f>IF(計算用!$AA$47="","",IF(計算用!$B$1=1,INDEX(計算用!$F$3:$F$452,計算用!$AA$47),INDEX(振り分け!$B$7:$B$456,計算用!$AA$47)))</f>
        <v/>
      </c>
      <c r="C49" s="54">
        <f>IF(計算用!$AA$47="","",IF(計算用!$B$1=1,INDEX(計算用!$G$3:$G$452,計算用!$AA$47),INDEX(振り分け!$C$7:$C$456,計算用!$AA$47)))</f>
        <v/>
      </c>
      <c r="D49" s="59">
        <f>IF(計算用!$AA$47="","",IF(計算用!$B$1=1,INDEX(計算用!$H$3:$H$452,計算用!$AA$47),INDEX(振り分け!$D$7:$D$456,計算用!$AA$47)))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IF(計算用!$AA$48="","",46)</f>
        <v/>
      </c>
      <c r="B50" s="54">
        <f>IF(計算用!$AA$48="","",IF(計算用!$B$1=1,INDEX(計算用!$F$3:$F$452,計算用!$AA$48),INDEX(振り分け!$B$7:$B$456,計算用!$AA$48)))</f>
        <v/>
      </c>
      <c r="C50" s="54">
        <f>IF(計算用!$AA$48="","",IF(計算用!$B$1=1,INDEX(計算用!$G$3:$G$452,計算用!$AA$48),INDEX(振り分け!$C$7:$C$456,計算用!$AA$48)))</f>
        <v/>
      </c>
      <c r="D50" s="59">
        <f>IF(計算用!$AA$48="","",IF(計算用!$B$1=1,INDEX(計算用!$H$3:$H$452,計算用!$AA$48),INDEX(振り分け!$D$7:$D$456,計算用!$AA$48)))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IF(計算用!$AA$49="","",47)</f>
        <v/>
      </c>
      <c r="B51" s="54">
        <f>IF(計算用!$AA$49="","",IF(計算用!$B$1=1,INDEX(計算用!$F$3:$F$452,計算用!$AA$49),INDEX(振り分け!$B$7:$B$456,計算用!$AA$49)))</f>
        <v/>
      </c>
      <c r="C51" s="54">
        <f>IF(計算用!$AA$49="","",IF(計算用!$B$1=1,INDEX(計算用!$G$3:$G$452,計算用!$AA$49),INDEX(振り分け!$C$7:$C$456,計算用!$AA$49)))</f>
        <v/>
      </c>
      <c r="D51" s="59">
        <f>IF(計算用!$AA$49="","",IF(計算用!$B$1=1,INDEX(計算用!$H$3:$H$452,計算用!$AA$49),INDEX(振り分け!$D$7:$D$456,計算用!$AA$49)))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IF(計算用!$AA$50="","",48)</f>
        <v/>
      </c>
      <c r="B52" s="54">
        <f>IF(計算用!$AA$50="","",IF(計算用!$B$1=1,INDEX(計算用!$F$3:$F$452,計算用!$AA$50),INDEX(振り分け!$B$7:$B$456,計算用!$AA$50)))</f>
        <v/>
      </c>
      <c r="C52" s="54">
        <f>IF(計算用!$AA$50="","",IF(計算用!$B$1=1,INDEX(計算用!$G$3:$G$452,計算用!$AA$50),INDEX(振り分け!$C$7:$C$456,計算用!$AA$50)))</f>
        <v/>
      </c>
      <c r="D52" s="59">
        <f>IF(計算用!$AA$50="","",IF(計算用!$B$1=1,INDEX(計算用!$H$3:$H$452,計算用!$AA$50),INDEX(振り分け!$D$7:$D$456,計算用!$AA$50)))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IF(計算用!$AA$51="","",49)</f>
        <v/>
      </c>
      <c r="B53" s="54">
        <f>IF(計算用!$AA$51="","",IF(計算用!$B$1=1,INDEX(計算用!$F$3:$F$452,計算用!$AA$51),INDEX(振り分け!$B$7:$B$456,計算用!$AA$51)))</f>
        <v/>
      </c>
      <c r="C53" s="54">
        <f>IF(計算用!$AA$51="","",IF(計算用!$B$1=1,INDEX(計算用!$G$3:$G$452,計算用!$AA$51),INDEX(振り分け!$C$7:$C$456,計算用!$AA$51)))</f>
        <v/>
      </c>
      <c r="D53" s="59">
        <f>IF(計算用!$AA$51="","",IF(計算用!$B$1=1,INDEX(計算用!$H$3:$H$452,計算用!$AA$51),INDEX(振り分け!$D$7:$D$456,計算用!$AA$51)))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IF(計算用!$AA$52="","",50)</f>
        <v/>
      </c>
      <c r="B54" s="54">
        <f>IF(計算用!$AA$52="","",IF(計算用!$B$1=1,INDEX(計算用!$F$3:$F$452,計算用!$AA$52),INDEX(振り分け!$B$7:$B$456,計算用!$AA$52)))</f>
        <v/>
      </c>
      <c r="C54" s="54">
        <f>IF(計算用!$AA$52="","",IF(計算用!$B$1=1,INDEX(計算用!$G$3:$G$452,計算用!$AA$52),INDEX(振り分け!$C$7:$C$456,計算用!$AA$52)))</f>
        <v/>
      </c>
      <c r="D54" s="59">
        <f>IF(計算用!$AA$52="","",IF(計算用!$B$1=1,INDEX(計算用!$H$3:$H$452,計算用!$AA$52),INDEX(振り分け!$D$7:$D$456,計算用!$AA$52)))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IF(設定!$P$26="","",設定!$B$3&amp;"　"&amp;設定!$P$26&amp;設定!$B$4&amp;"名簿"&amp;IF(計算用!$B$1=0,"（仮・前年度の組）",""))</f>
        <v/>
      </c>
    </row>
    <row r="2">
      <c r="A2" s="44">
        <f>IF(設定!$P$26="","","担当："&amp;設定!$S$26&amp;"　　活動場所："&amp;設定!$T$26&amp;"　　人数："&amp;定員チェック!$F$25&amp;"名（"&amp;設定!$B$8&amp;"年"&amp;定員チェック!$G$25&amp;"・"&amp;設定!$B$9&amp;"年"&amp;定員チェック!$H$25&amp;"・"&amp;設定!$B$10&amp;"年"&amp;定員チェック!$I$25&amp;"）")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IF(計算用!$AB$3="","",1)</f>
        <v/>
      </c>
      <c r="B5" s="54">
        <f>IF(計算用!$AB$3="","",IF(計算用!$B$1=1,INDEX(計算用!$F$3:$F$452,計算用!$AB$3),INDEX(振り分け!$B$7:$B$456,計算用!$AB$3)))</f>
        <v/>
      </c>
      <c r="C5" s="54">
        <f>IF(計算用!$AB$3="","",IF(計算用!$B$1=1,INDEX(計算用!$G$3:$G$452,計算用!$AB$3),INDEX(振り分け!$C$7:$C$456,計算用!$AB$3)))</f>
        <v/>
      </c>
      <c r="D5" s="59">
        <f>IF(計算用!$AB$3="","",IF(計算用!$B$1=1,INDEX(計算用!$H$3:$H$452,計算用!$AB$3),INDEX(振り分け!$D$7:$D$456,計算用!$AB$3)))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IF(計算用!$AB$4="","",2)</f>
        <v/>
      </c>
      <c r="B6" s="54">
        <f>IF(計算用!$AB$4="","",IF(計算用!$B$1=1,INDEX(計算用!$F$3:$F$452,計算用!$AB$4),INDEX(振り分け!$B$7:$B$456,計算用!$AB$4)))</f>
        <v/>
      </c>
      <c r="C6" s="54">
        <f>IF(計算用!$AB$4="","",IF(計算用!$B$1=1,INDEX(計算用!$G$3:$G$452,計算用!$AB$4),INDEX(振り分け!$C$7:$C$456,計算用!$AB$4)))</f>
        <v/>
      </c>
      <c r="D6" s="59">
        <f>IF(計算用!$AB$4="","",IF(計算用!$B$1=1,INDEX(計算用!$H$3:$H$452,計算用!$AB$4),INDEX(振り分け!$D$7:$D$456,計算用!$AB$4)))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IF(計算用!$AB$5="","",3)</f>
        <v/>
      </c>
      <c r="B7" s="54">
        <f>IF(計算用!$AB$5="","",IF(計算用!$B$1=1,INDEX(計算用!$F$3:$F$452,計算用!$AB$5),INDEX(振り分け!$B$7:$B$456,計算用!$AB$5)))</f>
        <v/>
      </c>
      <c r="C7" s="54">
        <f>IF(計算用!$AB$5="","",IF(計算用!$B$1=1,INDEX(計算用!$G$3:$G$452,計算用!$AB$5),INDEX(振り分け!$C$7:$C$456,計算用!$AB$5)))</f>
        <v/>
      </c>
      <c r="D7" s="59">
        <f>IF(計算用!$AB$5="","",IF(計算用!$B$1=1,INDEX(計算用!$H$3:$H$452,計算用!$AB$5),INDEX(振り分け!$D$7:$D$456,計算用!$AB$5)))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IF(計算用!$AB$6="","",4)</f>
        <v/>
      </c>
      <c r="B8" s="54">
        <f>IF(計算用!$AB$6="","",IF(計算用!$B$1=1,INDEX(計算用!$F$3:$F$452,計算用!$AB$6),INDEX(振り分け!$B$7:$B$456,計算用!$AB$6)))</f>
        <v/>
      </c>
      <c r="C8" s="54">
        <f>IF(計算用!$AB$6="","",IF(計算用!$B$1=1,INDEX(計算用!$G$3:$G$452,計算用!$AB$6),INDEX(振り分け!$C$7:$C$456,計算用!$AB$6)))</f>
        <v/>
      </c>
      <c r="D8" s="59">
        <f>IF(計算用!$AB$6="","",IF(計算用!$B$1=1,INDEX(計算用!$H$3:$H$452,計算用!$AB$6),INDEX(振り分け!$D$7:$D$456,計算用!$AB$6)))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IF(計算用!$AB$7="","",5)</f>
        <v/>
      </c>
      <c r="B9" s="54">
        <f>IF(計算用!$AB$7="","",IF(計算用!$B$1=1,INDEX(計算用!$F$3:$F$452,計算用!$AB$7),INDEX(振り分け!$B$7:$B$456,計算用!$AB$7)))</f>
        <v/>
      </c>
      <c r="C9" s="54">
        <f>IF(計算用!$AB$7="","",IF(計算用!$B$1=1,INDEX(計算用!$G$3:$G$452,計算用!$AB$7),INDEX(振り分け!$C$7:$C$456,計算用!$AB$7)))</f>
        <v/>
      </c>
      <c r="D9" s="59">
        <f>IF(計算用!$AB$7="","",IF(計算用!$B$1=1,INDEX(計算用!$H$3:$H$452,計算用!$AB$7),INDEX(振り分け!$D$7:$D$456,計算用!$AB$7)))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IF(計算用!$AB$8="","",6)</f>
        <v/>
      </c>
      <c r="B10" s="54">
        <f>IF(計算用!$AB$8="","",IF(計算用!$B$1=1,INDEX(計算用!$F$3:$F$452,計算用!$AB$8),INDEX(振り分け!$B$7:$B$456,計算用!$AB$8)))</f>
        <v/>
      </c>
      <c r="C10" s="54">
        <f>IF(計算用!$AB$8="","",IF(計算用!$B$1=1,INDEX(計算用!$G$3:$G$452,計算用!$AB$8),INDEX(振り分け!$C$7:$C$456,計算用!$AB$8)))</f>
        <v/>
      </c>
      <c r="D10" s="59">
        <f>IF(計算用!$AB$8="","",IF(計算用!$B$1=1,INDEX(計算用!$H$3:$H$452,計算用!$AB$8),INDEX(振り分け!$D$7:$D$456,計算用!$AB$8)))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IF(計算用!$AB$9="","",7)</f>
        <v/>
      </c>
      <c r="B11" s="54">
        <f>IF(計算用!$AB$9="","",IF(計算用!$B$1=1,INDEX(計算用!$F$3:$F$452,計算用!$AB$9),INDEX(振り分け!$B$7:$B$456,計算用!$AB$9)))</f>
        <v/>
      </c>
      <c r="C11" s="54">
        <f>IF(計算用!$AB$9="","",IF(計算用!$B$1=1,INDEX(計算用!$G$3:$G$452,計算用!$AB$9),INDEX(振り分け!$C$7:$C$456,計算用!$AB$9)))</f>
        <v/>
      </c>
      <c r="D11" s="59">
        <f>IF(計算用!$AB$9="","",IF(計算用!$B$1=1,INDEX(計算用!$H$3:$H$452,計算用!$AB$9),INDEX(振り分け!$D$7:$D$456,計算用!$AB$9)))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IF(計算用!$AB$10="","",8)</f>
        <v/>
      </c>
      <c r="B12" s="54">
        <f>IF(計算用!$AB$10="","",IF(計算用!$B$1=1,INDEX(計算用!$F$3:$F$452,計算用!$AB$10),INDEX(振り分け!$B$7:$B$456,計算用!$AB$10)))</f>
        <v/>
      </c>
      <c r="C12" s="54">
        <f>IF(計算用!$AB$10="","",IF(計算用!$B$1=1,INDEX(計算用!$G$3:$G$452,計算用!$AB$10),INDEX(振り分け!$C$7:$C$456,計算用!$AB$10)))</f>
        <v/>
      </c>
      <c r="D12" s="59">
        <f>IF(計算用!$AB$10="","",IF(計算用!$B$1=1,INDEX(計算用!$H$3:$H$452,計算用!$AB$10),INDEX(振り分け!$D$7:$D$456,計算用!$AB$10)))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IF(計算用!$AB$11="","",9)</f>
        <v/>
      </c>
      <c r="B13" s="54">
        <f>IF(計算用!$AB$11="","",IF(計算用!$B$1=1,INDEX(計算用!$F$3:$F$452,計算用!$AB$11),INDEX(振り分け!$B$7:$B$456,計算用!$AB$11)))</f>
        <v/>
      </c>
      <c r="C13" s="54">
        <f>IF(計算用!$AB$11="","",IF(計算用!$B$1=1,INDEX(計算用!$G$3:$G$452,計算用!$AB$11),INDEX(振り分け!$C$7:$C$456,計算用!$AB$11)))</f>
        <v/>
      </c>
      <c r="D13" s="59">
        <f>IF(計算用!$AB$11="","",IF(計算用!$B$1=1,INDEX(計算用!$H$3:$H$452,計算用!$AB$11),INDEX(振り分け!$D$7:$D$456,計算用!$AB$11)))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IF(計算用!$AB$12="","",10)</f>
        <v/>
      </c>
      <c r="B14" s="54">
        <f>IF(計算用!$AB$12="","",IF(計算用!$B$1=1,INDEX(計算用!$F$3:$F$452,計算用!$AB$12),INDEX(振り分け!$B$7:$B$456,計算用!$AB$12)))</f>
        <v/>
      </c>
      <c r="C14" s="54">
        <f>IF(計算用!$AB$12="","",IF(計算用!$B$1=1,INDEX(計算用!$G$3:$G$452,計算用!$AB$12),INDEX(振り分け!$C$7:$C$456,計算用!$AB$12)))</f>
        <v/>
      </c>
      <c r="D14" s="59">
        <f>IF(計算用!$AB$12="","",IF(計算用!$B$1=1,INDEX(計算用!$H$3:$H$452,計算用!$AB$12),INDEX(振り分け!$D$7:$D$456,計算用!$AB$12)))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IF(計算用!$AB$13="","",11)</f>
        <v/>
      </c>
      <c r="B15" s="54">
        <f>IF(計算用!$AB$13="","",IF(計算用!$B$1=1,INDEX(計算用!$F$3:$F$452,計算用!$AB$13),INDEX(振り分け!$B$7:$B$456,計算用!$AB$13)))</f>
        <v/>
      </c>
      <c r="C15" s="54">
        <f>IF(計算用!$AB$13="","",IF(計算用!$B$1=1,INDEX(計算用!$G$3:$G$452,計算用!$AB$13),INDEX(振り分け!$C$7:$C$456,計算用!$AB$13)))</f>
        <v/>
      </c>
      <c r="D15" s="59">
        <f>IF(計算用!$AB$13="","",IF(計算用!$B$1=1,INDEX(計算用!$H$3:$H$452,計算用!$AB$13),INDEX(振り分け!$D$7:$D$456,計算用!$AB$13)))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IF(計算用!$AB$14="","",12)</f>
        <v/>
      </c>
      <c r="B16" s="54">
        <f>IF(計算用!$AB$14="","",IF(計算用!$B$1=1,INDEX(計算用!$F$3:$F$452,計算用!$AB$14),INDEX(振り分け!$B$7:$B$456,計算用!$AB$14)))</f>
        <v/>
      </c>
      <c r="C16" s="54">
        <f>IF(計算用!$AB$14="","",IF(計算用!$B$1=1,INDEX(計算用!$G$3:$G$452,計算用!$AB$14),INDEX(振り分け!$C$7:$C$456,計算用!$AB$14)))</f>
        <v/>
      </c>
      <c r="D16" s="59">
        <f>IF(計算用!$AB$14="","",IF(計算用!$B$1=1,INDEX(計算用!$H$3:$H$452,計算用!$AB$14),INDEX(振り分け!$D$7:$D$456,計算用!$AB$14)))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IF(計算用!$AB$15="","",13)</f>
        <v/>
      </c>
      <c r="B17" s="54">
        <f>IF(計算用!$AB$15="","",IF(計算用!$B$1=1,INDEX(計算用!$F$3:$F$452,計算用!$AB$15),INDEX(振り分け!$B$7:$B$456,計算用!$AB$15)))</f>
        <v/>
      </c>
      <c r="C17" s="54">
        <f>IF(計算用!$AB$15="","",IF(計算用!$B$1=1,INDEX(計算用!$G$3:$G$452,計算用!$AB$15),INDEX(振り分け!$C$7:$C$456,計算用!$AB$15)))</f>
        <v/>
      </c>
      <c r="D17" s="59">
        <f>IF(計算用!$AB$15="","",IF(計算用!$B$1=1,INDEX(計算用!$H$3:$H$452,計算用!$AB$15),INDEX(振り分け!$D$7:$D$456,計算用!$AB$15)))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IF(計算用!$AB$16="","",14)</f>
        <v/>
      </c>
      <c r="B18" s="54">
        <f>IF(計算用!$AB$16="","",IF(計算用!$B$1=1,INDEX(計算用!$F$3:$F$452,計算用!$AB$16),INDEX(振り分け!$B$7:$B$456,計算用!$AB$16)))</f>
        <v/>
      </c>
      <c r="C18" s="54">
        <f>IF(計算用!$AB$16="","",IF(計算用!$B$1=1,INDEX(計算用!$G$3:$G$452,計算用!$AB$16),INDEX(振り分け!$C$7:$C$456,計算用!$AB$16)))</f>
        <v/>
      </c>
      <c r="D18" s="59">
        <f>IF(計算用!$AB$16="","",IF(計算用!$B$1=1,INDEX(計算用!$H$3:$H$452,計算用!$AB$16),INDEX(振り分け!$D$7:$D$456,計算用!$AB$16)))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IF(計算用!$AB$17="","",15)</f>
        <v/>
      </c>
      <c r="B19" s="54">
        <f>IF(計算用!$AB$17="","",IF(計算用!$B$1=1,INDEX(計算用!$F$3:$F$452,計算用!$AB$17),INDEX(振り分け!$B$7:$B$456,計算用!$AB$17)))</f>
        <v/>
      </c>
      <c r="C19" s="54">
        <f>IF(計算用!$AB$17="","",IF(計算用!$B$1=1,INDEX(計算用!$G$3:$G$452,計算用!$AB$17),INDEX(振り分け!$C$7:$C$456,計算用!$AB$17)))</f>
        <v/>
      </c>
      <c r="D19" s="59">
        <f>IF(計算用!$AB$17="","",IF(計算用!$B$1=1,INDEX(計算用!$H$3:$H$452,計算用!$AB$17),INDEX(振り分け!$D$7:$D$456,計算用!$AB$17)))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IF(計算用!$AB$18="","",16)</f>
        <v/>
      </c>
      <c r="B20" s="54">
        <f>IF(計算用!$AB$18="","",IF(計算用!$B$1=1,INDEX(計算用!$F$3:$F$452,計算用!$AB$18),INDEX(振り分け!$B$7:$B$456,計算用!$AB$18)))</f>
        <v/>
      </c>
      <c r="C20" s="54">
        <f>IF(計算用!$AB$18="","",IF(計算用!$B$1=1,INDEX(計算用!$G$3:$G$452,計算用!$AB$18),INDEX(振り分け!$C$7:$C$456,計算用!$AB$18)))</f>
        <v/>
      </c>
      <c r="D20" s="59">
        <f>IF(計算用!$AB$18="","",IF(計算用!$B$1=1,INDEX(計算用!$H$3:$H$452,計算用!$AB$18),INDEX(振り分け!$D$7:$D$456,計算用!$AB$18)))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IF(計算用!$AB$19="","",17)</f>
        <v/>
      </c>
      <c r="B21" s="54">
        <f>IF(計算用!$AB$19="","",IF(計算用!$B$1=1,INDEX(計算用!$F$3:$F$452,計算用!$AB$19),INDEX(振り分け!$B$7:$B$456,計算用!$AB$19)))</f>
        <v/>
      </c>
      <c r="C21" s="54">
        <f>IF(計算用!$AB$19="","",IF(計算用!$B$1=1,INDEX(計算用!$G$3:$G$452,計算用!$AB$19),INDEX(振り分け!$C$7:$C$456,計算用!$AB$19)))</f>
        <v/>
      </c>
      <c r="D21" s="59">
        <f>IF(計算用!$AB$19="","",IF(計算用!$B$1=1,INDEX(計算用!$H$3:$H$452,計算用!$AB$19),INDEX(振り分け!$D$7:$D$456,計算用!$AB$19)))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IF(計算用!$AB$20="","",18)</f>
        <v/>
      </c>
      <c r="B22" s="54">
        <f>IF(計算用!$AB$20="","",IF(計算用!$B$1=1,INDEX(計算用!$F$3:$F$452,計算用!$AB$20),INDEX(振り分け!$B$7:$B$456,計算用!$AB$20)))</f>
        <v/>
      </c>
      <c r="C22" s="54">
        <f>IF(計算用!$AB$20="","",IF(計算用!$B$1=1,INDEX(計算用!$G$3:$G$452,計算用!$AB$20),INDEX(振り分け!$C$7:$C$456,計算用!$AB$20)))</f>
        <v/>
      </c>
      <c r="D22" s="59">
        <f>IF(計算用!$AB$20="","",IF(計算用!$B$1=1,INDEX(計算用!$H$3:$H$452,計算用!$AB$20),INDEX(振り分け!$D$7:$D$456,計算用!$AB$20)))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IF(計算用!$AB$21="","",19)</f>
        <v/>
      </c>
      <c r="B23" s="54">
        <f>IF(計算用!$AB$21="","",IF(計算用!$B$1=1,INDEX(計算用!$F$3:$F$452,計算用!$AB$21),INDEX(振り分け!$B$7:$B$456,計算用!$AB$21)))</f>
        <v/>
      </c>
      <c r="C23" s="54">
        <f>IF(計算用!$AB$21="","",IF(計算用!$B$1=1,INDEX(計算用!$G$3:$G$452,計算用!$AB$21),INDEX(振り分け!$C$7:$C$456,計算用!$AB$21)))</f>
        <v/>
      </c>
      <c r="D23" s="59">
        <f>IF(計算用!$AB$21="","",IF(計算用!$B$1=1,INDEX(計算用!$H$3:$H$452,計算用!$AB$21),INDEX(振り分け!$D$7:$D$456,計算用!$AB$21)))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IF(計算用!$AB$22="","",20)</f>
        <v/>
      </c>
      <c r="B24" s="54">
        <f>IF(計算用!$AB$22="","",IF(計算用!$B$1=1,INDEX(計算用!$F$3:$F$452,計算用!$AB$22),INDEX(振り分け!$B$7:$B$456,計算用!$AB$22)))</f>
        <v/>
      </c>
      <c r="C24" s="54">
        <f>IF(計算用!$AB$22="","",IF(計算用!$B$1=1,INDEX(計算用!$G$3:$G$452,計算用!$AB$22),INDEX(振り分け!$C$7:$C$456,計算用!$AB$22)))</f>
        <v/>
      </c>
      <c r="D24" s="59">
        <f>IF(計算用!$AB$22="","",IF(計算用!$B$1=1,INDEX(計算用!$H$3:$H$452,計算用!$AB$22),INDEX(振り分け!$D$7:$D$456,計算用!$AB$22)))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IF(計算用!$AB$23="","",21)</f>
        <v/>
      </c>
      <c r="B25" s="54">
        <f>IF(計算用!$AB$23="","",IF(計算用!$B$1=1,INDEX(計算用!$F$3:$F$452,計算用!$AB$23),INDEX(振り分け!$B$7:$B$456,計算用!$AB$23)))</f>
        <v/>
      </c>
      <c r="C25" s="54">
        <f>IF(計算用!$AB$23="","",IF(計算用!$B$1=1,INDEX(計算用!$G$3:$G$452,計算用!$AB$23),INDEX(振り分け!$C$7:$C$456,計算用!$AB$23)))</f>
        <v/>
      </c>
      <c r="D25" s="59">
        <f>IF(計算用!$AB$23="","",IF(計算用!$B$1=1,INDEX(計算用!$H$3:$H$452,計算用!$AB$23),INDEX(振り分け!$D$7:$D$456,計算用!$AB$23)))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IF(計算用!$AB$24="","",22)</f>
        <v/>
      </c>
      <c r="B26" s="54">
        <f>IF(計算用!$AB$24="","",IF(計算用!$B$1=1,INDEX(計算用!$F$3:$F$452,計算用!$AB$24),INDEX(振り分け!$B$7:$B$456,計算用!$AB$24)))</f>
        <v/>
      </c>
      <c r="C26" s="54">
        <f>IF(計算用!$AB$24="","",IF(計算用!$B$1=1,INDEX(計算用!$G$3:$G$452,計算用!$AB$24),INDEX(振り分け!$C$7:$C$456,計算用!$AB$24)))</f>
        <v/>
      </c>
      <c r="D26" s="59">
        <f>IF(計算用!$AB$24="","",IF(計算用!$B$1=1,INDEX(計算用!$H$3:$H$452,計算用!$AB$24),INDEX(振り分け!$D$7:$D$456,計算用!$AB$24)))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IF(計算用!$AB$25="","",23)</f>
        <v/>
      </c>
      <c r="B27" s="54">
        <f>IF(計算用!$AB$25="","",IF(計算用!$B$1=1,INDEX(計算用!$F$3:$F$452,計算用!$AB$25),INDEX(振り分け!$B$7:$B$456,計算用!$AB$25)))</f>
        <v/>
      </c>
      <c r="C27" s="54">
        <f>IF(計算用!$AB$25="","",IF(計算用!$B$1=1,INDEX(計算用!$G$3:$G$452,計算用!$AB$25),INDEX(振り分け!$C$7:$C$456,計算用!$AB$25)))</f>
        <v/>
      </c>
      <c r="D27" s="59">
        <f>IF(計算用!$AB$25="","",IF(計算用!$B$1=1,INDEX(計算用!$H$3:$H$452,計算用!$AB$25),INDEX(振り分け!$D$7:$D$456,計算用!$AB$25)))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IF(計算用!$AB$26="","",24)</f>
        <v/>
      </c>
      <c r="B28" s="54">
        <f>IF(計算用!$AB$26="","",IF(計算用!$B$1=1,INDEX(計算用!$F$3:$F$452,計算用!$AB$26),INDEX(振り分け!$B$7:$B$456,計算用!$AB$26)))</f>
        <v/>
      </c>
      <c r="C28" s="54">
        <f>IF(計算用!$AB$26="","",IF(計算用!$B$1=1,INDEX(計算用!$G$3:$G$452,計算用!$AB$26),INDEX(振り分け!$C$7:$C$456,計算用!$AB$26)))</f>
        <v/>
      </c>
      <c r="D28" s="59">
        <f>IF(計算用!$AB$26="","",IF(計算用!$B$1=1,INDEX(計算用!$H$3:$H$452,計算用!$AB$26),INDEX(振り分け!$D$7:$D$456,計算用!$AB$26)))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IF(計算用!$AB$27="","",25)</f>
        <v/>
      </c>
      <c r="B29" s="54">
        <f>IF(計算用!$AB$27="","",IF(計算用!$B$1=1,INDEX(計算用!$F$3:$F$452,計算用!$AB$27),INDEX(振り分け!$B$7:$B$456,計算用!$AB$27)))</f>
        <v/>
      </c>
      <c r="C29" s="54">
        <f>IF(計算用!$AB$27="","",IF(計算用!$B$1=1,INDEX(計算用!$G$3:$G$452,計算用!$AB$27),INDEX(振り分け!$C$7:$C$456,計算用!$AB$27)))</f>
        <v/>
      </c>
      <c r="D29" s="59">
        <f>IF(計算用!$AB$27="","",IF(計算用!$B$1=1,INDEX(計算用!$H$3:$H$452,計算用!$AB$27),INDEX(振り分け!$D$7:$D$456,計算用!$AB$27)))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IF(計算用!$AB$28="","",26)</f>
        <v/>
      </c>
      <c r="B30" s="54">
        <f>IF(計算用!$AB$28="","",IF(計算用!$B$1=1,INDEX(計算用!$F$3:$F$452,計算用!$AB$28),INDEX(振り分け!$B$7:$B$456,計算用!$AB$28)))</f>
        <v/>
      </c>
      <c r="C30" s="54">
        <f>IF(計算用!$AB$28="","",IF(計算用!$B$1=1,INDEX(計算用!$G$3:$G$452,計算用!$AB$28),INDEX(振り分け!$C$7:$C$456,計算用!$AB$28)))</f>
        <v/>
      </c>
      <c r="D30" s="59">
        <f>IF(計算用!$AB$28="","",IF(計算用!$B$1=1,INDEX(計算用!$H$3:$H$452,計算用!$AB$28),INDEX(振り分け!$D$7:$D$456,計算用!$AB$28)))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IF(計算用!$AB$29="","",27)</f>
        <v/>
      </c>
      <c r="B31" s="54">
        <f>IF(計算用!$AB$29="","",IF(計算用!$B$1=1,INDEX(計算用!$F$3:$F$452,計算用!$AB$29),INDEX(振り分け!$B$7:$B$456,計算用!$AB$29)))</f>
        <v/>
      </c>
      <c r="C31" s="54">
        <f>IF(計算用!$AB$29="","",IF(計算用!$B$1=1,INDEX(計算用!$G$3:$G$452,計算用!$AB$29),INDEX(振り分け!$C$7:$C$456,計算用!$AB$29)))</f>
        <v/>
      </c>
      <c r="D31" s="59">
        <f>IF(計算用!$AB$29="","",IF(計算用!$B$1=1,INDEX(計算用!$H$3:$H$452,計算用!$AB$29),INDEX(振り分け!$D$7:$D$456,計算用!$AB$29)))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IF(計算用!$AB$30="","",28)</f>
        <v/>
      </c>
      <c r="B32" s="54">
        <f>IF(計算用!$AB$30="","",IF(計算用!$B$1=1,INDEX(計算用!$F$3:$F$452,計算用!$AB$30),INDEX(振り分け!$B$7:$B$456,計算用!$AB$30)))</f>
        <v/>
      </c>
      <c r="C32" s="54">
        <f>IF(計算用!$AB$30="","",IF(計算用!$B$1=1,INDEX(計算用!$G$3:$G$452,計算用!$AB$30),INDEX(振り分け!$C$7:$C$456,計算用!$AB$30)))</f>
        <v/>
      </c>
      <c r="D32" s="59">
        <f>IF(計算用!$AB$30="","",IF(計算用!$B$1=1,INDEX(計算用!$H$3:$H$452,計算用!$AB$30),INDEX(振り分け!$D$7:$D$456,計算用!$AB$30)))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IF(計算用!$AB$31="","",29)</f>
        <v/>
      </c>
      <c r="B33" s="54">
        <f>IF(計算用!$AB$31="","",IF(計算用!$B$1=1,INDEX(計算用!$F$3:$F$452,計算用!$AB$31),INDEX(振り分け!$B$7:$B$456,計算用!$AB$31)))</f>
        <v/>
      </c>
      <c r="C33" s="54">
        <f>IF(計算用!$AB$31="","",IF(計算用!$B$1=1,INDEX(計算用!$G$3:$G$452,計算用!$AB$31),INDEX(振り分け!$C$7:$C$456,計算用!$AB$31)))</f>
        <v/>
      </c>
      <c r="D33" s="59">
        <f>IF(計算用!$AB$31="","",IF(計算用!$B$1=1,INDEX(計算用!$H$3:$H$452,計算用!$AB$31),INDEX(振り分け!$D$7:$D$456,計算用!$AB$31)))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IF(計算用!$AB$32="","",30)</f>
        <v/>
      </c>
      <c r="B34" s="54">
        <f>IF(計算用!$AB$32="","",IF(計算用!$B$1=1,INDEX(計算用!$F$3:$F$452,計算用!$AB$32),INDEX(振り分け!$B$7:$B$456,計算用!$AB$32)))</f>
        <v/>
      </c>
      <c r="C34" s="54">
        <f>IF(計算用!$AB$32="","",IF(計算用!$B$1=1,INDEX(計算用!$G$3:$G$452,計算用!$AB$32),INDEX(振り分け!$C$7:$C$456,計算用!$AB$32)))</f>
        <v/>
      </c>
      <c r="D34" s="59">
        <f>IF(計算用!$AB$32="","",IF(計算用!$B$1=1,INDEX(計算用!$H$3:$H$452,計算用!$AB$32),INDEX(振り分け!$D$7:$D$456,計算用!$AB$32)))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IF(計算用!$AB$33="","",31)</f>
        <v/>
      </c>
      <c r="B35" s="54">
        <f>IF(計算用!$AB$33="","",IF(計算用!$B$1=1,INDEX(計算用!$F$3:$F$452,計算用!$AB$33),INDEX(振り分け!$B$7:$B$456,計算用!$AB$33)))</f>
        <v/>
      </c>
      <c r="C35" s="54">
        <f>IF(計算用!$AB$33="","",IF(計算用!$B$1=1,INDEX(計算用!$G$3:$G$452,計算用!$AB$33),INDEX(振り分け!$C$7:$C$456,計算用!$AB$33)))</f>
        <v/>
      </c>
      <c r="D35" s="59">
        <f>IF(計算用!$AB$33="","",IF(計算用!$B$1=1,INDEX(計算用!$H$3:$H$452,計算用!$AB$33),INDEX(振り分け!$D$7:$D$456,計算用!$AB$33)))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IF(計算用!$AB$34="","",32)</f>
        <v/>
      </c>
      <c r="B36" s="54">
        <f>IF(計算用!$AB$34="","",IF(計算用!$B$1=1,INDEX(計算用!$F$3:$F$452,計算用!$AB$34),INDEX(振り分け!$B$7:$B$456,計算用!$AB$34)))</f>
        <v/>
      </c>
      <c r="C36" s="54">
        <f>IF(計算用!$AB$34="","",IF(計算用!$B$1=1,INDEX(計算用!$G$3:$G$452,計算用!$AB$34),INDEX(振り分け!$C$7:$C$456,計算用!$AB$34)))</f>
        <v/>
      </c>
      <c r="D36" s="59">
        <f>IF(計算用!$AB$34="","",IF(計算用!$B$1=1,INDEX(計算用!$H$3:$H$452,計算用!$AB$34),INDEX(振り分け!$D$7:$D$456,計算用!$AB$34)))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IF(計算用!$AB$35="","",33)</f>
        <v/>
      </c>
      <c r="B37" s="54">
        <f>IF(計算用!$AB$35="","",IF(計算用!$B$1=1,INDEX(計算用!$F$3:$F$452,計算用!$AB$35),INDEX(振り分け!$B$7:$B$456,計算用!$AB$35)))</f>
        <v/>
      </c>
      <c r="C37" s="54">
        <f>IF(計算用!$AB$35="","",IF(計算用!$B$1=1,INDEX(計算用!$G$3:$G$452,計算用!$AB$35),INDEX(振り分け!$C$7:$C$456,計算用!$AB$35)))</f>
        <v/>
      </c>
      <c r="D37" s="59">
        <f>IF(計算用!$AB$35="","",IF(計算用!$B$1=1,INDEX(計算用!$H$3:$H$452,計算用!$AB$35),INDEX(振り分け!$D$7:$D$456,計算用!$AB$35)))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IF(計算用!$AB$36="","",34)</f>
        <v/>
      </c>
      <c r="B38" s="54">
        <f>IF(計算用!$AB$36="","",IF(計算用!$B$1=1,INDEX(計算用!$F$3:$F$452,計算用!$AB$36),INDEX(振り分け!$B$7:$B$456,計算用!$AB$36)))</f>
        <v/>
      </c>
      <c r="C38" s="54">
        <f>IF(計算用!$AB$36="","",IF(計算用!$B$1=1,INDEX(計算用!$G$3:$G$452,計算用!$AB$36),INDEX(振り分け!$C$7:$C$456,計算用!$AB$36)))</f>
        <v/>
      </c>
      <c r="D38" s="59">
        <f>IF(計算用!$AB$36="","",IF(計算用!$B$1=1,INDEX(計算用!$H$3:$H$452,計算用!$AB$36),INDEX(振り分け!$D$7:$D$456,計算用!$AB$36)))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IF(計算用!$AB$37="","",35)</f>
        <v/>
      </c>
      <c r="B39" s="54">
        <f>IF(計算用!$AB$37="","",IF(計算用!$B$1=1,INDEX(計算用!$F$3:$F$452,計算用!$AB$37),INDEX(振り分け!$B$7:$B$456,計算用!$AB$37)))</f>
        <v/>
      </c>
      <c r="C39" s="54">
        <f>IF(計算用!$AB$37="","",IF(計算用!$B$1=1,INDEX(計算用!$G$3:$G$452,計算用!$AB$37),INDEX(振り分け!$C$7:$C$456,計算用!$AB$37)))</f>
        <v/>
      </c>
      <c r="D39" s="59">
        <f>IF(計算用!$AB$37="","",IF(計算用!$B$1=1,INDEX(計算用!$H$3:$H$452,計算用!$AB$37),INDEX(振り分け!$D$7:$D$456,計算用!$AB$37)))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IF(計算用!$AB$38="","",36)</f>
        <v/>
      </c>
      <c r="B40" s="54">
        <f>IF(計算用!$AB$38="","",IF(計算用!$B$1=1,INDEX(計算用!$F$3:$F$452,計算用!$AB$38),INDEX(振り分け!$B$7:$B$456,計算用!$AB$38)))</f>
        <v/>
      </c>
      <c r="C40" s="54">
        <f>IF(計算用!$AB$38="","",IF(計算用!$B$1=1,INDEX(計算用!$G$3:$G$452,計算用!$AB$38),INDEX(振り分け!$C$7:$C$456,計算用!$AB$38)))</f>
        <v/>
      </c>
      <c r="D40" s="59">
        <f>IF(計算用!$AB$38="","",IF(計算用!$B$1=1,INDEX(計算用!$H$3:$H$452,計算用!$AB$38),INDEX(振り分け!$D$7:$D$456,計算用!$AB$38)))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IF(計算用!$AB$39="","",37)</f>
        <v/>
      </c>
      <c r="B41" s="54">
        <f>IF(計算用!$AB$39="","",IF(計算用!$B$1=1,INDEX(計算用!$F$3:$F$452,計算用!$AB$39),INDEX(振り分け!$B$7:$B$456,計算用!$AB$39)))</f>
        <v/>
      </c>
      <c r="C41" s="54">
        <f>IF(計算用!$AB$39="","",IF(計算用!$B$1=1,INDEX(計算用!$G$3:$G$452,計算用!$AB$39),INDEX(振り分け!$C$7:$C$456,計算用!$AB$39)))</f>
        <v/>
      </c>
      <c r="D41" s="59">
        <f>IF(計算用!$AB$39="","",IF(計算用!$B$1=1,INDEX(計算用!$H$3:$H$452,計算用!$AB$39),INDEX(振り分け!$D$7:$D$456,計算用!$AB$39)))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IF(計算用!$AB$40="","",38)</f>
        <v/>
      </c>
      <c r="B42" s="54">
        <f>IF(計算用!$AB$40="","",IF(計算用!$B$1=1,INDEX(計算用!$F$3:$F$452,計算用!$AB$40),INDEX(振り分け!$B$7:$B$456,計算用!$AB$40)))</f>
        <v/>
      </c>
      <c r="C42" s="54">
        <f>IF(計算用!$AB$40="","",IF(計算用!$B$1=1,INDEX(計算用!$G$3:$G$452,計算用!$AB$40),INDEX(振り分け!$C$7:$C$456,計算用!$AB$40)))</f>
        <v/>
      </c>
      <c r="D42" s="59">
        <f>IF(計算用!$AB$40="","",IF(計算用!$B$1=1,INDEX(計算用!$H$3:$H$452,計算用!$AB$40),INDEX(振り分け!$D$7:$D$456,計算用!$AB$40)))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IF(計算用!$AB$41="","",39)</f>
        <v/>
      </c>
      <c r="B43" s="54">
        <f>IF(計算用!$AB$41="","",IF(計算用!$B$1=1,INDEX(計算用!$F$3:$F$452,計算用!$AB$41),INDEX(振り分け!$B$7:$B$456,計算用!$AB$41)))</f>
        <v/>
      </c>
      <c r="C43" s="54">
        <f>IF(計算用!$AB$41="","",IF(計算用!$B$1=1,INDEX(計算用!$G$3:$G$452,計算用!$AB$41),INDEX(振り分け!$C$7:$C$456,計算用!$AB$41)))</f>
        <v/>
      </c>
      <c r="D43" s="59">
        <f>IF(計算用!$AB$41="","",IF(計算用!$B$1=1,INDEX(計算用!$H$3:$H$452,計算用!$AB$41),INDEX(振り分け!$D$7:$D$456,計算用!$AB$41)))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IF(計算用!$AB$42="","",40)</f>
        <v/>
      </c>
      <c r="B44" s="54">
        <f>IF(計算用!$AB$42="","",IF(計算用!$B$1=1,INDEX(計算用!$F$3:$F$452,計算用!$AB$42),INDEX(振り分け!$B$7:$B$456,計算用!$AB$42)))</f>
        <v/>
      </c>
      <c r="C44" s="54">
        <f>IF(計算用!$AB$42="","",IF(計算用!$B$1=1,INDEX(計算用!$G$3:$G$452,計算用!$AB$42),INDEX(振り分け!$C$7:$C$456,計算用!$AB$42)))</f>
        <v/>
      </c>
      <c r="D44" s="59">
        <f>IF(計算用!$AB$42="","",IF(計算用!$B$1=1,INDEX(計算用!$H$3:$H$452,計算用!$AB$42),INDEX(振り分け!$D$7:$D$456,計算用!$AB$42)))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IF(計算用!$AB$43="","",41)</f>
        <v/>
      </c>
      <c r="B45" s="54">
        <f>IF(計算用!$AB$43="","",IF(計算用!$B$1=1,INDEX(計算用!$F$3:$F$452,計算用!$AB$43),INDEX(振り分け!$B$7:$B$456,計算用!$AB$43)))</f>
        <v/>
      </c>
      <c r="C45" s="54">
        <f>IF(計算用!$AB$43="","",IF(計算用!$B$1=1,INDEX(計算用!$G$3:$G$452,計算用!$AB$43),INDEX(振り分け!$C$7:$C$456,計算用!$AB$43)))</f>
        <v/>
      </c>
      <c r="D45" s="59">
        <f>IF(計算用!$AB$43="","",IF(計算用!$B$1=1,INDEX(計算用!$H$3:$H$452,計算用!$AB$43),INDEX(振り分け!$D$7:$D$456,計算用!$AB$43)))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IF(計算用!$AB$44="","",42)</f>
        <v/>
      </c>
      <c r="B46" s="54">
        <f>IF(計算用!$AB$44="","",IF(計算用!$B$1=1,INDEX(計算用!$F$3:$F$452,計算用!$AB$44),INDEX(振り分け!$B$7:$B$456,計算用!$AB$44)))</f>
        <v/>
      </c>
      <c r="C46" s="54">
        <f>IF(計算用!$AB$44="","",IF(計算用!$B$1=1,INDEX(計算用!$G$3:$G$452,計算用!$AB$44),INDEX(振り分け!$C$7:$C$456,計算用!$AB$44)))</f>
        <v/>
      </c>
      <c r="D46" s="59">
        <f>IF(計算用!$AB$44="","",IF(計算用!$B$1=1,INDEX(計算用!$H$3:$H$452,計算用!$AB$44),INDEX(振り分け!$D$7:$D$456,計算用!$AB$44)))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IF(計算用!$AB$45="","",43)</f>
        <v/>
      </c>
      <c r="B47" s="54">
        <f>IF(計算用!$AB$45="","",IF(計算用!$B$1=1,INDEX(計算用!$F$3:$F$452,計算用!$AB$45),INDEX(振り分け!$B$7:$B$456,計算用!$AB$45)))</f>
        <v/>
      </c>
      <c r="C47" s="54">
        <f>IF(計算用!$AB$45="","",IF(計算用!$B$1=1,INDEX(計算用!$G$3:$G$452,計算用!$AB$45),INDEX(振り分け!$C$7:$C$456,計算用!$AB$45)))</f>
        <v/>
      </c>
      <c r="D47" s="59">
        <f>IF(計算用!$AB$45="","",IF(計算用!$B$1=1,INDEX(計算用!$H$3:$H$452,計算用!$AB$45),INDEX(振り分け!$D$7:$D$456,計算用!$AB$45)))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IF(計算用!$AB$46="","",44)</f>
        <v/>
      </c>
      <c r="B48" s="54">
        <f>IF(計算用!$AB$46="","",IF(計算用!$B$1=1,INDEX(計算用!$F$3:$F$452,計算用!$AB$46),INDEX(振り分け!$B$7:$B$456,計算用!$AB$46)))</f>
        <v/>
      </c>
      <c r="C48" s="54">
        <f>IF(計算用!$AB$46="","",IF(計算用!$B$1=1,INDEX(計算用!$G$3:$G$452,計算用!$AB$46),INDEX(振り分け!$C$7:$C$456,計算用!$AB$46)))</f>
        <v/>
      </c>
      <c r="D48" s="59">
        <f>IF(計算用!$AB$46="","",IF(計算用!$B$1=1,INDEX(計算用!$H$3:$H$452,計算用!$AB$46),INDEX(振り分け!$D$7:$D$456,計算用!$AB$46)))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IF(計算用!$AB$47="","",45)</f>
        <v/>
      </c>
      <c r="B49" s="54">
        <f>IF(計算用!$AB$47="","",IF(計算用!$B$1=1,INDEX(計算用!$F$3:$F$452,計算用!$AB$47),INDEX(振り分け!$B$7:$B$456,計算用!$AB$47)))</f>
        <v/>
      </c>
      <c r="C49" s="54">
        <f>IF(計算用!$AB$47="","",IF(計算用!$B$1=1,INDEX(計算用!$G$3:$G$452,計算用!$AB$47),INDEX(振り分け!$C$7:$C$456,計算用!$AB$47)))</f>
        <v/>
      </c>
      <c r="D49" s="59">
        <f>IF(計算用!$AB$47="","",IF(計算用!$B$1=1,INDEX(計算用!$H$3:$H$452,計算用!$AB$47),INDEX(振り分け!$D$7:$D$456,計算用!$AB$47)))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IF(計算用!$AB$48="","",46)</f>
        <v/>
      </c>
      <c r="B50" s="54">
        <f>IF(計算用!$AB$48="","",IF(計算用!$B$1=1,INDEX(計算用!$F$3:$F$452,計算用!$AB$48),INDEX(振り分け!$B$7:$B$456,計算用!$AB$48)))</f>
        <v/>
      </c>
      <c r="C50" s="54">
        <f>IF(計算用!$AB$48="","",IF(計算用!$B$1=1,INDEX(計算用!$G$3:$G$452,計算用!$AB$48),INDEX(振り分け!$C$7:$C$456,計算用!$AB$48)))</f>
        <v/>
      </c>
      <c r="D50" s="59">
        <f>IF(計算用!$AB$48="","",IF(計算用!$B$1=1,INDEX(計算用!$H$3:$H$452,計算用!$AB$48),INDEX(振り分け!$D$7:$D$456,計算用!$AB$48)))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IF(計算用!$AB$49="","",47)</f>
        <v/>
      </c>
      <c r="B51" s="54">
        <f>IF(計算用!$AB$49="","",IF(計算用!$B$1=1,INDEX(計算用!$F$3:$F$452,計算用!$AB$49),INDEX(振り分け!$B$7:$B$456,計算用!$AB$49)))</f>
        <v/>
      </c>
      <c r="C51" s="54">
        <f>IF(計算用!$AB$49="","",IF(計算用!$B$1=1,INDEX(計算用!$G$3:$G$452,計算用!$AB$49),INDEX(振り分け!$C$7:$C$456,計算用!$AB$49)))</f>
        <v/>
      </c>
      <c r="D51" s="59">
        <f>IF(計算用!$AB$49="","",IF(計算用!$B$1=1,INDEX(計算用!$H$3:$H$452,計算用!$AB$49),INDEX(振り分け!$D$7:$D$456,計算用!$AB$49)))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IF(計算用!$AB$50="","",48)</f>
        <v/>
      </c>
      <c r="B52" s="54">
        <f>IF(計算用!$AB$50="","",IF(計算用!$B$1=1,INDEX(計算用!$F$3:$F$452,計算用!$AB$50),INDEX(振り分け!$B$7:$B$456,計算用!$AB$50)))</f>
        <v/>
      </c>
      <c r="C52" s="54">
        <f>IF(計算用!$AB$50="","",IF(計算用!$B$1=1,INDEX(計算用!$G$3:$G$452,計算用!$AB$50),INDEX(振り分け!$C$7:$C$456,計算用!$AB$50)))</f>
        <v/>
      </c>
      <c r="D52" s="59">
        <f>IF(計算用!$AB$50="","",IF(計算用!$B$1=1,INDEX(計算用!$H$3:$H$452,計算用!$AB$50),INDEX(振り分け!$D$7:$D$456,計算用!$AB$50)))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IF(計算用!$AB$51="","",49)</f>
        <v/>
      </c>
      <c r="B53" s="54">
        <f>IF(計算用!$AB$51="","",IF(計算用!$B$1=1,INDEX(計算用!$F$3:$F$452,計算用!$AB$51),INDEX(振り分け!$B$7:$B$456,計算用!$AB$51)))</f>
        <v/>
      </c>
      <c r="C53" s="54">
        <f>IF(計算用!$AB$51="","",IF(計算用!$B$1=1,INDEX(計算用!$G$3:$G$452,計算用!$AB$51),INDEX(振り分け!$C$7:$C$456,計算用!$AB$51)))</f>
        <v/>
      </c>
      <c r="D53" s="59">
        <f>IF(計算用!$AB$51="","",IF(計算用!$B$1=1,INDEX(計算用!$H$3:$H$452,計算用!$AB$51),INDEX(振り分け!$D$7:$D$456,計算用!$AB$51)))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IF(計算用!$AB$52="","",50)</f>
        <v/>
      </c>
      <c r="B54" s="54">
        <f>IF(計算用!$AB$52="","",IF(計算用!$B$1=1,INDEX(計算用!$F$3:$F$452,計算用!$AB$52),INDEX(振り分け!$B$7:$B$456,計算用!$AB$52)))</f>
        <v/>
      </c>
      <c r="C54" s="54">
        <f>IF(計算用!$AB$52="","",IF(計算用!$B$1=1,INDEX(計算用!$G$3:$G$452,計算用!$AB$52),INDEX(振り分け!$C$7:$C$456,計算用!$AB$52)))</f>
        <v/>
      </c>
      <c r="D54" s="59">
        <f>IF(計算用!$AB$52="","",IF(計算用!$B$1=1,INDEX(計算用!$H$3:$H$452,計算用!$AB$52),INDEX(振り分け!$D$7:$D$456,計算用!$AB$52)))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</cols>
  <sheetData>
    <row r="1">
      <c r="A1" s="58">
        <f>IF(設定!$P$27="","",設定!$B$3&amp;"　"&amp;設定!$P$27&amp;設定!$B$4&amp;"名簿"&amp;IF(計算用!$B$1=0,"（仮・前年度の組）",""))</f>
        <v/>
      </c>
    </row>
    <row r="2">
      <c r="A2" s="44">
        <f>IF(設定!$P$27="","","担当："&amp;設定!$S$27&amp;"　　活動場所："&amp;設定!$T$27&amp;"　　人数："&amp;定員チェック!$F$26&amp;"名（"&amp;設定!$B$8&amp;"年"&amp;定員チェック!$G$26&amp;"・"&amp;設定!$B$9&amp;"年"&amp;定員チェック!$H$26&amp;"・"&amp;設定!$B$10&amp;"年"&amp;定員チェック!$I$26&amp;"）")</f>
        <v/>
      </c>
    </row>
    <row r="4">
      <c r="A4" s="9" t="inlineStr">
        <is>
          <t>No.</t>
        </is>
      </c>
      <c r="B4" s="9" t="inlineStr">
        <is>
          <t>組</t>
        </is>
      </c>
      <c r="C4" s="9" t="inlineStr">
        <is>
          <t>番号</t>
        </is>
      </c>
      <c r="D4" s="9" t="inlineStr">
        <is>
          <t>名前</t>
        </is>
      </c>
      <c r="E4" s="9" t="inlineStr">
        <is>
          <t>①</t>
        </is>
      </c>
      <c r="F4" s="9" t="inlineStr">
        <is>
          <t>②</t>
        </is>
      </c>
      <c r="G4" s="9" t="inlineStr">
        <is>
          <t>③</t>
        </is>
      </c>
      <c r="H4" s="9" t="inlineStr">
        <is>
          <t>④</t>
        </is>
      </c>
      <c r="I4" s="9" t="inlineStr">
        <is>
          <t>⑤</t>
        </is>
      </c>
      <c r="J4" s="9" t="inlineStr">
        <is>
          <t>⑥</t>
        </is>
      </c>
      <c r="K4" s="9" t="inlineStr">
        <is>
          <t>⑦</t>
        </is>
      </c>
      <c r="L4" s="9" t="inlineStr">
        <is>
          <t>⑧</t>
        </is>
      </c>
      <c r="M4" s="9" t="inlineStr">
        <is>
          <t>⑨</t>
        </is>
      </c>
      <c r="N4" s="9" t="inlineStr">
        <is>
          <t>⑩</t>
        </is>
      </c>
      <c r="O4" s="9" t="inlineStr">
        <is>
          <t>⑪</t>
        </is>
      </c>
    </row>
    <row r="5" ht="15" customHeight="1">
      <c r="A5" s="54">
        <f>IF(計算用!$AC$3="","",1)</f>
        <v/>
      </c>
      <c r="B5" s="54">
        <f>IF(計算用!$AC$3="","",IF(計算用!$B$1=1,INDEX(計算用!$F$3:$F$452,計算用!$AC$3),INDEX(振り分け!$B$7:$B$456,計算用!$AC$3)))</f>
        <v/>
      </c>
      <c r="C5" s="54">
        <f>IF(計算用!$AC$3="","",IF(計算用!$B$1=1,INDEX(計算用!$G$3:$G$452,計算用!$AC$3),INDEX(振り分け!$C$7:$C$456,計算用!$AC$3)))</f>
        <v/>
      </c>
      <c r="D5" s="59">
        <f>IF(計算用!$AC$3="","",IF(計算用!$B$1=1,INDEX(計算用!$H$3:$H$452,計算用!$AC$3),INDEX(振り分け!$D$7:$D$456,計算用!$AC$3)))</f>
        <v/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54">
        <f>IF(計算用!$AC$4="","",2)</f>
        <v/>
      </c>
      <c r="B6" s="54">
        <f>IF(計算用!$AC$4="","",IF(計算用!$B$1=1,INDEX(計算用!$F$3:$F$452,計算用!$AC$4),INDEX(振り分け!$B$7:$B$456,計算用!$AC$4)))</f>
        <v/>
      </c>
      <c r="C6" s="54">
        <f>IF(計算用!$AC$4="","",IF(計算用!$B$1=1,INDEX(計算用!$G$3:$G$452,計算用!$AC$4),INDEX(振り分け!$C$7:$C$456,計算用!$AC$4)))</f>
        <v/>
      </c>
      <c r="D6" s="59">
        <f>IF(計算用!$AC$4="","",IF(計算用!$B$1=1,INDEX(計算用!$H$3:$H$452,計算用!$AC$4),INDEX(振り分け!$D$7:$D$456,計算用!$AC$4)))</f>
        <v/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</row>
    <row r="7" ht="15" customHeight="1">
      <c r="A7" s="54">
        <f>IF(計算用!$AC$5="","",3)</f>
        <v/>
      </c>
      <c r="B7" s="54">
        <f>IF(計算用!$AC$5="","",IF(計算用!$B$1=1,INDEX(計算用!$F$3:$F$452,計算用!$AC$5),INDEX(振り分け!$B$7:$B$456,計算用!$AC$5)))</f>
        <v/>
      </c>
      <c r="C7" s="54">
        <f>IF(計算用!$AC$5="","",IF(計算用!$B$1=1,INDEX(計算用!$G$3:$G$452,計算用!$AC$5),INDEX(振り分け!$C$7:$C$456,計算用!$AC$5)))</f>
        <v/>
      </c>
      <c r="D7" s="59">
        <f>IF(計算用!$AC$5="","",IF(計算用!$B$1=1,INDEX(計算用!$H$3:$H$452,計算用!$AC$5),INDEX(振り分け!$D$7:$D$456,計算用!$AC$5)))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5" customHeight="1">
      <c r="A8" s="54">
        <f>IF(計算用!$AC$6="","",4)</f>
        <v/>
      </c>
      <c r="B8" s="54">
        <f>IF(計算用!$AC$6="","",IF(計算用!$B$1=1,INDEX(計算用!$F$3:$F$452,計算用!$AC$6),INDEX(振り分け!$B$7:$B$456,計算用!$AC$6)))</f>
        <v/>
      </c>
      <c r="C8" s="54">
        <f>IF(計算用!$AC$6="","",IF(計算用!$B$1=1,INDEX(計算用!$G$3:$G$452,計算用!$AC$6),INDEX(振り分け!$C$7:$C$456,計算用!$AC$6)))</f>
        <v/>
      </c>
      <c r="D8" s="59">
        <f>IF(計算用!$AC$6="","",IF(計算用!$B$1=1,INDEX(計算用!$H$3:$H$452,計算用!$AC$6),INDEX(振り分け!$D$7:$D$456,計算用!$AC$6)))</f>
        <v/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15" customHeight="1">
      <c r="A9" s="54">
        <f>IF(計算用!$AC$7="","",5)</f>
        <v/>
      </c>
      <c r="B9" s="54">
        <f>IF(計算用!$AC$7="","",IF(計算用!$B$1=1,INDEX(計算用!$F$3:$F$452,計算用!$AC$7),INDEX(振り分け!$B$7:$B$456,計算用!$AC$7)))</f>
        <v/>
      </c>
      <c r="C9" s="54">
        <f>IF(計算用!$AC$7="","",IF(計算用!$B$1=1,INDEX(計算用!$G$3:$G$452,計算用!$AC$7),INDEX(振り分け!$C$7:$C$456,計算用!$AC$7)))</f>
        <v/>
      </c>
      <c r="D9" s="59">
        <f>IF(計算用!$AC$7="","",IF(計算用!$B$1=1,INDEX(計算用!$H$3:$H$452,計算用!$AC$7),INDEX(振り分け!$D$7:$D$456,計算用!$AC$7)))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5" customHeight="1">
      <c r="A10" s="54">
        <f>IF(計算用!$AC$8="","",6)</f>
        <v/>
      </c>
      <c r="B10" s="54">
        <f>IF(計算用!$AC$8="","",IF(計算用!$B$1=1,INDEX(計算用!$F$3:$F$452,計算用!$AC$8),INDEX(振り分け!$B$7:$B$456,計算用!$AC$8)))</f>
        <v/>
      </c>
      <c r="C10" s="54">
        <f>IF(計算用!$AC$8="","",IF(計算用!$B$1=1,INDEX(計算用!$G$3:$G$452,計算用!$AC$8),INDEX(振り分け!$C$7:$C$456,計算用!$AC$8)))</f>
        <v/>
      </c>
      <c r="D10" s="59">
        <f>IF(計算用!$AC$8="","",IF(計算用!$B$1=1,INDEX(計算用!$H$3:$H$452,計算用!$AC$8),INDEX(振り分け!$D$7:$D$456,計算用!$AC$8)))</f>
        <v/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15" customHeight="1">
      <c r="A11" s="54">
        <f>IF(計算用!$AC$9="","",7)</f>
        <v/>
      </c>
      <c r="B11" s="54">
        <f>IF(計算用!$AC$9="","",IF(計算用!$B$1=1,INDEX(計算用!$F$3:$F$452,計算用!$AC$9),INDEX(振り分け!$B$7:$B$456,計算用!$AC$9)))</f>
        <v/>
      </c>
      <c r="C11" s="54">
        <f>IF(計算用!$AC$9="","",IF(計算用!$B$1=1,INDEX(計算用!$G$3:$G$452,計算用!$AC$9),INDEX(振り分け!$C$7:$C$456,計算用!$AC$9)))</f>
        <v/>
      </c>
      <c r="D11" s="59">
        <f>IF(計算用!$AC$9="","",IF(計算用!$B$1=1,INDEX(計算用!$H$3:$H$452,計算用!$AC$9),INDEX(振り分け!$D$7:$D$456,計算用!$AC$9)))</f>
        <v/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5" customHeight="1">
      <c r="A12" s="54">
        <f>IF(計算用!$AC$10="","",8)</f>
        <v/>
      </c>
      <c r="B12" s="54">
        <f>IF(計算用!$AC$10="","",IF(計算用!$B$1=1,INDEX(計算用!$F$3:$F$452,計算用!$AC$10),INDEX(振り分け!$B$7:$B$456,計算用!$AC$10)))</f>
        <v/>
      </c>
      <c r="C12" s="54">
        <f>IF(計算用!$AC$10="","",IF(計算用!$B$1=1,INDEX(計算用!$G$3:$G$452,計算用!$AC$10),INDEX(振り分け!$C$7:$C$456,計算用!$AC$10)))</f>
        <v/>
      </c>
      <c r="D12" s="59">
        <f>IF(計算用!$AC$10="","",IF(計算用!$B$1=1,INDEX(計算用!$H$3:$H$452,計算用!$AC$10),INDEX(振り分け!$D$7:$D$456,計算用!$AC$10)))</f>
        <v/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15" customHeight="1">
      <c r="A13" s="54">
        <f>IF(計算用!$AC$11="","",9)</f>
        <v/>
      </c>
      <c r="B13" s="54">
        <f>IF(計算用!$AC$11="","",IF(計算用!$B$1=1,INDEX(計算用!$F$3:$F$452,計算用!$AC$11),INDEX(振り分け!$B$7:$B$456,計算用!$AC$11)))</f>
        <v/>
      </c>
      <c r="C13" s="54">
        <f>IF(計算用!$AC$11="","",IF(計算用!$B$1=1,INDEX(計算用!$G$3:$G$452,計算用!$AC$11),INDEX(振り分け!$C$7:$C$456,計算用!$AC$11)))</f>
        <v/>
      </c>
      <c r="D13" s="59">
        <f>IF(計算用!$AC$11="","",IF(計算用!$B$1=1,INDEX(計算用!$H$3:$H$452,計算用!$AC$11),INDEX(振り分け!$D$7:$D$456,計算用!$AC$11)))</f>
        <v/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5" customHeight="1">
      <c r="A14" s="54">
        <f>IF(計算用!$AC$12="","",10)</f>
        <v/>
      </c>
      <c r="B14" s="54">
        <f>IF(計算用!$AC$12="","",IF(計算用!$B$1=1,INDEX(計算用!$F$3:$F$452,計算用!$AC$12),INDEX(振り分け!$B$7:$B$456,計算用!$AC$12)))</f>
        <v/>
      </c>
      <c r="C14" s="54">
        <f>IF(計算用!$AC$12="","",IF(計算用!$B$1=1,INDEX(計算用!$G$3:$G$452,計算用!$AC$12),INDEX(振り分け!$C$7:$C$456,計算用!$AC$12)))</f>
        <v/>
      </c>
      <c r="D14" s="59">
        <f>IF(計算用!$AC$12="","",IF(計算用!$B$1=1,INDEX(計算用!$H$3:$H$452,計算用!$AC$12),INDEX(振り分け!$D$7:$D$456,計算用!$AC$12)))</f>
        <v/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 ht="15" customHeight="1">
      <c r="A15" s="54">
        <f>IF(計算用!$AC$13="","",11)</f>
        <v/>
      </c>
      <c r="B15" s="54">
        <f>IF(計算用!$AC$13="","",IF(計算用!$B$1=1,INDEX(計算用!$F$3:$F$452,計算用!$AC$13),INDEX(振り分け!$B$7:$B$456,計算用!$AC$13)))</f>
        <v/>
      </c>
      <c r="C15" s="54">
        <f>IF(計算用!$AC$13="","",IF(計算用!$B$1=1,INDEX(計算用!$G$3:$G$452,計算用!$AC$13),INDEX(振り分け!$C$7:$C$456,計算用!$AC$13)))</f>
        <v/>
      </c>
      <c r="D15" s="59">
        <f>IF(計算用!$AC$13="","",IF(計算用!$B$1=1,INDEX(計算用!$H$3:$H$452,計算用!$AC$13),INDEX(振り分け!$D$7:$D$456,計算用!$AC$13)))</f>
        <v/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5" customHeight="1">
      <c r="A16" s="54">
        <f>IF(計算用!$AC$14="","",12)</f>
        <v/>
      </c>
      <c r="B16" s="54">
        <f>IF(計算用!$AC$14="","",IF(計算用!$B$1=1,INDEX(計算用!$F$3:$F$452,計算用!$AC$14),INDEX(振り分け!$B$7:$B$456,計算用!$AC$14)))</f>
        <v/>
      </c>
      <c r="C16" s="54">
        <f>IF(計算用!$AC$14="","",IF(計算用!$B$1=1,INDEX(計算用!$G$3:$G$452,計算用!$AC$14),INDEX(振り分け!$C$7:$C$456,計算用!$AC$14)))</f>
        <v/>
      </c>
      <c r="D16" s="59">
        <f>IF(計算用!$AC$14="","",IF(計算用!$B$1=1,INDEX(計算用!$H$3:$H$452,計算用!$AC$14),INDEX(振り分け!$D$7:$D$456,計算用!$AC$14)))</f>
        <v/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</row>
    <row r="17" ht="15" customHeight="1">
      <c r="A17" s="54">
        <f>IF(計算用!$AC$15="","",13)</f>
        <v/>
      </c>
      <c r="B17" s="54">
        <f>IF(計算用!$AC$15="","",IF(計算用!$B$1=1,INDEX(計算用!$F$3:$F$452,計算用!$AC$15),INDEX(振り分け!$B$7:$B$456,計算用!$AC$15)))</f>
        <v/>
      </c>
      <c r="C17" s="54">
        <f>IF(計算用!$AC$15="","",IF(計算用!$B$1=1,INDEX(計算用!$G$3:$G$452,計算用!$AC$15),INDEX(振り分け!$C$7:$C$456,計算用!$AC$15)))</f>
        <v/>
      </c>
      <c r="D17" s="59">
        <f>IF(計算用!$AC$15="","",IF(計算用!$B$1=1,INDEX(計算用!$H$3:$H$452,計算用!$AC$15),INDEX(振り分け!$D$7:$D$456,計算用!$AC$15)))</f>
        <v/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5" customHeight="1">
      <c r="A18" s="54">
        <f>IF(計算用!$AC$16="","",14)</f>
        <v/>
      </c>
      <c r="B18" s="54">
        <f>IF(計算用!$AC$16="","",IF(計算用!$B$1=1,INDEX(計算用!$F$3:$F$452,計算用!$AC$16),INDEX(振り分け!$B$7:$B$456,計算用!$AC$16)))</f>
        <v/>
      </c>
      <c r="C18" s="54">
        <f>IF(計算用!$AC$16="","",IF(計算用!$B$1=1,INDEX(計算用!$G$3:$G$452,計算用!$AC$16),INDEX(振り分け!$C$7:$C$456,計算用!$AC$16)))</f>
        <v/>
      </c>
      <c r="D18" s="59">
        <f>IF(計算用!$AC$16="","",IF(計算用!$B$1=1,INDEX(計算用!$H$3:$H$452,計算用!$AC$16),INDEX(振り分け!$D$7:$D$456,計算用!$AC$16)))</f>
        <v/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</row>
    <row r="19" ht="15" customHeight="1">
      <c r="A19" s="54">
        <f>IF(計算用!$AC$17="","",15)</f>
        <v/>
      </c>
      <c r="B19" s="54">
        <f>IF(計算用!$AC$17="","",IF(計算用!$B$1=1,INDEX(計算用!$F$3:$F$452,計算用!$AC$17),INDEX(振り分け!$B$7:$B$456,計算用!$AC$17)))</f>
        <v/>
      </c>
      <c r="C19" s="54">
        <f>IF(計算用!$AC$17="","",IF(計算用!$B$1=1,INDEX(計算用!$G$3:$G$452,計算用!$AC$17),INDEX(振り分け!$C$7:$C$456,計算用!$AC$17)))</f>
        <v/>
      </c>
      <c r="D19" s="59">
        <f>IF(計算用!$AC$17="","",IF(計算用!$B$1=1,INDEX(計算用!$H$3:$H$452,計算用!$AC$17),INDEX(振り分け!$D$7:$D$456,計算用!$AC$17)))</f>
        <v/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5" customHeight="1">
      <c r="A20" s="54">
        <f>IF(計算用!$AC$18="","",16)</f>
        <v/>
      </c>
      <c r="B20" s="54">
        <f>IF(計算用!$AC$18="","",IF(計算用!$B$1=1,INDEX(計算用!$F$3:$F$452,計算用!$AC$18),INDEX(振り分け!$B$7:$B$456,計算用!$AC$18)))</f>
        <v/>
      </c>
      <c r="C20" s="54">
        <f>IF(計算用!$AC$18="","",IF(計算用!$B$1=1,INDEX(計算用!$G$3:$G$452,計算用!$AC$18),INDEX(振り分け!$C$7:$C$456,計算用!$AC$18)))</f>
        <v/>
      </c>
      <c r="D20" s="59">
        <f>IF(計算用!$AC$18="","",IF(計算用!$B$1=1,INDEX(計算用!$H$3:$H$452,計算用!$AC$18),INDEX(振り分け!$D$7:$D$456,計算用!$AC$18)))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</row>
    <row r="21" ht="15" customHeight="1">
      <c r="A21" s="54">
        <f>IF(計算用!$AC$19="","",17)</f>
        <v/>
      </c>
      <c r="B21" s="54">
        <f>IF(計算用!$AC$19="","",IF(計算用!$B$1=1,INDEX(計算用!$F$3:$F$452,計算用!$AC$19),INDEX(振り分け!$B$7:$B$456,計算用!$AC$19)))</f>
        <v/>
      </c>
      <c r="C21" s="54">
        <f>IF(計算用!$AC$19="","",IF(計算用!$B$1=1,INDEX(計算用!$G$3:$G$452,計算用!$AC$19),INDEX(振り分け!$C$7:$C$456,計算用!$AC$19)))</f>
        <v/>
      </c>
      <c r="D21" s="59">
        <f>IF(計算用!$AC$19="","",IF(計算用!$B$1=1,INDEX(計算用!$H$3:$H$452,計算用!$AC$19),INDEX(振り分け!$D$7:$D$456,計算用!$AC$19)))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5" customHeight="1">
      <c r="A22" s="54">
        <f>IF(計算用!$AC$20="","",18)</f>
        <v/>
      </c>
      <c r="B22" s="54">
        <f>IF(計算用!$AC$20="","",IF(計算用!$B$1=1,INDEX(計算用!$F$3:$F$452,計算用!$AC$20),INDEX(振り分け!$B$7:$B$456,計算用!$AC$20)))</f>
        <v/>
      </c>
      <c r="C22" s="54">
        <f>IF(計算用!$AC$20="","",IF(計算用!$B$1=1,INDEX(計算用!$G$3:$G$452,計算用!$AC$20),INDEX(振り分け!$C$7:$C$456,計算用!$AC$20)))</f>
        <v/>
      </c>
      <c r="D22" s="59">
        <f>IF(計算用!$AC$20="","",IF(計算用!$B$1=1,INDEX(計算用!$H$3:$H$452,計算用!$AC$20),INDEX(振り分け!$D$7:$D$456,計算用!$AC$20)))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15" customHeight="1">
      <c r="A23" s="54">
        <f>IF(計算用!$AC$21="","",19)</f>
        <v/>
      </c>
      <c r="B23" s="54">
        <f>IF(計算用!$AC$21="","",IF(計算用!$B$1=1,INDEX(計算用!$F$3:$F$452,計算用!$AC$21),INDEX(振り分け!$B$7:$B$456,計算用!$AC$21)))</f>
        <v/>
      </c>
      <c r="C23" s="54">
        <f>IF(計算用!$AC$21="","",IF(計算用!$B$1=1,INDEX(計算用!$G$3:$G$452,計算用!$AC$21),INDEX(振り分け!$C$7:$C$456,計算用!$AC$21)))</f>
        <v/>
      </c>
      <c r="D23" s="59">
        <f>IF(計算用!$AC$21="","",IF(計算用!$B$1=1,INDEX(計算用!$H$3:$H$452,計算用!$AC$21),INDEX(振り分け!$D$7:$D$456,計算用!$AC$21)))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5" customHeight="1">
      <c r="A24" s="54">
        <f>IF(計算用!$AC$22="","",20)</f>
        <v/>
      </c>
      <c r="B24" s="54">
        <f>IF(計算用!$AC$22="","",IF(計算用!$B$1=1,INDEX(計算用!$F$3:$F$452,計算用!$AC$22),INDEX(振り分け!$B$7:$B$456,計算用!$AC$22)))</f>
        <v/>
      </c>
      <c r="C24" s="54">
        <f>IF(計算用!$AC$22="","",IF(計算用!$B$1=1,INDEX(計算用!$G$3:$G$452,計算用!$AC$22),INDEX(振り分け!$C$7:$C$456,計算用!$AC$22)))</f>
        <v/>
      </c>
      <c r="D24" s="59">
        <f>IF(計算用!$AC$22="","",IF(計算用!$B$1=1,INDEX(計算用!$H$3:$H$452,計算用!$AC$22),INDEX(振り分け!$D$7:$D$456,計算用!$AC$22)))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15" customHeight="1">
      <c r="A25" s="54">
        <f>IF(計算用!$AC$23="","",21)</f>
        <v/>
      </c>
      <c r="B25" s="54">
        <f>IF(計算用!$AC$23="","",IF(計算用!$B$1=1,INDEX(計算用!$F$3:$F$452,計算用!$AC$23),INDEX(振り分け!$B$7:$B$456,計算用!$AC$23)))</f>
        <v/>
      </c>
      <c r="C25" s="54">
        <f>IF(計算用!$AC$23="","",IF(計算用!$B$1=1,INDEX(計算用!$G$3:$G$452,計算用!$AC$23),INDEX(振り分け!$C$7:$C$456,計算用!$AC$23)))</f>
        <v/>
      </c>
      <c r="D25" s="59">
        <f>IF(計算用!$AC$23="","",IF(計算用!$B$1=1,INDEX(計算用!$H$3:$H$452,計算用!$AC$23),INDEX(振り分け!$D$7:$D$456,計算用!$AC$23)))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5" customHeight="1">
      <c r="A26" s="54">
        <f>IF(計算用!$AC$24="","",22)</f>
        <v/>
      </c>
      <c r="B26" s="54">
        <f>IF(計算用!$AC$24="","",IF(計算用!$B$1=1,INDEX(計算用!$F$3:$F$452,計算用!$AC$24),INDEX(振り分け!$B$7:$B$456,計算用!$AC$24)))</f>
        <v/>
      </c>
      <c r="C26" s="54">
        <f>IF(計算用!$AC$24="","",IF(計算用!$B$1=1,INDEX(計算用!$G$3:$G$452,計算用!$AC$24),INDEX(振り分け!$C$7:$C$456,計算用!$AC$24)))</f>
        <v/>
      </c>
      <c r="D26" s="59">
        <f>IF(計算用!$AC$24="","",IF(計算用!$B$1=1,INDEX(計算用!$H$3:$H$452,計算用!$AC$24),INDEX(振り分け!$D$7:$D$456,計算用!$AC$24)))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15" customHeight="1">
      <c r="A27" s="54">
        <f>IF(計算用!$AC$25="","",23)</f>
        <v/>
      </c>
      <c r="B27" s="54">
        <f>IF(計算用!$AC$25="","",IF(計算用!$B$1=1,INDEX(計算用!$F$3:$F$452,計算用!$AC$25),INDEX(振り分け!$B$7:$B$456,計算用!$AC$25)))</f>
        <v/>
      </c>
      <c r="C27" s="54">
        <f>IF(計算用!$AC$25="","",IF(計算用!$B$1=1,INDEX(計算用!$G$3:$G$452,計算用!$AC$25),INDEX(振り分け!$C$7:$C$456,計算用!$AC$25)))</f>
        <v/>
      </c>
      <c r="D27" s="59">
        <f>IF(計算用!$AC$25="","",IF(計算用!$B$1=1,INDEX(計算用!$H$3:$H$452,計算用!$AC$25),INDEX(振り分け!$D$7:$D$456,計算用!$AC$25)))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5" customHeight="1">
      <c r="A28" s="54">
        <f>IF(計算用!$AC$26="","",24)</f>
        <v/>
      </c>
      <c r="B28" s="54">
        <f>IF(計算用!$AC$26="","",IF(計算用!$B$1=1,INDEX(計算用!$F$3:$F$452,計算用!$AC$26),INDEX(振り分け!$B$7:$B$456,計算用!$AC$26)))</f>
        <v/>
      </c>
      <c r="C28" s="54">
        <f>IF(計算用!$AC$26="","",IF(計算用!$B$1=1,INDEX(計算用!$G$3:$G$452,計算用!$AC$26),INDEX(振り分け!$C$7:$C$456,計算用!$AC$26)))</f>
        <v/>
      </c>
      <c r="D28" s="59">
        <f>IF(計算用!$AC$26="","",IF(計算用!$B$1=1,INDEX(計算用!$H$3:$H$452,計算用!$AC$26),INDEX(振り分け!$D$7:$D$456,計算用!$AC$26)))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15" customHeight="1">
      <c r="A29" s="54">
        <f>IF(計算用!$AC$27="","",25)</f>
        <v/>
      </c>
      <c r="B29" s="54">
        <f>IF(計算用!$AC$27="","",IF(計算用!$B$1=1,INDEX(計算用!$F$3:$F$452,計算用!$AC$27),INDEX(振り分け!$B$7:$B$456,計算用!$AC$27)))</f>
        <v/>
      </c>
      <c r="C29" s="54">
        <f>IF(計算用!$AC$27="","",IF(計算用!$B$1=1,INDEX(計算用!$G$3:$G$452,計算用!$AC$27),INDEX(振り分け!$C$7:$C$456,計算用!$AC$27)))</f>
        <v/>
      </c>
      <c r="D29" s="59">
        <f>IF(計算用!$AC$27="","",IF(計算用!$B$1=1,INDEX(計算用!$H$3:$H$452,計算用!$AC$27),INDEX(振り分け!$D$7:$D$456,計算用!$AC$27)))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5" customHeight="1">
      <c r="A30" s="54">
        <f>IF(計算用!$AC$28="","",26)</f>
        <v/>
      </c>
      <c r="B30" s="54">
        <f>IF(計算用!$AC$28="","",IF(計算用!$B$1=1,INDEX(計算用!$F$3:$F$452,計算用!$AC$28),INDEX(振り分け!$B$7:$B$456,計算用!$AC$28)))</f>
        <v/>
      </c>
      <c r="C30" s="54">
        <f>IF(計算用!$AC$28="","",IF(計算用!$B$1=1,INDEX(計算用!$G$3:$G$452,計算用!$AC$28),INDEX(振り分け!$C$7:$C$456,計算用!$AC$28)))</f>
        <v/>
      </c>
      <c r="D30" s="59">
        <f>IF(計算用!$AC$28="","",IF(計算用!$B$1=1,INDEX(計算用!$H$3:$H$452,計算用!$AC$28),INDEX(振り分け!$D$7:$D$456,計算用!$AC$28)))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15" customHeight="1">
      <c r="A31" s="54">
        <f>IF(計算用!$AC$29="","",27)</f>
        <v/>
      </c>
      <c r="B31" s="54">
        <f>IF(計算用!$AC$29="","",IF(計算用!$B$1=1,INDEX(計算用!$F$3:$F$452,計算用!$AC$29),INDEX(振り分け!$B$7:$B$456,計算用!$AC$29)))</f>
        <v/>
      </c>
      <c r="C31" s="54">
        <f>IF(計算用!$AC$29="","",IF(計算用!$B$1=1,INDEX(計算用!$G$3:$G$452,計算用!$AC$29),INDEX(振り分け!$C$7:$C$456,計算用!$AC$29)))</f>
        <v/>
      </c>
      <c r="D31" s="59">
        <f>IF(計算用!$AC$29="","",IF(計算用!$B$1=1,INDEX(計算用!$H$3:$H$452,計算用!$AC$29),INDEX(振り分け!$D$7:$D$456,計算用!$AC$29)))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5" customHeight="1">
      <c r="A32" s="54">
        <f>IF(計算用!$AC$30="","",28)</f>
        <v/>
      </c>
      <c r="B32" s="54">
        <f>IF(計算用!$AC$30="","",IF(計算用!$B$1=1,INDEX(計算用!$F$3:$F$452,計算用!$AC$30),INDEX(振り分け!$B$7:$B$456,計算用!$AC$30)))</f>
        <v/>
      </c>
      <c r="C32" s="54">
        <f>IF(計算用!$AC$30="","",IF(計算用!$B$1=1,INDEX(計算用!$G$3:$G$452,計算用!$AC$30),INDEX(振り分け!$C$7:$C$456,計算用!$AC$30)))</f>
        <v/>
      </c>
      <c r="D32" s="59">
        <f>IF(計算用!$AC$30="","",IF(計算用!$B$1=1,INDEX(計算用!$H$3:$H$452,計算用!$AC$30),INDEX(振り分け!$D$7:$D$456,計算用!$AC$30)))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15" customHeight="1">
      <c r="A33" s="54">
        <f>IF(計算用!$AC$31="","",29)</f>
        <v/>
      </c>
      <c r="B33" s="54">
        <f>IF(計算用!$AC$31="","",IF(計算用!$B$1=1,INDEX(計算用!$F$3:$F$452,計算用!$AC$31),INDEX(振り分け!$B$7:$B$456,計算用!$AC$31)))</f>
        <v/>
      </c>
      <c r="C33" s="54">
        <f>IF(計算用!$AC$31="","",IF(計算用!$B$1=1,INDEX(計算用!$G$3:$G$452,計算用!$AC$31),INDEX(振り分け!$C$7:$C$456,計算用!$AC$31)))</f>
        <v/>
      </c>
      <c r="D33" s="59">
        <f>IF(計算用!$AC$31="","",IF(計算用!$B$1=1,INDEX(計算用!$H$3:$H$452,計算用!$AC$31),INDEX(振り分け!$D$7:$D$456,計算用!$AC$31)))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5" customHeight="1">
      <c r="A34" s="54">
        <f>IF(計算用!$AC$32="","",30)</f>
        <v/>
      </c>
      <c r="B34" s="54">
        <f>IF(計算用!$AC$32="","",IF(計算用!$B$1=1,INDEX(計算用!$F$3:$F$452,計算用!$AC$32),INDEX(振り分け!$B$7:$B$456,計算用!$AC$32)))</f>
        <v/>
      </c>
      <c r="C34" s="54">
        <f>IF(計算用!$AC$32="","",IF(計算用!$B$1=1,INDEX(計算用!$G$3:$G$452,計算用!$AC$32),INDEX(振り分け!$C$7:$C$456,計算用!$AC$32)))</f>
        <v/>
      </c>
      <c r="D34" s="59">
        <f>IF(計算用!$AC$32="","",IF(計算用!$B$1=1,INDEX(計算用!$H$3:$H$452,計算用!$AC$32),INDEX(振り分け!$D$7:$D$456,計算用!$AC$32)))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15" customHeight="1">
      <c r="A35" s="54">
        <f>IF(計算用!$AC$33="","",31)</f>
        <v/>
      </c>
      <c r="B35" s="54">
        <f>IF(計算用!$AC$33="","",IF(計算用!$B$1=1,INDEX(計算用!$F$3:$F$452,計算用!$AC$33),INDEX(振り分け!$B$7:$B$456,計算用!$AC$33)))</f>
        <v/>
      </c>
      <c r="C35" s="54">
        <f>IF(計算用!$AC$33="","",IF(計算用!$B$1=1,INDEX(計算用!$G$3:$G$452,計算用!$AC$33),INDEX(振り分け!$C$7:$C$456,計算用!$AC$33)))</f>
        <v/>
      </c>
      <c r="D35" s="59">
        <f>IF(計算用!$AC$33="","",IF(計算用!$B$1=1,INDEX(計算用!$H$3:$H$452,計算用!$AC$33),INDEX(振り分け!$D$7:$D$456,計算用!$AC$33)))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5" customHeight="1">
      <c r="A36" s="54">
        <f>IF(計算用!$AC$34="","",32)</f>
        <v/>
      </c>
      <c r="B36" s="54">
        <f>IF(計算用!$AC$34="","",IF(計算用!$B$1=1,INDEX(計算用!$F$3:$F$452,計算用!$AC$34),INDEX(振り分け!$B$7:$B$456,計算用!$AC$34)))</f>
        <v/>
      </c>
      <c r="C36" s="54">
        <f>IF(計算用!$AC$34="","",IF(計算用!$B$1=1,INDEX(計算用!$G$3:$G$452,計算用!$AC$34),INDEX(振り分け!$C$7:$C$456,計算用!$AC$34)))</f>
        <v/>
      </c>
      <c r="D36" s="59">
        <f>IF(計算用!$AC$34="","",IF(計算用!$B$1=1,INDEX(計算用!$H$3:$H$452,計算用!$AC$34),INDEX(振り分け!$D$7:$D$456,計算用!$AC$34)))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15" customHeight="1">
      <c r="A37" s="54">
        <f>IF(計算用!$AC$35="","",33)</f>
        <v/>
      </c>
      <c r="B37" s="54">
        <f>IF(計算用!$AC$35="","",IF(計算用!$B$1=1,INDEX(計算用!$F$3:$F$452,計算用!$AC$35),INDEX(振り分け!$B$7:$B$456,計算用!$AC$35)))</f>
        <v/>
      </c>
      <c r="C37" s="54">
        <f>IF(計算用!$AC$35="","",IF(計算用!$B$1=1,INDEX(計算用!$G$3:$G$452,計算用!$AC$35),INDEX(振り分け!$C$7:$C$456,計算用!$AC$35)))</f>
        <v/>
      </c>
      <c r="D37" s="59">
        <f>IF(計算用!$AC$35="","",IF(計算用!$B$1=1,INDEX(計算用!$H$3:$H$452,計算用!$AC$35),INDEX(振り分け!$D$7:$D$456,計算用!$AC$35)))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5" customHeight="1">
      <c r="A38" s="54">
        <f>IF(計算用!$AC$36="","",34)</f>
        <v/>
      </c>
      <c r="B38" s="54">
        <f>IF(計算用!$AC$36="","",IF(計算用!$B$1=1,INDEX(計算用!$F$3:$F$452,計算用!$AC$36),INDEX(振り分け!$B$7:$B$456,計算用!$AC$36)))</f>
        <v/>
      </c>
      <c r="C38" s="54">
        <f>IF(計算用!$AC$36="","",IF(計算用!$B$1=1,INDEX(計算用!$G$3:$G$452,計算用!$AC$36),INDEX(振り分け!$C$7:$C$456,計算用!$AC$36)))</f>
        <v/>
      </c>
      <c r="D38" s="59">
        <f>IF(計算用!$AC$36="","",IF(計算用!$B$1=1,INDEX(計算用!$H$3:$H$452,計算用!$AC$36),INDEX(振り分け!$D$7:$D$456,計算用!$AC$36)))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</row>
    <row r="39" ht="15" customHeight="1">
      <c r="A39" s="54">
        <f>IF(計算用!$AC$37="","",35)</f>
        <v/>
      </c>
      <c r="B39" s="54">
        <f>IF(計算用!$AC$37="","",IF(計算用!$B$1=1,INDEX(計算用!$F$3:$F$452,計算用!$AC$37),INDEX(振り分け!$B$7:$B$456,計算用!$AC$37)))</f>
        <v/>
      </c>
      <c r="C39" s="54">
        <f>IF(計算用!$AC$37="","",IF(計算用!$B$1=1,INDEX(計算用!$G$3:$G$452,計算用!$AC$37),INDEX(振り分け!$C$7:$C$456,計算用!$AC$37)))</f>
        <v/>
      </c>
      <c r="D39" s="59">
        <f>IF(計算用!$AC$37="","",IF(計算用!$B$1=1,INDEX(計算用!$H$3:$H$452,計算用!$AC$37),INDEX(振り分け!$D$7:$D$456,計算用!$AC$37)))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5" customHeight="1">
      <c r="A40" s="54">
        <f>IF(計算用!$AC$38="","",36)</f>
        <v/>
      </c>
      <c r="B40" s="54">
        <f>IF(計算用!$AC$38="","",IF(計算用!$B$1=1,INDEX(計算用!$F$3:$F$452,計算用!$AC$38),INDEX(振り分け!$B$7:$B$456,計算用!$AC$38)))</f>
        <v/>
      </c>
      <c r="C40" s="54">
        <f>IF(計算用!$AC$38="","",IF(計算用!$B$1=1,INDEX(計算用!$G$3:$G$452,計算用!$AC$38),INDEX(振り分け!$C$7:$C$456,計算用!$AC$38)))</f>
        <v/>
      </c>
      <c r="D40" s="59">
        <f>IF(計算用!$AC$38="","",IF(計算用!$B$1=1,INDEX(計算用!$H$3:$H$452,計算用!$AC$38),INDEX(振り分け!$D$7:$D$456,計算用!$AC$38)))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</row>
    <row r="41" ht="15" customHeight="1">
      <c r="A41" s="54">
        <f>IF(計算用!$AC$39="","",37)</f>
        <v/>
      </c>
      <c r="B41" s="54">
        <f>IF(計算用!$AC$39="","",IF(計算用!$B$1=1,INDEX(計算用!$F$3:$F$452,計算用!$AC$39),INDEX(振り分け!$B$7:$B$456,計算用!$AC$39)))</f>
        <v/>
      </c>
      <c r="C41" s="54">
        <f>IF(計算用!$AC$39="","",IF(計算用!$B$1=1,INDEX(計算用!$G$3:$G$452,計算用!$AC$39),INDEX(振り分け!$C$7:$C$456,計算用!$AC$39)))</f>
        <v/>
      </c>
      <c r="D41" s="59">
        <f>IF(計算用!$AC$39="","",IF(計算用!$B$1=1,INDEX(計算用!$H$3:$H$452,計算用!$AC$39),INDEX(振り分け!$D$7:$D$456,計算用!$AC$39)))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5" customHeight="1">
      <c r="A42" s="54">
        <f>IF(計算用!$AC$40="","",38)</f>
        <v/>
      </c>
      <c r="B42" s="54">
        <f>IF(計算用!$AC$40="","",IF(計算用!$B$1=1,INDEX(計算用!$F$3:$F$452,計算用!$AC$40),INDEX(振り分け!$B$7:$B$456,計算用!$AC$40)))</f>
        <v/>
      </c>
      <c r="C42" s="54">
        <f>IF(計算用!$AC$40="","",IF(計算用!$B$1=1,INDEX(計算用!$G$3:$G$452,計算用!$AC$40),INDEX(振り分け!$C$7:$C$456,計算用!$AC$40)))</f>
        <v/>
      </c>
      <c r="D42" s="59">
        <f>IF(計算用!$AC$40="","",IF(計算用!$B$1=1,INDEX(計算用!$H$3:$H$452,計算用!$AC$40),INDEX(振り分け!$D$7:$D$456,計算用!$AC$40)))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</row>
    <row r="43" ht="15" customHeight="1">
      <c r="A43" s="54">
        <f>IF(計算用!$AC$41="","",39)</f>
        <v/>
      </c>
      <c r="B43" s="54">
        <f>IF(計算用!$AC$41="","",IF(計算用!$B$1=1,INDEX(計算用!$F$3:$F$452,計算用!$AC$41),INDEX(振り分け!$B$7:$B$456,計算用!$AC$41)))</f>
        <v/>
      </c>
      <c r="C43" s="54">
        <f>IF(計算用!$AC$41="","",IF(計算用!$B$1=1,INDEX(計算用!$G$3:$G$452,計算用!$AC$41),INDEX(振り分け!$C$7:$C$456,計算用!$AC$41)))</f>
        <v/>
      </c>
      <c r="D43" s="59">
        <f>IF(計算用!$AC$41="","",IF(計算用!$B$1=1,INDEX(計算用!$H$3:$H$452,計算用!$AC$41),INDEX(振り分け!$D$7:$D$456,計算用!$AC$41)))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5" customHeight="1">
      <c r="A44" s="54">
        <f>IF(計算用!$AC$42="","",40)</f>
        <v/>
      </c>
      <c r="B44" s="54">
        <f>IF(計算用!$AC$42="","",IF(計算用!$B$1=1,INDEX(計算用!$F$3:$F$452,計算用!$AC$42),INDEX(振り分け!$B$7:$B$456,計算用!$AC$42)))</f>
        <v/>
      </c>
      <c r="C44" s="54">
        <f>IF(計算用!$AC$42="","",IF(計算用!$B$1=1,INDEX(計算用!$G$3:$G$452,計算用!$AC$42),INDEX(振り分け!$C$7:$C$456,計算用!$AC$42)))</f>
        <v/>
      </c>
      <c r="D44" s="59">
        <f>IF(計算用!$AC$42="","",IF(計算用!$B$1=1,INDEX(計算用!$H$3:$H$452,計算用!$AC$42),INDEX(振り分け!$D$7:$D$456,計算用!$AC$42)))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</row>
    <row r="45" ht="15" customHeight="1">
      <c r="A45" s="54">
        <f>IF(計算用!$AC$43="","",41)</f>
        <v/>
      </c>
      <c r="B45" s="54">
        <f>IF(計算用!$AC$43="","",IF(計算用!$B$1=1,INDEX(計算用!$F$3:$F$452,計算用!$AC$43),INDEX(振り分け!$B$7:$B$456,計算用!$AC$43)))</f>
        <v/>
      </c>
      <c r="C45" s="54">
        <f>IF(計算用!$AC$43="","",IF(計算用!$B$1=1,INDEX(計算用!$G$3:$G$452,計算用!$AC$43),INDEX(振り分け!$C$7:$C$456,計算用!$AC$43)))</f>
        <v/>
      </c>
      <c r="D45" s="59">
        <f>IF(計算用!$AC$43="","",IF(計算用!$B$1=1,INDEX(計算用!$H$3:$H$452,計算用!$AC$43),INDEX(振り分け!$D$7:$D$456,計算用!$AC$43)))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5" customHeight="1">
      <c r="A46" s="54">
        <f>IF(計算用!$AC$44="","",42)</f>
        <v/>
      </c>
      <c r="B46" s="54">
        <f>IF(計算用!$AC$44="","",IF(計算用!$B$1=1,INDEX(計算用!$F$3:$F$452,計算用!$AC$44),INDEX(振り分け!$B$7:$B$456,計算用!$AC$44)))</f>
        <v/>
      </c>
      <c r="C46" s="54">
        <f>IF(計算用!$AC$44="","",IF(計算用!$B$1=1,INDEX(計算用!$G$3:$G$452,計算用!$AC$44),INDEX(振り分け!$C$7:$C$456,計算用!$AC$44)))</f>
        <v/>
      </c>
      <c r="D46" s="59">
        <f>IF(計算用!$AC$44="","",IF(計算用!$B$1=1,INDEX(計算用!$H$3:$H$452,計算用!$AC$44),INDEX(振り分け!$D$7:$D$456,計算用!$AC$44)))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</row>
    <row r="47" ht="15" customHeight="1">
      <c r="A47" s="54">
        <f>IF(計算用!$AC$45="","",43)</f>
        <v/>
      </c>
      <c r="B47" s="54">
        <f>IF(計算用!$AC$45="","",IF(計算用!$B$1=1,INDEX(計算用!$F$3:$F$452,計算用!$AC$45),INDEX(振り分け!$B$7:$B$456,計算用!$AC$45)))</f>
        <v/>
      </c>
      <c r="C47" s="54">
        <f>IF(計算用!$AC$45="","",IF(計算用!$B$1=1,INDEX(計算用!$G$3:$G$452,計算用!$AC$45),INDEX(振り分け!$C$7:$C$456,計算用!$AC$45)))</f>
        <v/>
      </c>
      <c r="D47" s="59">
        <f>IF(計算用!$AC$45="","",IF(計算用!$B$1=1,INDEX(計算用!$H$3:$H$452,計算用!$AC$45),INDEX(振り分け!$D$7:$D$456,計算用!$AC$45)))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5" customHeight="1">
      <c r="A48" s="54">
        <f>IF(計算用!$AC$46="","",44)</f>
        <v/>
      </c>
      <c r="B48" s="54">
        <f>IF(計算用!$AC$46="","",IF(計算用!$B$1=1,INDEX(計算用!$F$3:$F$452,計算用!$AC$46),INDEX(振り分け!$B$7:$B$456,計算用!$AC$46)))</f>
        <v/>
      </c>
      <c r="C48" s="54">
        <f>IF(計算用!$AC$46="","",IF(計算用!$B$1=1,INDEX(計算用!$G$3:$G$452,計算用!$AC$46),INDEX(振り分け!$C$7:$C$456,計算用!$AC$46)))</f>
        <v/>
      </c>
      <c r="D48" s="59">
        <f>IF(計算用!$AC$46="","",IF(計算用!$B$1=1,INDEX(計算用!$H$3:$H$452,計算用!$AC$46),INDEX(振り分け!$D$7:$D$456,計算用!$AC$46)))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</row>
    <row r="49" ht="15" customHeight="1">
      <c r="A49" s="54">
        <f>IF(計算用!$AC$47="","",45)</f>
        <v/>
      </c>
      <c r="B49" s="54">
        <f>IF(計算用!$AC$47="","",IF(計算用!$B$1=1,INDEX(計算用!$F$3:$F$452,計算用!$AC$47),INDEX(振り分け!$B$7:$B$456,計算用!$AC$47)))</f>
        <v/>
      </c>
      <c r="C49" s="54">
        <f>IF(計算用!$AC$47="","",IF(計算用!$B$1=1,INDEX(計算用!$G$3:$G$452,計算用!$AC$47),INDEX(振り分け!$C$7:$C$456,計算用!$AC$47)))</f>
        <v/>
      </c>
      <c r="D49" s="59">
        <f>IF(計算用!$AC$47="","",IF(計算用!$B$1=1,INDEX(計算用!$H$3:$H$452,計算用!$AC$47),INDEX(振り分け!$D$7:$D$456,計算用!$AC$47)))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5" customHeight="1">
      <c r="A50" s="54">
        <f>IF(計算用!$AC$48="","",46)</f>
        <v/>
      </c>
      <c r="B50" s="54">
        <f>IF(計算用!$AC$48="","",IF(計算用!$B$1=1,INDEX(計算用!$F$3:$F$452,計算用!$AC$48),INDEX(振り分け!$B$7:$B$456,計算用!$AC$48)))</f>
        <v/>
      </c>
      <c r="C50" s="54">
        <f>IF(計算用!$AC$48="","",IF(計算用!$B$1=1,INDEX(計算用!$G$3:$G$452,計算用!$AC$48),INDEX(振り分け!$C$7:$C$456,計算用!$AC$48)))</f>
        <v/>
      </c>
      <c r="D50" s="59">
        <f>IF(計算用!$AC$48="","",IF(計算用!$B$1=1,INDEX(計算用!$H$3:$H$452,計算用!$AC$48),INDEX(振り分け!$D$7:$D$456,計算用!$AC$48)))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</row>
    <row r="51" ht="15" customHeight="1">
      <c r="A51" s="54">
        <f>IF(計算用!$AC$49="","",47)</f>
        <v/>
      </c>
      <c r="B51" s="54">
        <f>IF(計算用!$AC$49="","",IF(計算用!$B$1=1,INDEX(計算用!$F$3:$F$452,計算用!$AC$49),INDEX(振り分け!$B$7:$B$456,計算用!$AC$49)))</f>
        <v/>
      </c>
      <c r="C51" s="54">
        <f>IF(計算用!$AC$49="","",IF(計算用!$B$1=1,INDEX(計算用!$G$3:$G$452,計算用!$AC$49),INDEX(振り分け!$C$7:$C$456,計算用!$AC$49)))</f>
        <v/>
      </c>
      <c r="D51" s="59">
        <f>IF(計算用!$AC$49="","",IF(計算用!$B$1=1,INDEX(計算用!$H$3:$H$452,計算用!$AC$49),INDEX(振り分け!$D$7:$D$456,計算用!$AC$49)))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5" customHeight="1">
      <c r="A52" s="54">
        <f>IF(計算用!$AC$50="","",48)</f>
        <v/>
      </c>
      <c r="B52" s="54">
        <f>IF(計算用!$AC$50="","",IF(計算用!$B$1=1,INDEX(計算用!$F$3:$F$452,計算用!$AC$50),INDEX(振り分け!$B$7:$B$456,計算用!$AC$50)))</f>
        <v/>
      </c>
      <c r="C52" s="54">
        <f>IF(計算用!$AC$50="","",IF(計算用!$B$1=1,INDEX(計算用!$G$3:$G$452,計算用!$AC$50),INDEX(振り分け!$C$7:$C$456,計算用!$AC$50)))</f>
        <v/>
      </c>
      <c r="D52" s="59">
        <f>IF(計算用!$AC$50="","",IF(計算用!$B$1=1,INDEX(計算用!$H$3:$H$452,計算用!$AC$50),INDEX(振り分け!$D$7:$D$456,計算用!$AC$50)))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</row>
    <row r="53" ht="15" customHeight="1">
      <c r="A53" s="54">
        <f>IF(計算用!$AC$51="","",49)</f>
        <v/>
      </c>
      <c r="B53" s="54">
        <f>IF(計算用!$AC$51="","",IF(計算用!$B$1=1,INDEX(計算用!$F$3:$F$452,計算用!$AC$51),INDEX(振り分け!$B$7:$B$456,計算用!$AC$51)))</f>
        <v/>
      </c>
      <c r="C53" s="54">
        <f>IF(計算用!$AC$51="","",IF(計算用!$B$1=1,INDEX(計算用!$G$3:$G$452,計算用!$AC$51),INDEX(振り分け!$C$7:$C$456,計算用!$AC$51)))</f>
        <v/>
      </c>
      <c r="D53" s="59">
        <f>IF(計算用!$AC$51="","",IF(計算用!$B$1=1,INDEX(計算用!$H$3:$H$452,計算用!$AC$51),INDEX(振り分け!$D$7:$D$456,計算用!$AC$51)))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</row>
    <row r="54" ht="15" customHeight="1">
      <c r="A54" s="54">
        <f>IF(計算用!$AC$52="","",50)</f>
        <v/>
      </c>
      <c r="B54" s="54">
        <f>IF(計算用!$AC$52="","",IF(計算用!$B$1=1,INDEX(計算用!$F$3:$F$452,計算用!$AC$52),INDEX(振り分け!$B$7:$B$456,計算用!$AC$52)))</f>
        <v/>
      </c>
      <c r="C54" s="54">
        <f>IF(計算用!$AC$52="","",IF(計算用!$B$1=1,INDEX(計算用!$G$3:$G$452,計算用!$AC$52),INDEX(振り分け!$C$7:$C$456,計算用!$AC$52)))</f>
        <v/>
      </c>
      <c r="D54" s="59">
        <f>IF(計算用!$AC$52="","",IF(計算用!$B$1=1,INDEX(計算用!$H$3:$H$452,計算用!$AC$52),INDEX(振り分け!$D$7:$D$456,計算用!$AC$52)))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45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新年度モード</t>
        </is>
      </c>
      <c r="B1" s="60">
        <f>IF(COUNTIF(新年度名簿!$D$2:$D$451,"?*")&gt;0,1,0)</f>
        <v/>
      </c>
    </row>
    <row r="2">
      <c r="A2" s="60" t="inlineStr">
        <is>
          <t>新名簿行</t>
        </is>
      </c>
      <c r="B2" s="60" t="inlineStr">
        <is>
          <t>クラブ</t>
        </is>
      </c>
      <c r="C2" s="60" t="inlineStr">
        <is>
          <t>No</t>
        </is>
      </c>
      <c r="D2" s="60" t="inlineStr">
        <is>
          <t>順</t>
        </is>
      </c>
      <c r="E2" s="60" t="inlineStr">
        <is>
          <t>キー</t>
        </is>
      </c>
      <c r="F2" s="60" t="inlineStr">
        <is>
          <t>組</t>
        </is>
      </c>
      <c r="G2" s="60" t="inlineStr">
        <is>
          <t>番号</t>
        </is>
      </c>
      <c r="H2" s="60" t="inlineStr">
        <is>
          <t>名前</t>
        </is>
      </c>
      <c r="J2" s="60" t="n">
        <v>1</v>
      </c>
      <c r="K2" s="60" t="n">
        <v>2</v>
      </c>
      <c r="L2" s="60" t="n">
        <v>3</v>
      </c>
      <c r="M2" s="60" t="n">
        <v>4</v>
      </c>
      <c r="N2" s="60" t="n">
        <v>5</v>
      </c>
      <c r="O2" s="60" t="n">
        <v>6</v>
      </c>
      <c r="P2" s="60" t="n">
        <v>7</v>
      </c>
      <c r="Q2" s="60" t="n">
        <v>8</v>
      </c>
      <c r="R2" s="60" t="n">
        <v>9</v>
      </c>
      <c r="S2" s="60" t="n">
        <v>10</v>
      </c>
      <c r="T2" s="60" t="n">
        <v>11</v>
      </c>
      <c r="U2" s="60" t="n">
        <v>12</v>
      </c>
      <c r="V2" s="60" t="n">
        <v>13</v>
      </c>
      <c r="W2" s="60" t="n">
        <v>14</v>
      </c>
      <c r="X2" s="60" t="n">
        <v>15</v>
      </c>
      <c r="Y2" s="60" t="n">
        <v>16</v>
      </c>
      <c r="Z2" s="60" t="n">
        <v>17</v>
      </c>
      <c r="AA2" s="60" t="n">
        <v>18</v>
      </c>
      <c r="AB2" s="60" t="n">
        <v>19</v>
      </c>
      <c r="AC2" s="60" t="n">
        <v>20</v>
      </c>
    </row>
    <row r="3">
      <c r="A3" s="14">
        <f>IFERROR(MATCH(SMALL(新年度名簿!$J$2:$J$451,1),新年度名簿!$J$2:$J$451,0),"")</f>
        <v/>
      </c>
      <c r="B3" s="14">
        <f>IF(A3="","",INDEX(新年度名簿!$G$2:$G$451,A3))</f>
        <v/>
      </c>
      <c r="C3" s="14">
        <f>IF(A3="","",IFERROR(MATCH(B3,設定!$P$8:$P$27,0),""))</f>
        <v/>
      </c>
      <c r="D3" s="14">
        <f>IF(C3="","",COUNTIF($C$3:C3,C3))</f>
        <v/>
      </c>
      <c r="E3" s="14">
        <f>IF(C3="","",C3*1000+D3)</f>
        <v/>
      </c>
      <c r="F3" s="14">
        <f>IF(A3="","",INDEX(新年度名簿!$K$2:$K$451,A3))</f>
        <v/>
      </c>
      <c r="G3" s="14">
        <f>IF(A3="","",INDEX(新年度名簿!$C$2:$C$451,A3))</f>
        <v/>
      </c>
      <c r="H3" s="14">
        <f>IF(A3="","",INDEX(新年度名簿!$D$2:$D$451,A3))</f>
        <v/>
      </c>
      <c r="J3" s="14">
        <f>IF($B$1=1,IFERROR(MATCH(1001,$E$3:$E$452,0),""),IFERROR(MATCH(1001,振り分け!$W$7:$W$456,0),""))</f>
        <v/>
      </c>
      <c r="K3" s="14">
        <f>IF($B$1=1,IFERROR(MATCH(2001,$E$3:$E$452,0),""),IFERROR(MATCH(2001,振り分け!$W$7:$W$456,0),""))</f>
        <v/>
      </c>
      <c r="L3" s="14">
        <f>IF($B$1=1,IFERROR(MATCH(3001,$E$3:$E$452,0),""),IFERROR(MATCH(3001,振り分け!$W$7:$W$456,0),""))</f>
        <v/>
      </c>
      <c r="M3" s="14">
        <f>IF($B$1=1,IFERROR(MATCH(4001,$E$3:$E$452,0),""),IFERROR(MATCH(4001,振り分け!$W$7:$W$456,0),""))</f>
        <v/>
      </c>
      <c r="N3" s="14">
        <f>IF($B$1=1,IFERROR(MATCH(5001,$E$3:$E$452,0),""),IFERROR(MATCH(5001,振り分け!$W$7:$W$456,0),""))</f>
        <v/>
      </c>
      <c r="O3" s="14">
        <f>IF($B$1=1,IFERROR(MATCH(6001,$E$3:$E$452,0),""),IFERROR(MATCH(6001,振り分け!$W$7:$W$456,0),""))</f>
        <v/>
      </c>
      <c r="P3" s="14">
        <f>IF($B$1=1,IFERROR(MATCH(7001,$E$3:$E$452,0),""),IFERROR(MATCH(7001,振り分け!$W$7:$W$456,0),""))</f>
        <v/>
      </c>
      <c r="Q3" s="14">
        <f>IF($B$1=1,IFERROR(MATCH(8001,$E$3:$E$452,0),""),IFERROR(MATCH(8001,振り分け!$W$7:$W$456,0),""))</f>
        <v/>
      </c>
      <c r="R3" s="14">
        <f>IF($B$1=1,IFERROR(MATCH(9001,$E$3:$E$452,0),""),IFERROR(MATCH(9001,振り分け!$W$7:$W$456,0),""))</f>
        <v/>
      </c>
      <c r="S3" s="14">
        <f>IF($B$1=1,IFERROR(MATCH(10001,$E$3:$E$452,0),""),IFERROR(MATCH(10001,振り分け!$W$7:$W$456,0),""))</f>
        <v/>
      </c>
      <c r="T3" s="14">
        <f>IF($B$1=1,IFERROR(MATCH(11001,$E$3:$E$452,0),""),IFERROR(MATCH(11001,振り分け!$W$7:$W$456,0),""))</f>
        <v/>
      </c>
      <c r="U3" s="14">
        <f>IF($B$1=1,IFERROR(MATCH(12001,$E$3:$E$452,0),""),IFERROR(MATCH(12001,振り分け!$W$7:$W$456,0),""))</f>
        <v/>
      </c>
      <c r="V3" s="14">
        <f>IF($B$1=1,IFERROR(MATCH(13001,$E$3:$E$452,0),""),IFERROR(MATCH(13001,振り分け!$W$7:$W$456,0),""))</f>
        <v/>
      </c>
      <c r="W3" s="14">
        <f>IF($B$1=1,IFERROR(MATCH(14001,$E$3:$E$452,0),""),IFERROR(MATCH(14001,振り分け!$W$7:$W$456,0),""))</f>
        <v/>
      </c>
      <c r="X3" s="14">
        <f>IF($B$1=1,IFERROR(MATCH(15001,$E$3:$E$452,0),""),IFERROR(MATCH(15001,振り分け!$W$7:$W$456,0),""))</f>
        <v/>
      </c>
      <c r="Y3" s="14">
        <f>IF($B$1=1,IFERROR(MATCH(16001,$E$3:$E$452,0),""),IFERROR(MATCH(16001,振り分け!$W$7:$W$456,0),""))</f>
        <v/>
      </c>
      <c r="Z3" s="14">
        <f>IF($B$1=1,IFERROR(MATCH(17001,$E$3:$E$452,0),""),IFERROR(MATCH(17001,振り分け!$W$7:$W$456,0),""))</f>
        <v/>
      </c>
      <c r="AA3" s="14">
        <f>IF($B$1=1,IFERROR(MATCH(18001,$E$3:$E$452,0),""),IFERROR(MATCH(18001,振り分け!$W$7:$W$456,0),""))</f>
        <v/>
      </c>
      <c r="AB3" s="14">
        <f>IF($B$1=1,IFERROR(MATCH(19001,$E$3:$E$452,0),""),IFERROR(MATCH(19001,振り分け!$W$7:$W$456,0),""))</f>
        <v/>
      </c>
      <c r="AC3" s="14">
        <f>IF($B$1=1,IFERROR(MATCH(20001,$E$3:$E$452,0),""),IFERROR(MATCH(20001,振り分け!$W$7:$W$456,0),""))</f>
        <v/>
      </c>
    </row>
    <row r="4">
      <c r="A4" s="14">
        <f>IFERROR(MATCH(SMALL(新年度名簿!$J$2:$J$451,2),新年度名簿!$J$2:$J$451,0),"")</f>
        <v/>
      </c>
      <c r="B4" s="14">
        <f>IF(A4="","",INDEX(新年度名簿!$G$2:$G$451,A4))</f>
        <v/>
      </c>
      <c r="C4" s="14">
        <f>IF(A4="","",IFERROR(MATCH(B4,設定!$P$8:$P$27,0),""))</f>
        <v/>
      </c>
      <c r="D4" s="14">
        <f>IF(C4="","",COUNTIF($C$3:C4,C4))</f>
        <v/>
      </c>
      <c r="E4" s="14">
        <f>IF(C4="","",C4*1000+D4)</f>
        <v/>
      </c>
      <c r="F4" s="14">
        <f>IF(A4="","",INDEX(新年度名簿!$K$2:$K$451,A4))</f>
        <v/>
      </c>
      <c r="G4" s="14">
        <f>IF(A4="","",INDEX(新年度名簿!$C$2:$C$451,A4))</f>
        <v/>
      </c>
      <c r="H4" s="14">
        <f>IF(A4="","",INDEX(新年度名簿!$D$2:$D$451,A4))</f>
        <v/>
      </c>
      <c r="J4" s="14">
        <f>IF($B$1=1,IFERROR(MATCH(1002,$E$3:$E$452,0),""),IFERROR(MATCH(1002,振り分け!$W$7:$W$456,0),""))</f>
        <v/>
      </c>
      <c r="K4" s="14">
        <f>IF($B$1=1,IFERROR(MATCH(2002,$E$3:$E$452,0),""),IFERROR(MATCH(2002,振り分け!$W$7:$W$456,0),""))</f>
        <v/>
      </c>
      <c r="L4" s="14">
        <f>IF($B$1=1,IFERROR(MATCH(3002,$E$3:$E$452,0),""),IFERROR(MATCH(3002,振り分け!$W$7:$W$456,0),""))</f>
        <v/>
      </c>
      <c r="M4" s="14">
        <f>IF($B$1=1,IFERROR(MATCH(4002,$E$3:$E$452,0),""),IFERROR(MATCH(4002,振り分け!$W$7:$W$456,0),""))</f>
        <v/>
      </c>
      <c r="N4" s="14">
        <f>IF($B$1=1,IFERROR(MATCH(5002,$E$3:$E$452,0),""),IFERROR(MATCH(5002,振り分け!$W$7:$W$456,0),""))</f>
        <v/>
      </c>
      <c r="O4" s="14">
        <f>IF($B$1=1,IFERROR(MATCH(6002,$E$3:$E$452,0),""),IFERROR(MATCH(6002,振り分け!$W$7:$W$456,0),""))</f>
        <v/>
      </c>
      <c r="P4" s="14">
        <f>IF($B$1=1,IFERROR(MATCH(7002,$E$3:$E$452,0),""),IFERROR(MATCH(7002,振り分け!$W$7:$W$456,0),""))</f>
        <v/>
      </c>
      <c r="Q4" s="14">
        <f>IF($B$1=1,IFERROR(MATCH(8002,$E$3:$E$452,0),""),IFERROR(MATCH(8002,振り分け!$W$7:$W$456,0),""))</f>
        <v/>
      </c>
      <c r="R4" s="14">
        <f>IF($B$1=1,IFERROR(MATCH(9002,$E$3:$E$452,0),""),IFERROR(MATCH(9002,振り分け!$W$7:$W$456,0),""))</f>
        <v/>
      </c>
      <c r="S4" s="14">
        <f>IF($B$1=1,IFERROR(MATCH(10002,$E$3:$E$452,0),""),IFERROR(MATCH(10002,振り分け!$W$7:$W$456,0),""))</f>
        <v/>
      </c>
      <c r="T4" s="14">
        <f>IF($B$1=1,IFERROR(MATCH(11002,$E$3:$E$452,0),""),IFERROR(MATCH(11002,振り分け!$W$7:$W$456,0),""))</f>
        <v/>
      </c>
      <c r="U4" s="14">
        <f>IF($B$1=1,IFERROR(MATCH(12002,$E$3:$E$452,0),""),IFERROR(MATCH(12002,振り分け!$W$7:$W$456,0),""))</f>
        <v/>
      </c>
      <c r="V4" s="14">
        <f>IF($B$1=1,IFERROR(MATCH(13002,$E$3:$E$452,0),""),IFERROR(MATCH(13002,振り分け!$W$7:$W$456,0),""))</f>
        <v/>
      </c>
      <c r="W4" s="14">
        <f>IF($B$1=1,IFERROR(MATCH(14002,$E$3:$E$452,0),""),IFERROR(MATCH(14002,振り分け!$W$7:$W$456,0),""))</f>
        <v/>
      </c>
      <c r="X4" s="14">
        <f>IF($B$1=1,IFERROR(MATCH(15002,$E$3:$E$452,0),""),IFERROR(MATCH(15002,振り分け!$W$7:$W$456,0),""))</f>
        <v/>
      </c>
      <c r="Y4" s="14">
        <f>IF($B$1=1,IFERROR(MATCH(16002,$E$3:$E$452,0),""),IFERROR(MATCH(16002,振り分け!$W$7:$W$456,0),""))</f>
        <v/>
      </c>
      <c r="Z4" s="14">
        <f>IF($B$1=1,IFERROR(MATCH(17002,$E$3:$E$452,0),""),IFERROR(MATCH(17002,振り分け!$W$7:$W$456,0),""))</f>
        <v/>
      </c>
      <c r="AA4" s="14">
        <f>IF($B$1=1,IFERROR(MATCH(18002,$E$3:$E$452,0),""),IFERROR(MATCH(18002,振り分け!$W$7:$W$456,0),""))</f>
        <v/>
      </c>
      <c r="AB4" s="14">
        <f>IF($B$1=1,IFERROR(MATCH(19002,$E$3:$E$452,0),""),IFERROR(MATCH(19002,振り分け!$W$7:$W$456,0),""))</f>
        <v/>
      </c>
      <c r="AC4" s="14">
        <f>IF($B$1=1,IFERROR(MATCH(20002,$E$3:$E$452,0),""),IFERROR(MATCH(20002,振り分け!$W$7:$W$456,0),""))</f>
        <v/>
      </c>
    </row>
    <row r="5">
      <c r="A5" s="14">
        <f>IFERROR(MATCH(SMALL(新年度名簿!$J$2:$J$451,3),新年度名簿!$J$2:$J$451,0),"")</f>
        <v/>
      </c>
      <c r="B5" s="14">
        <f>IF(A5="","",INDEX(新年度名簿!$G$2:$G$451,A5))</f>
        <v/>
      </c>
      <c r="C5" s="14">
        <f>IF(A5="","",IFERROR(MATCH(B5,設定!$P$8:$P$27,0),""))</f>
        <v/>
      </c>
      <c r="D5" s="14">
        <f>IF(C5="","",COUNTIF($C$3:C5,C5))</f>
        <v/>
      </c>
      <c r="E5" s="14">
        <f>IF(C5="","",C5*1000+D5)</f>
        <v/>
      </c>
      <c r="F5" s="14">
        <f>IF(A5="","",INDEX(新年度名簿!$K$2:$K$451,A5))</f>
        <v/>
      </c>
      <c r="G5" s="14">
        <f>IF(A5="","",INDEX(新年度名簿!$C$2:$C$451,A5))</f>
        <v/>
      </c>
      <c r="H5" s="14">
        <f>IF(A5="","",INDEX(新年度名簿!$D$2:$D$451,A5))</f>
        <v/>
      </c>
      <c r="J5" s="14">
        <f>IF($B$1=1,IFERROR(MATCH(1003,$E$3:$E$452,0),""),IFERROR(MATCH(1003,振り分け!$W$7:$W$456,0),""))</f>
        <v/>
      </c>
      <c r="K5" s="14">
        <f>IF($B$1=1,IFERROR(MATCH(2003,$E$3:$E$452,0),""),IFERROR(MATCH(2003,振り分け!$W$7:$W$456,0),""))</f>
        <v/>
      </c>
      <c r="L5" s="14">
        <f>IF($B$1=1,IFERROR(MATCH(3003,$E$3:$E$452,0),""),IFERROR(MATCH(3003,振り分け!$W$7:$W$456,0),""))</f>
        <v/>
      </c>
      <c r="M5" s="14">
        <f>IF($B$1=1,IFERROR(MATCH(4003,$E$3:$E$452,0),""),IFERROR(MATCH(4003,振り分け!$W$7:$W$456,0),""))</f>
        <v/>
      </c>
      <c r="N5" s="14">
        <f>IF($B$1=1,IFERROR(MATCH(5003,$E$3:$E$452,0),""),IFERROR(MATCH(5003,振り分け!$W$7:$W$456,0),""))</f>
        <v/>
      </c>
      <c r="O5" s="14">
        <f>IF($B$1=1,IFERROR(MATCH(6003,$E$3:$E$452,0),""),IFERROR(MATCH(6003,振り分け!$W$7:$W$456,0),""))</f>
        <v/>
      </c>
      <c r="P5" s="14">
        <f>IF($B$1=1,IFERROR(MATCH(7003,$E$3:$E$452,0),""),IFERROR(MATCH(7003,振り分け!$W$7:$W$456,0),""))</f>
        <v/>
      </c>
      <c r="Q5" s="14">
        <f>IF($B$1=1,IFERROR(MATCH(8003,$E$3:$E$452,0),""),IFERROR(MATCH(8003,振り分け!$W$7:$W$456,0),""))</f>
        <v/>
      </c>
      <c r="R5" s="14">
        <f>IF($B$1=1,IFERROR(MATCH(9003,$E$3:$E$452,0),""),IFERROR(MATCH(9003,振り分け!$W$7:$W$456,0),""))</f>
        <v/>
      </c>
      <c r="S5" s="14">
        <f>IF($B$1=1,IFERROR(MATCH(10003,$E$3:$E$452,0),""),IFERROR(MATCH(10003,振り分け!$W$7:$W$456,0),""))</f>
        <v/>
      </c>
      <c r="T5" s="14">
        <f>IF($B$1=1,IFERROR(MATCH(11003,$E$3:$E$452,0),""),IFERROR(MATCH(11003,振り分け!$W$7:$W$456,0),""))</f>
        <v/>
      </c>
      <c r="U5" s="14">
        <f>IF($B$1=1,IFERROR(MATCH(12003,$E$3:$E$452,0),""),IFERROR(MATCH(12003,振り分け!$W$7:$W$456,0),""))</f>
        <v/>
      </c>
      <c r="V5" s="14">
        <f>IF($B$1=1,IFERROR(MATCH(13003,$E$3:$E$452,0),""),IFERROR(MATCH(13003,振り分け!$W$7:$W$456,0),""))</f>
        <v/>
      </c>
      <c r="W5" s="14">
        <f>IF($B$1=1,IFERROR(MATCH(14003,$E$3:$E$452,0),""),IFERROR(MATCH(14003,振り分け!$W$7:$W$456,0),""))</f>
        <v/>
      </c>
      <c r="X5" s="14">
        <f>IF($B$1=1,IFERROR(MATCH(15003,$E$3:$E$452,0),""),IFERROR(MATCH(15003,振り分け!$W$7:$W$456,0),""))</f>
        <v/>
      </c>
      <c r="Y5" s="14">
        <f>IF($B$1=1,IFERROR(MATCH(16003,$E$3:$E$452,0),""),IFERROR(MATCH(16003,振り分け!$W$7:$W$456,0),""))</f>
        <v/>
      </c>
      <c r="Z5" s="14">
        <f>IF($B$1=1,IFERROR(MATCH(17003,$E$3:$E$452,0),""),IFERROR(MATCH(17003,振り分け!$W$7:$W$456,0),""))</f>
        <v/>
      </c>
      <c r="AA5" s="14">
        <f>IF($B$1=1,IFERROR(MATCH(18003,$E$3:$E$452,0),""),IFERROR(MATCH(18003,振り分け!$W$7:$W$456,0),""))</f>
        <v/>
      </c>
      <c r="AB5" s="14">
        <f>IF($B$1=1,IFERROR(MATCH(19003,$E$3:$E$452,0),""),IFERROR(MATCH(19003,振り分け!$W$7:$W$456,0),""))</f>
        <v/>
      </c>
      <c r="AC5" s="14">
        <f>IF($B$1=1,IFERROR(MATCH(20003,$E$3:$E$452,0),""),IFERROR(MATCH(20003,振り分け!$W$7:$W$456,0),""))</f>
        <v/>
      </c>
    </row>
    <row r="6">
      <c r="A6" s="14">
        <f>IFERROR(MATCH(SMALL(新年度名簿!$J$2:$J$451,4),新年度名簿!$J$2:$J$451,0),"")</f>
        <v/>
      </c>
      <c r="B6" s="14">
        <f>IF(A6="","",INDEX(新年度名簿!$G$2:$G$451,A6))</f>
        <v/>
      </c>
      <c r="C6" s="14">
        <f>IF(A6="","",IFERROR(MATCH(B6,設定!$P$8:$P$27,0),""))</f>
        <v/>
      </c>
      <c r="D6" s="14">
        <f>IF(C6="","",COUNTIF($C$3:C6,C6))</f>
        <v/>
      </c>
      <c r="E6" s="14">
        <f>IF(C6="","",C6*1000+D6)</f>
        <v/>
      </c>
      <c r="F6" s="14">
        <f>IF(A6="","",INDEX(新年度名簿!$K$2:$K$451,A6))</f>
        <v/>
      </c>
      <c r="G6" s="14">
        <f>IF(A6="","",INDEX(新年度名簿!$C$2:$C$451,A6))</f>
        <v/>
      </c>
      <c r="H6" s="14">
        <f>IF(A6="","",INDEX(新年度名簿!$D$2:$D$451,A6))</f>
        <v/>
      </c>
      <c r="J6" s="14">
        <f>IF($B$1=1,IFERROR(MATCH(1004,$E$3:$E$452,0),""),IFERROR(MATCH(1004,振り分け!$W$7:$W$456,0),""))</f>
        <v/>
      </c>
      <c r="K6" s="14">
        <f>IF($B$1=1,IFERROR(MATCH(2004,$E$3:$E$452,0),""),IFERROR(MATCH(2004,振り分け!$W$7:$W$456,0),""))</f>
        <v/>
      </c>
      <c r="L6" s="14">
        <f>IF($B$1=1,IFERROR(MATCH(3004,$E$3:$E$452,0),""),IFERROR(MATCH(3004,振り分け!$W$7:$W$456,0),""))</f>
        <v/>
      </c>
      <c r="M6" s="14">
        <f>IF($B$1=1,IFERROR(MATCH(4004,$E$3:$E$452,0),""),IFERROR(MATCH(4004,振り分け!$W$7:$W$456,0),""))</f>
        <v/>
      </c>
      <c r="N6" s="14">
        <f>IF($B$1=1,IFERROR(MATCH(5004,$E$3:$E$452,0),""),IFERROR(MATCH(5004,振り分け!$W$7:$W$456,0),""))</f>
        <v/>
      </c>
      <c r="O6" s="14">
        <f>IF($B$1=1,IFERROR(MATCH(6004,$E$3:$E$452,0),""),IFERROR(MATCH(6004,振り分け!$W$7:$W$456,0),""))</f>
        <v/>
      </c>
      <c r="P6" s="14">
        <f>IF($B$1=1,IFERROR(MATCH(7004,$E$3:$E$452,0),""),IFERROR(MATCH(7004,振り分け!$W$7:$W$456,0),""))</f>
        <v/>
      </c>
      <c r="Q6" s="14">
        <f>IF($B$1=1,IFERROR(MATCH(8004,$E$3:$E$452,0),""),IFERROR(MATCH(8004,振り分け!$W$7:$W$456,0),""))</f>
        <v/>
      </c>
      <c r="R6" s="14">
        <f>IF($B$1=1,IFERROR(MATCH(9004,$E$3:$E$452,0),""),IFERROR(MATCH(9004,振り分け!$W$7:$W$456,0),""))</f>
        <v/>
      </c>
      <c r="S6" s="14">
        <f>IF($B$1=1,IFERROR(MATCH(10004,$E$3:$E$452,0),""),IFERROR(MATCH(10004,振り分け!$W$7:$W$456,0),""))</f>
        <v/>
      </c>
      <c r="T6" s="14">
        <f>IF($B$1=1,IFERROR(MATCH(11004,$E$3:$E$452,0),""),IFERROR(MATCH(11004,振り分け!$W$7:$W$456,0),""))</f>
        <v/>
      </c>
      <c r="U6" s="14">
        <f>IF($B$1=1,IFERROR(MATCH(12004,$E$3:$E$452,0),""),IFERROR(MATCH(12004,振り分け!$W$7:$W$456,0),""))</f>
        <v/>
      </c>
      <c r="V6" s="14">
        <f>IF($B$1=1,IFERROR(MATCH(13004,$E$3:$E$452,0),""),IFERROR(MATCH(13004,振り分け!$W$7:$W$456,0),""))</f>
        <v/>
      </c>
      <c r="W6" s="14">
        <f>IF($B$1=1,IFERROR(MATCH(14004,$E$3:$E$452,0),""),IFERROR(MATCH(14004,振り分け!$W$7:$W$456,0),""))</f>
        <v/>
      </c>
      <c r="X6" s="14">
        <f>IF($B$1=1,IFERROR(MATCH(15004,$E$3:$E$452,0),""),IFERROR(MATCH(15004,振り分け!$W$7:$W$456,0),""))</f>
        <v/>
      </c>
      <c r="Y6" s="14">
        <f>IF($B$1=1,IFERROR(MATCH(16004,$E$3:$E$452,0),""),IFERROR(MATCH(16004,振り分け!$W$7:$W$456,0),""))</f>
        <v/>
      </c>
      <c r="Z6" s="14">
        <f>IF($B$1=1,IFERROR(MATCH(17004,$E$3:$E$452,0),""),IFERROR(MATCH(17004,振り分け!$W$7:$W$456,0),""))</f>
        <v/>
      </c>
      <c r="AA6" s="14">
        <f>IF($B$1=1,IFERROR(MATCH(18004,$E$3:$E$452,0),""),IFERROR(MATCH(18004,振り分け!$W$7:$W$456,0),""))</f>
        <v/>
      </c>
      <c r="AB6" s="14">
        <f>IF($B$1=1,IFERROR(MATCH(19004,$E$3:$E$452,0),""),IFERROR(MATCH(19004,振り分け!$W$7:$W$456,0),""))</f>
        <v/>
      </c>
      <c r="AC6" s="14">
        <f>IF($B$1=1,IFERROR(MATCH(20004,$E$3:$E$452,0),""),IFERROR(MATCH(20004,振り分け!$W$7:$W$456,0),""))</f>
        <v/>
      </c>
    </row>
    <row r="7">
      <c r="A7" s="14">
        <f>IFERROR(MATCH(SMALL(新年度名簿!$J$2:$J$451,5),新年度名簿!$J$2:$J$451,0),"")</f>
        <v/>
      </c>
      <c r="B7" s="14">
        <f>IF(A7="","",INDEX(新年度名簿!$G$2:$G$451,A7))</f>
        <v/>
      </c>
      <c r="C7" s="14">
        <f>IF(A7="","",IFERROR(MATCH(B7,設定!$P$8:$P$27,0),""))</f>
        <v/>
      </c>
      <c r="D7" s="14">
        <f>IF(C7="","",COUNTIF($C$3:C7,C7))</f>
        <v/>
      </c>
      <c r="E7" s="14">
        <f>IF(C7="","",C7*1000+D7)</f>
        <v/>
      </c>
      <c r="F7" s="14">
        <f>IF(A7="","",INDEX(新年度名簿!$K$2:$K$451,A7))</f>
        <v/>
      </c>
      <c r="G7" s="14">
        <f>IF(A7="","",INDEX(新年度名簿!$C$2:$C$451,A7))</f>
        <v/>
      </c>
      <c r="H7" s="14">
        <f>IF(A7="","",INDEX(新年度名簿!$D$2:$D$451,A7))</f>
        <v/>
      </c>
      <c r="J7" s="14">
        <f>IF($B$1=1,IFERROR(MATCH(1005,$E$3:$E$452,0),""),IFERROR(MATCH(1005,振り分け!$W$7:$W$456,0),""))</f>
        <v/>
      </c>
      <c r="K7" s="14">
        <f>IF($B$1=1,IFERROR(MATCH(2005,$E$3:$E$452,0),""),IFERROR(MATCH(2005,振り分け!$W$7:$W$456,0),""))</f>
        <v/>
      </c>
      <c r="L7" s="14">
        <f>IF($B$1=1,IFERROR(MATCH(3005,$E$3:$E$452,0),""),IFERROR(MATCH(3005,振り分け!$W$7:$W$456,0),""))</f>
        <v/>
      </c>
      <c r="M7" s="14">
        <f>IF($B$1=1,IFERROR(MATCH(4005,$E$3:$E$452,0),""),IFERROR(MATCH(4005,振り分け!$W$7:$W$456,0),""))</f>
        <v/>
      </c>
      <c r="N7" s="14">
        <f>IF($B$1=1,IFERROR(MATCH(5005,$E$3:$E$452,0),""),IFERROR(MATCH(5005,振り分け!$W$7:$W$456,0),""))</f>
        <v/>
      </c>
      <c r="O7" s="14">
        <f>IF($B$1=1,IFERROR(MATCH(6005,$E$3:$E$452,0),""),IFERROR(MATCH(6005,振り分け!$W$7:$W$456,0),""))</f>
        <v/>
      </c>
      <c r="P7" s="14">
        <f>IF($B$1=1,IFERROR(MATCH(7005,$E$3:$E$452,0),""),IFERROR(MATCH(7005,振り分け!$W$7:$W$456,0),""))</f>
        <v/>
      </c>
      <c r="Q7" s="14">
        <f>IF($B$1=1,IFERROR(MATCH(8005,$E$3:$E$452,0),""),IFERROR(MATCH(8005,振り分け!$W$7:$W$456,0),""))</f>
        <v/>
      </c>
      <c r="R7" s="14">
        <f>IF($B$1=1,IFERROR(MATCH(9005,$E$3:$E$452,0),""),IFERROR(MATCH(9005,振り分け!$W$7:$W$456,0),""))</f>
        <v/>
      </c>
      <c r="S7" s="14">
        <f>IF($B$1=1,IFERROR(MATCH(10005,$E$3:$E$452,0),""),IFERROR(MATCH(10005,振り分け!$W$7:$W$456,0),""))</f>
        <v/>
      </c>
      <c r="T7" s="14">
        <f>IF($B$1=1,IFERROR(MATCH(11005,$E$3:$E$452,0),""),IFERROR(MATCH(11005,振り分け!$W$7:$W$456,0),""))</f>
        <v/>
      </c>
      <c r="U7" s="14">
        <f>IF($B$1=1,IFERROR(MATCH(12005,$E$3:$E$452,0),""),IFERROR(MATCH(12005,振り分け!$W$7:$W$456,0),""))</f>
        <v/>
      </c>
      <c r="V7" s="14">
        <f>IF($B$1=1,IFERROR(MATCH(13005,$E$3:$E$452,0),""),IFERROR(MATCH(13005,振り分け!$W$7:$W$456,0),""))</f>
        <v/>
      </c>
      <c r="W7" s="14">
        <f>IF($B$1=1,IFERROR(MATCH(14005,$E$3:$E$452,0),""),IFERROR(MATCH(14005,振り分け!$W$7:$W$456,0),""))</f>
        <v/>
      </c>
      <c r="X7" s="14">
        <f>IF($B$1=1,IFERROR(MATCH(15005,$E$3:$E$452,0),""),IFERROR(MATCH(15005,振り分け!$W$7:$W$456,0),""))</f>
        <v/>
      </c>
      <c r="Y7" s="14">
        <f>IF($B$1=1,IFERROR(MATCH(16005,$E$3:$E$452,0),""),IFERROR(MATCH(16005,振り分け!$W$7:$W$456,0),""))</f>
        <v/>
      </c>
      <c r="Z7" s="14">
        <f>IF($B$1=1,IFERROR(MATCH(17005,$E$3:$E$452,0),""),IFERROR(MATCH(17005,振り分け!$W$7:$W$456,0),""))</f>
        <v/>
      </c>
      <c r="AA7" s="14">
        <f>IF($B$1=1,IFERROR(MATCH(18005,$E$3:$E$452,0),""),IFERROR(MATCH(18005,振り分け!$W$7:$W$456,0),""))</f>
        <v/>
      </c>
      <c r="AB7" s="14">
        <f>IF($B$1=1,IFERROR(MATCH(19005,$E$3:$E$452,0),""),IFERROR(MATCH(19005,振り分け!$W$7:$W$456,0),""))</f>
        <v/>
      </c>
      <c r="AC7" s="14">
        <f>IF($B$1=1,IFERROR(MATCH(20005,$E$3:$E$452,0),""),IFERROR(MATCH(20005,振り分け!$W$7:$W$456,0),""))</f>
        <v/>
      </c>
    </row>
    <row r="8">
      <c r="A8" s="14">
        <f>IFERROR(MATCH(SMALL(新年度名簿!$J$2:$J$451,6),新年度名簿!$J$2:$J$451,0),"")</f>
        <v/>
      </c>
      <c r="B8" s="14">
        <f>IF(A8="","",INDEX(新年度名簿!$G$2:$G$451,A8))</f>
        <v/>
      </c>
      <c r="C8" s="14">
        <f>IF(A8="","",IFERROR(MATCH(B8,設定!$P$8:$P$27,0),""))</f>
        <v/>
      </c>
      <c r="D8" s="14">
        <f>IF(C8="","",COUNTIF($C$3:C8,C8))</f>
        <v/>
      </c>
      <c r="E8" s="14">
        <f>IF(C8="","",C8*1000+D8)</f>
        <v/>
      </c>
      <c r="F8" s="14">
        <f>IF(A8="","",INDEX(新年度名簿!$K$2:$K$451,A8))</f>
        <v/>
      </c>
      <c r="G8" s="14">
        <f>IF(A8="","",INDEX(新年度名簿!$C$2:$C$451,A8))</f>
        <v/>
      </c>
      <c r="H8" s="14">
        <f>IF(A8="","",INDEX(新年度名簿!$D$2:$D$451,A8))</f>
        <v/>
      </c>
      <c r="J8" s="14">
        <f>IF($B$1=1,IFERROR(MATCH(1006,$E$3:$E$452,0),""),IFERROR(MATCH(1006,振り分け!$W$7:$W$456,0),""))</f>
        <v/>
      </c>
      <c r="K8" s="14">
        <f>IF($B$1=1,IFERROR(MATCH(2006,$E$3:$E$452,0),""),IFERROR(MATCH(2006,振り分け!$W$7:$W$456,0),""))</f>
        <v/>
      </c>
      <c r="L8" s="14">
        <f>IF($B$1=1,IFERROR(MATCH(3006,$E$3:$E$452,0),""),IFERROR(MATCH(3006,振り分け!$W$7:$W$456,0),""))</f>
        <v/>
      </c>
      <c r="M8" s="14">
        <f>IF($B$1=1,IFERROR(MATCH(4006,$E$3:$E$452,0),""),IFERROR(MATCH(4006,振り分け!$W$7:$W$456,0),""))</f>
        <v/>
      </c>
      <c r="N8" s="14">
        <f>IF($B$1=1,IFERROR(MATCH(5006,$E$3:$E$452,0),""),IFERROR(MATCH(5006,振り分け!$W$7:$W$456,0),""))</f>
        <v/>
      </c>
      <c r="O8" s="14">
        <f>IF($B$1=1,IFERROR(MATCH(6006,$E$3:$E$452,0),""),IFERROR(MATCH(6006,振り分け!$W$7:$W$456,0),""))</f>
        <v/>
      </c>
      <c r="P8" s="14">
        <f>IF($B$1=1,IFERROR(MATCH(7006,$E$3:$E$452,0),""),IFERROR(MATCH(7006,振り分け!$W$7:$W$456,0),""))</f>
        <v/>
      </c>
      <c r="Q8" s="14">
        <f>IF($B$1=1,IFERROR(MATCH(8006,$E$3:$E$452,0),""),IFERROR(MATCH(8006,振り分け!$W$7:$W$456,0),""))</f>
        <v/>
      </c>
      <c r="R8" s="14">
        <f>IF($B$1=1,IFERROR(MATCH(9006,$E$3:$E$452,0),""),IFERROR(MATCH(9006,振り分け!$W$7:$W$456,0),""))</f>
        <v/>
      </c>
      <c r="S8" s="14">
        <f>IF($B$1=1,IFERROR(MATCH(10006,$E$3:$E$452,0),""),IFERROR(MATCH(10006,振り分け!$W$7:$W$456,0),""))</f>
        <v/>
      </c>
      <c r="T8" s="14">
        <f>IF($B$1=1,IFERROR(MATCH(11006,$E$3:$E$452,0),""),IFERROR(MATCH(11006,振り分け!$W$7:$W$456,0),""))</f>
        <v/>
      </c>
      <c r="U8" s="14">
        <f>IF($B$1=1,IFERROR(MATCH(12006,$E$3:$E$452,0),""),IFERROR(MATCH(12006,振り分け!$W$7:$W$456,0),""))</f>
        <v/>
      </c>
      <c r="V8" s="14">
        <f>IF($B$1=1,IFERROR(MATCH(13006,$E$3:$E$452,0),""),IFERROR(MATCH(13006,振り分け!$W$7:$W$456,0),""))</f>
        <v/>
      </c>
      <c r="W8" s="14">
        <f>IF($B$1=1,IFERROR(MATCH(14006,$E$3:$E$452,0),""),IFERROR(MATCH(14006,振り分け!$W$7:$W$456,0),""))</f>
        <v/>
      </c>
      <c r="X8" s="14">
        <f>IF($B$1=1,IFERROR(MATCH(15006,$E$3:$E$452,0),""),IFERROR(MATCH(15006,振り分け!$W$7:$W$456,0),""))</f>
        <v/>
      </c>
      <c r="Y8" s="14">
        <f>IF($B$1=1,IFERROR(MATCH(16006,$E$3:$E$452,0),""),IFERROR(MATCH(16006,振り分け!$W$7:$W$456,0),""))</f>
        <v/>
      </c>
      <c r="Z8" s="14">
        <f>IF($B$1=1,IFERROR(MATCH(17006,$E$3:$E$452,0),""),IFERROR(MATCH(17006,振り分け!$W$7:$W$456,0),""))</f>
        <v/>
      </c>
      <c r="AA8" s="14">
        <f>IF($B$1=1,IFERROR(MATCH(18006,$E$3:$E$452,0),""),IFERROR(MATCH(18006,振り分け!$W$7:$W$456,0),""))</f>
        <v/>
      </c>
      <c r="AB8" s="14">
        <f>IF($B$1=1,IFERROR(MATCH(19006,$E$3:$E$452,0),""),IFERROR(MATCH(19006,振り分け!$W$7:$W$456,0),""))</f>
        <v/>
      </c>
      <c r="AC8" s="14">
        <f>IF($B$1=1,IFERROR(MATCH(20006,$E$3:$E$452,0),""),IFERROR(MATCH(20006,振り分け!$W$7:$W$456,0),""))</f>
        <v/>
      </c>
    </row>
    <row r="9">
      <c r="A9" s="14">
        <f>IFERROR(MATCH(SMALL(新年度名簿!$J$2:$J$451,7),新年度名簿!$J$2:$J$451,0),"")</f>
        <v/>
      </c>
      <c r="B9" s="14">
        <f>IF(A9="","",INDEX(新年度名簿!$G$2:$G$451,A9))</f>
        <v/>
      </c>
      <c r="C9" s="14">
        <f>IF(A9="","",IFERROR(MATCH(B9,設定!$P$8:$P$27,0),""))</f>
        <v/>
      </c>
      <c r="D9" s="14">
        <f>IF(C9="","",COUNTIF($C$3:C9,C9))</f>
        <v/>
      </c>
      <c r="E9" s="14">
        <f>IF(C9="","",C9*1000+D9)</f>
        <v/>
      </c>
      <c r="F9" s="14">
        <f>IF(A9="","",INDEX(新年度名簿!$K$2:$K$451,A9))</f>
        <v/>
      </c>
      <c r="G9" s="14">
        <f>IF(A9="","",INDEX(新年度名簿!$C$2:$C$451,A9))</f>
        <v/>
      </c>
      <c r="H9" s="14">
        <f>IF(A9="","",INDEX(新年度名簿!$D$2:$D$451,A9))</f>
        <v/>
      </c>
      <c r="J9" s="14">
        <f>IF($B$1=1,IFERROR(MATCH(1007,$E$3:$E$452,0),""),IFERROR(MATCH(1007,振り分け!$W$7:$W$456,0),""))</f>
        <v/>
      </c>
      <c r="K9" s="14">
        <f>IF($B$1=1,IFERROR(MATCH(2007,$E$3:$E$452,0),""),IFERROR(MATCH(2007,振り分け!$W$7:$W$456,0),""))</f>
        <v/>
      </c>
      <c r="L9" s="14">
        <f>IF($B$1=1,IFERROR(MATCH(3007,$E$3:$E$452,0),""),IFERROR(MATCH(3007,振り分け!$W$7:$W$456,0),""))</f>
        <v/>
      </c>
      <c r="M9" s="14">
        <f>IF($B$1=1,IFERROR(MATCH(4007,$E$3:$E$452,0),""),IFERROR(MATCH(4007,振り分け!$W$7:$W$456,0),""))</f>
        <v/>
      </c>
      <c r="N9" s="14">
        <f>IF($B$1=1,IFERROR(MATCH(5007,$E$3:$E$452,0),""),IFERROR(MATCH(5007,振り分け!$W$7:$W$456,0),""))</f>
        <v/>
      </c>
      <c r="O9" s="14">
        <f>IF($B$1=1,IFERROR(MATCH(6007,$E$3:$E$452,0),""),IFERROR(MATCH(6007,振り分け!$W$7:$W$456,0),""))</f>
        <v/>
      </c>
      <c r="P9" s="14">
        <f>IF($B$1=1,IFERROR(MATCH(7007,$E$3:$E$452,0),""),IFERROR(MATCH(7007,振り分け!$W$7:$W$456,0),""))</f>
        <v/>
      </c>
      <c r="Q9" s="14">
        <f>IF($B$1=1,IFERROR(MATCH(8007,$E$3:$E$452,0),""),IFERROR(MATCH(8007,振り分け!$W$7:$W$456,0),""))</f>
        <v/>
      </c>
      <c r="R9" s="14">
        <f>IF($B$1=1,IFERROR(MATCH(9007,$E$3:$E$452,0),""),IFERROR(MATCH(9007,振り分け!$W$7:$W$456,0),""))</f>
        <v/>
      </c>
      <c r="S9" s="14">
        <f>IF($B$1=1,IFERROR(MATCH(10007,$E$3:$E$452,0),""),IFERROR(MATCH(10007,振り分け!$W$7:$W$456,0),""))</f>
        <v/>
      </c>
      <c r="T9" s="14">
        <f>IF($B$1=1,IFERROR(MATCH(11007,$E$3:$E$452,0),""),IFERROR(MATCH(11007,振り分け!$W$7:$W$456,0),""))</f>
        <v/>
      </c>
      <c r="U9" s="14">
        <f>IF($B$1=1,IFERROR(MATCH(12007,$E$3:$E$452,0),""),IFERROR(MATCH(12007,振り分け!$W$7:$W$456,0),""))</f>
        <v/>
      </c>
      <c r="V9" s="14">
        <f>IF($B$1=1,IFERROR(MATCH(13007,$E$3:$E$452,0),""),IFERROR(MATCH(13007,振り分け!$W$7:$W$456,0),""))</f>
        <v/>
      </c>
      <c r="W9" s="14">
        <f>IF($B$1=1,IFERROR(MATCH(14007,$E$3:$E$452,0),""),IFERROR(MATCH(14007,振り分け!$W$7:$W$456,0),""))</f>
        <v/>
      </c>
      <c r="X9" s="14">
        <f>IF($B$1=1,IFERROR(MATCH(15007,$E$3:$E$452,0),""),IFERROR(MATCH(15007,振り分け!$W$7:$W$456,0),""))</f>
        <v/>
      </c>
      <c r="Y9" s="14">
        <f>IF($B$1=1,IFERROR(MATCH(16007,$E$3:$E$452,0),""),IFERROR(MATCH(16007,振り分け!$W$7:$W$456,0),""))</f>
        <v/>
      </c>
      <c r="Z9" s="14">
        <f>IF($B$1=1,IFERROR(MATCH(17007,$E$3:$E$452,0),""),IFERROR(MATCH(17007,振り分け!$W$7:$W$456,0),""))</f>
        <v/>
      </c>
      <c r="AA9" s="14">
        <f>IF($B$1=1,IFERROR(MATCH(18007,$E$3:$E$452,0),""),IFERROR(MATCH(18007,振り分け!$W$7:$W$456,0),""))</f>
        <v/>
      </c>
      <c r="AB9" s="14">
        <f>IF($B$1=1,IFERROR(MATCH(19007,$E$3:$E$452,0),""),IFERROR(MATCH(19007,振り分け!$W$7:$W$456,0),""))</f>
        <v/>
      </c>
      <c r="AC9" s="14">
        <f>IF($B$1=1,IFERROR(MATCH(20007,$E$3:$E$452,0),""),IFERROR(MATCH(20007,振り分け!$W$7:$W$456,0),""))</f>
        <v/>
      </c>
    </row>
    <row r="10">
      <c r="A10" s="14">
        <f>IFERROR(MATCH(SMALL(新年度名簿!$J$2:$J$451,8),新年度名簿!$J$2:$J$451,0),"")</f>
        <v/>
      </c>
      <c r="B10" s="14">
        <f>IF(A10="","",INDEX(新年度名簿!$G$2:$G$451,A10))</f>
        <v/>
      </c>
      <c r="C10" s="14">
        <f>IF(A10="","",IFERROR(MATCH(B10,設定!$P$8:$P$27,0),""))</f>
        <v/>
      </c>
      <c r="D10" s="14">
        <f>IF(C10="","",COUNTIF($C$3:C10,C10))</f>
        <v/>
      </c>
      <c r="E10" s="14">
        <f>IF(C10="","",C10*1000+D10)</f>
        <v/>
      </c>
      <c r="F10" s="14">
        <f>IF(A10="","",INDEX(新年度名簿!$K$2:$K$451,A10))</f>
        <v/>
      </c>
      <c r="G10" s="14">
        <f>IF(A10="","",INDEX(新年度名簿!$C$2:$C$451,A10))</f>
        <v/>
      </c>
      <c r="H10" s="14">
        <f>IF(A10="","",INDEX(新年度名簿!$D$2:$D$451,A10))</f>
        <v/>
      </c>
      <c r="J10" s="14">
        <f>IF($B$1=1,IFERROR(MATCH(1008,$E$3:$E$452,0),""),IFERROR(MATCH(1008,振り分け!$W$7:$W$456,0),""))</f>
        <v/>
      </c>
      <c r="K10" s="14">
        <f>IF($B$1=1,IFERROR(MATCH(2008,$E$3:$E$452,0),""),IFERROR(MATCH(2008,振り分け!$W$7:$W$456,0),""))</f>
        <v/>
      </c>
      <c r="L10" s="14">
        <f>IF($B$1=1,IFERROR(MATCH(3008,$E$3:$E$452,0),""),IFERROR(MATCH(3008,振り分け!$W$7:$W$456,0),""))</f>
        <v/>
      </c>
      <c r="M10" s="14">
        <f>IF($B$1=1,IFERROR(MATCH(4008,$E$3:$E$452,0),""),IFERROR(MATCH(4008,振り分け!$W$7:$W$456,0),""))</f>
        <v/>
      </c>
      <c r="N10" s="14">
        <f>IF($B$1=1,IFERROR(MATCH(5008,$E$3:$E$452,0),""),IFERROR(MATCH(5008,振り分け!$W$7:$W$456,0),""))</f>
        <v/>
      </c>
      <c r="O10" s="14">
        <f>IF($B$1=1,IFERROR(MATCH(6008,$E$3:$E$452,0),""),IFERROR(MATCH(6008,振り分け!$W$7:$W$456,0),""))</f>
        <v/>
      </c>
      <c r="P10" s="14">
        <f>IF($B$1=1,IFERROR(MATCH(7008,$E$3:$E$452,0),""),IFERROR(MATCH(7008,振り分け!$W$7:$W$456,0),""))</f>
        <v/>
      </c>
      <c r="Q10" s="14">
        <f>IF($B$1=1,IFERROR(MATCH(8008,$E$3:$E$452,0),""),IFERROR(MATCH(8008,振り分け!$W$7:$W$456,0),""))</f>
        <v/>
      </c>
      <c r="R10" s="14">
        <f>IF($B$1=1,IFERROR(MATCH(9008,$E$3:$E$452,0),""),IFERROR(MATCH(9008,振り分け!$W$7:$W$456,0),""))</f>
        <v/>
      </c>
      <c r="S10" s="14">
        <f>IF($B$1=1,IFERROR(MATCH(10008,$E$3:$E$452,0),""),IFERROR(MATCH(10008,振り分け!$W$7:$W$456,0),""))</f>
        <v/>
      </c>
      <c r="T10" s="14">
        <f>IF($B$1=1,IFERROR(MATCH(11008,$E$3:$E$452,0),""),IFERROR(MATCH(11008,振り分け!$W$7:$W$456,0),""))</f>
        <v/>
      </c>
      <c r="U10" s="14">
        <f>IF($B$1=1,IFERROR(MATCH(12008,$E$3:$E$452,0),""),IFERROR(MATCH(12008,振り分け!$W$7:$W$456,0),""))</f>
        <v/>
      </c>
      <c r="V10" s="14">
        <f>IF($B$1=1,IFERROR(MATCH(13008,$E$3:$E$452,0),""),IFERROR(MATCH(13008,振り分け!$W$7:$W$456,0),""))</f>
        <v/>
      </c>
      <c r="W10" s="14">
        <f>IF($B$1=1,IFERROR(MATCH(14008,$E$3:$E$452,0),""),IFERROR(MATCH(14008,振り分け!$W$7:$W$456,0),""))</f>
        <v/>
      </c>
      <c r="X10" s="14">
        <f>IF($B$1=1,IFERROR(MATCH(15008,$E$3:$E$452,0),""),IFERROR(MATCH(15008,振り分け!$W$7:$W$456,0),""))</f>
        <v/>
      </c>
      <c r="Y10" s="14">
        <f>IF($B$1=1,IFERROR(MATCH(16008,$E$3:$E$452,0),""),IFERROR(MATCH(16008,振り分け!$W$7:$W$456,0),""))</f>
        <v/>
      </c>
      <c r="Z10" s="14">
        <f>IF($B$1=1,IFERROR(MATCH(17008,$E$3:$E$452,0),""),IFERROR(MATCH(17008,振り分け!$W$7:$W$456,0),""))</f>
        <v/>
      </c>
      <c r="AA10" s="14">
        <f>IF($B$1=1,IFERROR(MATCH(18008,$E$3:$E$452,0),""),IFERROR(MATCH(18008,振り分け!$W$7:$W$456,0),""))</f>
        <v/>
      </c>
      <c r="AB10" s="14">
        <f>IF($B$1=1,IFERROR(MATCH(19008,$E$3:$E$452,0),""),IFERROR(MATCH(19008,振り分け!$W$7:$W$456,0),""))</f>
        <v/>
      </c>
      <c r="AC10" s="14">
        <f>IF($B$1=1,IFERROR(MATCH(20008,$E$3:$E$452,0),""),IFERROR(MATCH(20008,振り分け!$W$7:$W$456,0),""))</f>
        <v/>
      </c>
    </row>
    <row r="11">
      <c r="A11" s="14">
        <f>IFERROR(MATCH(SMALL(新年度名簿!$J$2:$J$451,9),新年度名簿!$J$2:$J$451,0),"")</f>
        <v/>
      </c>
      <c r="B11" s="14">
        <f>IF(A11="","",INDEX(新年度名簿!$G$2:$G$451,A11))</f>
        <v/>
      </c>
      <c r="C11" s="14">
        <f>IF(A11="","",IFERROR(MATCH(B11,設定!$P$8:$P$27,0),""))</f>
        <v/>
      </c>
      <c r="D11" s="14">
        <f>IF(C11="","",COUNTIF($C$3:C11,C11))</f>
        <v/>
      </c>
      <c r="E11" s="14">
        <f>IF(C11="","",C11*1000+D11)</f>
        <v/>
      </c>
      <c r="F11" s="14">
        <f>IF(A11="","",INDEX(新年度名簿!$K$2:$K$451,A11))</f>
        <v/>
      </c>
      <c r="G11" s="14">
        <f>IF(A11="","",INDEX(新年度名簿!$C$2:$C$451,A11))</f>
        <v/>
      </c>
      <c r="H11" s="14">
        <f>IF(A11="","",INDEX(新年度名簿!$D$2:$D$451,A11))</f>
        <v/>
      </c>
      <c r="J11" s="14">
        <f>IF($B$1=1,IFERROR(MATCH(1009,$E$3:$E$452,0),""),IFERROR(MATCH(1009,振り分け!$W$7:$W$456,0),""))</f>
        <v/>
      </c>
      <c r="K11" s="14">
        <f>IF($B$1=1,IFERROR(MATCH(2009,$E$3:$E$452,0),""),IFERROR(MATCH(2009,振り分け!$W$7:$W$456,0),""))</f>
        <v/>
      </c>
      <c r="L11" s="14">
        <f>IF($B$1=1,IFERROR(MATCH(3009,$E$3:$E$452,0),""),IFERROR(MATCH(3009,振り分け!$W$7:$W$456,0),""))</f>
        <v/>
      </c>
      <c r="M11" s="14">
        <f>IF($B$1=1,IFERROR(MATCH(4009,$E$3:$E$452,0),""),IFERROR(MATCH(4009,振り分け!$W$7:$W$456,0),""))</f>
        <v/>
      </c>
      <c r="N11" s="14">
        <f>IF($B$1=1,IFERROR(MATCH(5009,$E$3:$E$452,0),""),IFERROR(MATCH(5009,振り分け!$W$7:$W$456,0),""))</f>
        <v/>
      </c>
      <c r="O11" s="14">
        <f>IF($B$1=1,IFERROR(MATCH(6009,$E$3:$E$452,0),""),IFERROR(MATCH(6009,振り分け!$W$7:$W$456,0),""))</f>
        <v/>
      </c>
      <c r="P11" s="14">
        <f>IF($B$1=1,IFERROR(MATCH(7009,$E$3:$E$452,0),""),IFERROR(MATCH(7009,振り分け!$W$7:$W$456,0),""))</f>
        <v/>
      </c>
      <c r="Q11" s="14">
        <f>IF($B$1=1,IFERROR(MATCH(8009,$E$3:$E$452,0),""),IFERROR(MATCH(8009,振り分け!$W$7:$W$456,0),""))</f>
        <v/>
      </c>
      <c r="R11" s="14">
        <f>IF($B$1=1,IFERROR(MATCH(9009,$E$3:$E$452,0),""),IFERROR(MATCH(9009,振り分け!$W$7:$W$456,0),""))</f>
        <v/>
      </c>
      <c r="S11" s="14">
        <f>IF($B$1=1,IFERROR(MATCH(10009,$E$3:$E$452,0),""),IFERROR(MATCH(10009,振り分け!$W$7:$W$456,0),""))</f>
        <v/>
      </c>
      <c r="T11" s="14">
        <f>IF($B$1=1,IFERROR(MATCH(11009,$E$3:$E$452,0),""),IFERROR(MATCH(11009,振り分け!$W$7:$W$456,0),""))</f>
        <v/>
      </c>
      <c r="U11" s="14">
        <f>IF($B$1=1,IFERROR(MATCH(12009,$E$3:$E$452,0),""),IFERROR(MATCH(12009,振り分け!$W$7:$W$456,0),""))</f>
        <v/>
      </c>
      <c r="V11" s="14">
        <f>IF($B$1=1,IFERROR(MATCH(13009,$E$3:$E$452,0),""),IFERROR(MATCH(13009,振り分け!$W$7:$W$456,0),""))</f>
        <v/>
      </c>
      <c r="W11" s="14">
        <f>IF($B$1=1,IFERROR(MATCH(14009,$E$3:$E$452,0),""),IFERROR(MATCH(14009,振り分け!$W$7:$W$456,0),""))</f>
        <v/>
      </c>
      <c r="X11" s="14">
        <f>IF($B$1=1,IFERROR(MATCH(15009,$E$3:$E$452,0),""),IFERROR(MATCH(15009,振り分け!$W$7:$W$456,0),""))</f>
        <v/>
      </c>
      <c r="Y11" s="14">
        <f>IF($B$1=1,IFERROR(MATCH(16009,$E$3:$E$452,0),""),IFERROR(MATCH(16009,振り分け!$W$7:$W$456,0),""))</f>
        <v/>
      </c>
      <c r="Z11" s="14">
        <f>IF($B$1=1,IFERROR(MATCH(17009,$E$3:$E$452,0),""),IFERROR(MATCH(17009,振り分け!$W$7:$W$456,0),""))</f>
        <v/>
      </c>
      <c r="AA11" s="14">
        <f>IF($B$1=1,IFERROR(MATCH(18009,$E$3:$E$452,0),""),IFERROR(MATCH(18009,振り分け!$W$7:$W$456,0),""))</f>
        <v/>
      </c>
      <c r="AB11" s="14">
        <f>IF($B$1=1,IFERROR(MATCH(19009,$E$3:$E$452,0),""),IFERROR(MATCH(19009,振り分け!$W$7:$W$456,0),""))</f>
        <v/>
      </c>
      <c r="AC11" s="14">
        <f>IF($B$1=1,IFERROR(MATCH(20009,$E$3:$E$452,0),""),IFERROR(MATCH(20009,振り分け!$W$7:$W$456,0),""))</f>
        <v/>
      </c>
    </row>
    <row r="12">
      <c r="A12" s="14">
        <f>IFERROR(MATCH(SMALL(新年度名簿!$J$2:$J$451,10),新年度名簿!$J$2:$J$451,0),"")</f>
        <v/>
      </c>
      <c r="B12" s="14">
        <f>IF(A12="","",INDEX(新年度名簿!$G$2:$G$451,A12))</f>
        <v/>
      </c>
      <c r="C12" s="14">
        <f>IF(A12="","",IFERROR(MATCH(B12,設定!$P$8:$P$27,0),""))</f>
        <v/>
      </c>
      <c r="D12" s="14">
        <f>IF(C12="","",COUNTIF($C$3:C12,C12))</f>
        <v/>
      </c>
      <c r="E12" s="14">
        <f>IF(C12="","",C12*1000+D12)</f>
        <v/>
      </c>
      <c r="F12" s="14">
        <f>IF(A12="","",INDEX(新年度名簿!$K$2:$K$451,A12))</f>
        <v/>
      </c>
      <c r="G12" s="14">
        <f>IF(A12="","",INDEX(新年度名簿!$C$2:$C$451,A12))</f>
        <v/>
      </c>
      <c r="H12" s="14">
        <f>IF(A12="","",INDEX(新年度名簿!$D$2:$D$451,A12))</f>
        <v/>
      </c>
      <c r="J12" s="14">
        <f>IF($B$1=1,IFERROR(MATCH(1010,$E$3:$E$452,0),""),IFERROR(MATCH(1010,振り分け!$W$7:$W$456,0),""))</f>
        <v/>
      </c>
      <c r="K12" s="14">
        <f>IF($B$1=1,IFERROR(MATCH(2010,$E$3:$E$452,0),""),IFERROR(MATCH(2010,振り分け!$W$7:$W$456,0),""))</f>
        <v/>
      </c>
      <c r="L12" s="14">
        <f>IF($B$1=1,IFERROR(MATCH(3010,$E$3:$E$452,0),""),IFERROR(MATCH(3010,振り分け!$W$7:$W$456,0),""))</f>
        <v/>
      </c>
      <c r="M12" s="14">
        <f>IF($B$1=1,IFERROR(MATCH(4010,$E$3:$E$452,0),""),IFERROR(MATCH(4010,振り分け!$W$7:$W$456,0),""))</f>
        <v/>
      </c>
      <c r="N12" s="14">
        <f>IF($B$1=1,IFERROR(MATCH(5010,$E$3:$E$452,0),""),IFERROR(MATCH(5010,振り分け!$W$7:$W$456,0),""))</f>
        <v/>
      </c>
      <c r="O12" s="14">
        <f>IF($B$1=1,IFERROR(MATCH(6010,$E$3:$E$452,0),""),IFERROR(MATCH(6010,振り分け!$W$7:$W$456,0),""))</f>
        <v/>
      </c>
      <c r="P12" s="14">
        <f>IF($B$1=1,IFERROR(MATCH(7010,$E$3:$E$452,0),""),IFERROR(MATCH(7010,振り分け!$W$7:$W$456,0),""))</f>
        <v/>
      </c>
      <c r="Q12" s="14">
        <f>IF($B$1=1,IFERROR(MATCH(8010,$E$3:$E$452,0),""),IFERROR(MATCH(8010,振り分け!$W$7:$W$456,0),""))</f>
        <v/>
      </c>
      <c r="R12" s="14">
        <f>IF($B$1=1,IFERROR(MATCH(9010,$E$3:$E$452,0),""),IFERROR(MATCH(9010,振り分け!$W$7:$W$456,0),""))</f>
        <v/>
      </c>
      <c r="S12" s="14">
        <f>IF($B$1=1,IFERROR(MATCH(10010,$E$3:$E$452,0),""),IFERROR(MATCH(10010,振り分け!$W$7:$W$456,0),""))</f>
        <v/>
      </c>
      <c r="T12" s="14">
        <f>IF($B$1=1,IFERROR(MATCH(11010,$E$3:$E$452,0),""),IFERROR(MATCH(11010,振り分け!$W$7:$W$456,0),""))</f>
        <v/>
      </c>
      <c r="U12" s="14">
        <f>IF($B$1=1,IFERROR(MATCH(12010,$E$3:$E$452,0),""),IFERROR(MATCH(12010,振り分け!$W$7:$W$456,0),""))</f>
        <v/>
      </c>
      <c r="V12" s="14">
        <f>IF($B$1=1,IFERROR(MATCH(13010,$E$3:$E$452,0),""),IFERROR(MATCH(13010,振り分け!$W$7:$W$456,0),""))</f>
        <v/>
      </c>
      <c r="W12" s="14">
        <f>IF($B$1=1,IFERROR(MATCH(14010,$E$3:$E$452,0),""),IFERROR(MATCH(14010,振り分け!$W$7:$W$456,0),""))</f>
        <v/>
      </c>
      <c r="X12" s="14">
        <f>IF($B$1=1,IFERROR(MATCH(15010,$E$3:$E$452,0),""),IFERROR(MATCH(15010,振り分け!$W$7:$W$456,0),""))</f>
        <v/>
      </c>
      <c r="Y12" s="14">
        <f>IF($B$1=1,IFERROR(MATCH(16010,$E$3:$E$452,0),""),IFERROR(MATCH(16010,振り分け!$W$7:$W$456,0),""))</f>
        <v/>
      </c>
      <c r="Z12" s="14">
        <f>IF($B$1=1,IFERROR(MATCH(17010,$E$3:$E$452,0),""),IFERROR(MATCH(17010,振り分け!$W$7:$W$456,0),""))</f>
        <v/>
      </c>
      <c r="AA12" s="14">
        <f>IF($B$1=1,IFERROR(MATCH(18010,$E$3:$E$452,0),""),IFERROR(MATCH(18010,振り分け!$W$7:$W$456,0),""))</f>
        <v/>
      </c>
      <c r="AB12" s="14">
        <f>IF($B$1=1,IFERROR(MATCH(19010,$E$3:$E$452,0),""),IFERROR(MATCH(19010,振り分け!$W$7:$W$456,0),""))</f>
        <v/>
      </c>
      <c r="AC12" s="14">
        <f>IF($B$1=1,IFERROR(MATCH(20010,$E$3:$E$452,0),""),IFERROR(MATCH(20010,振り分け!$W$7:$W$456,0),""))</f>
        <v/>
      </c>
    </row>
    <row r="13">
      <c r="A13" s="14">
        <f>IFERROR(MATCH(SMALL(新年度名簿!$J$2:$J$451,11),新年度名簿!$J$2:$J$451,0),"")</f>
        <v/>
      </c>
      <c r="B13" s="14">
        <f>IF(A13="","",INDEX(新年度名簿!$G$2:$G$451,A13))</f>
        <v/>
      </c>
      <c r="C13" s="14">
        <f>IF(A13="","",IFERROR(MATCH(B13,設定!$P$8:$P$27,0),""))</f>
        <v/>
      </c>
      <c r="D13" s="14">
        <f>IF(C13="","",COUNTIF($C$3:C13,C13))</f>
        <v/>
      </c>
      <c r="E13" s="14">
        <f>IF(C13="","",C13*1000+D13)</f>
        <v/>
      </c>
      <c r="F13" s="14">
        <f>IF(A13="","",INDEX(新年度名簿!$K$2:$K$451,A13))</f>
        <v/>
      </c>
      <c r="G13" s="14">
        <f>IF(A13="","",INDEX(新年度名簿!$C$2:$C$451,A13))</f>
        <v/>
      </c>
      <c r="H13" s="14">
        <f>IF(A13="","",INDEX(新年度名簿!$D$2:$D$451,A13))</f>
        <v/>
      </c>
      <c r="J13" s="14">
        <f>IF($B$1=1,IFERROR(MATCH(1011,$E$3:$E$452,0),""),IFERROR(MATCH(1011,振り分け!$W$7:$W$456,0),""))</f>
        <v/>
      </c>
      <c r="K13" s="14">
        <f>IF($B$1=1,IFERROR(MATCH(2011,$E$3:$E$452,0),""),IFERROR(MATCH(2011,振り分け!$W$7:$W$456,0),""))</f>
        <v/>
      </c>
      <c r="L13" s="14">
        <f>IF($B$1=1,IFERROR(MATCH(3011,$E$3:$E$452,0),""),IFERROR(MATCH(3011,振り分け!$W$7:$W$456,0),""))</f>
        <v/>
      </c>
      <c r="M13" s="14">
        <f>IF($B$1=1,IFERROR(MATCH(4011,$E$3:$E$452,0),""),IFERROR(MATCH(4011,振り分け!$W$7:$W$456,0),""))</f>
        <v/>
      </c>
      <c r="N13" s="14">
        <f>IF($B$1=1,IFERROR(MATCH(5011,$E$3:$E$452,0),""),IFERROR(MATCH(5011,振り分け!$W$7:$W$456,0),""))</f>
        <v/>
      </c>
      <c r="O13" s="14">
        <f>IF($B$1=1,IFERROR(MATCH(6011,$E$3:$E$452,0),""),IFERROR(MATCH(6011,振り分け!$W$7:$W$456,0),""))</f>
        <v/>
      </c>
      <c r="P13" s="14">
        <f>IF($B$1=1,IFERROR(MATCH(7011,$E$3:$E$452,0),""),IFERROR(MATCH(7011,振り分け!$W$7:$W$456,0),""))</f>
        <v/>
      </c>
      <c r="Q13" s="14">
        <f>IF($B$1=1,IFERROR(MATCH(8011,$E$3:$E$452,0),""),IFERROR(MATCH(8011,振り分け!$W$7:$W$456,0),""))</f>
        <v/>
      </c>
      <c r="R13" s="14">
        <f>IF($B$1=1,IFERROR(MATCH(9011,$E$3:$E$452,0),""),IFERROR(MATCH(9011,振り分け!$W$7:$W$456,0),""))</f>
        <v/>
      </c>
      <c r="S13" s="14">
        <f>IF($B$1=1,IFERROR(MATCH(10011,$E$3:$E$452,0),""),IFERROR(MATCH(10011,振り分け!$W$7:$W$456,0),""))</f>
        <v/>
      </c>
      <c r="T13" s="14">
        <f>IF($B$1=1,IFERROR(MATCH(11011,$E$3:$E$452,0),""),IFERROR(MATCH(11011,振り分け!$W$7:$W$456,0),""))</f>
        <v/>
      </c>
      <c r="U13" s="14">
        <f>IF($B$1=1,IFERROR(MATCH(12011,$E$3:$E$452,0),""),IFERROR(MATCH(12011,振り分け!$W$7:$W$456,0),""))</f>
        <v/>
      </c>
      <c r="V13" s="14">
        <f>IF($B$1=1,IFERROR(MATCH(13011,$E$3:$E$452,0),""),IFERROR(MATCH(13011,振り分け!$W$7:$W$456,0),""))</f>
        <v/>
      </c>
      <c r="W13" s="14">
        <f>IF($B$1=1,IFERROR(MATCH(14011,$E$3:$E$452,0),""),IFERROR(MATCH(14011,振り分け!$W$7:$W$456,0),""))</f>
        <v/>
      </c>
      <c r="X13" s="14">
        <f>IF($B$1=1,IFERROR(MATCH(15011,$E$3:$E$452,0),""),IFERROR(MATCH(15011,振り分け!$W$7:$W$456,0),""))</f>
        <v/>
      </c>
      <c r="Y13" s="14">
        <f>IF($B$1=1,IFERROR(MATCH(16011,$E$3:$E$452,0),""),IFERROR(MATCH(16011,振り分け!$W$7:$W$456,0),""))</f>
        <v/>
      </c>
      <c r="Z13" s="14">
        <f>IF($B$1=1,IFERROR(MATCH(17011,$E$3:$E$452,0),""),IFERROR(MATCH(17011,振り分け!$W$7:$W$456,0),""))</f>
        <v/>
      </c>
      <c r="AA13" s="14">
        <f>IF($B$1=1,IFERROR(MATCH(18011,$E$3:$E$452,0),""),IFERROR(MATCH(18011,振り分け!$W$7:$W$456,0),""))</f>
        <v/>
      </c>
      <c r="AB13" s="14">
        <f>IF($B$1=1,IFERROR(MATCH(19011,$E$3:$E$452,0),""),IFERROR(MATCH(19011,振り分け!$W$7:$W$456,0),""))</f>
        <v/>
      </c>
      <c r="AC13" s="14">
        <f>IF($B$1=1,IFERROR(MATCH(20011,$E$3:$E$452,0),""),IFERROR(MATCH(20011,振り分け!$W$7:$W$456,0),""))</f>
        <v/>
      </c>
    </row>
    <row r="14">
      <c r="A14" s="14">
        <f>IFERROR(MATCH(SMALL(新年度名簿!$J$2:$J$451,12),新年度名簿!$J$2:$J$451,0),"")</f>
        <v/>
      </c>
      <c r="B14" s="14">
        <f>IF(A14="","",INDEX(新年度名簿!$G$2:$G$451,A14))</f>
        <v/>
      </c>
      <c r="C14" s="14">
        <f>IF(A14="","",IFERROR(MATCH(B14,設定!$P$8:$P$27,0),""))</f>
        <v/>
      </c>
      <c r="D14" s="14">
        <f>IF(C14="","",COUNTIF($C$3:C14,C14))</f>
        <v/>
      </c>
      <c r="E14" s="14">
        <f>IF(C14="","",C14*1000+D14)</f>
        <v/>
      </c>
      <c r="F14" s="14">
        <f>IF(A14="","",INDEX(新年度名簿!$K$2:$K$451,A14))</f>
        <v/>
      </c>
      <c r="G14" s="14">
        <f>IF(A14="","",INDEX(新年度名簿!$C$2:$C$451,A14))</f>
        <v/>
      </c>
      <c r="H14" s="14">
        <f>IF(A14="","",INDEX(新年度名簿!$D$2:$D$451,A14))</f>
        <v/>
      </c>
      <c r="J14" s="14">
        <f>IF($B$1=1,IFERROR(MATCH(1012,$E$3:$E$452,0),""),IFERROR(MATCH(1012,振り分け!$W$7:$W$456,0),""))</f>
        <v/>
      </c>
      <c r="K14" s="14">
        <f>IF($B$1=1,IFERROR(MATCH(2012,$E$3:$E$452,0),""),IFERROR(MATCH(2012,振り分け!$W$7:$W$456,0),""))</f>
        <v/>
      </c>
      <c r="L14" s="14">
        <f>IF($B$1=1,IFERROR(MATCH(3012,$E$3:$E$452,0),""),IFERROR(MATCH(3012,振り分け!$W$7:$W$456,0),""))</f>
        <v/>
      </c>
      <c r="M14" s="14">
        <f>IF($B$1=1,IFERROR(MATCH(4012,$E$3:$E$452,0),""),IFERROR(MATCH(4012,振り分け!$W$7:$W$456,0),""))</f>
        <v/>
      </c>
      <c r="N14" s="14">
        <f>IF($B$1=1,IFERROR(MATCH(5012,$E$3:$E$452,0),""),IFERROR(MATCH(5012,振り分け!$W$7:$W$456,0),""))</f>
        <v/>
      </c>
      <c r="O14" s="14">
        <f>IF($B$1=1,IFERROR(MATCH(6012,$E$3:$E$452,0),""),IFERROR(MATCH(6012,振り分け!$W$7:$W$456,0),""))</f>
        <v/>
      </c>
      <c r="P14" s="14">
        <f>IF($B$1=1,IFERROR(MATCH(7012,$E$3:$E$452,0),""),IFERROR(MATCH(7012,振り分け!$W$7:$W$456,0),""))</f>
        <v/>
      </c>
      <c r="Q14" s="14">
        <f>IF($B$1=1,IFERROR(MATCH(8012,$E$3:$E$452,0),""),IFERROR(MATCH(8012,振り分け!$W$7:$W$456,0),""))</f>
        <v/>
      </c>
      <c r="R14" s="14">
        <f>IF($B$1=1,IFERROR(MATCH(9012,$E$3:$E$452,0),""),IFERROR(MATCH(9012,振り分け!$W$7:$W$456,0),""))</f>
        <v/>
      </c>
      <c r="S14" s="14">
        <f>IF($B$1=1,IFERROR(MATCH(10012,$E$3:$E$452,0),""),IFERROR(MATCH(10012,振り分け!$W$7:$W$456,0),""))</f>
        <v/>
      </c>
      <c r="T14" s="14">
        <f>IF($B$1=1,IFERROR(MATCH(11012,$E$3:$E$452,0),""),IFERROR(MATCH(11012,振り分け!$W$7:$W$456,0),""))</f>
        <v/>
      </c>
      <c r="U14" s="14">
        <f>IF($B$1=1,IFERROR(MATCH(12012,$E$3:$E$452,0),""),IFERROR(MATCH(12012,振り分け!$W$7:$W$456,0),""))</f>
        <v/>
      </c>
      <c r="V14" s="14">
        <f>IF($B$1=1,IFERROR(MATCH(13012,$E$3:$E$452,0),""),IFERROR(MATCH(13012,振り分け!$W$7:$W$456,0),""))</f>
        <v/>
      </c>
      <c r="W14" s="14">
        <f>IF($B$1=1,IFERROR(MATCH(14012,$E$3:$E$452,0),""),IFERROR(MATCH(14012,振り分け!$W$7:$W$456,0),""))</f>
        <v/>
      </c>
      <c r="X14" s="14">
        <f>IF($B$1=1,IFERROR(MATCH(15012,$E$3:$E$452,0),""),IFERROR(MATCH(15012,振り分け!$W$7:$W$456,0),""))</f>
        <v/>
      </c>
      <c r="Y14" s="14">
        <f>IF($B$1=1,IFERROR(MATCH(16012,$E$3:$E$452,0),""),IFERROR(MATCH(16012,振り分け!$W$7:$W$456,0),""))</f>
        <v/>
      </c>
      <c r="Z14" s="14">
        <f>IF($B$1=1,IFERROR(MATCH(17012,$E$3:$E$452,0),""),IFERROR(MATCH(17012,振り分け!$W$7:$W$456,0),""))</f>
        <v/>
      </c>
      <c r="AA14" s="14">
        <f>IF($B$1=1,IFERROR(MATCH(18012,$E$3:$E$452,0),""),IFERROR(MATCH(18012,振り分け!$W$7:$W$456,0),""))</f>
        <v/>
      </c>
      <c r="AB14" s="14">
        <f>IF($B$1=1,IFERROR(MATCH(19012,$E$3:$E$452,0),""),IFERROR(MATCH(19012,振り分け!$W$7:$W$456,0),""))</f>
        <v/>
      </c>
      <c r="AC14" s="14">
        <f>IF($B$1=1,IFERROR(MATCH(20012,$E$3:$E$452,0),""),IFERROR(MATCH(20012,振り分け!$W$7:$W$456,0),""))</f>
        <v/>
      </c>
    </row>
    <row r="15">
      <c r="A15" s="14">
        <f>IFERROR(MATCH(SMALL(新年度名簿!$J$2:$J$451,13),新年度名簿!$J$2:$J$451,0),"")</f>
        <v/>
      </c>
      <c r="B15" s="14">
        <f>IF(A15="","",INDEX(新年度名簿!$G$2:$G$451,A15))</f>
        <v/>
      </c>
      <c r="C15" s="14">
        <f>IF(A15="","",IFERROR(MATCH(B15,設定!$P$8:$P$27,0),""))</f>
        <v/>
      </c>
      <c r="D15" s="14">
        <f>IF(C15="","",COUNTIF($C$3:C15,C15))</f>
        <v/>
      </c>
      <c r="E15" s="14">
        <f>IF(C15="","",C15*1000+D15)</f>
        <v/>
      </c>
      <c r="F15" s="14">
        <f>IF(A15="","",INDEX(新年度名簿!$K$2:$K$451,A15))</f>
        <v/>
      </c>
      <c r="G15" s="14">
        <f>IF(A15="","",INDEX(新年度名簿!$C$2:$C$451,A15))</f>
        <v/>
      </c>
      <c r="H15" s="14">
        <f>IF(A15="","",INDEX(新年度名簿!$D$2:$D$451,A15))</f>
        <v/>
      </c>
      <c r="J15" s="14">
        <f>IF($B$1=1,IFERROR(MATCH(1013,$E$3:$E$452,0),""),IFERROR(MATCH(1013,振り分け!$W$7:$W$456,0),""))</f>
        <v/>
      </c>
      <c r="K15" s="14">
        <f>IF($B$1=1,IFERROR(MATCH(2013,$E$3:$E$452,0),""),IFERROR(MATCH(2013,振り分け!$W$7:$W$456,0),""))</f>
        <v/>
      </c>
      <c r="L15" s="14">
        <f>IF($B$1=1,IFERROR(MATCH(3013,$E$3:$E$452,0),""),IFERROR(MATCH(3013,振り分け!$W$7:$W$456,0),""))</f>
        <v/>
      </c>
      <c r="M15" s="14">
        <f>IF($B$1=1,IFERROR(MATCH(4013,$E$3:$E$452,0),""),IFERROR(MATCH(4013,振り分け!$W$7:$W$456,0),""))</f>
        <v/>
      </c>
      <c r="N15" s="14">
        <f>IF($B$1=1,IFERROR(MATCH(5013,$E$3:$E$452,0),""),IFERROR(MATCH(5013,振り分け!$W$7:$W$456,0),""))</f>
        <v/>
      </c>
      <c r="O15" s="14">
        <f>IF($B$1=1,IFERROR(MATCH(6013,$E$3:$E$452,0),""),IFERROR(MATCH(6013,振り分け!$W$7:$W$456,0),""))</f>
        <v/>
      </c>
      <c r="P15" s="14">
        <f>IF($B$1=1,IFERROR(MATCH(7013,$E$3:$E$452,0),""),IFERROR(MATCH(7013,振り分け!$W$7:$W$456,0),""))</f>
        <v/>
      </c>
      <c r="Q15" s="14">
        <f>IF($B$1=1,IFERROR(MATCH(8013,$E$3:$E$452,0),""),IFERROR(MATCH(8013,振り分け!$W$7:$W$456,0),""))</f>
        <v/>
      </c>
      <c r="R15" s="14">
        <f>IF($B$1=1,IFERROR(MATCH(9013,$E$3:$E$452,0),""),IFERROR(MATCH(9013,振り分け!$W$7:$W$456,0),""))</f>
        <v/>
      </c>
      <c r="S15" s="14">
        <f>IF($B$1=1,IFERROR(MATCH(10013,$E$3:$E$452,0),""),IFERROR(MATCH(10013,振り分け!$W$7:$W$456,0),""))</f>
        <v/>
      </c>
      <c r="T15" s="14">
        <f>IF($B$1=1,IFERROR(MATCH(11013,$E$3:$E$452,0),""),IFERROR(MATCH(11013,振り分け!$W$7:$W$456,0),""))</f>
        <v/>
      </c>
      <c r="U15" s="14">
        <f>IF($B$1=1,IFERROR(MATCH(12013,$E$3:$E$452,0),""),IFERROR(MATCH(12013,振り分け!$W$7:$W$456,0),""))</f>
        <v/>
      </c>
      <c r="V15" s="14">
        <f>IF($B$1=1,IFERROR(MATCH(13013,$E$3:$E$452,0),""),IFERROR(MATCH(13013,振り分け!$W$7:$W$456,0),""))</f>
        <v/>
      </c>
      <c r="W15" s="14">
        <f>IF($B$1=1,IFERROR(MATCH(14013,$E$3:$E$452,0),""),IFERROR(MATCH(14013,振り分け!$W$7:$W$456,0),""))</f>
        <v/>
      </c>
      <c r="X15" s="14">
        <f>IF($B$1=1,IFERROR(MATCH(15013,$E$3:$E$452,0),""),IFERROR(MATCH(15013,振り分け!$W$7:$W$456,0),""))</f>
        <v/>
      </c>
      <c r="Y15" s="14">
        <f>IF($B$1=1,IFERROR(MATCH(16013,$E$3:$E$452,0),""),IFERROR(MATCH(16013,振り分け!$W$7:$W$456,0),""))</f>
        <v/>
      </c>
      <c r="Z15" s="14">
        <f>IF($B$1=1,IFERROR(MATCH(17013,$E$3:$E$452,0),""),IFERROR(MATCH(17013,振り分け!$W$7:$W$456,0),""))</f>
        <v/>
      </c>
      <c r="AA15" s="14">
        <f>IF($B$1=1,IFERROR(MATCH(18013,$E$3:$E$452,0),""),IFERROR(MATCH(18013,振り分け!$W$7:$W$456,0),""))</f>
        <v/>
      </c>
      <c r="AB15" s="14">
        <f>IF($B$1=1,IFERROR(MATCH(19013,$E$3:$E$452,0),""),IFERROR(MATCH(19013,振り分け!$W$7:$W$456,0),""))</f>
        <v/>
      </c>
      <c r="AC15" s="14">
        <f>IF($B$1=1,IFERROR(MATCH(20013,$E$3:$E$452,0),""),IFERROR(MATCH(20013,振り分け!$W$7:$W$456,0),""))</f>
        <v/>
      </c>
    </row>
    <row r="16">
      <c r="A16" s="14">
        <f>IFERROR(MATCH(SMALL(新年度名簿!$J$2:$J$451,14),新年度名簿!$J$2:$J$451,0),"")</f>
        <v/>
      </c>
      <c r="B16" s="14">
        <f>IF(A16="","",INDEX(新年度名簿!$G$2:$G$451,A16))</f>
        <v/>
      </c>
      <c r="C16" s="14">
        <f>IF(A16="","",IFERROR(MATCH(B16,設定!$P$8:$P$27,0),""))</f>
        <v/>
      </c>
      <c r="D16" s="14">
        <f>IF(C16="","",COUNTIF($C$3:C16,C16))</f>
        <v/>
      </c>
      <c r="E16" s="14">
        <f>IF(C16="","",C16*1000+D16)</f>
        <v/>
      </c>
      <c r="F16" s="14">
        <f>IF(A16="","",INDEX(新年度名簿!$K$2:$K$451,A16))</f>
        <v/>
      </c>
      <c r="G16" s="14">
        <f>IF(A16="","",INDEX(新年度名簿!$C$2:$C$451,A16))</f>
        <v/>
      </c>
      <c r="H16" s="14">
        <f>IF(A16="","",INDEX(新年度名簿!$D$2:$D$451,A16))</f>
        <v/>
      </c>
      <c r="J16" s="14">
        <f>IF($B$1=1,IFERROR(MATCH(1014,$E$3:$E$452,0),""),IFERROR(MATCH(1014,振り分け!$W$7:$W$456,0),""))</f>
        <v/>
      </c>
      <c r="K16" s="14">
        <f>IF($B$1=1,IFERROR(MATCH(2014,$E$3:$E$452,0),""),IFERROR(MATCH(2014,振り分け!$W$7:$W$456,0),""))</f>
        <v/>
      </c>
      <c r="L16" s="14">
        <f>IF($B$1=1,IFERROR(MATCH(3014,$E$3:$E$452,0),""),IFERROR(MATCH(3014,振り分け!$W$7:$W$456,0),""))</f>
        <v/>
      </c>
      <c r="M16" s="14">
        <f>IF($B$1=1,IFERROR(MATCH(4014,$E$3:$E$452,0),""),IFERROR(MATCH(4014,振り分け!$W$7:$W$456,0),""))</f>
        <v/>
      </c>
      <c r="N16" s="14">
        <f>IF($B$1=1,IFERROR(MATCH(5014,$E$3:$E$452,0),""),IFERROR(MATCH(5014,振り分け!$W$7:$W$456,0),""))</f>
        <v/>
      </c>
      <c r="O16" s="14">
        <f>IF($B$1=1,IFERROR(MATCH(6014,$E$3:$E$452,0),""),IFERROR(MATCH(6014,振り分け!$W$7:$W$456,0),""))</f>
        <v/>
      </c>
      <c r="P16" s="14">
        <f>IF($B$1=1,IFERROR(MATCH(7014,$E$3:$E$452,0),""),IFERROR(MATCH(7014,振り分け!$W$7:$W$456,0),""))</f>
        <v/>
      </c>
      <c r="Q16" s="14">
        <f>IF($B$1=1,IFERROR(MATCH(8014,$E$3:$E$452,0),""),IFERROR(MATCH(8014,振り分け!$W$7:$W$456,0),""))</f>
        <v/>
      </c>
      <c r="R16" s="14">
        <f>IF($B$1=1,IFERROR(MATCH(9014,$E$3:$E$452,0),""),IFERROR(MATCH(9014,振り分け!$W$7:$W$456,0),""))</f>
        <v/>
      </c>
      <c r="S16" s="14">
        <f>IF($B$1=1,IFERROR(MATCH(10014,$E$3:$E$452,0),""),IFERROR(MATCH(10014,振り分け!$W$7:$W$456,0),""))</f>
        <v/>
      </c>
      <c r="T16" s="14">
        <f>IF($B$1=1,IFERROR(MATCH(11014,$E$3:$E$452,0),""),IFERROR(MATCH(11014,振り分け!$W$7:$W$456,0),""))</f>
        <v/>
      </c>
      <c r="U16" s="14">
        <f>IF($B$1=1,IFERROR(MATCH(12014,$E$3:$E$452,0),""),IFERROR(MATCH(12014,振り分け!$W$7:$W$456,0),""))</f>
        <v/>
      </c>
      <c r="V16" s="14">
        <f>IF($B$1=1,IFERROR(MATCH(13014,$E$3:$E$452,0),""),IFERROR(MATCH(13014,振り分け!$W$7:$W$456,0),""))</f>
        <v/>
      </c>
      <c r="W16" s="14">
        <f>IF($B$1=1,IFERROR(MATCH(14014,$E$3:$E$452,0),""),IFERROR(MATCH(14014,振り分け!$W$7:$W$456,0),""))</f>
        <v/>
      </c>
      <c r="X16" s="14">
        <f>IF($B$1=1,IFERROR(MATCH(15014,$E$3:$E$452,0),""),IFERROR(MATCH(15014,振り分け!$W$7:$W$456,0),""))</f>
        <v/>
      </c>
      <c r="Y16" s="14">
        <f>IF($B$1=1,IFERROR(MATCH(16014,$E$3:$E$452,0),""),IFERROR(MATCH(16014,振り分け!$W$7:$W$456,0),""))</f>
        <v/>
      </c>
      <c r="Z16" s="14">
        <f>IF($B$1=1,IFERROR(MATCH(17014,$E$3:$E$452,0),""),IFERROR(MATCH(17014,振り分け!$W$7:$W$456,0),""))</f>
        <v/>
      </c>
      <c r="AA16" s="14">
        <f>IF($B$1=1,IFERROR(MATCH(18014,$E$3:$E$452,0),""),IFERROR(MATCH(18014,振り分け!$W$7:$W$456,0),""))</f>
        <v/>
      </c>
      <c r="AB16" s="14">
        <f>IF($B$1=1,IFERROR(MATCH(19014,$E$3:$E$452,0),""),IFERROR(MATCH(19014,振り分け!$W$7:$W$456,0),""))</f>
        <v/>
      </c>
      <c r="AC16" s="14">
        <f>IF($B$1=1,IFERROR(MATCH(20014,$E$3:$E$452,0),""),IFERROR(MATCH(20014,振り分け!$W$7:$W$456,0),""))</f>
        <v/>
      </c>
    </row>
    <row r="17">
      <c r="A17" s="14">
        <f>IFERROR(MATCH(SMALL(新年度名簿!$J$2:$J$451,15),新年度名簿!$J$2:$J$451,0),"")</f>
        <v/>
      </c>
      <c r="B17" s="14">
        <f>IF(A17="","",INDEX(新年度名簿!$G$2:$G$451,A17))</f>
        <v/>
      </c>
      <c r="C17" s="14">
        <f>IF(A17="","",IFERROR(MATCH(B17,設定!$P$8:$P$27,0),""))</f>
        <v/>
      </c>
      <c r="D17" s="14">
        <f>IF(C17="","",COUNTIF($C$3:C17,C17))</f>
        <v/>
      </c>
      <c r="E17" s="14">
        <f>IF(C17="","",C17*1000+D17)</f>
        <v/>
      </c>
      <c r="F17" s="14">
        <f>IF(A17="","",INDEX(新年度名簿!$K$2:$K$451,A17))</f>
        <v/>
      </c>
      <c r="G17" s="14">
        <f>IF(A17="","",INDEX(新年度名簿!$C$2:$C$451,A17))</f>
        <v/>
      </c>
      <c r="H17" s="14">
        <f>IF(A17="","",INDEX(新年度名簿!$D$2:$D$451,A17))</f>
        <v/>
      </c>
      <c r="J17" s="14">
        <f>IF($B$1=1,IFERROR(MATCH(1015,$E$3:$E$452,0),""),IFERROR(MATCH(1015,振り分け!$W$7:$W$456,0),""))</f>
        <v/>
      </c>
      <c r="K17" s="14">
        <f>IF($B$1=1,IFERROR(MATCH(2015,$E$3:$E$452,0),""),IFERROR(MATCH(2015,振り分け!$W$7:$W$456,0),""))</f>
        <v/>
      </c>
      <c r="L17" s="14">
        <f>IF($B$1=1,IFERROR(MATCH(3015,$E$3:$E$452,0),""),IFERROR(MATCH(3015,振り分け!$W$7:$W$456,0),""))</f>
        <v/>
      </c>
      <c r="M17" s="14">
        <f>IF($B$1=1,IFERROR(MATCH(4015,$E$3:$E$452,0),""),IFERROR(MATCH(4015,振り分け!$W$7:$W$456,0),""))</f>
        <v/>
      </c>
      <c r="N17" s="14">
        <f>IF($B$1=1,IFERROR(MATCH(5015,$E$3:$E$452,0),""),IFERROR(MATCH(5015,振り分け!$W$7:$W$456,0),""))</f>
        <v/>
      </c>
      <c r="O17" s="14">
        <f>IF($B$1=1,IFERROR(MATCH(6015,$E$3:$E$452,0),""),IFERROR(MATCH(6015,振り分け!$W$7:$W$456,0),""))</f>
        <v/>
      </c>
      <c r="P17" s="14">
        <f>IF($B$1=1,IFERROR(MATCH(7015,$E$3:$E$452,0),""),IFERROR(MATCH(7015,振り分け!$W$7:$W$456,0),""))</f>
        <v/>
      </c>
      <c r="Q17" s="14">
        <f>IF($B$1=1,IFERROR(MATCH(8015,$E$3:$E$452,0),""),IFERROR(MATCH(8015,振り分け!$W$7:$W$456,0),""))</f>
        <v/>
      </c>
      <c r="R17" s="14">
        <f>IF($B$1=1,IFERROR(MATCH(9015,$E$3:$E$452,0),""),IFERROR(MATCH(9015,振り分け!$W$7:$W$456,0),""))</f>
        <v/>
      </c>
      <c r="S17" s="14">
        <f>IF($B$1=1,IFERROR(MATCH(10015,$E$3:$E$452,0),""),IFERROR(MATCH(10015,振り分け!$W$7:$W$456,0),""))</f>
        <v/>
      </c>
      <c r="T17" s="14">
        <f>IF($B$1=1,IFERROR(MATCH(11015,$E$3:$E$452,0),""),IFERROR(MATCH(11015,振り分け!$W$7:$W$456,0),""))</f>
        <v/>
      </c>
      <c r="U17" s="14">
        <f>IF($B$1=1,IFERROR(MATCH(12015,$E$3:$E$452,0),""),IFERROR(MATCH(12015,振り分け!$W$7:$W$456,0),""))</f>
        <v/>
      </c>
      <c r="V17" s="14">
        <f>IF($B$1=1,IFERROR(MATCH(13015,$E$3:$E$452,0),""),IFERROR(MATCH(13015,振り分け!$W$7:$W$456,0),""))</f>
        <v/>
      </c>
      <c r="W17" s="14">
        <f>IF($B$1=1,IFERROR(MATCH(14015,$E$3:$E$452,0),""),IFERROR(MATCH(14015,振り分け!$W$7:$W$456,0),""))</f>
        <v/>
      </c>
      <c r="X17" s="14">
        <f>IF($B$1=1,IFERROR(MATCH(15015,$E$3:$E$452,0),""),IFERROR(MATCH(15015,振り分け!$W$7:$W$456,0),""))</f>
        <v/>
      </c>
      <c r="Y17" s="14">
        <f>IF($B$1=1,IFERROR(MATCH(16015,$E$3:$E$452,0),""),IFERROR(MATCH(16015,振り分け!$W$7:$W$456,0),""))</f>
        <v/>
      </c>
      <c r="Z17" s="14">
        <f>IF($B$1=1,IFERROR(MATCH(17015,$E$3:$E$452,0),""),IFERROR(MATCH(17015,振り分け!$W$7:$W$456,0),""))</f>
        <v/>
      </c>
      <c r="AA17" s="14">
        <f>IF($B$1=1,IFERROR(MATCH(18015,$E$3:$E$452,0),""),IFERROR(MATCH(18015,振り分け!$W$7:$W$456,0),""))</f>
        <v/>
      </c>
      <c r="AB17" s="14">
        <f>IF($B$1=1,IFERROR(MATCH(19015,$E$3:$E$452,0),""),IFERROR(MATCH(19015,振り分け!$W$7:$W$456,0),""))</f>
        <v/>
      </c>
      <c r="AC17" s="14">
        <f>IF($B$1=1,IFERROR(MATCH(20015,$E$3:$E$452,0),""),IFERROR(MATCH(20015,振り分け!$W$7:$W$456,0),""))</f>
        <v/>
      </c>
    </row>
    <row r="18">
      <c r="A18" s="14">
        <f>IFERROR(MATCH(SMALL(新年度名簿!$J$2:$J$451,16),新年度名簿!$J$2:$J$451,0),"")</f>
        <v/>
      </c>
      <c r="B18" s="14">
        <f>IF(A18="","",INDEX(新年度名簿!$G$2:$G$451,A18))</f>
        <v/>
      </c>
      <c r="C18" s="14">
        <f>IF(A18="","",IFERROR(MATCH(B18,設定!$P$8:$P$27,0),""))</f>
        <v/>
      </c>
      <c r="D18" s="14">
        <f>IF(C18="","",COUNTIF($C$3:C18,C18))</f>
        <v/>
      </c>
      <c r="E18" s="14">
        <f>IF(C18="","",C18*1000+D18)</f>
        <v/>
      </c>
      <c r="F18" s="14">
        <f>IF(A18="","",INDEX(新年度名簿!$K$2:$K$451,A18))</f>
        <v/>
      </c>
      <c r="G18" s="14">
        <f>IF(A18="","",INDEX(新年度名簿!$C$2:$C$451,A18))</f>
        <v/>
      </c>
      <c r="H18" s="14">
        <f>IF(A18="","",INDEX(新年度名簿!$D$2:$D$451,A18))</f>
        <v/>
      </c>
      <c r="J18" s="14">
        <f>IF($B$1=1,IFERROR(MATCH(1016,$E$3:$E$452,0),""),IFERROR(MATCH(1016,振り分け!$W$7:$W$456,0),""))</f>
        <v/>
      </c>
      <c r="K18" s="14">
        <f>IF($B$1=1,IFERROR(MATCH(2016,$E$3:$E$452,0),""),IFERROR(MATCH(2016,振り分け!$W$7:$W$456,0),""))</f>
        <v/>
      </c>
      <c r="L18" s="14">
        <f>IF($B$1=1,IFERROR(MATCH(3016,$E$3:$E$452,0),""),IFERROR(MATCH(3016,振り分け!$W$7:$W$456,0),""))</f>
        <v/>
      </c>
      <c r="M18" s="14">
        <f>IF($B$1=1,IFERROR(MATCH(4016,$E$3:$E$452,0),""),IFERROR(MATCH(4016,振り分け!$W$7:$W$456,0),""))</f>
        <v/>
      </c>
      <c r="N18" s="14">
        <f>IF($B$1=1,IFERROR(MATCH(5016,$E$3:$E$452,0),""),IFERROR(MATCH(5016,振り分け!$W$7:$W$456,0),""))</f>
        <v/>
      </c>
      <c r="O18" s="14">
        <f>IF($B$1=1,IFERROR(MATCH(6016,$E$3:$E$452,0),""),IFERROR(MATCH(6016,振り分け!$W$7:$W$456,0),""))</f>
        <v/>
      </c>
      <c r="P18" s="14">
        <f>IF($B$1=1,IFERROR(MATCH(7016,$E$3:$E$452,0),""),IFERROR(MATCH(7016,振り分け!$W$7:$W$456,0),""))</f>
        <v/>
      </c>
      <c r="Q18" s="14">
        <f>IF($B$1=1,IFERROR(MATCH(8016,$E$3:$E$452,0),""),IFERROR(MATCH(8016,振り分け!$W$7:$W$456,0),""))</f>
        <v/>
      </c>
      <c r="R18" s="14">
        <f>IF($B$1=1,IFERROR(MATCH(9016,$E$3:$E$452,0),""),IFERROR(MATCH(9016,振り分け!$W$7:$W$456,0),""))</f>
        <v/>
      </c>
      <c r="S18" s="14">
        <f>IF($B$1=1,IFERROR(MATCH(10016,$E$3:$E$452,0),""),IFERROR(MATCH(10016,振り分け!$W$7:$W$456,0),""))</f>
        <v/>
      </c>
      <c r="T18" s="14">
        <f>IF($B$1=1,IFERROR(MATCH(11016,$E$3:$E$452,0),""),IFERROR(MATCH(11016,振り分け!$W$7:$W$456,0),""))</f>
        <v/>
      </c>
      <c r="U18" s="14">
        <f>IF($B$1=1,IFERROR(MATCH(12016,$E$3:$E$452,0),""),IFERROR(MATCH(12016,振り分け!$W$7:$W$456,0),""))</f>
        <v/>
      </c>
      <c r="V18" s="14">
        <f>IF($B$1=1,IFERROR(MATCH(13016,$E$3:$E$452,0),""),IFERROR(MATCH(13016,振り分け!$W$7:$W$456,0),""))</f>
        <v/>
      </c>
      <c r="W18" s="14">
        <f>IF($B$1=1,IFERROR(MATCH(14016,$E$3:$E$452,0),""),IFERROR(MATCH(14016,振り分け!$W$7:$W$456,0),""))</f>
        <v/>
      </c>
      <c r="X18" s="14">
        <f>IF($B$1=1,IFERROR(MATCH(15016,$E$3:$E$452,0),""),IFERROR(MATCH(15016,振り分け!$W$7:$W$456,0),""))</f>
        <v/>
      </c>
      <c r="Y18" s="14">
        <f>IF($B$1=1,IFERROR(MATCH(16016,$E$3:$E$452,0),""),IFERROR(MATCH(16016,振り分け!$W$7:$W$456,0),""))</f>
        <v/>
      </c>
      <c r="Z18" s="14">
        <f>IF($B$1=1,IFERROR(MATCH(17016,$E$3:$E$452,0),""),IFERROR(MATCH(17016,振り分け!$W$7:$W$456,0),""))</f>
        <v/>
      </c>
      <c r="AA18" s="14">
        <f>IF($B$1=1,IFERROR(MATCH(18016,$E$3:$E$452,0),""),IFERROR(MATCH(18016,振り分け!$W$7:$W$456,0),""))</f>
        <v/>
      </c>
      <c r="AB18" s="14">
        <f>IF($B$1=1,IFERROR(MATCH(19016,$E$3:$E$452,0),""),IFERROR(MATCH(19016,振り分け!$W$7:$W$456,0),""))</f>
        <v/>
      </c>
      <c r="AC18" s="14">
        <f>IF($B$1=1,IFERROR(MATCH(20016,$E$3:$E$452,0),""),IFERROR(MATCH(20016,振り分け!$W$7:$W$456,0),""))</f>
        <v/>
      </c>
    </row>
    <row r="19">
      <c r="A19" s="14">
        <f>IFERROR(MATCH(SMALL(新年度名簿!$J$2:$J$451,17),新年度名簿!$J$2:$J$451,0),"")</f>
        <v/>
      </c>
      <c r="B19" s="14">
        <f>IF(A19="","",INDEX(新年度名簿!$G$2:$G$451,A19))</f>
        <v/>
      </c>
      <c r="C19" s="14">
        <f>IF(A19="","",IFERROR(MATCH(B19,設定!$P$8:$P$27,0),""))</f>
        <v/>
      </c>
      <c r="D19" s="14">
        <f>IF(C19="","",COUNTIF($C$3:C19,C19))</f>
        <v/>
      </c>
      <c r="E19" s="14">
        <f>IF(C19="","",C19*1000+D19)</f>
        <v/>
      </c>
      <c r="F19" s="14">
        <f>IF(A19="","",INDEX(新年度名簿!$K$2:$K$451,A19))</f>
        <v/>
      </c>
      <c r="G19" s="14">
        <f>IF(A19="","",INDEX(新年度名簿!$C$2:$C$451,A19))</f>
        <v/>
      </c>
      <c r="H19" s="14">
        <f>IF(A19="","",INDEX(新年度名簿!$D$2:$D$451,A19))</f>
        <v/>
      </c>
      <c r="J19" s="14">
        <f>IF($B$1=1,IFERROR(MATCH(1017,$E$3:$E$452,0),""),IFERROR(MATCH(1017,振り分け!$W$7:$W$456,0),""))</f>
        <v/>
      </c>
      <c r="K19" s="14">
        <f>IF($B$1=1,IFERROR(MATCH(2017,$E$3:$E$452,0),""),IFERROR(MATCH(2017,振り分け!$W$7:$W$456,0),""))</f>
        <v/>
      </c>
      <c r="L19" s="14">
        <f>IF($B$1=1,IFERROR(MATCH(3017,$E$3:$E$452,0),""),IFERROR(MATCH(3017,振り分け!$W$7:$W$456,0),""))</f>
        <v/>
      </c>
      <c r="M19" s="14">
        <f>IF($B$1=1,IFERROR(MATCH(4017,$E$3:$E$452,0),""),IFERROR(MATCH(4017,振り分け!$W$7:$W$456,0),""))</f>
        <v/>
      </c>
      <c r="N19" s="14">
        <f>IF($B$1=1,IFERROR(MATCH(5017,$E$3:$E$452,0),""),IFERROR(MATCH(5017,振り分け!$W$7:$W$456,0),""))</f>
        <v/>
      </c>
      <c r="O19" s="14">
        <f>IF($B$1=1,IFERROR(MATCH(6017,$E$3:$E$452,0),""),IFERROR(MATCH(6017,振り分け!$W$7:$W$456,0),""))</f>
        <v/>
      </c>
      <c r="P19" s="14">
        <f>IF($B$1=1,IFERROR(MATCH(7017,$E$3:$E$452,0),""),IFERROR(MATCH(7017,振り分け!$W$7:$W$456,0),""))</f>
        <v/>
      </c>
      <c r="Q19" s="14">
        <f>IF($B$1=1,IFERROR(MATCH(8017,$E$3:$E$452,0),""),IFERROR(MATCH(8017,振り分け!$W$7:$W$456,0),""))</f>
        <v/>
      </c>
      <c r="R19" s="14">
        <f>IF($B$1=1,IFERROR(MATCH(9017,$E$3:$E$452,0),""),IFERROR(MATCH(9017,振り分け!$W$7:$W$456,0),""))</f>
        <v/>
      </c>
      <c r="S19" s="14">
        <f>IF($B$1=1,IFERROR(MATCH(10017,$E$3:$E$452,0),""),IFERROR(MATCH(10017,振り分け!$W$7:$W$456,0),""))</f>
        <v/>
      </c>
      <c r="T19" s="14">
        <f>IF($B$1=1,IFERROR(MATCH(11017,$E$3:$E$452,0),""),IFERROR(MATCH(11017,振り分け!$W$7:$W$456,0),""))</f>
        <v/>
      </c>
      <c r="U19" s="14">
        <f>IF($B$1=1,IFERROR(MATCH(12017,$E$3:$E$452,0),""),IFERROR(MATCH(12017,振り分け!$W$7:$W$456,0),""))</f>
        <v/>
      </c>
      <c r="V19" s="14">
        <f>IF($B$1=1,IFERROR(MATCH(13017,$E$3:$E$452,0),""),IFERROR(MATCH(13017,振り分け!$W$7:$W$456,0),""))</f>
        <v/>
      </c>
      <c r="W19" s="14">
        <f>IF($B$1=1,IFERROR(MATCH(14017,$E$3:$E$452,0),""),IFERROR(MATCH(14017,振り分け!$W$7:$W$456,0),""))</f>
        <v/>
      </c>
      <c r="X19" s="14">
        <f>IF($B$1=1,IFERROR(MATCH(15017,$E$3:$E$452,0),""),IFERROR(MATCH(15017,振り分け!$W$7:$W$456,0),""))</f>
        <v/>
      </c>
      <c r="Y19" s="14">
        <f>IF($B$1=1,IFERROR(MATCH(16017,$E$3:$E$452,0),""),IFERROR(MATCH(16017,振り分け!$W$7:$W$456,0),""))</f>
        <v/>
      </c>
      <c r="Z19" s="14">
        <f>IF($B$1=1,IFERROR(MATCH(17017,$E$3:$E$452,0),""),IFERROR(MATCH(17017,振り分け!$W$7:$W$456,0),""))</f>
        <v/>
      </c>
      <c r="AA19" s="14">
        <f>IF($B$1=1,IFERROR(MATCH(18017,$E$3:$E$452,0),""),IFERROR(MATCH(18017,振り分け!$W$7:$W$456,0),""))</f>
        <v/>
      </c>
      <c r="AB19" s="14">
        <f>IF($B$1=1,IFERROR(MATCH(19017,$E$3:$E$452,0),""),IFERROR(MATCH(19017,振り分け!$W$7:$W$456,0),""))</f>
        <v/>
      </c>
      <c r="AC19" s="14">
        <f>IF($B$1=1,IFERROR(MATCH(20017,$E$3:$E$452,0),""),IFERROR(MATCH(20017,振り分け!$W$7:$W$456,0),""))</f>
        <v/>
      </c>
    </row>
    <row r="20">
      <c r="A20" s="14">
        <f>IFERROR(MATCH(SMALL(新年度名簿!$J$2:$J$451,18),新年度名簿!$J$2:$J$451,0),"")</f>
        <v/>
      </c>
      <c r="B20" s="14">
        <f>IF(A20="","",INDEX(新年度名簿!$G$2:$G$451,A20))</f>
        <v/>
      </c>
      <c r="C20" s="14">
        <f>IF(A20="","",IFERROR(MATCH(B20,設定!$P$8:$P$27,0),""))</f>
        <v/>
      </c>
      <c r="D20" s="14">
        <f>IF(C20="","",COUNTIF($C$3:C20,C20))</f>
        <v/>
      </c>
      <c r="E20" s="14">
        <f>IF(C20="","",C20*1000+D20)</f>
        <v/>
      </c>
      <c r="F20" s="14">
        <f>IF(A20="","",INDEX(新年度名簿!$K$2:$K$451,A20))</f>
        <v/>
      </c>
      <c r="G20" s="14">
        <f>IF(A20="","",INDEX(新年度名簿!$C$2:$C$451,A20))</f>
        <v/>
      </c>
      <c r="H20" s="14">
        <f>IF(A20="","",INDEX(新年度名簿!$D$2:$D$451,A20))</f>
        <v/>
      </c>
      <c r="J20" s="14">
        <f>IF($B$1=1,IFERROR(MATCH(1018,$E$3:$E$452,0),""),IFERROR(MATCH(1018,振り分け!$W$7:$W$456,0),""))</f>
        <v/>
      </c>
      <c r="K20" s="14">
        <f>IF($B$1=1,IFERROR(MATCH(2018,$E$3:$E$452,0),""),IFERROR(MATCH(2018,振り分け!$W$7:$W$456,0),""))</f>
        <v/>
      </c>
      <c r="L20" s="14">
        <f>IF($B$1=1,IFERROR(MATCH(3018,$E$3:$E$452,0),""),IFERROR(MATCH(3018,振り分け!$W$7:$W$456,0),""))</f>
        <v/>
      </c>
      <c r="M20" s="14">
        <f>IF($B$1=1,IFERROR(MATCH(4018,$E$3:$E$452,0),""),IFERROR(MATCH(4018,振り分け!$W$7:$W$456,0),""))</f>
        <v/>
      </c>
      <c r="N20" s="14">
        <f>IF($B$1=1,IFERROR(MATCH(5018,$E$3:$E$452,0),""),IFERROR(MATCH(5018,振り分け!$W$7:$W$456,0),""))</f>
        <v/>
      </c>
      <c r="O20" s="14">
        <f>IF($B$1=1,IFERROR(MATCH(6018,$E$3:$E$452,0),""),IFERROR(MATCH(6018,振り分け!$W$7:$W$456,0),""))</f>
        <v/>
      </c>
      <c r="P20" s="14">
        <f>IF($B$1=1,IFERROR(MATCH(7018,$E$3:$E$452,0),""),IFERROR(MATCH(7018,振り分け!$W$7:$W$456,0),""))</f>
        <v/>
      </c>
      <c r="Q20" s="14">
        <f>IF($B$1=1,IFERROR(MATCH(8018,$E$3:$E$452,0),""),IFERROR(MATCH(8018,振り分け!$W$7:$W$456,0),""))</f>
        <v/>
      </c>
      <c r="R20" s="14">
        <f>IF($B$1=1,IFERROR(MATCH(9018,$E$3:$E$452,0),""),IFERROR(MATCH(9018,振り分け!$W$7:$W$456,0),""))</f>
        <v/>
      </c>
      <c r="S20" s="14">
        <f>IF($B$1=1,IFERROR(MATCH(10018,$E$3:$E$452,0),""),IFERROR(MATCH(10018,振り分け!$W$7:$W$456,0),""))</f>
        <v/>
      </c>
      <c r="T20" s="14">
        <f>IF($B$1=1,IFERROR(MATCH(11018,$E$3:$E$452,0),""),IFERROR(MATCH(11018,振り分け!$W$7:$W$456,0),""))</f>
        <v/>
      </c>
      <c r="U20" s="14">
        <f>IF($B$1=1,IFERROR(MATCH(12018,$E$3:$E$452,0),""),IFERROR(MATCH(12018,振り分け!$W$7:$W$456,0),""))</f>
        <v/>
      </c>
      <c r="V20" s="14">
        <f>IF($B$1=1,IFERROR(MATCH(13018,$E$3:$E$452,0),""),IFERROR(MATCH(13018,振り分け!$W$7:$W$456,0),""))</f>
        <v/>
      </c>
      <c r="W20" s="14">
        <f>IF($B$1=1,IFERROR(MATCH(14018,$E$3:$E$452,0),""),IFERROR(MATCH(14018,振り分け!$W$7:$W$456,0),""))</f>
        <v/>
      </c>
      <c r="X20" s="14">
        <f>IF($B$1=1,IFERROR(MATCH(15018,$E$3:$E$452,0),""),IFERROR(MATCH(15018,振り分け!$W$7:$W$456,0),""))</f>
        <v/>
      </c>
      <c r="Y20" s="14">
        <f>IF($B$1=1,IFERROR(MATCH(16018,$E$3:$E$452,0),""),IFERROR(MATCH(16018,振り分け!$W$7:$W$456,0),""))</f>
        <v/>
      </c>
      <c r="Z20" s="14">
        <f>IF($B$1=1,IFERROR(MATCH(17018,$E$3:$E$452,0),""),IFERROR(MATCH(17018,振り分け!$W$7:$W$456,0),""))</f>
        <v/>
      </c>
      <c r="AA20" s="14">
        <f>IF($B$1=1,IFERROR(MATCH(18018,$E$3:$E$452,0),""),IFERROR(MATCH(18018,振り分け!$W$7:$W$456,0),""))</f>
        <v/>
      </c>
      <c r="AB20" s="14">
        <f>IF($B$1=1,IFERROR(MATCH(19018,$E$3:$E$452,0),""),IFERROR(MATCH(19018,振り分け!$W$7:$W$456,0),""))</f>
        <v/>
      </c>
      <c r="AC20" s="14">
        <f>IF($B$1=1,IFERROR(MATCH(20018,$E$3:$E$452,0),""),IFERROR(MATCH(20018,振り分け!$W$7:$W$456,0),""))</f>
        <v/>
      </c>
    </row>
    <row r="21">
      <c r="A21" s="14">
        <f>IFERROR(MATCH(SMALL(新年度名簿!$J$2:$J$451,19),新年度名簿!$J$2:$J$451,0),"")</f>
        <v/>
      </c>
      <c r="B21" s="14">
        <f>IF(A21="","",INDEX(新年度名簿!$G$2:$G$451,A21))</f>
        <v/>
      </c>
      <c r="C21" s="14">
        <f>IF(A21="","",IFERROR(MATCH(B21,設定!$P$8:$P$27,0),""))</f>
        <v/>
      </c>
      <c r="D21" s="14">
        <f>IF(C21="","",COUNTIF($C$3:C21,C21))</f>
        <v/>
      </c>
      <c r="E21" s="14">
        <f>IF(C21="","",C21*1000+D21)</f>
        <v/>
      </c>
      <c r="F21" s="14">
        <f>IF(A21="","",INDEX(新年度名簿!$K$2:$K$451,A21))</f>
        <v/>
      </c>
      <c r="G21" s="14">
        <f>IF(A21="","",INDEX(新年度名簿!$C$2:$C$451,A21))</f>
        <v/>
      </c>
      <c r="H21" s="14">
        <f>IF(A21="","",INDEX(新年度名簿!$D$2:$D$451,A21))</f>
        <v/>
      </c>
      <c r="J21" s="14">
        <f>IF($B$1=1,IFERROR(MATCH(1019,$E$3:$E$452,0),""),IFERROR(MATCH(1019,振り分け!$W$7:$W$456,0),""))</f>
        <v/>
      </c>
      <c r="K21" s="14">
        <f>IF($B$1=1,IFERROR(MATCH(2019,$E$3:$E$452,0),""),IFERROR(MATCH(2019,振り分け!$W$7:$W$456,0),""))</f>
        <v/>
      </c>
      <c r="L21" s="14">
        <f>IF($B$1=1,IFERROR(MATCH(3019,$E$3:$E$452,0),""),IFERROR(MATCH(3019,振り分け!$W$7:$W$456,0),""))</f>
        <v/>
      </c>
      <c r="M21" s="14">
        <f>IF($B$1=1,IFERROR(MATCH(4019,$E$3:$E$452,0),""),IFERROR(MATCH(4019,振り分け!$W$7:$W$456,0),""))</f>
        <v/>
      </c>
      <c r="N21" s="14">
        <f>IF($B$1=1,IFERROR(MATCH(5019,$E$3:$E$452,0),""),IFERROR(MATCH(5019,振り分け!$W$7:$W$456,0),""))</f>
        <v/>
      </c>
      <c r="O21" s="14">
        <f>IF($B$1=1,IFERROR(MATCH(6019,$E$3:$E$452,0),""),IFERROR(MATCH(6019,振り分け!$W$7:$W$456,0),""))</f>
        <v/>
      </c>
      <c r="P21" s="14">
        <f>IF($B$1=1,IFERROR(MATCH(7019,$E$3:$E$452,0),""),IFERROR(MATCH(7019,振り分け!$W$7:$W$456,0),""))</f>
        <v/>
      </c>
      <c r="Q21" s="14">
        <f>IF($B$1=1,IFERROR(MATCH(8019,$E$3:$E$452,0),""),IFERROR(MATCH(8019,振り分け!$W$7:$W$456,0),""))</f>
        <v/>
      </c>
      <c r="R21" s="14">
        <f>IF($B$1=1,IFERROR(MATCH(9019,$E$3:$E$452,0),""),IFERROR(MATCH(9019,振り分け!$W$7:$W$456,0),""))</f>
        <v/>
      </c>
      <c r="S21" s="14">
        <f>IF($B$1=1,IFERROR(MATCH(10019,$E$3:$E$452,0),""),IFERROR(MATCH(10019,振り分け!$W$7:$W$456,0),""))</f>
        <v/>
      </c>
      <c r="T21" s="14">
        <f>IF($B$1=1,IFERROR(MATCH(11019,$E$3:$E$452,0),""),IFERROR(MATCH(11019,振り分け!$W$7:$W$456,0),""))</f>
        <v/>
      </c>
      <c r="U21" s="14">
        <f>IF($B$1=1,IFERROR(MATCH(12019,$E$3:$E$452,0),""),IFERROR(MATCH(12019,振り分け!$W$7:$W$456,0),""))</f>
        <v/>
      </c>
      <c r="V21" s="14">
        <f>IF($B$1=1,IFERROR(MATCH(13019,$E$3:$E$452,0),""),IFERROR(MATCH(13019,振り分け!$W$7:$W$456,0),""))</f>
        <v/>
      </c>
      <c r="W21" s="14">
        <f>IF($B$1=1,IFERROR(MATCH(14019,$E$3:$E$452,0),""),IFERROR(MATCH(14019,振り分け!$W$7:$W$456,0),""))</f>
        <v/>
      </c>
      <c r="X21" s="14">
        <f>IF($B$1=1,IFERROR(MATCH(15019,$E$3:$E$452,0),""),IFERROR(MATCH(15019,振り分け!$W$7:$W$456,0),""))</f>
        <v/>
      </c>
      <c r="Y21" s="14">
        <f>IF($B$1=1,IFERROR(MATCH(16019,$E$3:$E$452,0),""),IFERROR(MATCH(16019,振り分け!$W$7:$W$456,0),""))</f>
        <v/>
      </c>
      <c r="Z21" s="14">
        <f>IF($B$1=1,IFERROR(MATCH(17019,$E$3:$E$452,0),""),IFERROR(MATCH(17019,振り分け!$W$7:$W$456,0),""))</f>
        <v/>
      </c>
      <c r="AA21" s="14">
        <f>IF($B$1=1,IFERROR(MATCH(18019,$E$3:$E$452,0),""),IFERROR(MATCH(18019,振り分け!$W$7:$W$456,0),""))</f>
        <v/>
      </c>
      <c r="AB21" s="14">
        <f>IF($B$1=1,IFERROR(MATCH(19019,$E$3:$E$452,0),""),IFERROR(MATCH(19019,振り分け!$W$7:$W$456,0),""))</f>
        <v/>
      </c>
      <c r="AC21" s="14">
        <f>IF($B$1=1,IFERROR(MATCH(20019,$E$3:$E$452,0),""),IFERROR(MATCH(20019,振り分け!$W$7:$W$456,0),""))</f>
        <v/>
      </c>
    </row>
    <row r="22">
      <c r="A22" s="14">
        <f>IFERROR(MATCH(SMALL(新年度名簿!$J$2:$J$451,20),新年度名簿!$J$2:$J$451,0),"")</f>
        <v/>
      </c>
      <c r="B22" s="14">
        <f>IF(A22="","",INDEX(新年度名簿!$G$2:$G$451,A22))</f>
        <v/>
      </c>
      <c r="C22" s="14">
        <f>IF(A22="","",IFERROR(MATCH(B22,設定!$P$8:$P$27,0),""))</f>
        <v/>
      </c>
      <c r="D22" s="14">
        <f>IF(C22="","",COUNTIF($C$3:C22,C22))</f>
        <v/>
      </c>
      <c r="E22" s="14">
        <f>IF(C22="","",C22*1000+D22)</f>
        <v/>
      </c>
      <c r="F22" s="14">
        <f>IF(A22="","",INDEX(新年度名簿!$K$2:$K$451,A22))</f>
        <v/>
      </c>
      <c r="G22" s="14">
        <f>IF(A22="","",INDEX(新年度名簿!$C$2:$C$451,A22))</f>
        <v/>
      </c>
      <c r="H22" s="14">
        <f>IF(A22="","",INDEX(新年度名簿!$D$2:$D$451,A22))</f>
        <v/>
      </c>
      <c r="J22" s="14">
        <f>IF($B$1=1,IFERROR(MATCH(1020,$E$3:$E$452,0),""),IFERROR(MATCH(1020,振り分け!$W$7:$W$456,0),""))</f>
        <v/>
      </c>
      <c r="K22" s="14">
        <f>IF($B$1=1,IFERROR(MATCH(2020,$E$3:$E$452,0),""),IFERROR(MATCH(2020,振り分け!$W$7:$W$456,0),""))</f>
        <v/>
      </c>
      <c r="L22" s="14">
        <f>IF($B$1=1,IFERROR(MATCH(3020,$E$3:$E$452,0),""),IFERROR(MATCH(3020,振り分け!$W$7:$W$456,0),""))</f>
        <v/>
      </c>
      <c r="M22" s="14">
        <f>IF($B$1=1,IFERROR(MATCH(4020,$E$3:$E$452,0),""),IFERROR(MATCH(4020,振り分け!$W$7:$W$456,0),""))</f>
        <v/>
      </c>
      <c r="N22" s="14">
        <f>IF($B$1=1,IFERROR(MATCH(5020,$E$3:$E$452,0),""),IFERROR(MATCH(5020,振り分け!$W$7:$W$456,0),""))</f>
        <v/>
      </c>
      <c r="O22" s="14">
        <f>IF($B$1=1,IFERROR(MATCH(6020,$E$3:$E$452,0),""),IFERROR(MATCH(6020,振り分け!$W$7:$W$456,0),""))</f>
        <v/>
      </c>
      <c r="P22" s="14">
        <f>IF($B$1=1,IFERROR(MATCH(7020,$E$3:$E$452,0),""),IFERROR(MATCH(7020,振り分け!$W$7:$W$456,0),""))</f>
        <v/>
      </c>
      <c r="Q22" s="14">
        <f>IF($B$1=1,IFERROR(MATCH(8020,$E$3:$E$452,0),""),IFERROR(MATCH(8020,振り分け!$W$7:$W$456,0),""))</f>
        <v/>
      </c>
      <c r="R22" s="14">
        <f>IF($B$1=1,IFERROR(MATCH(9020,$E$3:$E$452,0),""),IFERROR(MATCH(9020,振り分け!$W$7:$W$456,0),""))</f>
        <v/>
      </c>
      <c r="S22" s="14">
        <f>IF($B$1=1,IFERROR(MATCH(10020,$E$3:$E$452,0),""),IFERROR(MATCH(10020,振り分け!$W$7:$W$456,0),""))</f>
        <v/>
      </c>
      <c r="T22" s="14">
        <f>IF($B$1=1,IFERROR(MATCH(11020,$E$3:$E$452,0),""),IFERROR(MATCH(11020,振り分け!$W$7:$W$456,0),""))</f>
        <v/>
      </c>
      <c r="U22" s="14">
        <f>IF($B$1=1,IFERROR(MATCH(12020,$E$3:$E$452,0),""),IFERROR(MATCH(12020,振り分け!$W$7:$W$456,0),""))</f>
        <v/>
      </c>
      <c r="V22" s="14">
        <f>IF($B$1=1,IFERROR(MATCH(13020,$E$3:$E$452,0),""),IFERROR(MATCH(13020,振り分け!$W$7:$W$456,0),""))</f>
        <v/>
      </c>
      <c r="W22" s="14">
        <f>IF($B$1=1,IFERROR(MATCH(14020,$E$3:$E$452,0),""),IFERROR(MATCH(14020,振り分け!$W$7:$W$456,0),""))</f>
        <v/>
      </c>
      <c r="X22" s="14">
        <f>IF($B$1=1,IFERROR(MATCH(15020,$E$3:$E$452,0),""),IFERROR(MATCH(15020,振り分け!$W$7:$W$456,0),""))</f>
        <v/>
      </c>
      <c r="Y22" s="14">
        <f>IF($B$1=1,IFERROR(MATCH(16020,$E$3:$E$452,0),""),IFERROR(MATCH(16020,振り分け!$W$7:$W$456,0),""))</f>
        <v/>
      </c>
      <c r="Z22" s="14">
        <f>IF($B$1=1,IFERROR(MATCH(17020,$E$3:$E$452,0),""),IFERROR(MATCH(17020,振り分け!$W$7:$W$456,0),""))</f>
        <v/>
      </c>
      <c r="AA22" s="14">
        <f>IF($B$1=1,IFERROR(MATCH(18020,$E$3:$E$452,0),""),IFERROR(MATCH(18020,振り分け!$W$7:$W$456,0),""))</f>
        <v/>
      </c>
      <c r="AB22" s="14">
        <f>IF($B$1=1,IFERROR(MATCH(19020,$E$3:$E$452,0),""),IFERROR(MATCH(19020,振り分け!$W$7:$W$456,0),""))</f>
        <v/>
      </c>
      <c r="AC22" s="14">
        <f>IF($B$1=1,IFERROR(MATCH(20020,$E$3:$E$452,0),""),IFERROR(MATCH(20020,振り分け!$W$7:$W$456,0),""))</f>
        <v/>
      </c>
    </row>
    <row r="23">
      <c r="A23" s="14">
        <f>IFERROR(MATCH(SMALL(新年度名簿!$J$2:$J$451,21),新年度名簿!$J$2:$J$451,0),"")</f>
        <v/>
      </c>
      <c r="B23" s="14">
        <f>IF(A23="","",INDEX(新年度名簿!$G$2:$G$451,A23))</f>
        <v/>
      </c>
      <c r="C23" s="14">
        <f>IF(A23="","",IFERROR(MATCH(B23,設定!$P$8:$P$27,0),""))</f>
        <v/>
      </c>
      <c r="D23" s="14">
        <f>IF(C23="","",COUNTIF($C$3:C23,C23))</f>
        <v/>
      </c>
      <c r="E23" s="14">
        <f>IF(C23="","",C23*1000+D23)</f>
        <v/>
      </c>
      <c r="F23" s="14">
        <f>IF(A23="","",INDEX(新年度名簿!$K$2:$K$451,A23))</f>
        <v/>
      </c>
      <c r="G23" s="14">
        <f>IF(A23="","",INDEX(新年度名簿!$C$2:$C$451,A23))</f>
        <v/>
      </c>
      <c r="H23" s="14">
        <f>IF(A23="","",INDEX(新年度名簿!$D$2:$D$451,A23))</f>
        <v/>
      </c>
      <c r="J23" s="14">
        <f>IF($B$1=1,IFERROR(MATCH(1021,$E$3:$E$452,0),""),IFERROR(MATCH(1021,振り分け!$W$7:$W$456,0),""))</f>
        <v/>
      </c>
      <c r="K23" s="14">
        <f>IF($B$1=1,IFERROR(MATCH(2021,$E$3:$E$452,0),""),IFERROR(MATCH(2021,振り分け!$W$7:$W$456,0),""))</f>
        <v/>
      </c>
      <c r="L23" s="14">
        <f>IF($B$1=1,IFERROR(MATCH(3021,$E$3:$E$452,0),""),IFERROR(MATCH(3021,振り分け!$W$7:$W$456,0),""))</f>
        <v/>
      </c>
      <c r="M23" s="14">
        <f>IF($B$1=1,IFERROR(MATCH(4021,$E$3:$E$452,0),""),IFERROR(MATCH(4021,振り分け!$W$7:$W$456,0),""))</f>
        <v/>
      </c>
      <c r="N23" s="14">
        <f>IF($B$1=1,IFERROR(MATCH(5021,$E$3:$E$452,0),""),IFERROR(MATCH(5021,振り分け!$W$7:$W$456,0),""))</f>
        <v/>
      </c>
      <c r="O23" s="14">
        <f>IF($B$1=1,IFERROR(MATCH(6021,$E$3:$E$452,0),""),IFERROR(MATCH(6021,振り分け!$W$7:$W$456,0),""))</f>
        <v/>
      </c>
      <c r="P23" s="14">
        <f>IF($B$1=1,IFERROR(MATCH(7021,$E$3:$E$452,0),""),IFERROR(MATCH(7021,振り分け!$W$7:$W$456,0),""))</f>
        <v/>
      </c>
      <c r="Q23" s="14">
        <f>IF($B$1=1,IFERROR(MATCH(8021,$E$3:$E$452,0),""),IFERROR(MATCH(8021,振り分け!$W$7:$W$456,0),""))</f>
        <v/>
      </c>
      <c r="R23" s="14">
        <f>IF($B$1=1,IFERROR(MATCH(9021,$E$3:$E$452,0),""),IFERROR(MATCH(9021,振り分け!$W$7:$W$456,0),""))</f>
        <v/>
      </c>
      <c r="S23" s="14">
        <f>IF($B$1=1,IFERROR(MATCH(10021,$E$3:$E$452,0),""),IFERROR(MATCH(10021,振り分け!$W$7:$W$456,0),""))</f>
        <v/>
      </c>
      <c r="T23" s="14">
        <f>IF($B$1=1,IFERROR(MATCH(11021,$E$3:$E$452,0),""),IFERROR(MATCH(11021,振り分け!$W$7:$W$456,0),""))</f>
        <v/>
      </c>
      <c r="U23" s="14">
        <f>IF($B$1=1,IFERROR(MATCH(12021,$E$3:$E$452,0),""),IFERROR(MATCH(12021,振り分け!$W$7:$W$456,0),""))</f>
        <v/>
      </c>
      <c r="V23" s="14">
        <f>IF($B$1=1,IFERROR(MATCH(13021,$E$3:$E$452,0),""),IFERROR(MATCH(13021,振り分け!$W$7:$W$456,0),""))</f>
        <v/>
      </c>
      <c r="W23" s="14">
        <f>IF($B$1=1,IFERROR(MATCH(14021,$E$3:$E$452,0),""),IFERROR(MATCH(14021,振り分け!$W$7:$W$456,0),""))</f>
        <v/>
      </c>
      <c r="X23" s="14">
        <f>IF($B$1=1,IFERROR(MATCH(15021,$E$3:$E$452,0),""),IFERROR(MATCH(15021,振り分け!$W$7:$W$456,0),""))</f>
        <v/>
      </c>
      <c r="Y23" s="14">
        <f>IF($B$1=1,IFERROR(MATCH(16021,$E$3:$E$452,0),""),IFERROR(MATCH(16021,振り分け!$W$7:$W$456,0),""))</f>
        <v/>
      </c>
      <c r="Z23" s="14">
        <f>IF($B$1=1,IFERROR(MATCH(17021,$E$3:$E$452,0),""),IFERROR(MATCH(17021,振り分け!$W$7:$W$456,0),""))</f>
        <v/>
      </c>
      <c r="AA23" s="14">
        <f>IF($B$1=1,IFERROR(MATCH(18021,$E$3:$E$452,0),""),IFERROR(MATCH(18021,振り分け!$W$7:$W$456,0),""))</f>
        <v/>
      </c>
      <c r="AB23" s="14">
        <f>IF($B$1=1,IFERROR(MATCH(19021,$E$3:$E$452,0),""),IFERROR(MATCH(19021,振り分け!$W$7:$W$456,0),""))</f>
        <v/>
      </c>
      <c r="AC23" s="14">
        <f>IF($B$1=1,IFERROR(MATCH(20021,$E$3:$E$452,0),""),IFERROR(MATCH(20021,振り分け!$W$7:$W$456,0),""))</f>
        <v/>
      </c>
    </row>
    <row r="24">
      <c r="A24" s="14">
        <f>IFERROR(MATCH(SMALL(新年度名簿!$J$2:$J$451,22),新年度名簿!$J$2:$J$451,0),"")</f>
        <v/>
      </c>
      <c r="B24" s="14">
        <f>IF(A24="","",INDEX(新年度名簿!$G$2:$G$451,A24))</f>
        <v/>
      </c>
      <c r="C24" s="14">
        <f>IF(A24="","",IFERROR(MATCH(B24,設定!$P$8:$P$27,0),""))</f>
        <v/>
      </c>
      <c r="D24" s="14">
        <f>IF(C24="","",COUNTIF($C$3:C24,C24))</f>
        <v/>
      </c>
      <c r="E24" s="14">
        <f>IF(C24="","",C24*1000+D24)</f>
        <v/>
      </c>
      <c r="F24" s="14">
        <f>IF(A24="","",INDEX(新年度名簿!$K$2:$K$451,A24))</f>
        <v/>
      </c>
      <c r="G24" s="14">
        <f>IF(A24="","",INDEX(新年度名簿!$C$2:$C$451,A24))</f>
        <v/>
      </c>
      <c r="H24" s="14">
        <f>IF(A24="","",INDEX(新年度名簿!$D$2:$D$451,A24))</f>
        <v/>
      </c>
      <c r="J24" s="14">
        <f>IF($B$1=1,IFERROR(MATCH(1022,$E$3:$E$452,0),""),IFERROR(MATCH(1022,振り分け!$W$7:$W$456,0),""))</f>
        <v/>
      </c>
      <c r="K24" s="14">
        <f>IF($B$1=1,IFERROR(MATCH(2022,$E$3:$E$452,0),""),IFERROR(MATCH(2022,振り分け!$W$7:$W$456,0),""))</f>
        <v/>
      </c>
      <c r="L24" s="14">
        <f>IF($B$1=1,IFERROR(MATCH(3022,$E$3:$E$452,0),""),IFERROR(MATCH(3022,振り分け!$W$7:$W$456,0),""))</f>
        <v/>
      </c>
      <c r="M24" s="14">
        <f>IF($B$1=1,IFERROR(MATCH(4022,$E$3:$E$452,0),""),IFERROR(MATCH(4022,振り分け!$W$7:$W$456,0),""))</f>
        <v/>
      </c>
      <c r="N24" s="14">
        <f>IF($B$1=1,IFERROR(MATCH(5022,$E$3:$E$452,0),""),IFERROR(MATCH(5022,振り分け!$W$7:$W$456,0),""))</f>
        <v/>
      </c>
      <c r="O24" s="14">
        <f>IF($B$1=1,IFERROR(MATCH(6022,$E$3:$E$452,0),""),IFERROR(MATCH(6022,振り分け!$W$7:$W$456,0),""))</f>
        <v/>
      </c>
      <c r="P24" s="14">
        <f>IF($B$1=1,IFERROR(MATCH(7022,$E$3:$E$452,0),""),IFERROR(MATCH(7022,振り分け!$W$7:$W$456,0),""))</f>
        <v/>
      </c>
      <c r="Q24" s="14">
        <f>IF($B$1=1,IFERROR(MATCH(8022,$E$3:$E$452,0),""),IFERROR(MATCH(8022,振り分け!$W$7:$W$456,0),""))</f>
        <v/>
      </c>
      <c r="R24" s="14">
        <f>IF($B$1=1,IFERROR(MATCH(9022,$E$3:$E$452,0),""),IFERROR(MATCH(9022,振り分け!$W$7:$W$456,0),""))</f>
        <v/>
      </c>
      <c r="S24" s="14">
        <f>IF($B$1=1,IFERROR(MATCH(10022,$E$3:$E$452,0),""),IFERROR(MATCH(10022,振り分け!$W$7:$W$456,0),""))</f>
        <v/>
      </c>
      <c r="T24" s="14">
        <f>IF($B$1=1,IFERROR(MATCH(11022,$E$3:$E$452,0),""),IFERROR(MATCH(11022,振り分け!$W$7:$W$456,0),""))</f>
        <v/>
      </c>
      <c r="U24" s="14">
        <f>IF($B$1=1,IFERROR(MATCH(12022,$E$3:$E$452,0),""),IFERROR(MATCH(12022,振り分け!$W$7:$W$456,0),""))</f>
        <v/>
      </c>
      <c r="V24" s="14">
        <f>IF($B$1=1,IFERROR(MATCH(13022,$E$3:$E$452,0),""),IFERROR(MATCH(13022,振り分け!$W$7:$W$456,0),""))</f>
        <v/>
      </c>
      <c r="W24" s="14">
        <f>IF($B$1=1,IFERROR(MATCH(14022,$E$3:$E$452,0),""),IFERROR(MATCH(14022,振り分け!$W$7:$W$456,0),""))</f>
        <v/>
      </c>
      <c r="X24" s="14">
        <f>IF($B$1=1,IFERROR(MATCH(15022,$E$3:$E$452,0),""),IFERROR(MATCH(15022,振り分け!$W$7:$W$456,0),""))</f>
        <v/>
      </c>
      <c r="Y24" s="14">
        <f>IF($B$1=1,IFERROR(MATCH(16022,$E$3:$E$452,0),""),IFERROR(MATCH(16022,振り分け!$W$7:$W$456,0),""))</f>
        <v/>
      </c>
      <c r="Z24" s="14">
        <f>IF($B$1=1,IFERROR(MATCH(17022,$E$3:$E$452,0),""),IFERROR(MATCH(17022,振り分け!$W$7:$W$456,0),""))</f>
        <v/>
      </c>
      <c r="AA24" s="14">
        <f>IF($B$1=1,IFERROR(MATCH(18022,$E$3:$E$452,0),""),IFERROR(MATCH(18022,振り分け!$W$7:$W$456,0),""))</f>
        <v/>
      </c>
      <c r="AB24" s="14">
        <f>IF($B$1=1,IFERROR(MATCH(19022,$E$3:$E$452,0),""),IFERROR(MATCH(19022,振り分け!$W$7:$W$456,0),""))</f>
        <v/>
      </c>
      <c r="AC24" s="14">
        <f>IF($B$1=1,IFERROR(MATCH(20022,$E$3:$E$452,0),""),IFERROR(MATCH(20022,振り分け!$W$7:$W$456,0),""))</f>
        <v/>
      </c>
    </row>
    <row r="25">
      <c r="A25" s="14">
        <f>IFERROR(MATCH(SMALL(新年度名簿!$J$2:$J$451,23),新年度名簿!$J$2:$J$451,0),"")</f>
        <v/>
      </c>
      <c r="B25" s="14">
        <f>IF(A25="","",INDEX(新年度名簿!$G$2:$G$451,A25))</f>
        <v/>
      </c>
      <c r="C25" s="14">
        <f>IF(A25="","",IFERROR(MATCH(B25,設定!$P$8:$P$27,0),""))</f>
        <v/>
      </c>
      <c r="D25" s="14">
        <f>IF(C25="","",COUNTIF($C$3:C25,C25))</f>
        <v/>
      </c>
      <c r="E25" s="14">
        <f>IF(C25="","",C25*1000+D25)</f>
        <v/>
      </c>
      <c r="F25" s="14">
        <f>IF(A25="","",INDEX(新年度名簿!$K$2:$K$451,A25))</f>
        <v/>
      </c>
      <c r="G25" s="14">
        <f>IF(A25="","",INDEX(新年度名簿!$C$2:$C$451,A25))</f>
        <v/>
      </c>
      <c r="H25" s="14">
        <f>IF(A25="","",INDEX(新年度名簿!$D$2:$D$451,A25))</f>
        <v/>
      </c>
      <c r="J25" s="14">
        <f>IF($B$1=1,IFERROR(MATCH(1023,$E$3:$E$452,0),""),IFERROR(MATCH(1023,振り分け!$W$7:$W$456,0),""))</f>
        <v/>
      </c>
      <c r="K25" s="14">
        <f>IF($B$1=1,IFERROR(MATCH(2023,$E$3:$E$452,0),""),IFERROR(MATCH(2023,振り分け!$W$7:$W$456,0),""))</f>
        <v/>
      </c>
      <c r="L25" s="14">
        <f>IF($B$1=1,IFERROR(MATCH(3023,$E$3:$E$452,0),""),IFERROR(MATCH(3023,振り分け!$W$7:$W$456,0),""))</f>
        <v/>
      </c>
      <c r="M25" s="14">
        <f>IF($B$1=1,IFERROR(MATCH(4023,$E$3:$E$452,0),""),IFERROR(MATCH(4023,振り分け!$W$7:$W$456,0),""))</f>
        <v/>
      </c>
      <c r="N25" s="14">
        <f>IF($B$1=1,IFERROR(MATCH(5023,$E$3:$E$452,0),""),IFERROR(MATCH(5023,振り分け!$W$7:$W$456,0),""))</f>
        <v/>
      </c>
      <c r="O25" s="14">
        <f>IF($B$1=1,IFERROR(MATCH(6023,$E$3:$E$452,0),""),IFERROR(MATCH(6023,振り分け!$W$7:$W$456,0),""))</f>
        <v/>
      </c>
      <c r="P25" s="14">
        <f>IF($B$1=1,IFERROR(MATCH(7023,$E$3:$E$452,0),""),IFERROR(MATCH(7023,振り分け!$W$7:$W$456,0),""))</f>
        <v/>
      </c>
      <c r="Q25" s="14">
        <f>IF($B$1=1,IFERROR(MATCH(8023,$E$3:$E$452,0),""),IFERROR(MATCH(8023,振り分け!$W$7:$W$456,0),""))</f>
        <v/>
      </c>
      <c r="R25" s="14">
        <f>IF($B$1=1,IFERROR(MATCH(9023,$E$3:$E$452,0),""),IFERROR(MATCH(9023,振り分け!$W$7:$W$456,0),""))</f>
        <v/>
      </c>
      <c r="S25" s="14">
        <f>IF($B$1=1,IFERROR(MATCH(10023,$E$3:$E$452,0),""),IFERROR(MATCH(10023,振り分け!$W$7:$W$456,0),""))</f>
        <v/>
      </c>
      <c r="T25" s="14">
        <f>IF($B$1=1,IFERROR(MATCH(11023,$E$3:$E$452,0),""),IFERROR(MATCH(11023,振り分け!$W$7:$W$456,0),""))</f>
        <v/>
      </c>
      <c r="U25" s="14">
        <f>IF($B$1=1,IFERROR(MATCH(12023,$E$3:$E$452,0),""),IFERROR(MATCH(12023,振り分け!$W$7:$W$456,0),""))</f>
        <v/>
      </c>
      <c r="V25" s="14">
        <f>IF($B$1=1,IFERROR(MATCH(13023,$E$3:$E$452,0),""),IFERROR(MATCH(13023,振り分け!$W$7:$W$456,0),""))</f>
        <v/>
      </c>
      <c r="W25" s="14">
        <f>IF($B$1=1,IFERROR(MATCH(14023,$E$3:$E$452,0),""),IFERROR(MATCH(14023,振り分け!$W$7:$W$456,0),""))</f>
        <v/>
      </c>
      <c r="X25" s="14">
        <f>IF($B$1=1,IFERROR(MATCH(15023,$E$3:$E$452,0),""),IFERROR(MATCH(15023,振り分け!$W$7:$W$456,0),""))</f>
        <v/>
      </c>
      <c r="Y25" s="14">
        <f>IF($B$1=1,IFERROR(MATCH(16023,$E$3:$E$452,0),""),IFERROR(MATCH(16023,振り分け!$W$7:$W$456,0),""))</f>
        <v/>
      </c>
      <c r="Z25" s="14">
        <f>IF($B$1=1,IFERROR(MATCH(17023,$E$3:$E$452,0),""),IFERROR(MATCH(17023,振り分け!$W$7:$W$456,0),""))</f>
        <v/>
      </c>
      <c r="AA25" s="14">
        <f>IF($B$1=1,IFERROR(MATCH(18023,$E$3:$E$452,0),""),IFERROR(MATCH(18023,振り分け!$W$7:$W$456,0),""))</f>
        <v/>
      </c>
      <c r="AB25" s="14">
        <f>IF($B$1=1,IFERROR(MATCH(19023,$E$3:$E$452,0),""),IFERROR(MATCH(19023,振り分け!$W$7:$W$456,0),""))</f>
        <v/>
      </c>
      <c r="AC25" s="14">
        <f>IF($B$1=1,IFERROR(MATCH(20023,$E$3:$E$452,0),""),IFERROR(MATCH(20023,振り分け!$W$7:$W$456,0),""))</f>
        <v/>
      </c>
    </row>
    <row r="26">
      <c r="A26" s="14">
        <f>IFERROR(MATCH(SMALL(新年度名簿!$J$2:$J$451,24),新年度名簿!$J$2:$J$451,0),"")</f>
        <v/>
      </c>
      <c r="B26" s="14">
        <f>IF(A26="","",INDEX(新年度名簿!$G$2:$G$451,A26))</f>
        <v/>
      </c>
      <c r="C26" s="14">
        <f>IF(A26="","",IFERROR(MATCH(B26,設定!$P$8:$P$27,0),""))</f>
        <v/>
      </c>
      <c r="D26" s="14">
        <f>IF(C26="","",COUNTIF($C$3:C26,C26))</f>
        <v/>
      </c>
      <c r="E26" s="14">
        <f>IF(C26="","",C26*1000+D26)</f>
        <v/>
      </c>
      <c r="F26" s="14">
        <f>IF(A26="","",INDEX(新年度名簿!$K$2:$K$451,A26))</f>
        <v/>
      </c>
      <c r="G26" s="14">
        <f>IF(A26="","",INDEX(新年度名簿!$C$2:$C$451,A26))</f>
        <v/>
      </c>
      <c r="H26" s="14">
        <f>IF(A26="","",INDEX(新年度名簿!$D$2:$D$451,A26))</f>
        <v/>
      </c>
      <c r="J26" s="14">
        <f>IF($B$1=1,IFERROR(MATCH(1024,$E$3:$E$452,0),""),IFERROR(MATCH(1024,振り分け!$W$7:$W$456,0),""))</f>
        <v/>
      </c>
      <c r="K26" s="14">
        <f>IF($B$1=1,IFERROR(MATCH(2024,$E$3:$E$452,0),""),IFERROR(MATCH(2024,振り分け!$W$7:$W$456,0),""))</f>
        <v/>
      </c>
      <c r="L26" s="14">
        <f>IF($B$1=1,IFERROR(MATCH(3024,$E$3:$E$452,0),""),IFERROR(MATCH(3024,振り分け!$W$7:$W$456,0),""))</f>
        <v/>
      </c>
      <c r="M26" s="14">
        <f>IF($B$1=1,IFERROR(MATCH(4024,$E$3:$E$452,0),""),IFERROR(MATCH(4024,振り分け!$W$7:$W$456,0),""))</f>
        <v/>
      </c>
      <c r="N26" s="14">
        <f>IF($B$1=1,IFERROR(MATCH(5024,$E$3:$E$452,0),""),IFERROR(MATCH(5024,振り分け!$W$7:$W$456,0),""))</f>
        <v/>
      </c>
      <c r="O26" s="14">
        <f>IF($B$1=1,IFERROR(MATCH(6024,$E$3:$E$452,0),""),IFERROR(MATCH(6024,振り分け!$W$7:$W$456,0),""))</f>
        <v/>
      </c>
      <c r="P26" s="14">
        <f>IF($B$1=1,IFERROR(MATCH(7024,$E$3:$E$452,0),""),IFERROR(MATCH(7024,振り分け!$W$7:$W$456,0),""))</f>
        <v/>
      </c>
      <c r="Q26" s="14">
        <f>IF($B$1=1,IFERROR(MATCH(8024,$E$3:$E$452,0),""),IFERROR(MATCH(8024,振り分け!$W$7:$W$456,0),""))</f>
        <v/>
      </c>
      <c r="R26" s="14">
        <f>IF($B$1=1,IFERROR(MATCH(9024,$E$3:$E$452,0),""),IFERROR(MATCH(9024,振り分け!$W$7:$W$456,0),""))</f>
        <v/>
      </c>
      <c r="S26" s="14">
        <f>IF($B$1=1,IFERROR(MATCH(10024,$E$3:$E$452,0),""),IFERROR(MATCH(10024,振り分け!$W$7:$W$456,0),""))</f>
        <v/>
      </c>
      <c r="T26" s="14">
        <f>IF($B$1=1,IFERROR(MATCH(11024,$E$3:$E$452,0),""),IFERROR(MATCH(11024,振り分け!$W$7:$W$456,0),""))</f>
        <v/>
      </c>
      <c r="U26" s="14">
        <f>IF($B$1=1,IFERROR(MATCH(12024,$E$3:$E$452,0),""),IFERROR(MATCH(12024,振り分け!$W$7:$W$456,0),""))</f>
        <v/>
      </c>
      <c r="V26" s="14">
        <f>IF($B$1=1,IFERROR(MATCH(13024,$E$3:$E$452,0),""),IFERROR(MATCH(13024,振り分け!$W$7:$W$456,0),""))</f>
        <v/>
      </c>
      <c r="W26" s="14">
        <f>IF($B$1=1,IFERROR(MATCH(14024,$E$3:$E$452,0),""),IFERROR(MATCH(14024,振り分け!$W$7:$W$456,0),""))</f>
        <v/>
      </c>
      <c r="X26" s="14">
        <f>IF($B$1=1,IFERROR(MATCH(15024,$E$3:$E$452,0),""),IFERROR(MATCH(15024,振り分け!$W$7:$W$456,0),""))</f>
        <v/>
      </c>
      <c r="Y26" s="14">
        <f>IF($B$1=1,IFERROR(MATCH(16024,$E$3:$E$452,0),""),IFERROR(MATCH(16024,振り分け!$W$7:$W$456,0),""))</f>
        <v/>
      </c>
      <c r="Z26" s="14">
        <f>IF($B$1=1,IFERROR(MATCH(17024,$E$3:$E$452,0),""),IFERROR(MATCH(17024,振り分け!$W$7:$W$456,0),""))</f>
        <v/>
      </c>
      <c r="AA26" s="14">
        <f>IF($B$1=1,IFERROR(MATCH(18024,$E$3:$E$452,0),""),IFERROR(MATCH(18024,振り分け!$W$7:$W$456,0),""))</f>
        <v/>
      </c>
      <c r="AB26" s="14">
        <f>IF($B$1=1,IFERROR(MATCH(19024,$E$3:$E$452,0),""),IFERROR(MATCH(19024,振り分け!$W$7:$W$456,0),""))</f>
        <v/>
      </c>
      <c r="AC26" s="14">
        <f>IF($B$1=1,IFERROR(MATCH(20024,$E$3:$E$452,0),""),IFERROR(MATCH(20024,振り分け!$W$7:$W$456,0),""))</f>
        <v/>
      </c>
    </row>
    <row r="27">
      <c r="A27" s="14">
        <f>IFERROR(MATCH(SMALL(新年度名簿!$J$2:$J$451,25),新年度名簿!$J$2:$J$451,0),"")</f>
        <v/>
      </c>
      <c r="B27" s="14">
        <f>IF(A27="","",INDEX(新年度名簿!$G$2:$G$451,A27))</f>
        <v/>
      </c>
      <c r="C27" s="14">
        <f>IF(A27="","",IFERROR(MATCH(B27,設定!$P$8:$P$27,0),""))</f>
        <v/>
      </c>
      <c r="D27" s="14">
        <f>IF(C27="","",COUNTIF($C$3:C27,C27))</f>
        <v/>
      </c>
      <c r="E27" s="14">
        <f>IF(C27="","",C27*1000+D27)</f>
        <v/>
      </c>
      <c r="F27" s="14">
        <f>IF(A27="","",INDEX(新年度名簿!$K$2:$K$451,A27))</f>
        <v/>
      </c>
      <c r="G27" s="14">
        <f>IF(A27="","",INDEX(新年度名簿!$C$2:$C$451,A27))</f>
        <v/>
      </c>
      <c r="H27" s="14">
        <f>IF(A27="","",INDEX(新年度名簿!$D$2:$D$451,A27))</f>
        <v/>
      </c>
      <c r="J27" s="14">
        <f>IF($B$1=1,IFERROR(MATCH(1025,$E$3:$E$452,0),""),IFERROR(MATCH(1025,振り分け!$W$7:$W$456,0),""))</f>
        <v/>
      </c>
      <c r="K27" s="14">
        <f>IF($B$1=1,IFERROR(MATCH(2025,$E$3:$E$452,0),""),IFERROR(MATCH(2025,振り分け!$W$7:$W$456,0),""))</f>
        <v/>
      </c>
      <c r="L27" s="14">
        <f>IF($B$1=1,IFERROR(MATCH(3025,$E$3:$E$452,0),""),IFERROR(MATCH(3025,振り分け!$W$7:$W$456,0),""))</f>
        <v/>
      </c>
      <c r="M27" s="14">
        <f>IF($B$1=1,IFERROR(MATCH(4025,$E$3:$E$452,0),""),IFERROR(MATCH(4025,振り分け!$W$7:$W$456,0),""))</f>
        <v/>
      </c>
      <c r="N27" s="14">
        <f>IF($B$1=1,IFERROR(MATCH(5025,$E$3:$E$452,0),""),IFERROR(MATCH(5025,振り分け!$W$7:$W$456,0),""))</f>
        <v/>
      </c>
      <c r="O27" s="14">
        <f>IF($B$1=1,IFERROR(MATCH(6025,$E$3:$E$452,0),""),IFERROR(MATCH(6025,振り分け!$W$7:$W$456,0),""))</f>
        <v/>
      </c>
      <c r="P27" s="14">
        <f>IF($B$1=1,IFERROR(MATCH(7025,$E$3:$E$452,0),""),IFERROR(MATCH(7025,振り分け!$W$7:$W$456,0),""))</f>
        <v/>
      </c>
      <c r="Q27" s="14">
        <f>IF($B$1=1,IFERROR(MATCH(8025,$E$3:$E$452,0),""),IFERROR(MATCH(8025,振り分け!$W$7:$W$456,0),""))</f>
        <v/>
      </c>
      <c r="R27" s="14">
        <f>IF($B$1=1,IFERROR(MATCH(9025,$E$3:$E$452,0),""),IFERROR(MATCH(9025,振り分け!$W$7:$W$456,0),""))</f>
        <v/>
      </c>
      <c r="S27" s="14">
        <f>IF($B$1=1,IFERROR(MATCH(10025,$E$3:$E$452,0),""),IFERROR(MATCH(10025,振り分け!$W$7:$W$456,0),""))</f>
        <v/>
      </c>
      <c r="T27" s="14">
        <f>IF($B$1=1,IFERROR(MATCH(11025,$E$3:$E$452,0),""),IFERROR(MATCH(11025,振り分け!$W$7:$W$456,0),""))</f>
        <v/>
      </c>
      <c r="U27" s="14">
        <f>IF($B$1=1,IFERROR(MATCH(12025,$E$3:$E$452,0),""),IFERROR(MATCH(12025,振り分け!$W$7:$W$456,0),""))</f>
        <v/>
      </c>
      <c r="V27" s="14">
        <f>IF($B$1=1,IFERROR(MATCH(13025,$E$3:$E$452,0),""),IFERROR(MATCH(13025,振り分け!$W$7:$W$456,0),""))</f>
        <v/>
      </c>
      <c r="W27" s="14">
        <f>IF($B$1=1,IFERROR(MATCH(14025,$E$3:$E$452,0),""),IFERROR(MATCH(14025,振り分け!$W$7:$W$456,0),""))</f>
        <v/>
      </c>
      <c r="X27" s="14">
        <f>IF($B$1=1,IFERROR(MATCH(15025,$E$3:$E$452,0),""),IFERROR(MATCH(15025,振り分け!$W$7:$W$456,0),""))</f>
        <v/>
      </c>
      <c r="Y27" s="14">
        <f>IF($B$1=1,IFERROR(MATCH(16025,$E$3:$E$452,0),""),IFERROR(MATCH(16025,振り分け!$W$7:$W$456,0),""))</f>
        <v/>
      </c>
      <c r="Z27" s="14">
        <f>IF($B$1=1,IFERROR(MATCH(17025,$E$3:$E$452,0),""),IFERROR(MATCH(17025,振り分け!$W$7:$W$456,0),""))</f>
        <v/>
      </c>
      <c r="AA27" s="14">
        <f>IF($B$1=1,IFERROR(MATCH(18025,$E$3:$E$452,0),""),IFERROR(MATCH(18025,振り分け!$W$7:$W$456,0),""))</f>
        <v/>
      </c>
      <c r="AB27" s="14">
        <f>IF($B$1=1,IFERROR(MATCH(19025,$E$3:$E$452,0),""),IFERROR(MATCH(19025,振り分け!$W$7:$W$456,0),""))</f>
        <v/>
      </c>
      <c r="AC27" s="14">
        <f>IF($B$1=1,IFERROR(MATCH(20025,$E$3:$E$452,0),""),IFERROR(MATCH(20025,振り分け!$W$7:$W$456,0),""))</f>
        <v/>
      </c>
    </row>
    <row r="28">
      <c r="A28" s="14">
        <f>IFERROR(MATCH(SMALL(新年度名簿!$J$2:$J$451,26),新年度名簿!$J$2:$J$451,0),"")</f>
        <v/>
      </c>
      <c r="B28" s="14">
        <f>IF(A28="","",INDEX(新年度名簿!$G$2:$G$451,A28))</f>
        <v/>
      </c>
      <c r="C28" s="14">
        <f>IF(A28="","",IFERROR(MATCH(B28,設定!$P$8:$P$27,0),""))</f>
        <v/>
      </c>
      <c r="D28" s="14">
        <f>IF(C28="","",COUNTIF($C$3:C28,C28))</f>
        <v/>
      </c>
      <c r="E28" s="14">
        <f>IF(C28="","",C28*1000+D28)</f>
        <v/>
      </c>
      <c r="F28" s="14">
        <f>IF(A28="","",INDEX(新年度名簿!$K$2:$K$451,A28))</f>
        <v/>
      </c>
      <c r="G28" s="14">
        <f>IF(A28="","",INDEX(新年度名簿!$C$2:$C$451,A28))</f>
        <v/>
      </c>
      <c r="H28" s="14">
        <f>IF(A28="","",INDEX(新年度名簿!$D$2:$D$451,A28))</f>
        <v/>
      </c>
      <c r="J28" s="14">
        <f>IF($B$1=1,IFERROR(MATCH(1026,$E$3:$E$452,0),""),IFERROR(MATCH(1026,振り分け!$W$7:$W$456,0),""))</f>
        <v/>
      </c>
      <c r="K28" s="14">
        <f>IF($B$1=1,IFERROR(MATCH(2026,$E$3:$E$452,0),""),IFERROR(MATCH(2026,振り分け!$W$7:$W$456,0),""))</f>
        <v/>
      </c>
      <c r="L28" s="14">
        <f>IF($B$1=1,IFERROR(MATCH(3026,$E$3:$E$452,0),""),IFERROR(MATCH(3026,振り分け!$W$7:$W$456,0),""))</f>
        <v/>
      </c>
      <c r="M28" s="14">
        <f>IF($B$1=1,IFERROR(MATCH(4026,$E$3:$E$452,0),""),IFERROR(MATCH(4026,振り分け!$W$7:$W$456,0),""))</f>
        <v/>
      </c>
      <c r="N28" s="14">
        <f>IF($B$1=1,IFERROR(MATCH(5026,$E$3:$E$452,0),""),IFERROR(MATCH(5026,振り分け!$W$7:$W$456,0),""))</f>
        <v/>
      </c>
      <c r="O28" s="14">
        <f>IF($B$1=1,IFERROR(MATCH(6026,$E$3:$E$452,0),""),IFERROR(MATCH(6026,振り分け!$W$7:$W$456,0),""))</f>
        <v/>
      </c>
      <c r="P28" s="14">
        <f>IF($B$1=1,IFERROR(MATCH(7026,$E$3:$E$452,0),""),IFERROR(MATCH(7026,振り分け!$W$7:$W$456,0),""))</f>
        <v/>
      </c>
      <c r="Q28" s="14">
        <f>IF($B$1=1,IFERROR(MATCH(8026,$E$3:$E$452,0),""),IFERROR(MATCH(8026,振り分け!$W$7:$W$456,0),""))</f>
        <v/>
      </c>
      <c r="R28" s="14">
        <f>IF($B$1=1,IFERROR(MATCH(9026,$E$3:$E$452,0),""),IFERROR(MATCH(9026,振り分け!$W$7:$W$456,0),""))</f>
        <v/>
      </c>
      <c r="S28" s="14">
        <f>IF($B$1=1,IFERROR(MATCH(10026,$E$3:$E$452,0),""),IFERROR(MATCH(10026,振り分け!$W$7:$W$456,0),""))</f>
        <v/>
      </c>
      <c r="T28" s="14">
        <f>IF($B$1=1,IFERROR(MATCH(11026,$E$3:$E$452,0),""),IFERROR(MATCH(11026,振り分け!$W$7:$W$456,0),""))</f>
        <v/>
      </c>
      <c r="U28" s="14">
        <f>IF($B$1=1,IFERROR(MATCH(12026,$E$3:$E$452,0),""),IFERROR(MATCH(12026,振り分け!$W$7:$W$456,0),""))</f>
        <v/>
      </c>
      <c r="V28" s="14">
        <f>IF($B$1=1,IFERROR(MATCH(13026,$E$3:$E$452,0),""),IFERROR(MATCH(13026,振り分け!$W$7:$W$456,0),""))</f>
        <v/>
      </c>
      <c r="W28" s="14">
        <f>IF($B$1=1,IFERROR(MATCH(14026,$E$3:$E$452,0),""),IFERROR(MATCH(14026,振り分け!$W$7:$W$456,0),""))</f>
        <v/>
      </c>
      <c r="X28" s="14">
        <f>IF($B$1=1,IFERROR(MATCH(15026,$E$3:$E$452,0),""),IFERROR(MATCH(15026,振り分け!$W$7:$W$456,0),""))</f>
        <v/>
      </c>
      <c r="Y28" s="14">
        <f>IF($B$1=1,IFERROR(MATCH(16026,$E$3:$E$452,0),""),IFERROR(MATCH(16026,振り分け!$W$7:$W$456,0),""))</f>
        <v/>
      </c>
      <c r="Z28" s="14">
        <f>IF($B$1=1,IFERROR(MATCH(17026,$E$3:$E$452,0),""),IFERROR(MATCH(17026,振り分け!$W$7:$W$456,0),""))</f>
        <v/>
      </c>
      <c r="AA28" s="14">
        <f>IF($B$1=1,IFERROR(MATCH(18026,$E$3:$E$452,0),""),IFERROR(MATCH(18026,振り分け!$W$7:$W$456,0),""))</f>
        <v/>
      </c>
      <c r="AB28" s="14">
        <f>IF($B$1=1,IFERROR(MATCH(19026,$E$3:$E$452,0),""),IFERROR(MATCH(19026,振り分け!$W$7:$W$456,0),""))</f>
        <v/>
      </c>
      <c r="AC28" s="14">
        <f>IF($B$1=1,IFERROR(MATCH(20026,$E$3:$E$452,0),""),IFERROR(MATCH(20026,振り分け!$W$7:$W$456,0),""))</f>
        <v/>
      </c>
    </row>
    <row r="29">
      <c r="A29" s="14">
        <f>IFERROR(MATCH(SMALL(新年度名簿!$J$2:$J$451,27),新年度名簿!$J$2:$J$451,0),"")</f>
        <v/>
      </c>
      <c r="B29" s="14">
        <f>IF(A29="","",INDEX(新年度名簿!$G$2:$G$451,A29))</f>
        <v/>
      </c>
      <c r="C29" s="14">
        <f>IF(A29="","",IFERROR(MATCH(B29,設定!$P$8:$P$27,0),""))</f>
        <v/>
      </c>
      <c r="D29" s="14">
        <f>IF(C29="","",COUNTIF($C$3:C29,C29))</f>
        <v/>
      </c>
      <c r="E29" s="14">
        <f>IF(C29="","",C29*1000+D29)</f>
        <v/>
      </c>
      <c r="F29" s="14">
        <f>IF(A29="","",INDEX(新年度名簿!$K$2:$K$451,A29))</f>
        <v/>
      </c>
      <c r="G29" s="14">
        <f>IF(A29="","",INDEX(新年度名簿!$C$2:$C$451,A29))</f>
        <v/>
      </c>
      <c r="H29" s="14">
        <f>IF(A29="","",INDEX(新年度名簿!$D$2:$D$451,A29))</f>
        <v/>
      </c>
      <c r="J29" s="14">
        <f>IF($B$1=1,IFERROR(MATCH(1027,$E$3:$E$452,0),""),IFERROR(MATCH(1027,振り分け!$W$7:$W$456,0),""))</f>
        <v/>
      </c>
      <c r="K29" s="14">
        <f>IF($B$1=1,IFERROR(MATCH(2027,$E$3:$E$452,0),""),IFERROR(MATCH(2027,振り分け!$W$7:$W$456,0),""))</f>
        <v/>
      </c>
      <c r="L29" s="14">
        <f>IF($B$1=1,IFERROR(MATCH(3027,$E$3:$E$452,0),""),IFERROR(MATCH(3027,振り分け!$W$7:$W$456,0),""))</f>
        <v/>
      </c>
      <c r="M29" s="14">
        <f>IF($B$1=1,IFERROR(MATCH(4027,$E$3:$E$452,0),""),IFERROR(MATCH(4027,振り分け!$W$7:$W$456,0),""))</f>
        <v/>
      </c>
      <c r="N29" s="14">
        <f>IF($B$1=1,IFERROR(MATCH(5027,$E$3:$E$452,0),""),IFERROR(MATCH(5027,振り分け!$W$7:$W$456,0),""))</f>
        <v/>
      </c>
      <c r="O29" s="14">
        <f>IF($B$1=1,IFERROR(MATCH(6027,$E$3:$E$452,0),""),IFERROR(MATCH(6027,振り分け!$W$7:$W$456,0),""))</f>
        <v/>
      </c>
      <c r="P29" s="14">
        <f>IF($B$1=1,IFERROR(MATCH(7027,$E$3:$E$452,0),""),IFERROR(MATCH(7027,振り分け!$W$7:$W$456,0),""))</f>
        <v/>
      </c>
      <c r="Q29" s="14">
        <f>IF($B$1=1,IFERROR(MATCH(8027,$E$3:$E$452,0),""),IFERROR(MATCH(8027,振り分け!$W$7:$W$456,0),""))</f>
        <v/>
      </c>
      <c r="R29" s="14">
        <f>IF($B$1=1,IFERROR(MATCH(9027,$E$3:$E$452,0),""),IFERROR(MATCH(9027,振り分け!$W$7:$W$456,0),""))</f>
        <v/>
      </c>
      <c r="S29" s="14">
        <f>IF($B$1=1,IFERROR(MATCH(10027,$E$3:$E$452,0),""),IFERROR(MATCH(10027,振り分け!$W$7:$W$456,0),""))</f>
        <v/>
      </c>
      <c r="T29" s="14">
        <f>IF($B$1=1,IFERROR(MATCH(11027,$E$3:$E$452,0),""),IFERROR(MATCH(11027,振り分け!$W$7:$W$456,0),""))</f>
        <v/>
      </c>
      <c r="U29" s="14">
        <f>IF($B$1=1,IFERROR(MATCH(12027,$E$3:$E$452,0),""),IFERROR(MATCH(12027,振り分け!$W$7:$W$456,0),""))</f>
        <v/>
      </c>
      <c r="V29" s="14">
        <f>IF($B$1=1,IFERROR(MATCH(13027,$E$3:$E$452,0),""),IFERROR(MATCH(13027,振り分け!$W$7:$W$456,0),""))</f>
        <v/>
      </c>
      <c r="W29" s="14">
        <f>IF($B$1=1,IFERROR(MATCH(14027,$E$3:$E$452,0),""),IFERROR(MATCH(14027,振り分け!$W$7:$W$456,0),""))</f>
        <v/>
      </c>
      <c r="X29" s="14">
        <f>IF($B$1=1,IFERROR(MATCH(15027,$E$3:$E$452,0),""),IFERROR(MATCH(15027,振り分け!$W$7:$W$456,0),""))</f>
        <v/>
      </c>
      <c r="Y29" s="14">
        <f>IF($B$1=1,IFERROR(MATCH(16027,$E$3:$E$452,0),""),IFERROR(MATCH(16027,振り分け!$W$7:$W$456,0),""))</f>
        <v/>
      </c>
      <c r="Z29" s="14">
        <f>IF($B$1=1,IFERROR(MATCH(17027,$E$3:$E$452,0),""),IFERROR(MATCH(17027,振り分け!$W$7:$W$456,0),""))</f>
        <v/>
      </c>
      <c r="AA29" s="14">
        <f>IF($B$1=1,IFERROR(MATCH(18027,$E$3:$E$452,0),""),IFERROR(MATCH(18027,振り分け!$W$7:$W$456,0),""))</f>
        <v/>
      </c>
      <c r="AB29" s="14">
        <f>IF($B$1=1,IFERROR(MATCH(19027,$E$3:$E$452,0),""),IFERROR(MATCH(19027,振り分け!$W$7:$W$456,0),""))</f>
        <v/>
      </c>
      <c r="AC29" s="14">
        <f>IF($B$1=1,IFERROR(MATCH(20027,$E$3:$E$452,0),""),IFERROR(MATCH(20027,振り分け!$W$7:$W$456,0),""))</f>
        <v/>
      </c>
    </row>
    <row r="30">
      <c r="A30" s="14">
        <f>IFERROR(MATCH(SMALL(新年度名簿!$J$2:$J$451,28),新年度名簿!$J$2:$J$451,0),"")</f>
        <v/>
      </c>
      <c r="B30" s="14">
        <f>IF(A30="","",INDEX(新年度名簿!$G$2:$G$451,A30))</f>
        <v/>
      </c>
      <c r="C30" s="14">
        <f>IF(A30="","",IFERROR(MATCH(B30,設定!$P$8:$P$27,0),""))</f>
        <v/>
      </c>
      <c r="D30" s="14">
        <f>IF(C30="","",COUNTIF($C$3:C30,C30))</f>
        <v/>
      </c>
      <c r="E30" s="14">
        <f>IF(C30="","",C30*1000+D30)</f>
        <v/>
      </c>
      <c r="F30" s="14">
        <f>IF(A30="","",INDEX(新年度名簿!$K$2:$K$451,A30))</f>
        <v/>
      </c>
      <c r="G30" s="14">
        <f>IF(A30="","",INDEX(新年度名簿!$C$2:$C$451,A30))</f>
        <v/>
      </c>
      <c r="H30" s="14">
        <f>IF(A30="","",INDEX(新年度名簿!$D$2:$D$451,A30))</f>
        <v/>
      </c>
      <c r="J30" s="14">
        <f>IF($B$1=1,IFERROR(MATCH(1028,$E$3:$E$452,0),""),IFERROR(MATCH(1028,振り分け!$W$7:$W$456,0),""))</f>
        <v/>
      </c>
      <c r="K30" s="14">
        <f>IF($B$1=1,IFERROR(MATCH(2028,$E$3:$E$452,0),""),IFERROR(MATCH(2028,振り分け!$W$7:$W$456,0),""))</f>
        <v/>
      </c>
      <c r="L30" s="14">
        <f>IF($B$1=1,IFERROR(MATCH(3028,$E$3:$E$452,0),""),IFERROR(MATCH(3028,振り分け!$W$7:$W$456,0),""))</f>
        <v/>
      </c>
      <c r="M30" s="14">
        <f>IF($B$1=1,IFERROR(MATCH(4028,$E$3:$E$452,0),""),IFERROR(MATCH(4028,振り分け!$W$7:$W$456,0),""))</f>
        <v/>
      </c>
      <c r="N30" s="14">
        <f>IF($B$1=1,IFERROR(MATCH(5028,$E$3:$E$452,0),""),IFERROR(MATCH(5028,振り分け!$W$7:$W$456,0),""))</f>
        <v/>
      </c>
      <c r="O30" s="14">
        <f>IF($B$1=1,IFERROR(MATCH(6028,$E$3:$E$452,0),""),IFERROR(MATCH(6028,振り分け!$W$7:$W$456,0),""))</f>
        <v/>
      </c>
      <c r="P30" s="14">
        <f>IF($B$1=1,IFERROR(MATCH(7028,$E$3:$E$452,0),""),IFERROR(MATCH(7028,振り分け!$W$7:$W$456,0),""))</f>
        <v/>
      </c>
      <c r="Q30" s="14">
        <f>IF($B$1=1,IFERROR(MATCH(8028,$E$3:$E$452,0),""),IFERROR(MATCH(8028,振り分け!$W$7:$W$456,0),""))</f>
        <v/>
      </c>
      <c r="R30" s="14">
        <f>IF($B$1=1,IFERROR(MATCH(9028,$E$3:$E$452,0),""),IFERROR(MATCH(9028,振り分け!$W$7:$W$456,0),""))</f>
        <v/>
      </c>
      <c r="S30" s="14">
        <f>IF($B$1=1,IFERROR(MATCH(10028,$E$3:$E$452,0),""),IFERROR(MATCH(10028,振り分け!$W$7:$W$456,0),""))</f>
        <v/>
      </c>
      <c r="T30" s="14">
        <f>IF($B$1=1,IFERROR(MATCH(11028,$E$3:$E$452,0),""),IFERROR(MATCH(11028,振り分け!$W$7:$W$456,0),""))</f>
        <v/>
      </c>
      <c r="U30" s="14">
        <f>IF($B$1=1,IFERROR(MATCH(12028,$E$3:$E$452,0),""),IFERROR(MATCH(12028,振り分け!$W$7:$W$456,0),""))</f>
        <v/>
      </c>
      <c r="V30" s="14">
        <f>IF($B$1=1,IFERROR(MATCH(13028,$E$3:$E$452,0),""),IFERROR(MATCH(13028,振り分け!$W$7:$W$456,0),""))</f>
        <v/>
      </c>
      <c r="W30" s="14">
        <f>IF($B$1=1,IFERROR(MATCH(14028,$E$3:$E$452,0),""),IFERROR(MATCH(14028,振り分け!$W$7:$W$456,0),""))</f>
        <v/>
      </c>
      <c r="X30" s="14">
        <f>IF($B$1=1,IFERROR(MATCH(15028,$E$3:$E$452,0),""),IFERROR(MATCH(15028,振り分け!$W$7:$W$456,0),""))</f>
        <v/>
      </c>
      <c r="Y30" s="14">
        <f>IF($B$1=1,IFERROR(MATCH(16028,$E$3:$E$452,0),""),IFERROR(MATCH(16028,振り分け!$W$7:$W$456,0),""))</f>
        <v/>
      </c>
      <c r="Z30" s="14">
        <f>IF($B$1=1,IFERROR(MATCH(17028,$E$3:$E$452,0),""),IFERROR(MATCH(17028,振り分け!$W$7:$W$456,0),""))</f>
        <v/>
      </c>
      <c r="AA30" s="14">
        <f>IF($B$1=1,IFERROR(MATCH(18028,$E$3:$E$452,0),""),IFERROR(MATCH(18028,振り分け!$W$7:$W$456,0),""))</f>
        <v/>
      </c>
      <c r="AB30" s="14">
        <f>IF($B$1=1,IFERROR(MATCH(19028,$E$3:$E$452,0),""),IFERROR(MATCH(19028,振り分け!$W$7:$W$456,0),""))</f>
        <v/>
      </c>
      <c r="AC30" s="14">
        <f>IF($B$1=1,IFERROR(MATCH(20028,$E$3:$E$452,0),""),IFERROR(MATCH(20028,振り分け!$W$7:$W$456,0),""))</f>
        <v/>
      </c>
    </row>
    <row r="31">
      <c r="A31" s="14">
        <f>IFERROR(MATCH(SMALL(新年度名簿!$J$2:$J$451,29),新年度名簿!$J$2:$J$451,0),"")</f>
        <v/>
      </c>
      <c r="B31" s="14">
        <f>IF(A31="","",INDEX(新年度名簿!$G$2:$G$451,A31))</f>
        <v/>
      </c>
      <c r="C31" s="14">
        <f>IF(A31="","",IFERROR(MATCH(B31,設定!$P$8:$P$27,0),""))</f>
        <v/>
      </c>
      <c r="D31" s="14">
        <f>IF(C31="","",COUNTIF($C$3:C31,C31))</f>
        <v/>
      </c>
      <c r="E31" s="14">
        <f>IF(C31="","",C31*1000+D31)</f>
        <v/>
      </c>
      <c r="F31" s="14">
        <f>IF(A31="","",INDEX(新年度名簿!$K$2:$K$451,A31))</f>
        <v/>
      </c>
      <c r="G31" s="14">
        <f>IF(A31="","",INDEX(新年度名簿!$C$2:$C$451,A31))</f>
        <v/>
      </c>
      <c r="H31" s="14">
        <f>IF(A31="","",INDEX(新年度名簿!$D$2:$D$451,A31))</f>
        <v/>
      </c>
      <c r="J31" s="14">
        <f>IF($B$1=1,IFERROR(MATCH(1029,$E$3:$E$452,0),""),IFERROR(MATCH(1029,振り分け!$W$7:$W$456,0),""))</f>
        <v/>
      </c>
      <c r="K31" s="14">
        <f>IF($B$1=1,IFERROR(MATCH(2029,$E$3:$E$452,0),""),IFERROR(MATCH(2029,振り分け!$W$7:$W$456,0),""))</f>
        <v/>
      </c>
      <c r="L31" s="14">
        <f>IF($B$1=1,IFERROR(MATCH(3029,$E$3:$E$452,0),""),IFERROR(MATCH(3029,振り分け!$W$7:$W$456,0),""))</f>
        <v/>
      </c>
      <c r="M31" s="14">
        <f>IF($B$1=1,IFERROR(MATCH(4029,$E$3:$E$452,0),""),IFERROR(MATCH(4029,振り分け!$W$7:$W$456,0),""))</f>
        <v/>
      </c>
      <c r="N31" s="14">
        <f>IF($B$1=1,IFERROR(MATCH(5029,$E$3:$E$452,0),""),IFERROR(MATCH(5029,振り分け!$W$7:$W$456,0),""))</f>
        <v/>
      </c>
      <c r="O31" s="14">
        <f>IF($B$1=1,IFERROR(MATCH(6029,$E$3:$E$452,0),""),IFERROR(MATCH(6029,振り分け!$W$7:$W$456,0),""))</f>
        <v/>
      </c>
      <c r="P31" s="14">
        <f>IF($B$1=1,IFERROR(MATCH(7029,$E$3:$E$452,0),""),IFERROR(MATCH(7029,振り分け!$W$7:$W$456,0),""))</f>
        <v/>
      </c>
      <c r="Q31" s="14">
        <f>IF($B$1=1,IFERROR(MATCH(8029,$E$3:$E$452,0),""),IFERROR(MATCH(8029,振り分け!$W$7:$W$456,0),""))</f>
        <v/>
      </c>
      <c r="R31" s="14">
        <f>IF($B$1=1,IFERROR(MATCH(9029,$E$3:$E$452,0),""),IFERROR(MATCH(9029,振り分け!$W$7:$W$456,0),""))</f>
        <v/>
      </c>
      <c r="S31" s="14">
        <f>IF($B$1=1,IFERROR(MATCH(10029,$E$3:$E$452,0),""),IFERROR(MATCH(10029,振り分け!$W$7:$W$456,0),""))</f>
        <v/>
      </c>
      <c r="T31" s="14">
        <f>IF($B$1=1,IFERROR(MATCH(11029,$E$3:$E$452,0),""),IFERROR(MATCH(11029,振り分け!$W$7:$W$456,0),""))</f>
        <v/>
      </c>
      <c r="U31" s="14">
        <f>IF($B$1=1,IFERROR(MATCH(12029,$E$3:$E$452,0),""),IFERROR(MATCH(12029,振り分け!$W$7:$W$456,0),""))</f>
        <v/>
      </c>
      <c r="V31" s="14">
        <f>IF($B$1=1,IFERROR(MATCH(13029,$E$3:$E$452,0),""),IFERROR(MATCH(13029,振り分け!$W$7:$W$456,0),""))</f>
        <v/>
      </c>
      <c r="W31" s="14">
        <f>IF($B$1=1,IFERROR(MATCH(14029,$E$3:$E$452,0),""),IFERROR(MATCH(14029,振り分け!$W$7:$W$456,0),""))</f>
        <v/>
      </c>
      <c r="X31" s="14">
        <f>IF($B$1=1,IFERROR(MATCH(15029,$E$3:$E$452,0),""),IFERROR(MATCH(15029,振り分け!$W$7:$W$456,0),""))</f>
        <v/>
      </c>
      <c r="Y31" s="14">
        <f>IF($B$1=1,IFERROR(MATCH(16029,$E$3:$E$452,0),""),IFERROR(MATCH(16029,振り分け!$W$7:$W$456,0),""))</f>
        <v/>
      </c>
      <c r="Z31" s="14">
        <f>IF($B$1=1,IFERROR(MATCH(17029,$E$3:$E$452,0),""),IFERROR(MATCH(17029,振り分け!$W$7:$W$456,0),""))</f>
        <v/>
      </c>
      <c r="AA31" s="14">
        <f>IF($B$1=1,IFERROR(MATCH(18029,$E$3:$E$452,0),""),IFERROR(MATCH(18029,振り分け!$W$7:$W$456,0),""))</f>
        <v/>
      </c>
      <c r="AB31" s="14">
        <f>IF($B$1=1,IFERROR(MATCH(19029,$E$3:$E$452,0),""),IFERROR(MATCH(19029,振り分け!$W$7:$W$456,0),""))</f>
        <v/>
      </c>
      <c r="AC31" s="14">
        <f>IF($B$1=1,IFERROR(MATCH(20029,$E$3:$E$452,0),""),IFERROR(MATCH(20029,振り分け!$W$7:$W$456,0),""))</f>
        <v/>
      </c>
    </row>
    <row r="32">
      <c r="A32" s="14">
        <f>IFERROR(MATCH(SMALL(新年度名簿!$J$2:$J$451,30),新年度名簿!$J$2:$J$451,0),"")</f>
        <v/>
      </c>
      <c r="B32" s="14">
        <f>IF(A32="","",INDEX(新年度名簿!$G$2:$G$451,A32))</f>
        <v/>
      </c>
      <c r="C32" s="14">
        <f>IF(A32="","",IFERROR(MATCH(B32,設定!$P$8:$P$27,0),""))</f>
        <v/>
      </c>
      <c r="D32" s="14">
        <f>IF(C32="","",COUNTIF($C$3:C32,C32))</f>
        <v/>
      </c>
      <c r="E32" s="14">
        <f>IF(C32="","",C32*1000+D32)</f>
        <v/>
      </c>
      <c r="F32" s="14">
        <f>IF(A32="","",INDEX(新年度名簿!$K$2:$K$451,A32))</f>
        <v/>
      </c>
      <c r="G32" s="14">
        <f>IF(A32="","",INDEX(新年度名簿!$C$2:$C$451,A32))</f>
        <v/>
      </c>
      <c r="H32" s="14">
        <f>IF(A32="","",INDEX(新年度名簿!$D$2:$D$451,A32))</f>
        <v/>
      </c>
      <c r="J32" s="14">
        <f>IF($B$1=1,IFERROR(MATCH(1030,$E$3:$E$452,0),""),IFERROR(MATCH(1030,振り分け!$W$7:$W$456,0),""))</f>
        <v/>
      </c>
      <c r="K32" s="14">
        <f>IF($B$1=1,IFERROR(MATCH(2030,$E$3:$E$452,0),""),IFERROR(MATCH(2030,振り分け!$W$7:$W$456,0),""))</f>
        <v/>
      </c>
      <c r="L32" s="14">
        <f>IF($B$1=1,IFERROR(MATCH(3030,$E$3:$E$452,0),""),IFERROR(MATCH(3030,振り分け!$W$7:$W$456,0),""))</f>
        <v/>
      </c>
      <c r="M32" s="14">
        <f>IF($B$1=1,IFERROR(MATCH(4030,$E$3:$E$452,0),""),IFERROR(MATCH(4030,振り分け!$W$7:$W$456,0),""))</f>
        <v/>
      </c>
      <c r="N32" s="14">
        <f>IF($B$1=1,IFERROR(MATCH(5030,$E$3:$E$452,0),""),IFERROR(MATCH(5030,振り分け!$W$7:$W$456,0),""))</f>
        <v/>
      </c>
      <c r="O32" s="14">
        <f>IF($B$1=1,IFERROR(MATCH(6030,$E$3:$E$452,0),""),IFERROR(MATCH(6030,振り分け!$W$7:$W$456,0),""))</f>
        <v/>
      </c>
      <c r="P32" s="14">
        <f>IF($B$1=1,IFERROR(MATCH(7030,$E$3:$E$452,0),""),IFERROR(MATCH(7030,振り分け!$W$7:$W$456,0),""))</f>
        <v/>
      </c>
      <c r="Q32" s="14">
        <f>IF($B$1=1,IFERROR(MATCH(8030,$E$3:$E$452,0),""),IFERROR(MATCH(8030,振り分け!$W$7:$W$456,0),""))</f>
        <v/>
      </c>
      <c r="R32" s="14">
        <f>IF($B$1=1,IFERROR(MATCH(9030,$E$3:$E$452,0),""),IFERROR(MATCH(9030,振り分け!$W$7:$W$456,0),""))</f>
        <v/>
      </c>
      <c r="S32" s="14">
        <f>IF($B$1=1,IFERROR(MATCH(10030,$E$3:$E$452,0),""),IFERROR(MATCH(10030,振り分け!$W$7:$W$456,0),""))</f>
        <v/>
      </c>
      <c r="T32" s="14">
        <f>IF($B$1=1,IFERROR(MATCH(11030,$E$3:$E$452,0),""),IFERROR(MATCH(11030,振り分け!$W$7:$W$456,0),""))</f>
        <v/>
      </c>
      <c r="U32" s="14">
        <f>IF($B$1=1,IFERROR(MATCH(12030,$E$3:$E$452,0),""),IFERROR(MATCH(12030,振り分け!$W$7:$W$456,0),""))</f>
        <v/>
      </c>
      <c r="V32" s="14">
        <f>IF($B$1=1,IFERROR(MATCH(13030,$E$3:$E$452,0),""),IFERROR(MATCH(13030,振り分け!$W$7:$W$456,0),""))</f>
        <v/>
      </c>
      <c r="W32" s="14">
        <f>IF($B$1=1,IFERROR(MATCH(14030,$E$3:$E$452,0),""),IFERROR(MATCH(14030,振り分け!$W$7:$W$456,0),""))</f>
        <v/>
      </c>
      <c r="X32" s="14">
        <f>IF($B$1=1,IFERROR(MATCH(15030,$E$3:$E$452,0),""),IFERROR(MATCH(15030,振り分け!$W$7:$W$456,0),""))</f>
        <v/>
      </c>
      <c r="Y32" s="14">
        <f>IF($B$1=1,IFERROR(MATCH(16030,$E$3:$E$452,0),""),IFERROR(MATCH(16030,振り分け!$W$7:$W$456,0),""))</f>
        <v/>
      </c>
      <c r="Z32" s="14">
        <f>IF($B$1=1,IFERROR(MATCH(17030,$E$3:$E$452,0),""),IFERROR(MATCH(17030,振り分け!$W$7:$W$456,0),""))</f>
        <v/>
      </c>
      <c r="AA32" s="14">
        <f>IF($B$1=1,IFERROR(MATCH(18030,$E$3:$E$452,0),""),IFERROR(MATCH(18030,振り分け!$W$7:$W$456,0),""))</f>
        <v/>
      </c>
      <c r="AB32" s="14">
        <f>IF($B$1=1,IFERROR(MATCH(19030,$E$3:$E$452,0),""),IFERROR(MATCH(19030,振り分け!$W$7:$W$456,0),""))</f>
        <v/>
      </c>
      <c r="AC32" s="14">
        <f>IF($B$1=1,IFERROR(MATCH(20030,$E$3:$E$452,0),""),IFERROR(MATCH(20030,振り分け!$W$7:$W$456,0),""))</f>
        <v/>
      </c>
    </row>
    <row r="33">
      <c r="A33" s="14">
        <f>IFERROR(MATCH(SMALL(新年度名簿!$J$2:$J$451,31),新年度名簿!$J$2:$J$451,0),"")</f>
        <v/>
      </c>
      <c r="B33" s="14">
        <f>IF(A33="","",INDEX(新年度名簿!$G$2:$G$451,A33))</f>
        <v/>
      </c>
      <c r="C33" s="14">
        <f>IF(A33="","",IFERROR(MATCH(B33,設定!$P$8:$P$27,0),""))</f>
        <v/>
      </c>
      <c r="D33" s="14">
        <f>IF(C33="","",COUNTIF($C$3:C33,C33))</f>
        <v/>
      </c>
      <c r="E33" s="14">
        <f>IF(C33="","",C33*1000+D33)</f>
        <v/>
      </c>
      <c r="F33" s="14">
        <f>IF(A33="","",INDEX(新年度名簿!$K$2:$K$451,A33))</f>
        <v/>
      </c>
      <c r="G33" s="14">
        <f>IF(A33="","",INDEX(新年度名簿!$C$2:$C$451,A33))</f>
        <v/>
      </c>
      <c r="H33" s="14">
        <f>IF(A33="","",INDEX(新年度名簿!$D$2:$D$451,A33))</f>
        <v/>
      </c>
      <c r="J33" s="14">
        <f>IF($B$1=1,IFERROR(MATCH(1031,$E$3:$E$452,0),""),IFERROR(MATCH(1031,振り分け!$W$7:$W$456,0),""))</f>
        <v/>
      </c>
      <c r="K33" s="14">
        <f>IF($B$1=1,IFERROR(MATCH(2031,$E$3:$E$452,0),""),IFERROR(MATCH(2031,振り分け!$W$7:$W$456,0),""))</f>
        <v/>
      </c>
      <c r="L33" s="14">
        <f>IF($B$1=1,IFERROR(MATCH(3031,$E$3:$E$452,0),""),IFERROR(MATCH(3031,振り分け!$W$7:$W$456,0),""))</f>
        <v/>
      </c>
      <c r="M33" s="14">
        <f>IF($B$1=1,IFERROR(MATCH(4031,$E$3:$E$452,0),""),IFERROR(MATCH(4031,振り分け!$W$7:$W$456,0),""))</f>
        <v/>
      </c>
      <c r="N33" s="14">
        <f>IF($B$1=1,IFERROR(MATCH(5031,$E$3:$E$452,0),""),IFERROR(MATCH(5031,振り分け!$W$7:$W$456,0),""))</f>
        <v/>
      </c>
      <c r="O33" s="14">
        <f>IF($B$1=1,IFERROR(MATCH(6031,$E$3:$E$452,0),""),IFERROR(MATCH(6031,振り分け!$W$7:$W$456,0),""))</f>
        <v/>
      </c>
      <c r="P33" s="14">
        <f>IF($B$1=1,IFERROR(MATCH(7031,$E$3:$E$452,0),""),IFERROR(MATCH(7031,振り分け!$W$7:$W$456,0),""))</f>
        <v/>
      </c>
      <c r="Q33" s="14">
        <f>IF($B$1=1,IFERROR(MATCH(8031,$E$3:$E$452,0),""),IFERROR(MATCH(8031,振り分け!$W$7:$W$456,0),""))</f>
        <v/>
      </c>
      <c r="R33" s="14">
        <f>IF($B$1=1,IFERROR(MATCH(9031,$E$3:$E$452,0),""),IFERROR(MATCH(9031,振り分け!$W$7:$W$456,0),""))</f>
        <v/>
      </c>
      <c r="S33" s="14">
        <f>IF($B$1=1,IFERROR(MATCH(10031,$E$3:$E$452,0),""),IFERROR(MATCH(10031,振り分け!$W$7:$W$456,0),""))</f>
        <v/>
      </c>
      <c r="T33" s="14">
        <f>IF($B$1=1,IFERROR(MATCH(11031,$E$3:$E$452,0),""),IFERROR(MATCH(11031,振り分け!$W$7:$W$456,0),""))</f>
        <v/>
      </c>
      <c r="U33" s="14">
        <f>IF($B$1=1,IFERROR(MATCH(12031,$E$3:$E$452,0),""),IFERROR(MATCH(12031,振り分け!$W$7:$W$456,0),""))</f>
        <v/>
      </c>
      <c r="V33" s="14">
        <f>IF($B$1=1,IFERROR(MATCH(13031,$E$3:$E$452,0),""),IFERROR(MATCH(13031,振り分け!$W$7:$W$456,0),""))</f>
        <v/>
      </c>
      <c r="W33" s="14">
        <f>IF($B$1=1,IFERROR(MATCH(14031,$E$3:$E$452,0),""),IFERROR(MATCH(14031,振り分け!$W$7:$W$456,0),""))</f>
        <v/>
      </c>
      <c r="X33" s="14">
        <f>IF($B$1=1,IFERROR(MATCH(15031,$E$3:$E$452,0),""),IFERROR(MATCH(15031,振り分け!$W$7:$W$456,0),""))</f>
        <v/>
      </c>
      <c r="Y33" s="14">
        <f>IF($B$1=1,IFERROR(MATCH(16031,$E$3:$E$452,0),""),IFERROR(MATCH(16031,振り分け!$W$7:$W$456,0),""))</f>
        <v/>
      </c>
      <c r="Z33" s="14">
        <f>IF($B$1=1,IFERROR(MATCH(17031,$E$3:$E$452,0),""),IFERROR(MATCH(17031,振り分け!$W$7:$W$456,0),""))</f>
        <v/>
      </c>
      <c r="AA33" s="14">
        <f>IF($B$1=1,IFERROR(MATCH(18031,$E$3:$E$452,0),""),IFERROR(MATCH(18031,振り分け!$W$7:$W$456,0),""))</f>
        <v/>
      </c>
      <c r="AB33" s="14">
        <f>IF($B$1=1,IFERROR(MATCH(19031,$E$3:$E$452,0),""),IFERROR(MATCH(19031,振り分け!$W$7:$W$456,0),""))</f>
        <v/>
      </c>
      <c r="AC33" s="14">
        <f>IF($B$1=1,IFERROR(MATCH(20031,$E$3:$E$452,0),""),IFERROR(MATCH(20031,振り分け!$W$7:$W$456,0),""))</f>
        <v/>
      </c>
    </row>
    <row r="34">
      <c r="A34" s="14">
        <f>IFERROR(MATCH(SMALL(新年度名簿!$J$2:$J$451,32),新年度名簿!$J$2:$J$451,0),"")</f>
        <v/>
      </c>
      <c r="B34" s="14">
        <f>IF(A34="","",INDEX(新年度名簿!$G$2:$G$451,A34))</f>
        <v/>
      </c>
      <c r="C34" s="14">
        <f>IF(A34="","",IFERROR(MATCH(B34,設定!$P$8:$P$27,0),""))</f>
        <v/>
      </c>
      <c r="D34" s="14">
        <f>IF(C34="","",COUNTIF($C$3:C34,C34))</f>
        <v/>
      </c>
      <c r="E34" s="14">
        <f>IF(C34="","",C34*1000+D34)</f>
        <v/>
      </c>
      <c r="F34" s="14">
        <f>IF(A34="","",INDEX(新年度名簿!$K$2:$K$451,A34))</f>
        <v/>
      </c>
      <c r="G34" s="14">
        <f>IF(A34="","",INDEX(新年度名簿!$C$2:$C$451,A34))</f>
        <v/>
      </c>
      <c r="H34" s="14">
        <f>IF(A34="","",INDEX(新年度名簿!$D$2:$D$451,A34))</f>
        <v/>
      </c>
      <c r="J34" s="14">
        <f>IF($B$1=1,IFERROR(MATCH(1032,$E$3:$E$452,0),""),IFERROR(MATCH(1032,振り分け!$W$7:$W$456,0),""))</f>
        <v/>
      </c>
      <c r="K34" s="14">
        <f>IF($B$1=1,IFERROR(MATCH(2032,$E$3:$E$452,0),""),IFERROR(MATCH(2032,振り分け!$W$7:$W$456,0),""))</f>
        <v/>
      </c>
      <c r="L34" s="14">
        <f>IF($B$1=1,IFERROR(MATCH(3032,$E$3:$E$452,0),""),IFERROR(MATCH(3032,振り分け!$W$7:$W$456,0),""))</f>
        <v/>
      </c>
      <c r="M34" s="14">
        <f>IF($B$1=1,IFERROR(MATCH(4032,$E$3:$E$452,0),""),IFERROR(MATCH(4032,振り分け!$W$7:$W$456,0),""))</f>
        <v/>
      </c>
      <c r="N34" s="14">
        <f>IF($B$1=1,IFERROR(MATCH(5032,$E$3:$E$452,0),""),IFERROR(MATCH(5032,振り分け!$W$7:$W$456,0),""))</f>
        <v/>
      </c>
      <c r="O34" s="14">
        <f>IF($B$1=1,IFERROR(MATCH(6032,$E$3:$E$452,0),""),IFERROR(MATCH(6032,振り分け!$W$7:$W$456,0),""))</f>
        <v/>
      </c>
      <c r="P34" s="14">
        <f>IF($B$1=1,IFERROR(MATCH(7032,$E$3:$E$452,0),""),IFERROR(MATCH(7032,振り分け!$W$7:$W$456,0),""))</f>
        <v/>
      </c>
      <c r="Q34" s="14">
        <f>IF($B$1=1,IFERROR(MATCH(8032,$E$3:$E$452,0),""),IFERROR(MATCH(8032,振り分け!$W$7:$W$456,0),""))</f>
        <v/>
      </c>
      <c r="R34" s="14">
        <f>IF($B$1=1,IFERROR(MATCH(9032,$E$3:$E$452,0),""),IFERROR(MATCH(9032,振り分け!$W$7:$W$456,0),""))</f>
        <v/>
      </c>
      <c r="S34" s="14">
        <f>IF($B$1=1,IFERROR(MATCH(10032,$E$3:$E$452,0),""),IFERROR(MATCH(10032,振り分け!$W$7:$W$456,0),""))</f>
        <v/>
      </c>
      <c r="T34" s="14">
        <f>IF($B$1=1,IFERROR(MATCH(11032,$E$3:$E$452,0),""),IFERROR(MATCH(11032,振り分け!$W$7:$W$456,0),""))</f>
        <v/>
      </c>
      <c r="U34" s="14">
        <f>IF($B$1=1,IFERROR(MATCH(12032,$E$3:$E$452,0),""),IFERROR(MATCH(12032,振り分け!$W$7:$W$456,0),""))</f>
        <v/>
      </c>
      <c r="V34" s="14">
        <f>IF($B$1=1,IFERROR(MATCH(13032,$E$3:$E$452,0),""),IFERROR(MATCH(13032,振り分け!$W$7:$W$456,0),""))</f>
        <v/>
      </c>
      <c r="W34" s="14">
        <f>IF($B$1=1,IFERROR(MATCH(14032,$E$3:$E$452,0),""),IFERROR(MATCH(14032,振り分け!$W$7:$W$456,0),""))</f>
        <v/>
      </c>
      <c r="X34" s="14">
        <f>IF($B$1=1,IFERROR(MATCH(15032,$E$3:$E$452,0),""),IFERROR(MATCH(15032,振り分け!$W$7:$W$456,0),""))</f>
        <v/>
      </c>
      <c r="Y34" s="14">
        <f>IF($B$1=1,IFERROR(MATCH(16032,$E$3:$E$452,0),""),IFERROR(MATCH(16032,振り分け!$W$7:$W$456,0),""))</f>
        <v/>
      </c>
      <c r="Z34" s="14">
        <f>IF($B$1=1,IFERROR(MATCH(17032,$E$3:$E$452,0),""),IFERROR(MATCH(17032,振り分け!$W$7:$W$456,0),""))</f>
        <v/>
      </c>
      <c r="AA34" s="14">
        <f>IF($B$1=1,IFERROR(MATCH(18032,$E$3:$E$452,0),""),IFERROR(MATCH(18032,振り分け!$W$7:$W$456,0),""))</f>
        <v/>
      </c>
      <c r="AB34" s="14">
        <f>IF($B$1=1,IFERROR(MATCH(19032,$E$3:$E$452,0),""),IFERROR(MATCH(19032,振り分け!$W$7:$W$456,0),""))</f>
        <v/>
      </c>
      <c r="AC34" s="14">
        <f>IF($B$1=1,IFERROR(MATCH(20032,$E$3:$E$452,0),""),IFERROR(MATCH(20032,振り分け!$W$7:$W$456,0),""))</f>
        <v/>
      </c>
    </row>
    <row r="35">
      <c r="A35" s="14">
        <f>IFERROR(MATCH(SMALL(新年度名簿!$J$2:$J$451,33),新年度名簿!$J$2:$J$451,0),"")</f>
        <v/>
      </c>
      <c r="B35" s="14">
        <f>IF(A35="","",INDEX(新年度名簿!$G$2:$G$451,A35))</f>
        <v/>
      </c>
      <c r="C35" s="14">
        <f>IF(A35="","",IFERROR(MATCH(B35,設定!$P$8:$P$27,0),""))</f>
        <v/>
      </c>
      <c r="D35" s="14">
        <f>IF(C35="","",COUNTIF($C$3:C35,C35))</f>
        <v/>
      </c>
      <c r="E35" s="14">
        <f>IF(C35="","",C35*1000+D35)</f>
        <v/>
      </c>
      <c r="F35" s="14">
        <f>IF(A35="","",INDEX(新年度名簿!$K$2:$K$451,A35))</f>
        <v/>
      </c>
      <c r="G35" s="14">
        <f>IF(A35="","",INDEX(新年度名簿!$C$2:$C$451,A35))</f>
        <v/>
      </c>
      <c r="H35" s="14">
        <f>IF(A35="","",INDEX(新年度名簿!$D$2:$D$451,A35))</f>
        <v/>
      </c>
      <c r="J35" s="14">
        <f>IF($B$1=1,IFERROR(MATCH(1033,$E$3:$E$452,0),""),IFERROR(MATCH(1033,振り分け!$W$7:$W$456,0),""))</f>
        <v/>
      </c>
      <c r="K35" s="14">
        <f>IF($B$1=1,IFERROR(MATCH(2033,$E$3:$E$452,0),""),IFERROR(MATCH(2033,振り分け!$W$7:$W$456,0),""))</f>
        <v/>
      </c>
      <c r="L35" s="14">
        <f>IF($B$1=1,IFERROR(MATCH(3033,$E$3:$E$452,0),""),IFERROR(MATCH(3033,振り分け!$W$7:$W$456,0),""))</f>
        <v/>
      </c>
      <c r="M35" s="14">
        <f>IF($B$1=1,IFERROR(MATCH(4033,$E$3:$E$452,0),""),IFERROR(MATCH(4033,振り分け!$W$7:$W$456,0),""))</f>
        <v/>
      </c>
      <c r="N35" s="14">
        <f>IF($B$1=1,IFERROR(MATCH(5033,$E$3:$E$452,0),""),IFERROR(MATCH(5033,振り分け!$W$7:$W$456,0),""))</f>
        <v/>
      </c>
      <c r="O35" s="14">
        <f>IF($B$1=1,IFERROR(MATCH(6033,$E$3:$E$452,0),""),IFERROR(MATCH(6033,振り分け!$W$7:$W$456,0),""))</f>
        <v/>
      </c>
      <c r="P35" s="14">
        <f>IF($B$1=1,IFERROR(MATCH(7033,$E$3:$E$452,0),""),IFERROR(MATCH(7033,振り分け!$W$7:$W$456,0),""))</f>
        <v/>
      </c>
      <c r="Q35" s="14">
        <f>IF($B$1=1,IFERROR(MATCH(8033,$E$3:$E$452,0),""),IFERROR(MATCH(8033,振り分け!$W$7:$W$456,0),""))</f>
        <v/>
      </c>
      <c r="R35" s="14">
        <f>IF($B$1=1,IFERROR(MATCH(9033,$E$3:$E$452,0),""),IFERROR(MATCH(9033,振り分け!$W$7:$W$456,0),""))</f>
        <v/>
      </c>
      <c r="S35" s="14">
        <f>IF($B$1=1,IFERROR(MATCH(10033,$E$3:$E$452,0),""),IFERROR(MATCH(10033,振り分け!$W$7:$W$456,0),""))</f>
        <v/>
      </c>
      <c r="T35" s="14">
        <f>IF($B$1=1,IFERROR(MATCH(11033,$E$3:$E$452,0),""),IFERROR(MATCH(11033,振り分け!$W$7:$W$456,0),""))</f>
        <v/>
      </c>
      <c r="U35" s="14">
        <f>IF($B$1=1,IFERROR(MATCH(12033,$E$3:$E$452,0),""),IFERROR(MATCH(12033,振り分け!$W$7:$W$456,0),""))</f>
        <v/>
      </c>
      <c r="V35" s="14">
        <f>IF($B$1=1,IFERROR(MATCH(13033,$E$3:$E$452,0),""),IFERROR(MATCH(13033,振り分け!$W$7:$W$456,0),""))</f>
        <v/>
      </c>
      <c r="W35" s="14">
        <f>IF($B$1=1,IFERROR(MATCH(14033,$E$3:$E$452,0),""),IFERROR(MATCH(14033,振り分け!$W$7:$W$456,0),""))</f>
        <v/>
      </c>
      <c r="X35" s="14">
        <f>IF($B$1=1,IFERROR(MATCH(15033,$E$3:$E$452,0),""),IFERROR(MATCH(15033,振り分け!$W$7:$W$456,0),""))</f>
        <v/>
      </c>
      <c r="Y35" s="14">
        <f>IF($B$1=1,IFERROR(MATCH(16033,$E$3:$E$452,0),""),IFERROR(MATCH(16033,振り分け!$W$7:$W$456,0),""))</f>
        <v/>
      </c>
      <c r="Z35" s="14">
        <f>IF($B$1=1,IFERROR(MATCH(17033,$E$3:$E$452,0),""),IFERROR(MATCH(17033,振り分け!$W$7:$W$456,0),""))</f>
        <v/>
      </c>
      <c r="AA35" s="14">
        <f>IF($B$1=1,IFERROR(MATCH(18033,$E$3:$E$452,0),""),IFERROR(MATCH(18033,振り分け!$W$7:$W$456,0),""))</f>
        <v/>
      </c>
      <c r="AB35" s="14">
        <f>IF($B$1=1,IFERROR(MATCH(19033,$E$3:$E$452,0),""),IFERROR(MATCH(19033,振り分け!$W$7:$W$456,0),""))</f>
        <v/>
      </c>
      <c r="AC35" s="14">
        <f>IF($B$1=1,IFERROR(MATCH(20033,$E$3:$E$452,0),""),IFERROR(MATCH(20033,振り分け!$W$7:$W$456,0),""))</f>
        <v/>
      </c>
    </row>
    <row r="36">
      <c r="A36" s="14">
        <f>IFERROR(MATCH(SMALL(新年度名簿!$J$2:$J$451,34),新年度名簿!$J$2:$J$451,0),"")</f>
        <v/>
      </c>
      <c r="B36" s="14">
        <f>IF(A36="","",INDEX(新年度名簿!$G$2:$G$451,A36))</f>
        <v/>
      </c>
      <c r="C36" s="14">
        <f>IF(A36="","",IFERROR(MATCH(B36,設定!$P$8:$P$27,0),""))</f>
        <v/>
      </c>
      <c r="D36" s="14">
        <f>IF(C36="","",COUNTIF($C$3:C36,C36))</f>
        <v/>
      </c>
      <c r="E36" s="14">
        <f>IF(C36="","",C36*1000+D36)</f>
        <v/>
      </c>
      <c r="F36" s="14">
        <f>IF(A36="","",INDEX(新年度名簿!$K$2:$K$451,A36))</f>
        <v/>
      </c>
      <c r="G36" s="14">
        <f>IF(A36="","",INDEX(新年度名簿!$C$2:$C$451,A36))</f>
        <v/>
      </c>
      <c r="H36" s="14">
        <f>IF(A36="","",INDEX(新年度名簿!$D$2:$D$451,A36))</f>
        <v/>
      </c>
      <c r="J36" s="14">
        <f>IF($B$1=1,IFERROR(MATCH(1034,$E$3:$E$452,0),""),IFERROR(MATCH(1034,振り分け!$W$7:$W$456,0),""))</f>
        <v/>
      </c>
      <c r="K36" s="14">
        <f>IF($B$1=1,IFERROR(MATCH(2034,$E$3:$E$452,0),""),IFERROR(MATCH(2034,振り分け!$W$7:$W$456,0),""))</f>
        <v/>
      </c>
      <c r="L36" s="14">
        <f>IF($B$1=1,IFERROR(MATCH(3034,$E$3:$E$452,0),""),IFERROR(MATCH(3034,振り分け!$W$7:$W$456,0),""))</f>
        <v/>
      </c>
      <c r="M36" s="14">
        <f>IF($B$1=1,IFERROR(MATCH(4034,$E$3:$E$452,0),""),IFERROR(MATCH(4034,振り分け!$W$7:$W$456,0),""))</f>
        <v/>
      </c>
      <c r="N36" s="14">
        <f>IF($B$1=1,IFERROR(MATCH(5034,$E$3:$E$452,0),""),IFERROR(MATCH(5034,振り分け!$W$7:$W$456,0),""))</f>
        <v/>
      </c>
      <c r="O36" s="14">
        <f>IF($B$1=1,IFERROR(MATCH(6034,$E$3:$E$452,0),""),IFERROR(MATCH(6034,振り分け!$W$7:$W$456,0),""))</f>
        <v/>
      </c>
      <c r="P36" s="14">
        <f>IF($B$1=1,IFERROR(MATCH(7034,$E$3:$E$452,0),""),IFERROR(MATCH(7034,振り分け!$W$7:$W$456,0),""))</f>
        <v/>
      </c>
      <c r="Q36" s="14">
        <f>IF($B$1=1,IFERROR(MATCH(8034,$E$3:$E$452,0),""),IFERROR(MATCH(8034,振り分け!$W$7:$W$456,0),""))</f>
        <v/>
      </c>
      <c r="R36" s="14">
        <f>IF($B$1=1,IFERROR(MATCH(9034,$E$3:$E$452,0),""),IFERROR(MATCH(9034,振り分け!$W$7:$W$456,0),""))</f>
        <v/>
      </c>
      <c r="S36" s="14">
        <f>IF($B$1=1,IFERROR(MATCH(10034,$E$3:$E$452,0),""),IFERROR(MATCH(10034,振り分け!$W$7:$W$456,0),""))</f>
        <v/>
      </c>
      <c r="T36" s="14">
        <f>IF($B$1=1,IFERROR(MATCH(11034,$E$3:$E$452,0),""),IFERROR(MATCH(11034,振り分け!$W$7:$W$456,0),""))</f>
        <v/>
      </c>
      <c r="U36" s="14">
        <f>IF($B$1=1,IFERROR(MATCH(12034,$E$3:$E$452,0),""),IFERROR(MATCH(12034,振り分け!$W$7:$W$456,0),""))</f>
        <v/>
      </c>
      <c r="V36" s="14">
        <f>IF($B$1=1,IFERROR(MATCH(13034,$E$3:$E$452,0),""),IFERROR(MATCH(13034,振り分け!$W$7:$W$456,0),""))</f>
        <v/>
      </c>
      <c r="W36" s="14">
        <f>IF($B$1=1,IFERROR(MATCH(14034,$E$3:$E$452,0),""),IFERROR(MATCH(14034,振り分け!$W$7:$W$456,0),""))</f>
        <v/>
      </c>
      <c r="X36" s="14">
        <f>IF($B$1=1,IFERROR(MATCH(15034,$E$3:$E$452,0),""),IFERROR(MATCH(15034,振り分け!$W$7:$W$456,0),""))</f>
        <v/>
      </c>
      <c r="Y36" s="14">
        <f>IF($B$1=1,IFERROR(MATCH(16034,$E$3:$E$452,0),""),IFERROR(MATCH(16034,振り分け!$W$7:$W$456,0),""))</f>
        <v/>
      </c>
      <c r="Z36" s="14">
        <f>IF($B$1=1,IFERROR(MATCH(17034,$E$3:$E$452,0),""),IFERROR(MATCH(17034,振り分け!$W$7:$W$456,0),""))</f>
        <v/>
      </c>
      <c r="AA36" s="14">
        <f>IF($B$1=1,IFERROR(MATCH(18034,$E$3:$E$452,0),""),IFERROR(MATCH(18034,振り分け!$W$7:$W$456,0),""))</f>
        <v/>
      </c>
      <c r="AB36" s="14">
        <f>IF($B$1=1,IFERROR(MATCH(19034,$E$3:$E$452,0),""),IFERROR(MATCH(19034,振り分け!$W$7:$W$456,0),""))</f>
        <v/>
      </c>
      <c r="AC36" s="14">
        <f>IF($B$1=1,IFERROR(MATCH(20034,$E$3:$E$452,0),""),IFERROR(MATCH(20034,振り分け!$W$7:$W$456,0),""))</f>
        <v/>
      </c>
    </row>
    <row r="37">
      <c r="A37" s="14">
        <f>IFERROR(MATCH(SMALL(新年度名簿!$J$2:$J$451,35),新年度名簿!$J$2:$J$451,0),"")</f>
        <v/>
      </c>
      <c r="B37" s="14">
        <f>IF(A37="","",INDEX(新年度名簿!$G$2:$G$451,A37))</f>
        <v/>
      </c>
      <c r="C37" s="14">
        <f>IF(A37="","",IFERROR(MATCH(B37,設定!$P$8:$P$27,0),""))</f>
        <v/>
      </c>
      <c r="D37" s="14">
        <f>IF(C37="","",COUNTIF($C$3:C37,C37))</f>
        <v/>
      </c>
      <c r="E37" s="14">
        <f>IF(C37="","",C37*1000+D37)</f>
        <v/>
      </c>
      <c r="F37" s="14">
        <f>IF(A37="","",INDEX(新年度名簿!$K$2:$K$451,A37))</f>
        <v/>
      </c>
      <c r="G37" s="14">
        <f>IF(A37="","",INDEX(新年度名簿!$C$2:$C$451,A37))</f>
        <v/>
      </c>
      <c r="H37" s="14">
        <f>IF(A37="","",INDEX(新年度名簿!$D$2:$D$451,A37))</f>
        <v/>
      </c>
      <c r="J37" s="14">
        <f>IF($B$1=1,IFERROR(MATCH(1035,$E$3:$E$452,0),""),IFERROR(MATCH(1035,振り分け!$W$7:$W$456,0),""))</f>
        <v/>
      </c>
      <c r="K37" s="14">
        <f>IF($B$1=1,IFERROR(MATCH(2035,$E$3:$E$452,0),""),IFERROR(MATCH(2035,振り分け!$W$7:$W$456,0),""))</f>
        <v/>
      </c>
      <c r="L37" s="14">
        <f>IF($B$1=1,IFERROR(MATCH(3035,$E$3:$E$452,0),""),IFERROR(MATCH(3035,振り分け!$W$7:$W$456,0),""))</f>
        <v/>
      </c>
      <c r="M37" s="14">
        <f>IF($B$1=1,IFERROR(MATCH(4035,$E$3:$E$452,0),""),IFERROR(MATCH(4035,振り分け!$W$7:$W$456,0),""))</f>
        <v/>
      </c>
      <c r="N37" s="14">
        <f>IF($B$1=1,IFERROR(MATCH(5035,$E$3:$E$452,0),""),IFERROR(MATCH(5035,振り分け!$W$7:$W$456,0),""))</f>
        <v/>
      </c>
      <c r="O37" s="14">
        <f>IF($B$1=1,IFERROR(MATCH(6035,$E$3:$E$452,0),""),IFERROR(MATCH(6035,振り分け!$W$7:$W$456,0),""))</f>
        <v/>
      </c>
      <c r="P37" s="14">
        <f>IF($B$1=1,IFERROR(MATCH(7035,$E$3:$E$452,0),""),IFERROR(MATCH(7035,振り分け!$W$7:$W$456,0),""))</f>
        <v/>
      </c>
      <c r="Q37" s="14">
        <f>IF($B$1=1,IFERROR(MATCH(8035,$E$3:$E$452,0),""),IFERROR(MATCH(8035,振り分け!$W$7:$W$456,0),""))</f>
        <v/>
      </c>
      <c r="R37" s="14">
        <f>IF($B$1=1,IFERROR(MATCH(9035,$E$3:$E$452,0),""),IFERROR(MATCH(9035,振り分け!$W$7:$W$456,0),""))</f>
        <v/>
      </c>
      <c r="S37" s="14">
        <f>IF($B$1=1,IFERROR(MATCH(10035,$E$3:$E$452,0),""),IFERROR(MATCH(10035,振り分け!$W$7:$W$456,0),""))</f>
        <v/>
      </c>
      <c r="T37" s="14">
        <f>IF($B$1=1,IFERROR(MATCH(11035,$E$3:$E$452,0),""),IFERROR(MATCH(11035,振り分け!$W$7:$W$456,0),""))</f>
        <v/>
      </c>
      <c r="U37" s="14">
        <f>IF($B$1=1,IFERROR(MATCH(12035,$E$3:$E$452,0),""),IFERROR(MATCH(12035,振り分け!$W$7:$W$456,0),""))</f>
        <v/>
      </c>
      <c r="V37" s="14">
        <f>IF($B$1=1,IFERROR(MATCH(13035,$E$3:$E$452,0),""),IFERROR(MATCH(13035,振り分け!$W$7:$W$456,0),""))</f>
        <v/>
      </c>
      <c r="W37" s="14">
        <f>IF($B$1=1,IFERROR(MATCH(14035,$E$3:$E$452,0),""),IFERROR(MATCH(14035,振り分け!$W$7:$W$456,0),""))</f>
        <v/>
      </c>
      <c r="X37" s="14">
        <f>IF($B$1=1,IFERROR(MATCH(15035,$E$3:$E$452,0),""),IFERROR(MATCH(15035,振り分け!$W$7:$W$456,0),""))</f>
        <v/>
      </c>
      <c r="Y37" s="14">
        <f>IF($B$1=1,IFERROR(MATCH(16035,$E$3:$E$452,0),""),IFERROR(MATCH(16035,振り分け!$W$7:$W$456,0),""))</f>
        <v/>
      </c>
      <c r="Z37" s="14">
        <f>IF($B$1=1,IFERROR(MATCH(17035,$E$3:$E$452,0),""),IFERROR(MATCH(17035,振り分け!$W$7:$W$456,0),""))</f>
        <v/>
      </c>
      <c r="AA37" s="14">
        <f>IF($B$1=1,IFERROR(MATCH(18035,$E$3:$E$452,0),""),IFERROR(MATCH(18035,振り分け!$W$7:$W$456,0),""))</f>
        <v/>
      </c>
      <c r="AB37" s="14">
        <f>IF($B$1=1,IFERROR(MATCH(19035,$E$3:$E$452,0),""),IFERROR(MATCH(19035,振り分け!$W$7:$W$456,0),""))</f>
        <v/>
      </c>
      <c r="AC37" s="14">
        <f>IF($B$1=1,IFERROR(MATCH(20035,$E$3:$E$452,0),""),IFERROR(MATCH(20035,振り分け!$W$7:$W$456,0),""))</f>
        <v/>
      </c>
    </row>
    <row r="38">
      <c r="A38" s="14">
        <f>IFERROR(MATCH(SMALL(新年度名簿!$J$2:$J$451,36),新年度名簿!$J$2:$J$451,0),"")</f>
        <v/>
      </c>
      <c r="B38" s="14">
        <f>IF(A38="","",INDEX(新年度名簿!$G$2:$G$451,A38))</f>
        <v/>
      </c>
      <c r="C38" s="14">
        <f>IF(A38="","",IFERROR(MATCH(B38,設定!$P$8:$P$27,0),""))</f>
        <v/>
      </c>
      <c r="D38" s="14">
        <f>IF(C38="","",COUNTIF($C$3:C38,C38))</f>
        <v/>
      </c>
      <c r="E38" s="14">
        <f>IF(C38="","",C38*1000+D38)</f>
        <v/>
      </c>
      <c r="F38" s="14">
        <f>IF(A38="","",INDEX(新年度名簿!$K$2:$K$451,A38))</f>
        <v/>
      </c>
      <c r="G38" s="14">
        <f>IF(A38="","",INDEX(新年度名簿!$C$2:$C$451,A38))</f>
        <v/>
      </c>
      <c r="H38" s="14">
        <f>IF(A38="","",INDEX(新年度名簿!$D$2:$D$451,A38))</f>
        <v/>
      </c>
      <c r="J38" s="14">
        <f>IF($B$1=1,IFERROR(MATCH(1036,$E$3:$E$452,0),""),IFERROR(MATCH(1036,振り分け!$W$7:$W$456,0),""))</f>
        <v/>
      </c>
      <c r="K38" s="14">
        <f>IF($B$1=1,IFERROR(MATCH(2036,$E$3:$E$452,0),""),IFERROR(MATCH(2036,振り分け!$W$7:$W$456,0),""))</f>
        <v/>
      </c>
      <c r="L38" s="14">
        <f>IF($B$1=1,IFERROR(MATCH(3036,$E$3:$E$452,0),""),IFERROR(MATCH(3036,振り分け!$W$7:$W$456,0),""))</f>
        <v/>
      </c>
      <c r="M38" s="14">
        <f>IF($B$1=1,IFERROR(MATCH(4036,$E$3:$E$452,0),""),IFERROR(MATCH(4036,振り分け!$W$7:$W$456,0),""))</f>
        <v/>
      </c>
      <c r="N38" s="14">
        <f>IF($B$1=1,IFERROR(MATCH(5036,$E$3:$E$452,0),""),IFERROR(MATCH(5036,振り分け!$W$7:$W$456,0),""))</f>
        <v/>
      </c>
      <c r="O38" s="14">
        <f>IF($B$1=1,IFERROR(MATCH(6036,$E$3:$E$452,0),""),IFERROR(MATCH(6036,振り分け!$W$7:$W$456,0),""))</f>
        <v/>
      </c>
      <c r="P38" s="14">
        <f>IF($B$1=1,IFERROR(MATCH(7036,$E$3:$E$452,0),""),IFERROR(MATCH(7036,振り分け!$W$7:$W$456,0),""))</f>
        <v/>
      </c>
      <c r="Q38" s="14">
        <f>IF($B$1=1,IFERROR(MATCH(8036,$E$3:$E$452,0),""),IFERROR(MATCH(8036,振り分け!$W$7:$W$456,0),""))</f>
        <v/>
      </c>
      <c r="R38" s="14">
        <f>IF($B$1=1,IFERROR(MATCH(9036,$E$3:$E$452,0),""),IFERROR(MATCH(9036,振り分け!$W$7:$W$456,0),""))</f>
        <v/>
      </c>
      <c r="S38" s="14">
        <f>IF($B$1=1,IFERROR(MATCH(10036,$E$3:$E$452,0),""),IFERROR(MATCH(10036,振り分け!$W$7:$W$456,0),""))</f>
        <v/>
      </c>
      <c r="T38" s="14">
        <f>IF($B$1=1,IFERROR(MATCH(11036,$E$3:$E$452,0),""),IFERROR(MATCH(11036,振り分け!$W$7:$W$456,0),""))</f>
        <v/>
      </c>
      <c r="U38" s="14">
        <f>IF($B$1=1,IFERROR(MATCH(12036,$E$3:$E$452,0),""),IFERROR(MATCH(12036,振り分け!$W$7:$W$456,0),""))</f>
        <v/>
      </c>
      <c r="V38" s="14">
        <f>IF($B$1=1,IFERROR(MATCH(13036,$E$3:$E$452,0),""),IFERROR(MATCH(13036,振り分け!$W$7:$W$456,0),""))</f>
        <v/>
      </c>
      <c r="W38" s="14">
        <f>IF($B$1=1,IFERROR(MATCH(14036,$E$3:$E$452,0),""),IFERROR(MATCH(14036,振り分け!$W$7:$W$456,0),""))</f>
        <v/>
      </c>
      <c r="X38" s="14">
        <f>IF($B$1=1,IFERROR(MATCH(15036,$E$3:$E$452,0),""),IFERROR(MATCH(15036,振り分け!$W$7:$W$456,0),""))</f>
        <v/>
      </c>
      <c r="Y38" s="14">
        <f>IF($B$1=1,IFERROR(MATCH(16036,$E$3:$E$452,0),""),IFERROR(MATCH(16036,振り分け!$W$7:$W$456,0),""))</f>
        <v/>
      </c>
      <c r="Z38" s="14">
        <f>IF($B$1=1,IFERROR(MATCH(17036,$E$3:$E$452,0),""),IFERROR(MATCH(17036,振り分け!$W$7:$W$456,0),""))</f>
        <v/>
      </c>
      <c r="AA38" s="14">
        <f>IF($B$1=1,IFERROR(MATCH(18036,$E$3:$E$452,0),""),IFERROR(MATCH(18036,振り分け!$W$7:$W$456,0),""))</f>
        <v/>
      </c>
      <c r="AB38" s="14">
        <f>IF($B$1=1,IFERROR(MATCH(19036,$E$3:$E$452,0),""),IFERROR(MATCH(19036,振り分け!$W$7:$W$456,0),""))</f>
        <v/>
      </c>
      <c r="AC38" s="14">
        <f>IF($B$1=1,IFERROR(MATCH(20036,$E$3:$E$452,0),""),IFERROR(MATCH(20036,振り分け!$W$7:$W$456,0),""))</f>
        <v/>
      </c>
    </row>
    <row r="39">
      <c r="A39" s="14">
        <f>IFERROR(MATCH(SMALL(新年度名簿!$J$2:$J$451,37),新年度名簿!$J$2:$J$451,0),"")</f>
        <v/>
      </c>
      <c r="B39" s="14">
        <f>IF(A39="","",INDEX(新年度名簿!$G$2:$G$451,A39))</f>
        <v/>
      </c>
      <c r="C39" s="14">
        <f>IF(A39="","",IFERROR(MATCH(B39,設定!$P$8:$P$27,0),""))</f>
        <v/>
      </c>
      <c r="D39" s="14">
        <f>IF(C39="","",COUNTIF($C$3:C39,C39))</f>
        <v/>
      </c>
      <c r="E39" s="14">
        <f>IF(C39="","",C39*1000+D39)</f>
        <v/>
      </c>
      <c r="F39" s="14">
        <f>IF(A39="","",INDEX(新年度名簿!$K$2:$K$451,A39))</f>
        <v/>
      </c>
      <c r="G39" s="14">
        <f>IF(A39="","",INDEX(新年度名簿!$C$2:$C$451,A39))</f>
        <v/>
      </c>
      <c r="H39" s="14">
        <f>IF(A39="","",INDEX(新年度名簿!$D$2:$D$451,A39))</f>
        <v/>
      </c>
      <c r="J39" s="14">
        <f>IF($B$1=1,IFERROR(MATCH(1037,$E$3:$E$452,0),""),IFERROR(MATCH(1037,振り分け!$W$7:$W$456,0),""))</f>
        <v/>
      </c>
      <c r="K39" s="14">
        <f>IF($B$1=1,IFERROR(MATCH(2037,$E$3:$E$452,0),""),IFERROR(MATCH(2037,振り分け!$W$7:$W$456,0),""))</f>
        <v/>
      </c>
      <c r="L39" s="14">
        <f>IF($B$1=1,IFERROR(MATCH(3037,$E$3:$E$452,0),""),IFERROR(MATCH(3037,振り分け!$W$7:$W$456,0),""))</f>
        <v/>
      </c>
      <c r="M39" s="14">
        <f>IF($B$1=1,IFERROR(MATCH(4037,$E$3:$E$452,0),""),IFERROR(MATCH(4037,振り分け!$W$7:$W$456,0),""))</f>
        <v/>
      </c>
      <c r="N39" s="14">
        <f>IF($B$1=1,IFERROR(MATCH(5037,$E$3:$E$452,0),""),IFERROR(MATCH(5037,振り分け!$W$7:$W$456,0),""))</f>
        <v/>
      </c>
      <c r="O39" s="14">
        <f>IF($B$1=1,IFERROR(MATCH(6037,$E$3:$E$452,0),""),IFERROR(MATCH(6037,振り分け!$W$7:$W$456,0),""))</f>
        <v/>
      </c>
      <c r="P39" s="14">
        <f>IF($B$1=1,IFERROR(MATCH(7037,$E$3:$E$452,0),""),IFERROR(MATCH(7037,振り分け!$W$7:$W$456,0),""))</f>
        <v/>
      </c>
      <c r="Q39" s="14">
        <f>IF($B$1=1,IFERROR(MATCH(8037,$E$3:$E$452,0),""),IFERROR(MATCH(8037,振り分け!$W$7:$W$456,0),""))</f>
        <v/>
      </c>
      <c r="R39" s="14">
        <f>IF($B$1=1,IFERROR(MATCH(9037,$E$3:$E$452,0),""),IFERROR(MATCH(9037,振り分け!$W$7:$W$456,0),""))</f>
        <v/>
      </c>
      <c r="S39" s="14">
        <f>IF($B$1=1,IFERROR(MATCH(10037,$E$3:$E$452,0),""),IFERROR(MATCH(10037,振り分け!$W$7:$W$456,0),""))</f>
        <v/>
      </c>
      <c r="T39" s="14">
        <f>IF($B$1=1,IFERROR(MATCH(11037,$E$3:$E$452,0),""),IFERROR(MATCH(11037,振り分け!$W$7:$W$456,0),""))</f>
        <v/>
      </c>
      <c r="U39" s="14">
        <f>IF($B$1=1,IFERROR(MATCH(12037,$E$3:$E$452,0),""),IFERROR(MATCH(12037,振り分け!$W$7:$W$456,0),""))</f>
        <v/>
      </c>
      <c r="V39" s="14">
        <f>IF($B$1=1,IFERROR(MATCH(13037,$E$3:$E$452,0),""),IFERROR(MATCH(13037,振り分け!$W$7:$W$456,0),""))</f>
        <v/>
      </c>
      <c r="W39" s="14">
        <f>IF($B$1=1,IFERROR(MATCH(14037,$E$3:$E$452,0),""),IFERROR(MATCH(14037,振り分け!$W$7:$W$456,0),""))</f>
        <v/>
      </c>
      <c r="X39" s="14">
        <f>IF($B$1=1,IFERROR(MATCH(15037,$E$3:$E$452,0),""),IFERROR(MATCH(15037,振り分け!$W$7:$W$456,0),""))</f>
        <v/>
      </c>
      <c r="Y39" s="14">
        <f>IF($B$1=1,IFERROR(MATCH(16037,$E$3:$E$452,0),""),IFERROR(MATCH(16037,振り分け!$W$7:$W$456,0),""))</f>
        <v/>
      </c>
      <c r="Z39" s="14">
        <f>IF($B$1=1,IFERROR(MATCH(17037,$E$3:$E$452,0),""),IFERROR(MATCH(17037,振り分け!$W$7:$W$456,0),""))</f>
        <v/>
      </c>
      <c r="AA39" s="14">
        <f>IF($B$1=1,IFERROR(MATCH(18037,$E$3:$E$452,0),""),IFERROR(MATCH(18037,振り分け!$W$7:$W$456,0),""))</f>
        <v/>
      </c>
      <c r="AB39" s="14">
        <f>IF($B$1=1,IFERROR(MATCH(19037,$E$3:$E$452,0),""),IFERROR(MATCH(19037,振り分け!$W$7:$W$456,0),""))</f>
        <v/>
      </c>
      <c r="AC39" s="14">
        <f>IF($B$1=1,IFERROR(MATCH(20037,$E$3:$E$452,0),""),IFERROR(MATCH(20037,振り分け!$W$7:$W$456,0),""))</f>
        <v/>
      </c>
    </row>
    <row r="40">
      <c r="A40" s="14">
        <f>IFERROR(MATCH(SMALL(新年度名簿!$J$2:$J$451,38),新年度名簿!$J$2:$J$451,0),"")</f>
        <v/>
      </c>
      <c r="B40" s="14">
        <f>IF(A40="","",INDEX(新年度名簿!$G$2:$G$451,A40))</f>
        <v/>
      </c>
      <c r="C40" s="14">
        <f>IF(A40="","",IFERROR(MATCH(B40,設定!$P$8:$P$27,0),""))</f>
        <v/>
      </c>
      <c r="D40" s="14">
        <f>IF(C40="","",COUNTIF($C$3:C40,C40))</f>
        <v/>
      </c>
      <c r="E40" s="14">
        <f>IF(C40="","",C40*1000+D40)</f>
        <v/>
      </c>
      <c r="F40" s="14">
        <f>IF(A40="","",INDEX(新年度名簿!$K$2:$K$451,A40))</f>
        <v/>
      </c>
      <c r="G40" s="14">
        <f>IF(A40="","",INDEX(新年度名簿!$C$2:$C$451,A40))</f>
        <v/>
      </c>
      <c r="H40" s="14">
        <f>IF(A40="","",INDEX(新年度名簿!$D$2:$D$451,A40))</f>
        <v/>
      </c>
      <c r="J40" s="14">
        <f>IF($B$1=1,IFERROR(MATCH(1038,$E$3:$E$452,0),""),IFERROR(MATCH(1038,振り分け!$W$7:$W$456,0),""))</f>
        <v/>
      </c>
      <c r="K40" s="14">
        <f>IF($B$1=1,IFERROR(MATCH(2038,$E$3:$E$452,0),""),IFERROR(MATCH(2038,振り分け!$W$7:$W$456,0),""))</f>
        <v/>
      </c>
      <c r="L40" s="14">
        <f>IF($B$1=1,IFERROR(MATCH(3038,$E$3:$E$452,0),""),IFERROR(MATCH(3038,振り分け!$W$7:$W$456,0),""))</f>
        <v/>
      </c>
      <c r="M40" s="14">
        <f>IF($B$1=1,IFERROR(MATCH(4038,$E$3:$E$452,0),""),IFERROR(MATCH(4038,振り分け!$W$7:$W$456,0),""))</f>
        <v/>
      </c>
      <c r="N40" s="14">
        <f>IF($B$1=1,IFERROR(MATCH(5038,$E$3:$E$452,0),""),IFERROR(MATCH(5038,振り分け!$W$7:$W$456,0),""))</f>
        <v/>
      </c>
      <c r="O40" s="14">
        <f>IF($B$1=1,IFERROR(MATCH(6038,$E$3:$E$452,0),""),IFERROR(MATCH(6038,振り分け!$W$7:$W$456,0),""))</f>
        <v/>
      </c>
      <c r="P40" s="14">
        <f>IF($B$1=1,IFERROR(MATCH(7038,$E$3:$E$452,0),""),IFERROR(MATCH(7038,振り分け!$W$7:$W$456,0),""))</f>
        <v/>
      </c>
      <c r="Q40" s="14">
        <f>IF($B$1=1,IFERROR(MATCH(8038,$E$3:$E$452,0),""),IFERROR(MATCH(8038,振り分け!$W$7:$W$456,0),""))</f>
        <v/>
      </c>
      <c r="R40" s="14">
        <f>IF($B$1=1,IFERROR(MATCH(9038,$E$3:$E$452,0),""),IFERROR(MATCH(9038,振り分け!$W$7:$W$456,0),""))</f>
        <v/>
      </c>
      <c r="S40" s="14">
        <f>IF($B$1=1,IFERROR(MATCH(10038,$E$3:$E$452,0),""),IFERROR(MATCH(10038,振り分け!$W$7:$W$456,0),""))</f>
        <v/>
      </c>
      <c r="T40" s="14">
        <f>IF($B$1=1,IFERROR(MATCH(11038,$E$3:$E$452,0),""),IFERROR(MATCH(11038,振り分け!$W$7:$W$456,0),""))</f>
        <v/>
      </c>
      <c r="U40" s="14">
        <f>IF($B$1=1,IFERROR(MATCH(12038,$E$3:$E$452,0),""),IFERROR(MATCH(12038,振り分け!$W$7:$W$456,0),""))</f>
        <v/>
      </c>
      <c r="V40" s="14">
        <f>IF($B$1=1,IFERROR(MATCH(13038,$E$3:$E$452,0),""),IFERROR(MATCH(13038,振り分け!$W$7:$W$456,0),""))</f>
        <v/>
      </c>
      <c r="W40" s="14">
        <f>IF($B$1=1,IFERROR(MATCH(14038,$E$3:$E$452,0),""),IFERROR(MATCH(14038,振り分け!$W$7:$W$456,0),""))</f>
        <v/>
      </c>
      <c r="X40" s="14">
        <f>IF($B$1=1,IFERROR(MATCH(15038,$E$3:$E$452,0),""),IFERROR(MATCH(15038,振り分け!$W$7:$W$456,0),""))</f>
        <v/>
      </c>
      <c r="Y40" s="14">
        <f>IF($B$1=1,IFERROR(MATCH(16038,$E$3:$E$452,0),""),IFERROR(MATCH(16038,振り分け!$W$7:$W$456,0),""))</f>
        <v/>
      </c>
      <c r="Z40" s="14">
        <f>IF($B$1=1,IFERROR(MATCH(17038,$E$3:$E$452,0),""),IFERROR(MATCH(17038,振り分け!$W$7:$W$456,0),""))</f>
        <v/>
      </c>
      <c r="AA40" s="14">
        <f>IF($B$1=1,IFERROR(MATCH(18038,$E$3:$E$452,0),""),IFERROR(MATCH(18038,振り分け!$W$7:$W$456,0),""))</f>
        <v/>
      </c>
      <c r="AB40" s="14">
        <f>IF($B$1=1,IFERROR(MATCH(19038,$E$3:$E$452,0),""),IFERROR(MATCH(19038,振り分け!$W$7:$W$456,0),""))</f>
        <v/>
      </c>
      <c r="AC40" s="14">
        <f>IF($B$1=1,IFERROR(MATCH(20038,$E$3:$E$452,0),""),IFERROR(MATCH(20038,振り分け!$W$7:$W$456,0),""))</f>
        <v/>
      </c>
    </row>
    <row r="41">
      <c r="A41" s="14">
        <f>IFERROR(MATCH(SMALL(新年度名簿!$J$2:$J$451,39),新年度名簿!$J$2:$J$451,0),"")</f>
        <v/>
      </c>
      <c r="B41" s="14">
        <f>IF(A41="","",INDEX(新年度名簿!$G$2:$G$451,A41))</f>
        <v/>
      </c>
      <c r="C41" s="14">
        <f>IF(A41="","",IFERROR(MATCH(B41,設定!$P$8:$P$27,0),""))</f>
        <v/>
      </c>
      <c r="D41" s="14">
        <f>IF(C41="","",COUNTIF($C$3:C41,C41))</f>
        <v/>
      </c>
      <c r="E41" s="14">
        <f>IF(C41="","",C41*1000+D41)</f>
        <v/>
      </c>
      <c r="F41" s="14">
        <f>IF(A41="","",INDEX(新年度名簿!$K$2:$K$451,A41))</f>
        <v/>
      </c>
      <c r="G41" s="14">
        <f>IF(A41="","",INDEX(新年度名簿!$C$2:$C$451,A41))</f>
        <v/>
      </c>
      <c r="H41" s="14">
        <f>IF(A41="","",INDEX(新年度名簿!$D$2:$D$451,A41))</f>
        <v/>
      </c>
      <c r="J41" s="14">
        <f>IF($B$1=1,IFERROR(MATCH(1039,$E$3:$E$452,0),""),IFERROR(MATCH(1039,振り分け!$W$7:$W$456,0),""))</f>
        <v/>
      </c>
      <c r="K41" s="14">
        <f>IF($B$1=1,IFERROR(MATCH(2039,$E$3:$E$452,0),""),IFERROR(MATCH(2039,振り分け!$W$7:$W$456,0),""))</f>
        <v/>
      </c>
      <c r="L41" s="14">
        <f>IF($B$1=1,IFERROR(MATCH(3039,$E$3:$E$452,0),""),IFERROR(MATCH(3039,振り分け!$W$7:$W$456,0),""))</f>
        <v/>
      </c>
      <c r="M41" s="14">
        <f>IF($B$1=1,IFERROR(MATCH(4039,$E$3:$E$452,0),""),IFERROR(MATCH(4039,振り分け!$W$7:$W$456,0),""))</f>
        <v/>
      </c>
      <c r="N41" s="14">
        <f>IF($B$1=1,IFERROR(MATCH(5039,$E$3:$E$452,0),""),IFERROR(MATCH(5039,振り分け!$W$7:$W$456,0),""))</f>
        <v/>
      </c>
      <c r="O41" s="14">
        <f>IF($B$1=1,IFERROR(MATCH(6039,$E$3:$E$452,0),""),IFERROR(MATCH(6039,振り分け!$W$7:$W$456,0),""))</f>
        <v/>
      </c>
      <c r="P41" s="14">
        <f>IF($B$1=1,IFERROR(MATCH(7039,$E$3:$E$452,0),""),IFERROR(MATCH(7039,振り分け!$W$7:$W$456,0),""))</f>
        <v/>
      </c>
      <c r="Q41" s="14">
        <f>IF($B$1=1,IFERROR(MATCH(8039,$E$3:$E$452,0),""),IFERROR(MATCH(8039,振り分け!$W$7:$W$456,0),""))</f>
        <v/>
      </c>
      <c r="R41" s="14">
        <f>IF($B$1=1,IFERROR(MATCH(9039,$E$3:$E$452,0),""),IFERROR(MATCH(9039,振り分け!$W$7:$W$456,0),""))</f>
        <v/>
      </c>
      <c r="S41" s="14">
        <f>IF($B$1=1,IFERROR(MATCH(10039,$E$3:$E$452,0),""),IFERROR(MATCH(10039,振り分け!$W$7:$W$456,0),""))</f>
        <v/>
      </c>
      <c r="T41" s="14">
        <f>IF($B$1=1,IFERROR(MATCH(11039,$E$3:$E$452,0),""),IFERROR(MATCH(11039,振り分け!$W$7:$W$456,0),""))</f>
        <v/>
      </c>
      <c r="U41" s="14">
        <f>IF($B$1=1,IFERROR(MATCH(12039,$E$3:$E$452,0),""),IFERROR(MATCH(12039,振り分け!$W$7:$W$456,0),""))</f>
        <v/>
      </c>
      <c r="V41" s="14">
        <f>IF($B$1=1,IFERROR(MATCH(13039,$E$3:$E$452,0),""),IFERROR(MATCH(13039,振り分け!$W$7:$W$456,0),""))</f>
        <v/>
      </c>
      <c r="W41" s="14">
        <f>IF($B$1=1,IFERROR(MATCH(14039,$E$3:$E$452,0),""),IFERROR(MATCH(14039,振り分け!$W$7:$W$456,0),""))</f>
        <v/>
      </c>
      <c r="X41" s="14">
        <f>IF($B$1=1,IFERROR(MATCH(15039,$E$3:$E$452,0),""),IFERROR(MATCH(15039,振り分け!$W$7:$W$456,0),""))</f>
        <v/>
      </c>
      <c r="Y41" s="14">
        <f>IF($B$1=1,IFERROR(MATCH(16039,$E$3:$E$452,0),""),IFERROR(MATCH(16039,振り分け!$W$7:$W$456,0),""))</f>
        <v/>
      </c>
      <c r="Z41" s="14">
        <f>IF($B$1=1,IFERROR(MATCH(17039,$E$3:$E$452,0),""),IFERROR(MATCH(17039,振り分け!$W$7:$W$456,0),""))</f>
        <v/>
      </c>
      <c r="AA41" s="14">
        <f>IF($B$1=1,IFERROR(MATCH(18039,$E$3:$E$452,0),""),IFERROR(MATCH(18039,振り分け!$W$7:$W$456,0),""))</f>
        <v/>
      </c>
      <c r="AB41" s="14">
        <f>IF($B$1=1,IFERROR(MATCH(19039,$E$3:$E$452,0),""),IFERROR(MATCH(19039,振り分け!$W$7:$W$456,0),""))</f>
        <v/>
      </c>
      <c r="AC41" s="14">
        <f>IF($B$1=1,IFERROR(MATCH(20039,$E$3:$E$452,0),""),IFERROR(MATCH(20039,振り分け!$W$7:$W$456,0),""))</f>
        <v/>
      </c>
    </row>
    <row r="42">
      <c r="A42" s="14">
        <f>IFERROR(MATCH(SMALL(新年度名簿!$J$2:$J$451,40),新年度名簿!$J$2:$J$451,0),"")</f>
        <v/>
      </c>
      <c r="B42" s="14">
        <f>IF(A42="","",INDEX(新年度名簿!$G$2:$G$451,A42))</f>
        <v/>
      </c>
      <c r="C42" s="14">
        <f>IF(A42="","",IFERROR(MATCH(B42,設定!$P$8:$P$27,0),""))</f>
        <v/>
      </c>
      <c r="D42" s="14">
        <f>IF(C42="","",COUNTIF($C$3:C42,C42))</f>
        <v/>
      </c>
      <c r="E42" s="14">
        <f>IF(C42="","",C42*1000+D42)</f>
        <v/>
      </c>
      <c r="F42" s="14">
        <f>IF(A42="","",INDEX(新年度名簿!$K$2:$K$451,A42))</f>
        <v/>
      </c>
      <c r="G42" s="14">
        <f>IF(A42="","",INDEX(新年度名簿!$C$2:$C$451,A42))</f>
        <v/>
      </c>
      <c r="H42" s="14">
        <f>IF(A42="","",INDEX(新年度名簿!$D$2:$D$451,A42))</f>
        <v/>
      </c>
      <c r="J42" s="14">
        <f>IF($B$1=1,IFERROR(MATCH(1040,$E$3:$E$452,0),""),IFERROR(MATCH(1040,振り分け!$W$7:$W$456,0),""))</f>
        <v/>
      </c>
      <c r="K42" s="14">
        <f>IF($B$1=1,IFERROR(MATCH(2040,$E$3:$E$452,0),""),IFERROR(MATCH(2040,振り分け!$W$7:$W$456,0),""))</f>
        <v/>
      </c>
      <c r="L42" s="14">
        <f>IF($B$1=1,IFERROR(MATCH(3040,$E$3:$E$452,0),""),IFERROR(MATCH(3040,振り分け!$W$7:$W$456,0),""))</f>
        <v/>
      </c>
      <c r="M42" s="14">
        <f>IF($B$1=1,IFERROR(MATCH(4040,$E$3:$E$452,0),""),IFERROR(MATCH(4040,振り分け!$W$7:$W$456,0),""))</f>
        <v/>
      </c>
      <c r="N42" s="14">
        <f>IF($B$1=1,IFERROR(MATCH(5040,$E$3:$E$452,0),""),IFERROR(MATCH(5040,振り分け!$W$7:$W$456,0),""))</f>
        <v/>
      </c>
      <c r="O42" s="14">
        <f>IF($B$1=1,IFERROR(MATCH(6040,$E$3:$E$452,0),""),IFERROR(MATCH(6040,振り分け!$W$7:$W$456,0),""))</f>
        <v/>
      </c>
      <c r="P42" s="14">
        <f>IF($B$1=1,IFERROR(MATCH(7040,$E$3:$E$452,0),""),IFERROR(MATCH(7040,振り分け!$W$7:$W$456,0),""))</f>
        <v/>
      </c>
      <c r="Q42" s="14">
        <f>IF($B$1=1,IFERROR(MATCH(8040,$E$3:$E$452,0),""),IFERROR(MATCH(8040,振り分け!$W$7:$W$456,0),""))</f>
        <v/>
      </c>
      <c r="R42" s="14">
        <f>IF($B$1=1,IFERROR(MATCH(9040,$E$3:$E$452,0),""),IFERROR(MATCH(9040,振り分け!$W$7:$W$456,0),""))</f>
        <v/>
      </c>
      <c r="S42" s="14">
        <f>IF($B$1=1,IFERROR(MATCH(10040,$E$3:$E$452,0),""),IFERROR(MATCH(10040,振り分け!$W$7:$W$456,0),""))</f>
        <v/>
      </c>
      <c r="T42" s="14">
        <f>IF($B$1=1,IFERROR(MATCH(11040,$E$3:$E$452,0),""),IFERROR(MATCH(11040,振り分け!$W$7:$W$456,0),""))</f>
        <v/>
      </c>
      <c r="U42" s="14">
        <f>IF($B$1=1,IFERROR(MATCH(12040,$E$3:$E$452,0),""),IFERROR(MATCH(12040,振り分け!$W$7:$W$456,0),""))</f>
        <v/>
      </c>
      <c r="V42" s="14">
        <f>IF($B$1=1,IFERROR(MATCH(13040,$E$3:$E$452,0),""),IFERROR(MATCH(13040,振り分け!$W$7:$W$456,0),""))</f>
        <v/>
      </c>
      <c r="W42" s="14">
        <f>IF($B$1=1,IFERROR(MATCH(14040,$E$3:$E$452,0),""),IFERROR(MATCH(14040,振り分け!$W$7:$W$456,0),""))</f>
        <v/>
      </c>
      <c r="X42" s="14">
        <f>IF($B$1=1,IFERROR(MATCH(15040,$E$3:$E$452,0),""),IFERROR(MATCH(15040,振り分け!$W$7:$W$456,0),""))</f>
        <v/>
      </c>
      <c r="Y42" s="14">
        <f>IF($B$1=1,IFERROR(MATCH(16040,$E$3:$E$452,0),""),IFERROR(MATCH(16040,振り分け!$W$7:$W$456,0),""))</f>
        <v/>
      </c>
      <c r="Z42" s="14">
        <f>IF($B$1=1,IFERROR(MATCH(17040,$E$3:$E$452,0),""),IFERROR(MATCH(17040,振り分け!$W$7:$W$456,0),""))</f>
        <v/>
      </c>
      <c r="AA42" s="14">
        <f>IF($B$1=1,IFERROR(MATCH(18040,$E$3:$E$452,0),""),IFERROR(MATCH(18040,振り分け!$W$7:$W$456,0),""))</f>
        <v/>
      </c>
      <c r="AB42" s="14">
        <f>IF($B$1=1,IFERROR(MATCH(19040,$E$3:$E$452,0),""),IFERROR(MATCH(19040,振り分け!$W$7:$W$456,0),""))</f>
        <v/>
      </c>
      <c r="AC42" s="14">
        <f>IF($B$1=1,IFERROR(MATCH(20040,$E$3:$E$452,0),""),IFERROR(MATCH(20040,振り分け!$W$7:$W$456,0),""))</f>
        <v/>
      </c>
    </row>
    <row r="43">
      <c r="A43" s="14">
        <f>IFERROR(MATCH(SMALL(新年度名簿!$J$2:$J$451,41),新年度名簿!$J$2:$J$451,0),"")</f>
        <v/>
      </c>
      <c r="B43" s="14">
        <f>IF(A43="","",INDEX(新年度名簿!$G$2:$G$451,A43))</f>
        <v/>
      </c>
      <c r="C43" s="14">
        <f>IF(A43="","",IFERROR(MATCH(B43,設定!$P$8:$P$27,0),""))</f>
        <v/>
      </c>
      <c r="D43" s="14">
        <f>IF(C43="","",COUNTIF($C$3:C43,C43))</f>
        <v/>
      </c>
      <c r="E43" s="14">
        <f>IF(C43="","",C43*1000+D43)</f>
        <v/>
      </c>
      <c r="F43" s="14">
        <f>IF(A43="","",INDEX(新年度名簿!$K$2:$K$451,A43))</f>
        <v/>
      </c>
      <c r="G43" s="14">
        <f>IF(A43="","",INDEX(新年度名簿!$C$2:$C$451,A43))</f>
        <v/>
      </c>
      <c r="H43" s="14">
        <f>IF(A43="","",INDEX(新年度名簿!$D$2:$D$451,A43))</f>
        <v/>
      </c>
      <c r="J43" s="14">
        <f>IF($B$1=1,IFERROR(MATCH(1041,$E$3:$E$452,0),""),IFERROR(MATCH(1041,振り分け!$W$7:$W$456,0),""))</f>
        <v/>
      </c>
      <c r="K43" s="14">
        <f>IF($B$1=1,IFERROR(MATCH(2041,$E$3:$E$452,0),""),IFERROR(MATCH(2041,振り分け!$W$7:$W$456,0),""))</f>
        <v/>
      </c>
      <c r="L43" s="14">
        <f>IF($B$1=1,IFERROR(MATCH(3041,$E$3:$E$452,0),""),IFERROR(MATCH(3041,振り分け!$W$7:$W$456,0),""))</f>
        <v/>
      </c>
      <c r="M43" s="14">
        <f>IF($B$1=1,IFERROR(MATCH(4041,$E$3:$E$452,0),""),IFERROR(MATCH(4041,振り分け!$W$7:$W$456,0),""))</f>
        <v/>
      </c>
      <c r="N43" s="14">
        <f>IF($B$1=1,IFERROR(MATCH(5041,$E$3:$E$452,0),""),IFERROR(MATCH(5041,振り分け!$W$7:$W$456,0),""))</f>
        <v/>
      </c>
      <c r="O43" s="14">
        <f>IF($B$1=1,IFERROR(MATCH(6041,$E$3:$E$452,0),""),IFERROR(MATCH(6041,振り分け!$W$7:$W$456,0),""))</f>
        <v/>
      </c>
      <c r="P43" s="14">
        <f>IF($B$1=1,IFERROR(MATCH(7041,$E$3:$E$452,0),""),IFERROR(MATCH(7041,振り分け!$W$7:$W$456,0),""))</f>
        <v/>
      </c>
      <c r="Q43" s="14">
        <f>IF($B$1=1,IFERROR(MATCH(8041,$E$3:$E$452,0),""),IFERROR(MATCH(8041,振り分け!$W$7:$W$456,0),""))</f>
        <v/>
      </c>
      <c r="R43" s="14">
        <f>IF($B$1=1,IFERROR(MATCH(9041,$E$3:$E$452,0),""),IFERROR(MATCH(9041,振り分け!$W$7:$W$456,0),""))</f>
        <v/>
      </c>
      <c r="S43" s="14">
        <f>IF($B$1=1,IFERROR(MATCH(10041,$E$3:$E$452,0),""),IFERROR(MATCH(10041,振り分け!$W$7:$W$456,0),""))</f>
        <v/>
      </c>
      <c r="T43" s="14">
        <f>IF($B$1=1,IFERROR(MATCH(11041,$E$3:$E$452,0),""),IFERROR(MATCH(11041,振り分け!$W$7:$W$456,0),""))</f>
        <v/>
      </c>
      <c r="U43" s="14">
        <f>IF($B$1=1,IFERROR(MATCH(12041,$E$3:$E$452,0),""),IFERROR(MATCH(12041,振り分け!$W$7:$W$456,0),""))</f>
        <v/>
      </c>
      <c r="V43" s="14">
        <f>IF($B$1=1,IFERROR(MATCH(13041,$E$3:$E$452,0),""),IFERROR(MATCH(13041,振り分け!$W$7:$W$456,0),""))</f>
        <v/>
      </c>
      <c r="W43" s="14">
        <f>IF($B$1=1,IFERROR(MATCH(14041,$E$3:$E$452,0),""),IFERROR(MATCH(14041,振り分け!$W$7:$W$456,0),""))</f>
        <v/>
      </c>
      <c r="X43" s="14">
        <f>IF($B$1=1,IFERROR(MATCH(15041,$E$3:$E$452,0),""),IFERROR(MATCH(15041,振り分け!$W$7:$W$456,0),""))</f>
        <v/>
      </c>
      <c r="Y43" s="14">
        <f>IF($B$1=1,IFERROR(MATCH(16041,$E$3:$E$452,0),""),IFERROR(MATCH(16041,振り分け!$W$7:$W$456,0),""))</f>
        <v/>
      </c>
      <c r="Z43" s="14">
        <f>IF($B$1=1,IFERROR(MATCH(17041,$E$3:$E$452,0),""),IFERROR(MATCH(17041,振り分け!$W$7:$W$456,0),""))</f>
        <v/>
      </c>
      <c r="AA43" s="14">
        <f>IF($B$1=1,IFERROR(MATCH(18041,$E$3:$E$452,0),""),IFERROR(MATCH(18041,振り分け!$W$7:$W$456,0),""))</f>
        <v/>
      </c>
      <c r="AB43" s="14">
        <f>IF($B$1=1,IFERROR(MATCH(19041,$E$3:$E$452,0),""),IFERROR(MATCH(19041,振り分け!$W$7:$W$456,0),""))</f>
        <v/>
      </c>
      <c r="AC43" s="14">
        <f>IF($B$1=1,IFERROR(MATCH(20041,$E$3:$E$452,0),""),IFERROR(MATCH(20041,振り分け!$W$7:$W$456,0),""))</f>
        <v/>
      </c>
    </row>
    <row r="44">
      <c r="A44" s="14">
        <f>IFERROR(MATCH(SMALL(新年度名簿!$J$2:$J$451,42),新年度名簿!$J$2:$J$451,0),"")</f>
        <v/>
      </c>
      <c r="B44" s="14">
        <f>IF(A44="","",INDEX(新年度名簿!$G$2:$G$451,A44))</f>
        <v/>
      </c>
      <c r="C44" s="14">
        <f>IF(A44="","",IFERROR(MATCH(B44,設定!$P$8:$P$27,0),""))</f>
        <v/>
      </c>
      <c r="D44" s="14">
        <f>IF(C44="","",COUNTIF($C$3:C44,C44))</f>
        <v/>
      </c>
      <c r="E44" s="14">
        <f>IF(C44="","",C44*1000+D44)</f>
        <v/>
      </c>
      <c r="F44" s="14">
        <f>IF(A44="","",INDEX(新年度名簿!$K$2:$K$451,A44))</f>
        <v/>
      </c>
      <c r="G44" s="14">
        <f>IF(A44="","",INDEX(新年度名簿!$C$2:$C$451,A44))</f>
        <v/>
      </c>
      <c r="H44" s="14">
        <f>IF(A44="","",INDEX(新年度名簿!$D$2:$D$451,A44))</f>
        <v/>
      </c>
      <c r="J44" s="14">
        <f>IF($B$1=1,IFERROR(MATCH(1042,$E$3:$E$452,0),""),IFERROR(MATCH(1042,振り分け!$W$7:$W$456,0),""))</f>
        <v/>
      </c>
      <c r="K44" s="14">
        <f>IF($B$1=1,IFERROR(MATCH(2042,$E$3:$E$452,0),""),IFERROR(MATCH(2042,振り分け!$W$7:$W$456,0),""))</f>
        <v/>
      </c>
      <c r="L44" s="14">
        <f>IF($B$1=1,IFERROR(MATCH(3042,$E$3:$E$452,0),""),IFERROR(MATCH(3042,振り分け!$W$7:$W$456,0),""))</f>
        <v/>
      </c>
      <c r="M44" s="14">
        <f>IF($B$1=1,IFERROR(MATCH(4042,$E$3:$E$452,0),""),IFERROR(MATCH(4042,振り分け!$W$7:$W$456,0),""))</f>
        <v/>
      </c>
      <c r="N44" s="14">
        <f>IF($B$1=1,IFERROR(MATCH(5042,$E$3:$E$452,0),""),IFERROR(MATCH(5042,振り分け!$W$7:$W$456,0),""))</f>
        <v/>
      </c>
      <c r="O44" s="14">
        <f>IF($B$1=1,IFERROR(MATCH(6042,$E$3:$E$452,0),""),IFERROR(MATCH(6042,振り分け!$W$7:$W$456,0),""))</f>
        <v/>
      </c>
      <c r="P44" s="14">
        <f>IF($B$1=1,IFERROR(MATCH(7042,$E$3:$E$452,0),""),IFERROR(MATCH(7042,振り分け!$W$7:$W$456,0),""))</f>
        <v/>
      </c>
      <c r="Q44" s="14">
        <f>IF($B$1=1,IFERROR(MATCH(8042,$E$3:$E$452,0),""),IFERROR(MATCH(8042,振り分け!$W$7:$W$456,0),""))</f>
        <v/>
      </c>
      <c r="R44" s="14">
        <f>IF($B$1=1,IFERROR(MATCH(9042,$E$3:$E$452,0),""),IFERROR(MATCH(9042,振り分け!$W$7:$W$456,0),""))</f>
        <v/>
      </c>
      <c r="S44" s="14">
        <f>IF($B$1=1,IFERROR(MATCH(10042,$E$3:$E$452,0),""),IFERROR(MATCH(10042,振り分け!$W$7:$W$456,0),""))</f>
        <v/>
      </c>
      <c r="T44" s="14">
        <f>IF($B$1=1,IFERROR(MATCH(11042,$E$3:$E$452,0),""),IFERROR(MATCH(11042,振り分け!$W$7:$W$456,0),""))</f>
        <v/>
      </c>
      <c r="U44" s="14">
        <f>IF($B$1=1,IFERROR(MATCH(12042,$E$3:$E$452,0),""),IFERROR(MATCH(12042,振り分け!$W$7:$W$456,0),""))</f>
        <v/>
      </c>
      <c r="V44" s="14">
        <f>IF($B$1=1,IFERROR(MATCH(13042,$E$3:$E$452,0),""),IFERROR(MATCH(13042,振り分け!$W$7:$W$456,0),""))</f>
        <v/>
      </c>
      <c r="W44" s="14">
        <f>IF($B$1=1,IFERROR(MATCH(14042,$E$3:$E$452,0),""),IFERROR(MATCH(14042,振り分け!$W$7:$W$456,0),""))</f>
        <v/>
      </c>
      <c r="X44" s="14">
        <f>IF($B$1=1,IFERROR(MATCH(15042,$E$3:$E$452,0),""),IFERROR(MATCH(15042,振り分け!$W$7:$W$456,0),""))</f>
        <v/>
      </c>
      <c r="Y44" s="14">
        <f>IF($B$1=1,IFERROR(MATCH(16042,$E$3:$E$452,0),""),IFERROR(MATCH(16042,振り分け!$W$7:$W$456,0),""))</f>
        <v/>
      </c>
      <c r="Z44" s="14">
        <f>IF($B$1=1,IFERROR(MATCH(17042,$E$3:$E$452,0),""),IFERROR(MATCH(17042,振り分け!$W$7:$W$456,0),""))</f>
        <v/>
      </c>
      <c r="AA44" s="14">
        <f>IF($B$1=1,IFERROR(MATCH(18042,$E$3:$E$452,0),""),IFERROR(MATCH(18042,振り分け!$W$7:$W$456,0),""))</f>
        <v/>
      </c>
      <c r="AB44" s="14">
        <f>IF($B$1=1,IFERROR(MATCH(19042,$E$3:$E$452,0),""),IFERROR(MATCH(19042,振り分け!$W$7:$W$456,0),""))</f>
        <v/>
      </c>
      <c r="AC44" s="14">
        <f>IF($B$1=1,IFERROR(MATCH(20042,$E$3:$E$452,0),""),IFERROR(MATCH(20042,振り分け!$W$7:$W$456,0),""))</f>
        <v/>
      </c>
    </row>
    <row r="45">
      <c r="A45" s="14">
        <f>IFERROR(MATCH(SMALL(新年度名簿!$J$2:$J$451,43),新年度名簿!$J$2:$J$451,0),"")</f>
        <v/>
      </c>
      <c r="B45" s="14">
        <f>IF(A45="","",INDEX(新年度名簿!$G$2:$G$451,A45))</f>
        <v/>
      </c>
      <c r="C45" s="14">
        <f>IF(A45="","",IFERROR(MATCH(B45,設定!$P$8:$P$27,0),""))</f>
        <v/>
      </c>
      <c r="D45" s="14">
        <f>IF(C45="","",COUNTIF($C$3:C45,C45))</f>
        <v/>
      </c>
      <c r="E45" s="14">
        <f>IF(C45="","",C45*1000+D45)</f>
        <v/>
      </c>
      <c r="F45" s="14">
        <f>IF(A45="","",INDEX(新年度名簿!$K$2:$K$451,A45))</f>
        <v/>
      </c>
      <c r="G45" s="14">
        <f>IF(A45="","",INDEX(新年度名簿!$C$2:$C$451,A45))</f>
        <v/>
      </c>
      <c r="H45" s="14">
        <f>IF(A45="","",INDEX(新年度名簿!$D$2:$D$451,A45))</f>
        <v/>
      </c>
      <c r="J45" s="14">
        <f>IF($B$1=1,IFERROR(MATCH(1043,$E$3:$E$452,0),""),IFERROR(MATCH(1043,振り分け!$W$7:$W$456,0),""))</f>
        <v/>
      </c>
      <c r="K45" s="14">
        <f>IF($B$1=1,IFERROR(MATCH(2043,$E$3:$E$452,0),""),IFERROR(MATCH(2043,振り分け!$W$7:$W$456,0),""))</f>
        <v/>
      </c>
      <c r="L45" s="14">
        <f>IF($B$1=1,IFERROR(MATCH(3043,$E$3:$E$452,0),""),IFERROR(MATCH(3043,振り分け!$W$7:$W$456,0),""))</f>
        <v/>
      </c>
      <c r="M45" s="14">
        <f>IF($B$1=1,IFERROR(MATCH(4043,$E$3:$E$452,0),""),IFERROR(MATCH(4043,振り分け!$W$7:$W$456,0),""))</f>
        <v/>
      </c>
      <c r="N45" s="14">
        <f>IF($B$1=1,IFERROR(MATCH(5043,$E$3:$E$452,0),""),IFERROR(MATCH(5043,振り分け!$W$7:$W$456,0),""))</f>
        <v/>
      </c>
      <c r="O45" s="14">
        <f>IF($B$1=1,IFERROR(MATCH(6043,$E$3:$E$452,0),""),IFERROR(MATCH(6043,振り分け!$W$7:$W$456,0),""))</f>
        <v/>
      </c>
      <c r="P45" s="14">
        <f>IF($B$1=1,IFERROR(MATCH(7043,$E$3:$E$452,0),""),IFERROR(MATCH(7043,振り分け!$W$7:$W$456,0),""))</f>
        <v/>
      </c>
      <c r="Q45" s="14">
        <f>IF($B$1=1,IFERROR(MATCH(8043,$E$3:$E$452,0),""),IFERROR(MATCH(8043,振り分け!$W$7:$W$456,0),""))</f>
        <v/>
      </c>
      <c r="R45" s="14">
        <f>IF($B$1=1,IFERROR(MATCH(9043,$E$3:$E$452,0),""),IFERROR(MATCH(9043,振り分け!$W$7:$W$456,0),""))</f>
        <v/>
      </c>
      <c r="S45" s="14">
        <f>IF($B$1=1,IFERROR(MATCH(10043,$E$3:$E$452,0),""),IFERROR(MATCH(10043,振り分け!$W$7:$W$456,0),""))</f>
        <v/>
      </c>
      <c r="T45" s="14">
        <f>IF($B$1=1,IFERROR(MATCH(11043,$E$3:$E$452,0),""),IFERROR(MATCH(11043,振り分け!$W$7:$W$456,0),""))</f>
        <v/>
      </c>
      <c r="U45" s="14">
        <f>IF($B$1=1,IFERROR(MATCH(12043,$E$3:$E$452,0),""),IFERROR(MATCH(12043,振り分け!$W$7:$W$456,0),""))</f>
        <v/>
      </c>
      <c r="V45" s="14">
        <f>IF($B$1=1,IFERROR(MATCH(13043,$E$3:$E$452,0),""),IFERROR(MATCH(13043,振り分け!$W$7:$W$456,0),""))</f>
        <v/>
      </c>
      <c r="W45" s="14">
        <f>IF($B$1=1,IFERROR(MATCH(14043,$E$3:$E$452,0),""),IFERROR(MATCH(14043,振り分け!$W$7:$W$456,0),""))</f>
        <v/>
      </c>
      <c r="X45" s="14">
        <f>IF($B$1=1,IFERROR(MATCH(15043,$E$3:$E$452,0),""),IFERROR(MATCH(15043,振り分け!$W$7:$W$456,0),""))</f>
        <v/>
      </c>
      <c r="Y45" s="14">
        <f>IF($B$1=1,IFERROR(MATCH(16043,$E$3:$E$452,0),""),IFERROR(MATCH(16043,振り分け!$W$7:$W$456,0),""))</f>
        <v/>
      </c>
      <c r="Z45" s="14">
        <f>IF($B$1=1,IFERROR(MATCH(17043,$E$3:$E$452,0),""),IFERROR(MATCH(17043,振り分け!$W$7:$W$456,0),""))</f>
        <v/>
      </c>
      <c r="AA45" s="14">
        <f>IF($B$1=1,IFERROR(MATCH(18043,$E$3:$E$452,0),""),IFERROR(MATCH(18043,振り分け!$W$7:$W$456,0),""))</f>
        <v/>
      </c>
      <c r="AB45" s="14">
        <f>IF($B$1=1,IFERROR(MATCH(19043,$E$3:$E$452,0),""),IFERROR(MATCH(19043,振り分け!$W$7:$W$456,0),""))</f>
        <v/>
      </c>
      <c r="AC45" s="14">
        <f>IF($B$1=1,IFERROR(MATCH(20043,$E$3:$E$452,0),""),IFERROR(MATCH(20043,振り分け!$W$7:$W$456,0),""))</f>
        <v/>
      </c>
    </row>
    <row r="46">
      <c r="A46" s="14">
        <f>IFERROR(MATCH(SMALL(新年度名簿!$J$2:$J$451,44),新年度名簿!$J$2:$J$451,0),"")</f>
        <v/>
      </c>
      <c r="B46" s="14">
        <f>IF(A46="","",INDEX(新年度名簿!$G$2:$G$451,A46))</f>
        <v/>
      </c>
      <c r="C46" s="14">
        <f>IF(A46="","",IFERROR(MATCH(B46,設定!$P$8:$P$27,0),""))</f>
        <v/>
      </c>
      <c r="D46" s="14">
        <f>IF(C46="","",COUNTIF($C$3:C46,C46))</f>
        <v/>
      </c>
      <c r="E46" s="14">
        <f>IF(C46="","",C46*1000+D46)</f>
        <v/>
      </c>
      <c r="F46" s="14">
        <f>IF(A46="","",INDEX(新年度名簿!$K$2:$K$451,A46))</f>
        <v/>
      </c>
      <c r="G46" s="14">
        <f>IF(A46="","",INDEX(新年度名簿!$C$2:$C$451,A46))</f>
        <v/>
      </c>
      <c r="H46" s="14">
        <f>IF(A46="","",INDEX(新年度名簿!$D$2:$D$451,A46))</f>
        <v/>
      </c>
      <c r="J46" s="14">
        <f>IF($B$1=1,IFERROR(MATCH(1044,$E$3:$E$452,0),""),IFERROR(MATCH(1044,振り分け!$W$7:$W$456,0),""))</f>
        <v/>
      </c>
      <c r="K46" s="14">
        <f>IF($B$1=1,IFERROR(MATCH(2044,$E$3:$E$452,0),""),IFERROR(MATCH(2044,振り分け!$W$7:$W$456,0),""))</f>
        <v/>
      </c>
      <c r="L46" s="14">
        <f>IF($B$1=1,IFERROR(MATCH(3044,$E$3:$E$452,0),""),IFERROR(MATCH(3044,振り分け!$W$7:$W$456,0),""))</f>
        <v/>
      </c>
      <c r="M46" s="14">
        <f>IF($B$1=1,IFERROR(MATCH(4044,$E$3:$E$452,0),""),IFERROR(MATCH(4044,振り分け!$W$7:$W$456,0),""))</f>
        <v/>
      </c>
      <c r="N46" s="14">
        <f>IF($B$1=1,IFERROR(MATCH(5044,$E$3:$E$452,0),""),IFERROR(MATCH(5044,振り分け!$W$7:$W$456,0),""))</f>
        <v/>
      </c>
      <c r="O46" s="14">
        <f>IF($B$1=1,IFERROR(MATCH(6044,$E$3:$E$452,0),""),IFERROR(MATCH(6044,振り分け!$W$7:$W$456,0),""))</f>
        <v/>
      </c>
      <c r="P46" s="14">
        <f>IF($B$1=1,IFERROR(MATCH(7044,$E$3:$E$452,0),""),IFERROR(MATCH(7044,振り分け!$W$7:$W$456,0),""))</f>
        <v/>
      </c>
      <c r="Q46" s="14">
        <f>IF($B$1=1,IFERROR(MATCH(8044,$E$3:$E$452,0),""),IFERROR(MATCH(8044,振り分け!$W$7:$W$456,0),""))</f>
        <v/>
      </c>
      <c r="R46" s="14">
        <f>IF($B$1=1,IFERROR(MATCH(9044,$E$3:$E$452,0),""),IFERROR(MATCH(9044,振り分け!$W$7:$W$456,0),""))</f>
        <v/>
      </c>
      <c r="S46" s="14">
        <f>IF($B$1=1,IFERROR(MATCH(10044,$E$3:$E$452,0),""),IFERROR(MATCH(10044,振り分け!$W$7:$W$456,0),""))</f>
        <v/>
      </c>
      <c r="T46" s="14">
        <f>IF($B$1=1,IFERROR(MATCH(11044,$E$3:$E$452,0),""),IFERROR(MATCH(11044,振り分け!$W$7:$W$456,0),""))</f>
        <v/>
      </c>
      <c r="U46" s="14">
        <f>IF($B$1=1,IFERROR(MATCH(12044,$E$3:$E$452,0),""),IFERROR(MATCH(12044,振り分け!$W$7:$W$456,0),""))</f>
        <v/>
      </c>
      <c r="V46" s="14">
        <f>IF($B$1=1,IFERROR(MATCH(13044,$E$3:$E$452,0),""),IFERROR(MATCH(13044,振り分け!$W$7:$W$456,0),""))</f>
        <v/>
      </c>
      <c r="W46" s="14">
        <f>IF($B$1=1,IFERROR(MATCH(14044,$E$3:$E$452,0),""),IFERROR(MATCH(14044,振り分け!$W$7:$W$456,0),""))</f>
        <v/>
      </c>
      <c r="X46" s="14">
        <f>IF($B$1=1,IFERROR(MATCH(15044,$E$3:$E$452,0),""),IFERROR(MATCH(15044,振り分け!$W$7:$W$456,0),""))</f>
        <v/>
      </c>
      <c r="Y46" s="14">
        <f>IF($B$1=1,IFERROR(MATCH(16044,$E$3:$E$452,0),""),IFERROR(MATCH(16044,振り分け!$W$7:$W$456,0),""))</f>
        <v/>
      </c>
      <c r="Z46" s="14">
        <f>IF($B$1=1,IFERROR(MATCH(17044,$E$3:$E$452,0),""),IFERROR(MATCH(17044,振り分け!$W$7:$W$456,0),""))</f>
        <v/>
      </c>
      <c r="AA46" s="14">
        <f>IF($B$1=1,IFERROR(MATCH(18044,$E$3:$E$452,0),""),IFERROR(MATCH(18044,振り分け!$W$7:$W$456,0),""))</f>
        <v/>
      </c>
      <c r="AB46" s="14">
        <f>IF($B$1=1,IFERROR(MATCH(19044,$E$3:$E$452,0),""),IFERROR(MATCH(19044,振り分け!$W$7:$W$456,0),""))</f>
        <v/>
      </c>
      <c r="AC46" s="14">
        <f>IF($B$1=1,IFERROR(MATCH(20044,$E$3:$E$452,0),""),IFERROR(MATCH(20044,振り分け!$W$7:$W$456,0),""))</f>
        <v/>
      </c>
    </row>
    <row r="47">
      <c r="A47" s="14">
        <f>IFERROR(MATCH(SMALL(新年度名簿!$J$2:$J$451,45),新年度名簿!$J$2:$J$451,0),"")</f>
        <v/>
      </c>
      <c r="B47" s="14">
        <f>IF(A47="","",INDEX(新年度名簿!$G$2:$G$451,A47))</f>
        <v/>
      </c>
      <c r="C47" s="14">
        <f>IF(A47="","",IFERROR(MATCH(B47,設定!$P$8:$P$27,0),""))</f>
        <v/>
      </c>
      <c r="D47" s="14">
        <f>IF(C47="","",COUNTIF($C$3:C47,C47))</f>
        <v/>
      </c>
      <c r="E47" s="14">
        <f>IF(C47="","",C47*1000+D47)</f>
        <v/>
      </c>
      <c r="F47" s="14">
        <f>IF(A47="","",INDEX(新年度名簿!$K$2:$K$451,A47))</f>
        <v/>
      </c>
      <c r="G47" s="14">
        <f>IF(A47="","",INDEX(新年度名簿!$C$2:$C$451,A47))</f>
        <v/>
      </c>
      <c r="H47" s="14">
        <f>IF(A47="","",INDEX(新年度名簿!$D$2:$D$451,A47))</f>
        <v/>
      </c>
      <c r="J47" s="14">
        <f>IF($B$1=1,IFERROR(MATCH(1045,$E$3:$E$452,0),""),IFERROR(MATCH(1045,振り分け!$W$7:$W$456,0),""))</f>
        <v/>
      </c>
      <c r="K47" s="14">
        <f>IF($B$1=1,IFERROR(MATCH(2045,$E$3:$E$452,0),""),IFERROR(MATCH(2045,振り分け!$W$7:$W$456,0),""))</f>
        <v/>
      </c>
      <c r="L47" s="14">
        <f>IF($B$1=1,IFERROR(MATCH(3045,$E$3:$E$452,0),""),IFERROR(MATCH(3045,振り分け!$W$7:$W$456,0),""))</f>
        <v/>
      </c>
      <c r="M47" s="14">
        <f>IF($B$1=1,IFERROR(MATCH(4045,$E$3:$E$452,0),""),IFERROR(MATCH(4045,振り分け!$W$7:$W$456,0),""))</f>
        <v/>
      </c>
      <c r="N47" s="14">
        <f>IF($B$1=1,IFERROR(MATCH(5045,$E$3:$E$452,0),""),IFERROR(MATCH(5045,振り分け!$W$7:$W$456,0),""))</f>
        <v/>
      </c>
      <c r="O47" s="14">
        <f>IF($B$1=1,IFERROR(MATCH(6045,$E$3:$E$452,0),""),IFERROR(MATCH(6045,振り分け!$W$7:$W$456,0),""))</f>
        <v/>
      </c>
      <c r="P47" s="14">
        <f>IF($B$1=1,IFERROR(MATCH(7045,$E$3:$E$452,0),""),IFERROR(MATCH(7045,振り分け!$W$7:$W$456,0),""))</f>
        <v/>
      </c>
      <c r="Q47" s="14">
        <f>IF($B$1=1,IFERROR(MATCH(8045,$E$3:$E$452,0),""),IFERROR(MATCH(8045,振り分け!$W$7:$W$456,0),""))</f>
        <v/>
      </c>
      <c r="R47" s="14">
        <f>IF($B$1=1,IFERROR(MATCH(9045,$E$3:$E$452,0),""),IFERROR(MATCH(9045,振り分け!$W$7:$W$456,0),""))</f>
        <v/>
      </c>
      <c r="S47" s="14">
        <f>IF($B$1=1,IFERROR(MATCH(10045,$E$3:$E$452,0),""),IFERROR(MATCH(10045,振り分け!$W$7:$W$456,0),""))</f>
        <v/>
      </c>
      <c r="T47" s="14">
        <f>IF($B$1=1,IFERROR(MATCH(11045,$E$3:$E$452,0),""),IFERROR(MATCH(11045,振り分け!$W$7:$W$456,0),""))</f>
        <v/>
      </c>
      <c r="U47" s="14">
        <f>IF($B$1=1,IFERROR(MATCH(12045,$E$3:$E$452,0),""),IFERROR(MATCH(12045,振り分け!$W$7:$W$456,0),""))</f>
        <v/>
      </c>
      <c r="V47" s="14">
        <f>IF($B$1=1,IFERROR(MATCH(13045,$E$3:$E$452,0),""),IFERROR(MATCH(13045,振り分け!$W$7:$W$456,0),""))</f>
        <v/>
      </c>
      <c r="W47" s="14">
        <f>IF($B$1=1,IFERROR(MATCH(14045,$E$3:$E$452,0),""),IFERROR(MATCH(14045,振り分け!$W$7:$W$456,0),""))</f>
        <v/>
      </c>
      <c r="X47" s="14">
        <f>IF($B$1=1,IFERROR(MATCH(15045,$E$3:$E$452,0),""),IFERROR(MATCH(15045,振り分け!$W$7:$W$456,0),""))</f>
        <v/>
      </c>
      <c r="Y47" s="14">
        <f>IF($B$1=1,IFERROR(MATCH(16045,$E$3:$E$452,0),""),IFERROR(MATCH(16045,振り分け!$W$7:$W$456,0),""))</f>
        <v/>
      </c>
      <c r="Z47" s="14">
        <f>IF($B$1=1,IFERROR(MATCH(17045,$E$3:$E$452,0),""),IFERROR(MATCH(17045,振り分け!$W$7:$W$456,0),""))</f>
        <v/>
      </c>
      <c r="AA47" s="14">
        <f>IF($B$1=1,IFERROR(MATCH(18045,$E$3:$E$452,0),""),IFERROR(MATCH(18045,振り分け!$W$7:$W$456,0),""))</f>
        <v/>
      </c>
      <c r="AB47" s="14">
        <f>IF($B$1=1,IFERROR(MATCH(19045,$E$3:$E$452,0),""),IFERROR(MATCH(19045,振り分け!$W$7:$W$456,0),""))</f>
        <v/>
      </c>
      <c r="AC47" s="14">
        <f>IF($B$1=1,IFERROR(MATCH(20045,$E$3:$E$452,0),""),IFERROR(MATCH(20045,振り分け!$W$7:$W$456,0),""))</f>
        <v/>
      </c>
    </row>
    <row r="48">
      <c r="A48" s="14">
        <f>IFERROR(MATCH(SMALL(新年度名簿!$J$2:$J$451,46),新年度名簿!$J$2:$J$451,0),"")</f>
        <v/>
      </c>
      <c r="B48" s="14">
        <f>IF(A48="","",INDEX(新年度名簿!$G$2:$G$451,A48))</f>
        <v/>
      </c>
      <c r="C48" s="14">
        <f>IF(A48="","",IFERROR(MATCH(B48,設定!$P$8:$P$27,0),""))</f>
        <v/>
      </c>
      <c r="D48" s="14">
        <f>IF(C48="","",COUNTIF($C$3:C48,C48))</f>
        <v/>
      </c>
      <c r="E48" s="14">
        <f>IF(C48="","",C48*1000+D48)</f>
        <v/>
      </c>
      <c r="F48" s="14">
        <f>IF(A48="","",INDEX(新年度名簿!$K$2:$K$451,A48))</f>
        <v/>
      </c>
      <c r="G48" s="14">
        <f>IF(A48="","",INDEX(新年度名簿!$C$2:$C$451,A48))</f>
        <v/>
      </c>
      <c r="H48" s="14">
        <f>IF(A48="","",INDEX(新年度名簿!$D$2:$D$451,A48))</f>
        <v/>
      </c>
      <c r="J48" s="14">
        <f>IF($B$1=1,IFERROR(MATCH(1046,$E$3:$E$452,0),""),IFERROR(MATCH(1046,振り分け!$W$7:$W$456,0),""))</f>
        <v/>
      </c>
      <c r="K48" s="14">
        <f>IF($B$1=1,IFERROR(MATCH(2046,$E$3:$E$452,0),""),IFERROR(MATCH(2046,振り分け!$W$7:$W$456,0),""))</f>
        <v/>
      </c>
      <c r="L48" s="14">
        <f>IF($B$1=1,IFERROR(MATCH(3046,$E$3:$E$452,0),""),IFERROR(MATCH(3046,振り分け!$W$7:$W$456,0),""))</f>
        <v/>
      </c>
      <c r="M48" s="14">
        <f>IF($B$1=1,IFERROR(MATCH(4046,$E$3:$E$452,0),""),IFERROR(MATCH(4046,振り分け!$W$7:$W$456,0),""))</f>
        <v/>
      </c>
      <c r="N48" s="14">
        <f>IF($B$1=1,IFERROR(MATCH(5046,$E$3:$E$452,0),""),IFERROR(MATCH(5046,振り分け!$W$7:$W$456,0),""))</f>
        <v/>
      </c>
      <c r="O48" s="14">
        <f>IF($B$1=1,IFERROR(MATCH(6046,$E$3:$E$452,0),""),IFERROR(MATCH(6046,振り分け!$W$7:$W$456,0),""))</f>
        <v/>
      </c>
      <c r="P48" s="14">
        <f>IF($B$1=1,IFERROR(MATCH(7046,$E$3:$E$452,0),""),IFERROR(MATCH(7046,振り分け!$W$7:$W$456,0),""))</f>
        <v/>
      </c>
      <c r="Q48" s="14">
        <f>IF($B$1=1,IFERROR(MATCH(8046,$E$3:$E$452,0),""),IFERROR(MATCH(8046,振り分け!$W$7:$W$456,0),""))</f>
        <v/>
      </c>
      <c r="R48" s="14">
        <f>IF($B$1=1,IFERROR(MATCH(9046,$E$3:$E$452,0),""),IFERROR(MATCH(9046,振り分け!$W$7:$W$456,0),""))</f>
        <v/>
      </c>
      <c r="S48" s="14">
        <f>IF($B$1=1,IFERROR(MATCH(10046,$E$3:$E$452,0),""),IFERROR(MATCH(10046,振り分け!$W$7:$W$456,0),""))</f>
        <v/>
      </c>
      <c r="T48" s="14">
        <f>IF($B$1=1,IFERROR(MATCH(11046,$E$3:$E$452,0),""),IFERROR(MATCH(11046,振り分け!$W$7:$W$456,0),""))</f>
        <v/>
      </c>
      <c r="U48" s="14">
        <f>IF($B$1=1,IFERROR(MATCH(12046,$E$3:$E$452,0),""),IFERROR(MATCH(12046,振り分け!$W$7:$W$456,0),""))</f>
        <v/>
      </c>
      <c r="V48" s="14">
        <f>IF($B$1=1,IFERROR(MATCH(13046,$E$3:$E$452,0),""),IFERROR(MATCH(13046,振り分け!$W$7:$W$456,0),""))</f>
        <v/>
      </c>
      <c r="W48" s="14">
        <f>IF($B$1=1,IFERROR(MATCH(14046,$E$3:$E$452,0),""),IFERROR(MATCH(14046,振り分け!$W$7:$W$456,0),""))</f>
        <v/>
      </c>
      <c r="X48" s="14">
        <f>IF($B$1=1,IFERROR(MATCH(15046,$E$3:$E$452,0),""),IFERROR(MATCH(15046,振り分け!$W$7:$W$456,0),""))</f>
        <v/>
      </c>
      <c r="Y48" s="14">
        <f>IF($B$1=1,IFERROR(MATCH(16046,$E$3:$E$452,0),""),IFERROR(MATCH(16046,振り分け!$W$7:$W$456,0),""))</f>
        <v/>
      </c>
      <c r="Z48" s="14">
        <f>IF($B$1=1,IFERROR(MATCH(17046,$E$3:$E$452,0),""),IFERROR(MATCH(17046,振り分け!$W$7:$W$456,0),""))</f>
        <v/>
      </c>
      <c r="AA48" s="14">
        <f>IF($B$1=1,IFERROR(MATCH(18046,$E$3:$E$452,0),""),IFERROR(MATCH(18046,振り分け!$W$7:$W$456,0),""))</f>
        <v/>
      </c>
      <c r="AB48" s="14">
        <f>IF($B$1=1,IFERROR(MATCH(19046,$E$3:$E$452,0),""),IFERROR(MATCH(19046,振り分け!$W$7:$W$456,0),""))</f>
        <v/>
      </c>
      <c r="AC48" s="14">
        <f>IF($B$1=1,IFERROR(MATCH(20046,$E$3:$E$452,0),""),IFERROR(MATCH(20046,振り分け!$W$7:$W$456,0),""))</f>
        <v/>
      </c>
    </row>
    <row r="49">
      <c r="A49" s="14">
        <f>IFERROR(MATCH(SMALL(新年度名簿!$J$2:$J$451,47),新年度名簿!$J$2:$J$451,0),"")</f>
        <v/>
      </c>
      <c r="B49" s="14">
        <f>IF(A49="","",INDEX(新年度名簿!$G$2:$G$451,A49))</f>
        <v/>
      </c>
      <c r="C49" s="14">
        <f>IF(A49="","",IFERROR(MATCH(B49,設定!$P$8:$P$27,0),""))</f>
        <v/>
      </c>
      <c r="D49" s="14">
        <f>IF(C49="","",COUNTIF($C$3:C49,C49))</f>
        <v/>
      </c>
      <c r="E49" s="14">
        <f>IF(C49="","",C49*1000+D49)</f>
        <v/>
      </c>
      <c r="F49" s="14">
        <f>IF(A49="","",INDEX(新年度名簿!$K$2:$K$451,A49))</f>
        <v/>
      </c>
      <c r="G49" s="14">
        <f>IF(A49="","",INDEX(新年度名簿!$C$2:$C$451,A49))</f>
        <v/>
      </c>
      <c r="H49" s="14">
        <f>IF(A49="","",INDEX(新年度名簿!$D$2:$D$451,A49))</f>
        <v/>
      </c>
      <c r="J49" s="14">
        <f>IF($B$1=1,IFERROR(MATCH(1047,$E$3:$E$452,0),""),IFERROR(MATCH(1047,振り分け!$W$7:$W$456,0),""))</f>
        <v/>
      </c>
      <c r="K49" s="14">
        <f>IF($B$1=1,IFERROR(MATCH(2047,$E$3:$E$452,0),""),IFERROR(MATCH(2047,振り分け!$W$7:$W$456,0),""))</f>
        <v/>
      </c>
      <c r="L49" s="14">
        <f>IF($B$1=1,IFERROR(MATCH(3047,$E$3:$E$452,0),""),IFERROR(MATCH(3047,振り分け!$W$7:$W$456,0),""))</f>
        <v/>
      </c>
      <c r="M49" s="14">
        <f>IF($B$1=1,IFERROR(MATCH(4047,$E$3:$E$452,0),""),IFERROR(MATCH(4047,振り分け!$W$7:$W$456,0),""))</f>
        <v/>
      </c>
      <c r="N49" s="14">
        <f>IF($B$1=1,IFERROR(MATCH(5047,$E$3:$E$452,0),""),IFERROR(MATCH(5047,振り分け!$W$7:$W$456,0),""))</f>
        <v/>
      </c>
      <c r="O49" s="14">
        <f>IF($B$1=1,IFERROR(MATCH(6047,$E$3:$E$452,0),""),IFERROR(MATCH(6047,振り分け!$W$7:$W$456,0),""))</f>
        <v/>
      </c>
      <c r="P49" s="14">
        <f>IF($B$1=1,IFERROR(MATCH(7047,$E$3:$E$452,0),""),IFERROR(MATCH(7047,振り分け!$W$7:$W$456,0),""))</f>
        <v/>
      </c>
      <c r="Q49" s="14">
        <f>IF($B$1=1,IFERROR(MATCH(8047,$E$3:$E$452,0),""),IFERROR(MATCH(8047,振り分け!$W$7:$W$456,0),""))</f>
        <v/>
      </c>
      <c r="R49" s="14">
        <f>IF($B$1=1,IFERROR(MATCH(9047,$E$3:$E$452,0),""),IFERROR(MATCH(9047,振り分け!$W$7:$W$456,0),""))</f>
        <v/>
      </c>
      <c r="S49" s="14">
        <f>IF($B$1=1,IFERROR(MATCH(10047,$E$3:$E$452,0),""),IFERROR(MATCH(10047,振り分け!$W$7:$W$456,0),""))</f>
        <v/>
      </c>
      <c r="T49" s="14">
        <f>IF($B$1=1,IFERROR(MATCH(11047,$E$3:$E$452,0),""),IFERROR(MATCH(11047,振り分け!$W$7:$W$456,0),""))</f>
        <v/>
      </c>
      <c r="U49" s="14">
        <f>IF($B$1=1,IFERROR(MATCH(12047,$E$3:$E$452,0),""),IFERROR(MATCH(12047,振り分け!$W$7:$W$456,0),""))</f>
        <v/>
      </c>
      <c r="V49" s="14">
        <f>IF($B$1=1,IFERROR(MATCH(13047,$E$3:$E$452,0),""),IFERROR(MATCH(13047,振り分け!$W$7:$W$456,0),""))</f>
        <v/>
      </c>
      <c r="W49" s="14">
        <f>IF($B$1=1,IFERROR(MATCH(14047,$E$3:$E$452,0),""),IFERROR(MATCH(14047,振り分け!$W$7:$W$456,0),""))</f>
        <v/>
      </c>
      <c r="X49" s="14">
        <f>IF($B$1=1,IFERROR(MATCH(15047,$E$3:$E$452,0),""),IFERROR(MATCH(15047,振り分け!$W$7:$W$456,0),""))</f>
        <v/>
      </c>
      <c r="Y49" s="14">
        <f>IF($B$1=1,IFERROR(MATCH(16047,$E$3:$E$452,0),""),IFERROR(MATCH(16047,振り分け!$W$7:$W$456,0),""))</f>
        <v/>
      </c>
      <c r="Z49" s="14">
        <f>IF($B$1=1,IFERROR(MATCH(17047,$E$3:$E$452,0),""),IFERROR(MATCH(17047,振り分け!$W$7:$W$456,0),""))</f>
        <v/>
      </c>
      <c r="AA49" s="14">
        <f>IF($B$1=1,IFERROR(MATCH(18047,$E$3:$E$452,0),""),IFERROR(MATCH(18047,振り分け!$W$7:$W$456,0),""))</f>
        <v/>
      </c>
      <c r="AB49" s="14">
        <f>IF($B$1=1,IFERROR(MATCH(19047,$E$3:$E$452,0),""),IFERROR(MATCH(19047,振り分け!$W$7:$W$456,0),""))</f>
        <v/>
      </c>
      <c r="AC49" s="14">
        <f>IF($B$1=1,IFERROR(MATCH(20047,$E$3:$E$452,0),""),IFERROR(MATCH(20047,振り分け!$W$7:$W$456,0),""))</f>
        <v/>
      </c>
    </row>
    <row r="50">
      <c r="A50" s="14">
        <f>IFERROR(MATCH(SMALL(新年度名簿!$J$2:$J$451,48),新年度名簿!$J$2:$J$451,0),"")</f>
        <v/>
      </c>
      <c r="B50" s="14">
        <f>IF(A50="","",INDEX(新年度名簿!$G$2:$G$451,A50))</f>
        <v/>
      </c>
      <c r="C50" s="14">
        <f>IF(A50="","",IFERROR(MATCH(B50,設定!$P$8:$P$27,0),""))</f>
        <v/>
      </c>
      <c r="D50" s="14">
        <f>IF(C50="","",COUNTIF($C$3:C50,C50))</f>
        <v/>
      </c>
      <c r="E50" s="14">
        <f>IF(C50="","",C50*1000+D50)</f>
        <v/>
      </c>
      <c r="F50" s="14">
        <f>IF(A50="","",INDEX(新年度名簿!$K$2:$K$451,A50))</f>
        <v/>
      </c>
      <c r="G50" s="14">
        <f>IF(A50="","",INDEX(新年度名簿!$C$2:$C$451,A50))</f>
        <v/>
      </c>
      <c r="H50" s="14">
        <f>IF(A50="","",INDEX(新年度名簿!$D$2:$D$451,A50))</f>
        <v/>
      </c>
      <c r="J50" s="14">
        <f>IF($B$1=1,IFERROR(MATCH(1048,$E$3:$E$452,0),""),IFERROR(MATCH(1048,振り分け!$W$7:$W$456,0),""))</f>
        <v/>
      </c>
      <c r="K50" s="14">
        <f>IF($B$1=1,IFERROR(MATCH(2048,$E$3:$E$452,0),""),IFERROR(MATCH(2048,振り分け!$W$7:$W$456,0),""))</f>
        <v/>
      </c>
      <c r="L50" s="14">
        <f>IF($B$1=1,IFERROR(MATCH(3048,$E$3:$E$452,0),""),IFERROR(MATCH(3048,振り分け!$W$7:$W$456,0),""))</f>
        <v/>
      </c>
      <c r="M50" s="14">
        <f>IF($B$1=1,IFERROR(MATCH(4048,$E$3:$E$452,0),""),IFERROR(MATCH(4048,振り分け!$W$7:$W$456,0),""))</f>
        <v/>
      </c>
      <c r="N50" s="14">
        <f>IF($B$1=1,IFERROR(MATCH(5048,$E$3:$E$452,0),""),IFERROR(MATCH(5048,振り分け!$W$7:$W$456,0),""))</f>
        <v/>
      </c>
      <c r="O50" s="14">
        <f>IF($B$1=1,IFERROR(MATCH(6048,$E$3:$E$452,0),""),IFERROR(MATCH(6048,振り分け!$W$7:$W$456,0),""))</f>
        <v/>
      </c>
      <c r="P50" s="14">
        <f>IF($B$1=1,IFERROR(MATCH(7048,$E$3:$E$452,0),""),IFERROR(MATCH(7048,振り分け!$W$7:$W$456,0),""))</f>
        <v/>
      </c>
      <c r="Q50" s="14">
        <f>IF($B$1=1,IFERROR(MATCH(8048,$E$3:$E$452,0),""),IFERROR(MATCH(8048,振り分け!$W$7:$W$456,0),""))</f>
        <v/>
      </c>
      <c r="R50" s="14">
        <f>IF($B$1=1,IFERROR(MATCH(9048,$E$3:$E$452,0),""),IFERROR(MATCH(9048,振り分け!$W$7:$W$456,0),""))</f>
        <v/>
      </c>
      <c r="S50" s="14">
        <f>IF($B$1=1,IFERROR(MATCH(10048,$E$3:$E$452,0),""),IFERROR(MATCH(10048,振り分け!$W$7:$W$456,0),""))</f>
        <v/>
      </c>
      <c r="T50" s="14">
        <f>IF($B$1=1,IFERROR(MATCH(11048,$E$3:$E$452,0),""),IFERROR(MATCH(11048,振り分け!$W$7:$W$456,0),""))</f>
        <v/>
      </c>
      <c r="U50" s="14">
        <f>IF($B$1=1,IFERROR(MATCH(12048,$E$3:$E$452,0),""),IFERROR(MATCH(12048,振り分け!$W$7:$W$456,0),""))</f>
        <v/>
      </c>
      <c r="V50" s="14">
        <f>IF($B$1=1,IFERROR(MATCH(13048,$E$3:$E$452,0),""),IFERROR(MATCH(13048,振り分け!$W$7:$W$456,0),""))</f>
        <v/>
      </c>
      <c r="W50" s="14">
        <f>IF($B$1=1,IFERROR(MATCH(14048,$E$3:$E$452,0),""),IFERROR(MATCH(14048,振り分け!$W$7:$W$456,0),""))</f>
        <v/>
      </c>
      <c r="X50" s="14">
        <f>IF($B$1=1,IFERROR(MATCH(15048,$E$3:$E$452,0),""),IFERROR(MATCH(15048,振り分け!$W$7:$W$456,0),""))</f>
        <v/>
      </c>
      <c r="Y50" s="14">
        <f>IF($B$1=1,IFERROR(MATCH(16048,$E$3:$E$452,0),""),IFERROR(MATCH(16048,振り分け!$W$7:$W$456,0),""))</f>
        <v/>
      </c>
      <c r="Z50" s="14">
        <f>IF($B$1=1,IFERROR(MATCH(17048,$E$3:$E$452,0),""),IFERROR(MATCH(17048,振り分け!$W$7:$W$456,0),""))</f>
        <v/>
      </c>
      <c r="AA50" s="14">
        <f>IF($B$1=1,IFERROR(MATCH(18048,$E$3:$E$452,0),""),IFERROR(MATCH(18048,振り分け!$W$7:$W$456,0),""))</f>
        <v/>
      </c>
      <c r="AB50" s="14">
        <f>IF($B$1=1,IFERROR(MATCH(19048,$E$3:$E$452,0),""),IFERROR(MATCH(19048,振り分け!$W$7:$W$456,0),""))</f>
        <v/>
      </c>
      <c r="AC50" s="14">
        <f>IF($B$1=1,IFERROR(MATCH(20048,$E$3:$E$452,0),""),IFERROR(MATCH(20048,振り分け!$W$7:$W$456,0),""))</f>
        <v/>
      </c>
    </row>
    <row r="51">
      <c r="A51" s="14">
        <f>IFERROR(MATCH(SMALL(新年度名簿!$J$2:$J$451,49),新年度名簿!$J$2:$J$451,0),"")</f>
        <v/>
      </c>
      <c r="B51" s="14">
        <f>IF(A51="","",INDEX(新年度名簿!$G$2:$G$451,A51))</f>
        <v/>
      </c>
      <c r="C51" s="14">
        <f>IF(A51="","",IFERROR(MATCH(B51,設定!$P$8:$P$27,0),""))</f>
        <v/>
      </c>
      <c r="D51" s="14">
        <f>IF(C51="","",COUNTIF($C$3:C51,C51))</f>
        <v/>
      </c>
      <c r="E51" s="14">
        <f>IF(C51="","",C51*1000+D51)</f>
        <v/>
      </c>
      <c r="F51" s="14">
        <f>IF(A51="","",INDEX(新年度名簿!$K$2:$K$451,A51))</f>
        <v/>
      </c>
      <c r="G51" s="14">
        <f>IF(A51="","",INDEX(新年度名簿!$C$2:$C$451,A51))</f>
        <v/>
      </c>
      <c r="H51" s="14">
        <f>IF(A51="","",INDEX(新年度名簿!$D$2:$D$451,A51))</f>
        <v/>
      </c>
      <c r="J51" s="14">
        <f>IF($B$1=1,IFERROR(MATCH(1049,$E$3:$E$452,0),""),IFERROR(MATCH(1049,振り分け!$W$7:$W$456,0),""))</f>
        <v/>
      </c>
      <c r="K51" s="14">
        <f>IF($B$1=1,IFERROR(MATCH(2049,$E$3:$E$452,0),""),IFERROR(MATCH(2049,振り分け!$W$7:$W$456,0),""))</f>
        <v/>
      </c>
      <c r="L51" s="14">
        <f>IF($B$1=1,IFERROR(MATCH(3049,$E$3:$E$452,0),""),IFERROR(MATCH(3049,振り分け!$W$7:$W$456,0),""))</f>
        <v/>
      </c>
      <c r="M51" s="14">
        <f>IF($B$1=1,IFERROR(MATCH(4049,$E$3:$E$452,0),""),IFERROR(MATCH(4049,振り分け!$W$7:$W$456,0),""))</f>
        <v/>
      </c>
      <c r="N51" s="14">
        <f>IF($B$1=1,IFERROR(MATCH(5049,$E$3:$E$452,0),""),IFERROR(MATCH(5049,振り分け!$W$7:$W$456,0),""))</f>
        <v/>
      </c>
      <c r="O51" s="14">
        <f>IF($B$1=1,IFERROR(MATCH(6049,$E$3:$E$452,0),""),IFERROR(MATCH(6049,振り分け!$W$7:$W$456,0),""))</f>
        <v/>
      </c>
      <c r="P51" s="14">
        <f>IF($B$1=1,IFERROR(MATCH(7049,$E$3:$E$452,0),""),IFERROR(MATCH(7049,振り分け!$W$7:$W$456,0),""))</f>
        <v/>
      </c>
      <c r="Q51" s="14">
        <f>IF($B$1=1,IFERROR(MATCH(8049,$E$3:$E$452,0),""),IFERROR(MATCH(8049,振り分け!$W$7:$W$456,0),""))</f>
        <v/>
      </c>
      <c r="R51" s="14">
        <f>IF($B$1=1,IFERROR(MATCH(9049,$E$3:$E$452,0),""),IFERROR(MATCH(9049,振り分け!$W$7:$W$456,0),""))</f>
        <v/>
      </c>
      <c r="S51" s="14">
        <f>IF($B$1=1,IFERROR(MATCH(10049,$E$3:$E$452,0),""),IFERROR(MATCH(10049,振り分け!$W$7:$W$456,0),""))</f>
        <v/>
      </c>
      <c r="T51" s="14">
        <f>IF($B$1=1,IFERROR(MATCH(11049,$E$3:$E$452,0),""),IFERROR(MATCH(11049,振り分け!$W$7:$W$456,0),""))</f>
        <v/>
      </c>
      <c r="U51" s="14">
        <f>IF($B$1=1,IFERROR(MATCH(12049,$E$3:$E$452,0),""),IFERROR(MATCH(12049,振り分け!$W$7:$W$456,0),""))</f>
        <v/>
      </c>
      <c r="V51" s="14">
        <f>IF($B$1=1,IFERROR(MATCH(13049,$E$3:$E$452,0),""),IFERROR(MATCH(13049,振り分け!$W$7:$W$456,0),""))</f>
        <v/>
      </c>
      <c r="W51" s="14">
        <f>IF($B$1=1,IFERROR(MATCH(14049,$E$3:$E$452,0),""),IFERROR(MATCH(14049,振り分け!$W$7:$W$456,0),""))</f>
        <v/>
      </c>
      <c r="X51" s="14">
        <f>IF($B$1=1,IFERROR(MATCH(15049,$E$3:$E$452,0),""),IFERROR(MATCH(15049,振り分け!$W$7:$W$456,0),""))</f>
        <v/>
      </c>
      <c r="Y51" s="14">
        <f>IF($B$1=1,IFERROR(MATCH(16049,$E$3:$E$452,0),""),IFERROR(MATCH(16049,振り分け!$W$7:$W$456,0),""))</f>
        <v/>
      </c>
      <c r="Z51" s="14">
        <f>IF($B$1=1,IFERROR(MATCH(17049,$E$3:$E$452,0),""),IFERROR(MATCH(17049,振り分け!$W$7:$W$456,0),""))</f>
        <v/>
      </c>
      <c r="AA51" s="14">
        <f>IF($B$1=1,IFERROR(MATCH(18049,$E$3:$E$452,0),""),IFERROR(MATCH(18049,振り分け!$W$7:$W$456,0),""))</f>
        <v/>
      </c>
      <c r="AB51" s="14">
        <f>IF($B$1=1,IFERROR(MATCH(19049,$E$3:$E$452,0),""),IFERROR(MATCH(19049,振り分け!$W$7:$W$456,0),""))</f>
        <v/>
      </c>
      <c r="AC51" s="14">
        <f>IF($B$1=1,IFERROR(MATCH(20049,$E$3:$E$452,0),""),IFERROR(MATCH(20049,振り分け!$W$7:$W$456,0),""))</f>
        <v/>
      </c>
    </row>
    <row r="52">
      <c r="A52" s="14">
        <f>IFERROR(MATCH(SMALL(新年度名簿!$J$2:$J$451,50),新年度名簿!$J$2:$J$451,0),"")</f>
        <v/>
      </c>
      <c r="B52" s="14">
        <f>IF(A52="","",INDEX(新年度名簿!$G$2:$G$451,A52))</f>
        <v/>
      </c>
      <c r="C52" s="14">
        <f>IF(A52="","",IFERROR(MATCH(B52,設定!$P$8:$P$27,0),""))</f>
        <v/>
      </c>
      <c r="D52" s="14">
        <f>IF(C52="","",COUNTIF($C$3:C52,C52))</f>
        <v/>
      </c>
      <c r="E52" s="14">
        <f>IF(C52="","",C52*1000+D52)</f>
        <v/>
      </c>
      <c r="F52" s="14">
        <f>IF(A52="","",INDEX(新年度名簿!$K$2:$K$451,A52))</f>
        <v/>
      </c>
      <c r="G52" s="14">
        <f>IF(A52="","",INDEX(新年度名簿!$C$2:$C$451,A52))</f>
        <v/>
      </c>
      <c r="H52" s="14">
        <f>IF(A52="","",INDEX(新年度名簿!$D$2:$D$451,A52))</f>
        <v/>
      </c>
      <c r="J52" s="14">
        <f>IF($B$1=1,IFERROR(MATCH(1050,$E$3:$E$452,0),""),IFERROR(MATCH(1050,振り分け!$W$7:$W$456,0),""))</f>
        <v/>
      </c>
      <c r="K52" s="14">
        <f>IF($B$1=1,IFERROR(MATCH(2050,$E$3:$E$452,0),""),IFERROR(MATCH(2050,振り分け!$W$7:$W$456,0),""))</f>
        <v/>
      </c>
      <c r="L52" s="14">
        <f>IF($B$1=1,IFERROR(MATCH(3050,$E$3:$E$452,0),""),IFERROR(MATCH(3050,振り分け!$W$7:$W$456,0),""))</f>
        <v/>
      </c>
      <c r="M52" s="14">
        <f>IF($B$1=1,IFERROR(MATCH(4050,$E$3:$E$452,0),""),IFERROR(MATCH(4050,振り分け!$W$7:$W$456,0),""))</f>
        <v/>
      </c>
      <c r="N52" s="14">
        <f>IF($B$1=1,IFERROR(MATCH(5050,$E$3:$E$452,0),""),IFERROR(MATCH(5050,振り分け!$W$7:$W$456,0),""))</f>
        <v/>
      </c>
      <c r="O52" s="14">
        <f>IF($B$1=1,IFERROR(MATCH(6050,$E$3:$E$452,0),""),IFERROR(MATCH(6050,振り分け!$W$7:$W$456,0),""))</f>
        <v/>
      </c>
      <c r="P52" s="14">
        <f>IF($B$1=1,IFERROR(MATCH(7050,$E$3:$E$452,0),""),IFERROR(MATCH(7050,振り分け!$W$7:$W$456,0),""))</f>
        <v/>
      </c>
      <c r="Q52" s="14">
        <f>IF($B$1=1,IFERROR(MATCH(8050,$E$3:$E$452,0),""),IFERROR(MATCH(8050,振り分け!$W$7:$W$456,0),""))</f>
        <v/>
      </c>
      <c r="R52" s="14">
        <f>IF($B$1=1,IFERROR(MATCH(9050,$E$3:$E$452,0),""),IFERROR(MATCH(9050,振り分け!$W$7:$W$456,0),""))</f>
        <v/>
      </c>
      <c r="S52" s="14">
        <f>IF($B$1=1,IFERROR(MATCH(10050,$E$3:$E$452,0),""),IFERROR(MATCH(10050,振り分け!$W$7:$W$456,0),""))</f>
        <v/>
      </c>
      <c r="T52" s="14">
        <f>IF($B$1=1,IFERROR(MATCH(11050,$E$3:$E$452,0),""),IFERROR(MATCH(11050,振り分け!$W$7:$W$456,0),""))</f>
        <v/>
      </c>
      <c r="U52" s="14">
        <f>IF($B$1=1,IFERROR(MATCH(12050,$E$3:$E$452,0),""),IFERROR(MATCH(12050,振り分け!$W$7:$W$456,0),""))</f>
        <v/>
      </c>
      <c r="V52" s="14">
        <f>IF($B$1=1,IFERROR(MATCH(13050,$E$3:$E$452,0),""),IFERROR(MATCH(13050,振り分け!$W$7:$W$456,0),""))</f>
        <v/>
      </c>
      <c r="W52" s="14">
        <f>IF($B$1=1,IFERROR(MATCH(14050,$E$3:$E$452,0),""),IFERROR(MATCH(14050,振り分け!$W$7:$W$456,0),""))</f>
        <v/>
      </c>
      <c r="X52" s="14">
        <f>IF($B$1=1,IFERROR(MATCH(15050,$E$3:$E$452,0),""),IFERROR(MATCH(15050,振り分け!$W$7:$W$456,0),""))</f>
        <v/>
      </c>
      <c r="Y52" s="14">
        <f>IF($B$1=1,IFERROR(MATCH(16050,$E$3:$E$452,0),""),IFERROR(MATCH(16050,振り分け!$W$7:$W$456,0),""))</f>
        <v/>
      </c>
      <c r="Z52" s="14">
        <f>IF($B$1=1,IFERROR(MATCH(17050,$E$3:$E$452,0),""),IFERROR(MATCH(17050,振り分け!$W$7:$W$456,0),""))</f>
        <v/>
      </c>
      <c r="AA52" s="14">
        <f>IF($B$1=1,IFERROR(MATCH(18050,$E$3:$E$452,0),""),IFERROR(MATCH(18050,振り分け!$W$7:$W$456,0),""))</f>
        <v/>
      </c>
      <c r="AB52" s="14">
        <f>IF($B$1=1,IFERROR(MATCH(19050,$E$3:$E$452,0),""),IFERROR(MATCH(19050,振り分け!$W$7:$W$456,0),""))</f>
        <v/>
      </c>
      <c r="AC52" s="14">
        <f>IF($B$1=1,IFERROR(MATCH(20050,$E$3:$E$452,0),""),IFERROR(MATCH(20050,振り分け!$W$7:$W$456,0),""))</f>
        <v/>
      </c>
    </row>
    <row r="53">
      <c r="A53" s="14">
        <f>IFERROR(MATCH(SMALL(新年度名簿!$J$2:$J$451,51),新年度名簿!$J$2:$J$451,0),"")</f>
        <v/>
      </c>
      <c r="B53" s="14">
        <f>IF(A53="","",INDEX(新年度名簿!$G$2:$G$451,A53))</f>
        <v/>
      </c>
      <c r="C53" s="14">
        <f>IF(A53="","",IFERROR(MATCH(B53,設定!$P$8:$P$27,0),""))</f>
        <v/>
      </c>
      <c r="D53" s="14">
        <f>IF(C53="","",COUNTIF($C$3:C53,C53))</f>
        <v/>
      </c>
      <c r="E53" s="14">
        <f>IF(C53="","",C53*1000+D53)</f>
        <v/>
      </c>
      <c r="F53" s="14">
        <f>IF(A53="","",INDEX(新年度名簿!$K$2:$K$451,A53))</f>
        <v/>
      </c>
      <c r="G53" s="14">
        <f>IF(A53="","",INDEX(新年度名簿!$C$2:$C$451,A53))</f>
        <v/>
      </c>
      <c r="H53" s="14">
        <f>IF(A53="","",INDEX(新年度名簿!$D$2:$D$451,A53))</f>
        <v/>
      </c>
    </row>
    <row r="54">
      <c r="A54" s="14">
        <f>IFERROR(MATCH(SMALL(新年度名簿!$J$2:$J$451,52),新年度名簿!$J$2:$J$451,0),"")</f>
        <v/>
      </c>
      <c r="B54" s="14">
        <f>IF(A54="","",INDEX(新年度名簿!$G$2:$G$451,A54))</f>
        <v/>
      </c>
      <c r="C54" s="14">
        <f>IF(A54="","",IFERROR(MATCH(B54,設定!$P$8:$P$27,0),""))</f>
        <v/>
      </c>
      <c r="D54" s="14">
        <f>IF(C54="","",COUNTIF($C$3:C54,C54))</f>
        <v/>
      </c>
      <c r="E54" s="14">
        <f>IF(C54="","",C54*1000+D54)</f>
        <v/>
      </c>
      <c r="F54" s="14">
        <f>IF(A54="","",INDEX(新年度名簿!$K$2:$K$451,A54))</f>
        <v/>
      </c>
      <c r="G54" s="14">
        <f>IF(A54="","",INDEX(新年度名簿!$C$2:$C$451,A54))</f>
        <v/>
      </c>
      <c r="H54" s="14">
        <f>IF(A54="","",INDEX(新年度名簿!$D$2:$D$451,A54))</f>
        <v/>
      </c>
    </row>
    <row r="55">
      <c r="A55" s="14">
        <f>IFERROR(MATCH(SMALL(新年度名簿!$J$2:$J$451,53),新年度名簿!$J$2:$J$451,0),"")</f>
        <v/>
      </c>
      <c r="B55" s="14">
        <f>IF(A55="","",INDEX(新年度名簿!$G$2:$G$451,A55))</f>
        <v/>
      </c>
      <c r="C55" s="14">
        <f>IF(A55="","",IFERROR(MATCH(B55,設定!$P$8:$P$27,0),""))</f>
        <v/>
      </c>
      <c r="D55" s="14">
        <f>IF(C55="","",COUNTIF($C$3:C55,C55))</f>
        <v/>
      </c>
      <c r="E55" s="14">
        <f>IF(C55="","",C55*1000+D55)</f>
        <v/>
      </c>
      <c r="F55" s="14">
        <f>IF(A55="","",INDEX(新年度名簿!$K$2:$K$451,A55))</f>
        <v/>
      </c>
      <c r="G55" s="14">
        <f>IF(A55="","",INDEX(新年度名簿!$C$2:$C$451,A55))</f>
        <v/>
      </c>
      <c r="H55" s="14">
        <f>IF(A55="","",INDEX(新年度名簿!$D$2:$D$451,A55))</f>
        <v/>
      </c>
    </row>
    <row r="56">
      <c r="A56" s="14">
        <f>IFERROR(MATCH(SMALL(新年度名簿!$J$2:$J$451,54),新年度名簿!$J$2:$J$451,0),"")</f>
        <v/>
      </c>
      <c r="B56" s="14">
        <f>IF(A56="","",INDEX(新年度名簿!$G$2:$G$451,A56))</f>
        <v/>
      </c>
      <c r="C56" s="14">
        <f>IF(A56="","",IFERROR(MATCH(B56,設定!$P$8:$P$27,0),""))</f>
        <v/>
      </c>
      <c r="D56" s="14">
        <f>IF(C56="","",COUNTIF($C$3:C56,C56))</f>
        <v/>
      </c>
      <c r="E56" s="14">
        <f>IF(C56="","",C56*1000+D56)</f>
        <v/>
      </c>
      <c r="F56" s="14">
        <f>IF(A56="","",INDEX(新年度名簿!$K$2:$K$451,A56))</f>
        <v/>
      </c>
      <c r="G56" s="14">
        <f>IF(A56="","",INDEX(新年度名簿!$C$2:$C$451,A56))</f>
        <v/>
      </c>
      <c r="H56" s="14">
        <f>IF(A56="","",INDEX(新年度名簿!$D$2:$D$451,A56))</f>
        <v/>
      </c>
    </row>
    <row r="57">
      <c r="A57" s="14">
        <f>IFERROR(MATCH(SMALL(新年度名簿!$J$2:$J$451,55),新年度名簿!$J$2:$J$451,0),"")</f>
        <v/>
      </c>
      <c r="B57" s="14">
        <f>IF(A57="","",INDEX(新年度名簿!$G$2:$G$451,A57))</f>
        <v/>
      </c>
      <c r="C57" s="14">
        <f>IF(A57="","",IFERROR(MATCH(B57,設定!$P$8:$P$27,0),""))</f>
        <v/>
      </c>
      <c r="D57" s="14">
        <f>IF(C57="","",COUNTIF($C$3:C57,C57))</f>
        <v/>
      </c>
      <c r="E57" s="14">
        <f>IF(C57="","",C57*1000+D57)</f>
        <v/>
      </c>
      <c r="F57" s="14">
        <f>IF(A57="","",INDEX(新年度名簿!$K$2:$K$451,A57))</f>
        <v/>
      </c>
      <c r="G57" s="14">
        <f>IF(A57="","",INDEX(新年度名簿!$C$2:$C$451,A57))</f>
        <v/>
      </c>
      <c r="H57" s="14">
        <f>IF(A57="","",INDEX(新年度名簿!$D$2:$D$451,A57))</f>
        <v/>
      </c>
    </row>
    <row r="58">
      <c r="A58" s="14">
        <f>IFERROR(MATCH(SMALL(新年度名簿!$J$2:$J$451,56),新年度名簿!$J$2:$J$451,0),"")</f>
        <v/>
      </c>
      <c r="B58" s="14">
        <f>IF(A58="","",INDEX(新年度名簿!$G$2:$G$451,A58))</f>
        <v/>
      </c>
      <c r="C58" s="14">
        <f>IF(A58="","",IFERROR(MATCH(B58,設定!$P$8:$P$27,0),""))</f>
        <v/>
      </c>
      <c r="D58" s="14">
        <f>IF(C58="","",COUNTIF($C$3:C58,C58))</f>
        <v/>
      </c>
      <c r="E58" s="14">
        <f>IF(C58="","",C58*1000+D58)</f>
        <v/>
      </c>
      <c r="F58" s="14">
        <f>IF(A58="","",INDEX(新年度名簿!$K$2:$K$451,A58))</f>
        <v/>
      </c>
      <c r="G58" s="14">
        <f>IF(A58="","",INDEX(新年度名簿!$C$2:$C$451,A58))</f>
        <v/>
      </c>
      <c r="H58" s="14">
        <f>IF(A58="","",INDEX(新年度名簿!$D$2:$D$451,A58))</f>
        <v/>
      </c>
    </row>
    <row r="59">
      <c r="A59" s="14">
        <f>IFERROR(MATCH(SMALL(新年度名簿!$J$2:$J$451,57),新年度名簿!$J$2:$J$451,0),"")</f>
        <v/>
      </c>
      <c r="B59" s="14">
        <f>IF(A59="","",INDEX(新年度名簿!$G$2:$G$451,A59))</f>
        <v/>
      </c>
      <c r="C59" s="14">
        <f>IF(A59="","",IFERROR(MATCH(B59,設定!$P$8:$P$27,0),""))</f>
        <v/>
      </c>
      <c r="D59" s="14">
        <f>IF(C59="","",COUNTIF($C$3:C59,C59))</f>
        <v/>
      </c>
      <c r="E59" s="14">
        <f>IF(C59="","",C59*1000+D59)</f>
        <v/>
      </c>
      <c r="F59" s="14">
        <f>IF(A59="","",INDEX(新年度名簿!$K$2:$K$451,A59))</f>
        <v/>
      </c>
      <c r="G59" s="14">
        <f>IF(A59="","",INDEX(新年度名簿!$C$2:$C$451,A59))</f>
        <v/>
      </c>
      <c r="H59" s="14">
        <f>IF(A59="","",INDEX(新年度名簿!$D$2:$D$451,A59))</f>
        <v/>
      </c>
    </row>
    <row r="60">
      <c r="A60" s="14">
        <f>IFERROR(MATCH(SMALL(新年度名簿!$J$2:$J$451,58),新年度名簿!$J$2:$J$451,0),"")</f>
        <v/>
      </c>
      <c r="B60" s="14">
        <f>IF(A60="","",INDEX(新年度名簿!$G$2:$G$451,A60))</f>
        <v/>
      </c>
      <c r="C60" s="14">
        <f>IF(A60="","",IFERROR(MATCH(B60,設定!$P$8:$P$27,0),""))</f>
        <v/>
      </c>
      <c r="D60" s="14">
        <f>IF(C60="","",COUNTIF($C$3:C60,C60))</f>
        <v/>
      </c>
      <c r="E60" s="14">
        <f>IF(C60="","",C60*1000+D60)</f>
        <v/>
      </c>
      <c r="F60" s="14">
        <f>IF(A60="","",INDEX(新年度名簿!$K$2:$K$451,A60))</f>
        <v/>
      </c>
      <c r="G60" s="14">
        <f>IF(A60="","",INDEX(新年度名簿!$C$2:$C$451,A60))</f>
        <v/>
      </c>
      <c r="H60" s="14">
        <f>IF(A60="","",INDEX(新年度名簿!$D$2:$D$451,A60))</f>
        <v/>
      </c>
    </row>
    <row r="61">
      <c r="A61" s="14">
        <f>IFERROR(MATCH(SMALL(新年度名簿!$J$2:$J$451,59),新年度名簿!$J$2:$J$451,0),"")</f>
        <v/>
      </c>
      <c r="B61" s="14">
        <f>IF(A61="","",INDEX(新年度名簿!$G$2:$G$451,A61))</f>
        <v/>
      </c>
      <c r="C61" s="14">
        <f>IF(A61="","",IFERROR(MATCH(B61,設定!$P$8:$P$27,0),""))</f>
        <v/>
      </c>
      <c r="D61" s="14">
        <f>IF(C61="","",COUNTIF($C$3:C61,C61))</f>
        <v/>
      </c>
      <c r="E61" s="14">
        <f>IF(C61="","",C61*1000+D61)</f>
        <v/>
      </c>
      <c r="F61" s="14">
        <f>IF(A61="","",INDEX(新年度名簿!$K$2:$K$451,A61))</f>
        <v/>
      </c>
      <c r="G61" s="14">
        <f>IF(A61="","",INDEX(新年度名簿!$C$2:$C$451,A61))</f>
        <v/>
      </c>
      <c r="H61" s="14">
        <f>IF(A61="","",INDEX(新年度名簿!$D$2:$D$451,A61))</f>
        <v/>
      </c>
    </row>
    <row r="62">
      <c r="A62" s="14">
        <f>IFERROR(MATCH(SMALL(新年度名簿!$J$2:$J$451,60),新年度名簿!$J$2:$J$451,0),"")</f>
        <v/>
      </c>
      <c r="B62" s="14">
        <f>IF(A62="","",INDEX(新年度名簿!$G$2:$G$451,A62))</f>
        <v/>
      </c>
      <c r="C62" s="14">
        <f>IF(A62="","",IFERROR(MATCH(B62,設定!$P$8:$P$27,0),""))</f>
        <v/>
      </c>
      <c r="D62" s="14">
        <f>IF(C62="","",COUNTIF($C$3:C62,C62))</f>
        <v/>
      </c>
      <c r="E62" s="14">
        <f>IF(C62="","",C62*1000+D62)</f>
        <v/>
      </c>
      <c r="F62" s="14">
        <f>IF(A62="","",INDEX(新年度名簿!$K$2:$K$451,A62))</f>
        <v/>
      </c>
      <c r="G62" s="14">
        <f>IF(A62="","",INDEX(新年度名簿!$C$2:$C$451,A62))</f>
        <v/>
      </c>
      <c r="H62" s="14">
        <f>IF(A62="","",INDEX(新年度名簿!$D$2:$D$451,A62))</f>
        <v/>
      </c>
    </row>
    <row r="63">
      <c r="A63" s="14">
        <f>IFERROR(MATCH(SMALL(新年度名簿!$J$2:$J$451,61),新年度名簿!$J$2:$J$451,0),"")</f>
        <v/>
      </c>
      <c r="B63" s="14">
        <f>IF(A63="","",INDEX(新年度名簿!$G$2:$G$451,A63))</f>
        <v/>
      </c>
      <c r="C63" s="14">
        <f>IF(A63="","",IFERROR(MATCH(B63,設定!$P$8:$P$27,0),""))</f>
        <v/>
      </c>
      <c r="D63" s="14">
        <f>IF(C63="","",COUNTIF($C$3:C63,C63))</f>
        <v/>
      </c>
      <c r="E63" s="14">
        <f>IF(C63="","",C63*1000+D63)</f>
        <v/>
      </c>
      <c r="F63" s="14">
        <f>IF(A63="","",INDEX(新年度名簿!$K$2:$K$451,A63))</f>
        <v/>
      </c>
      <c r="G63" s="14">
        <f>IF(A63="","",INDEX(新年度名簿!$C$2:$C$451,A63))</f>
        <v/>
      </c>
      <c r="H63" s="14">
        <f>IF(A63="","",INDEX(新年度名簿!$D$2:$D$451,A63))</f>
        <v/>
      </c>
    </row>
    <row r="64">
      <c r="A64" s="14">
        <f>IFERROR(MATCH(SMALL(新年度名簿!$J$2:$J$451,62),新年度名簿!$J$2:$J$451,0),"")</f>
        <v/>
      </c>
      <c r="B64" s="14">
        <f>IF(A64="","",INDEX(新年度名簿!$G$2:$G$451,A64))</f>
        <v/>
      </c>
      <c r="C64" s="14">
        <f>IF(A64="","",IFERROR(MATCH(B64,設定!$P$8:$P$27,0),""))</f>
        <v/>
      </c>
      <c r="D64" s="14">
        <f>IF(C64="","",COUNTIF($C$3:C64,C64))</f>
        <v/>
      </c>
      <c r="E64" s="14">
        <f>IF(C64="","",C64*1000+D64)</f>
        <v/>
      </c>
      <c r="F64" s="14">
        <f>IF(A64="","",INDEX(新年度名簿!$K$2:$K$451,A64))</f>
        <v/>
      </c>
      <c r="G64" s="14">
        <f>IF(A64="","",INDEX(新年度名簿!$C$2:$C$451,A64))</f>
        <v/>
      </c>
      <c r="H64" s="14">
        <f>IF(A64="","",INDEX(新年度名簿!$D$2:$D$451,A64))</f>
        <v/>
      </c>
    </row>
    <row r="65">
      <c r="A65" s="14">
        <f>IFERROR(MATCH(SMALL(新年度名簿!$J$2:$J$451,63),新年度名簿!$J$2:$J$451,0),"")</f>
        <v/>
      </c>
      <c r="B65" s="14">
        <f>IF(A65="","",INDEX(新年度名簿!$G$2:$G$451,A65))</f>
        <v/>
      </c>
      <c r="C65" s="14">
        <f>IF(A65="","",IFERROR(MATCH(B65,設定!$P$8:$P$27,0),""))</f>
        <v/>
      </c>
      <c r="D65" s="14">
        <f>IF(C65="","",COUNTIF($C$3:C65,C65))</f>
        <v/>
      </c>
      <c r="E65" s="14">
        <f>IF(C65="","",C65*1000+D65)</f>
        <v/>
      </c>
      <c r="F65" s="14">
        <f>IF(A65="","",INDEX(新年度名簿!$K$2:$K$451,A65))</f>
        <v/>
      </c>
      <c r="G65" s="14">
        <f>IF(A65="","",INDEX(新年度名簿!$C$2:$C$451,A65))</f>
        <v/>
      </c>
      <c r="H65" s="14">
        <f>IF(A65="","",INDEX(新年度名簿!$D$2:$D$451,A65))</f>
        <v/>
      </c>
    </row>
    <row r="66">
      <c r="A66" s="14">
        <f>IFERROR(MATCH(SMALL(新年度名簿!$J$2:$J$451,64),新年度名簿!$J$2:$J$451,0),"")</f>
        <v/>
      </c>
      <c r="B66" s="14">
        <f>IF(A66="","",INDEX(新年度名簿!$G$2:$G$451,A66))</f>
        <v/>
      </c>
      <c r="C66" s="14">
        <f>IF(A66="","",IFERROR(MATCH(B66,設定!$P$8:$P$27,0),""))</f>
        <v/>
      </c>
      <c r="D66" s="14">
        <f>IF(C66="","",COUNTIF($C$3:C66,C66))</f>
        <v/>
      </c>
      <c r="E66" s="14">
        <f>IF(C66="","",C66*1000+D66)</f>
        <v/>
      </c>
      <c r="F66" s="14">
        <f>IF(A66="","",INDEX(新年度名簿!$K$2:$K$451,A66))</f>
        <v/>
      </c>
      <c r="G66" s="14">
        <f>IF(A66="","",INDEX(新年度名簿!$C$2:$C$451,A66))</f>
        <v/>
      </c>
      <c r="H66" s="14">
        <f>IF(A66="","",INDEX(新年度名簿!$D$2:$D$451,A66))</f>
        <v/>
      </c>
    </row>
    <row r="67">
      <c r="A67" s="14">
        <f>IFERROR(MATCH(SMALL(新年度名簿!$J$2:$J$451,65),新年度名簿!$J$2:$J$451,0),"")</f>
        <v/>
      </c>
      <c r="B67" s="14">
        <f>IF(A67="","",INDEX(新年度名簿!$G$2:$G$451,A67))</f>
        <v/>
      </c>
      <c r="C67" s="14">
        <f>IF(A67="","",IFERROR(MATCH(B67,設定!$P$8:$P$27,0),""))</f>
        <v/>
      </c>
      <c r="D67" s="14">
        <f>IF(C67="","",COUNTIF($C$3:C67,C67))</f>
        <v/>
      </c>
      <c r="E67" s="14">
        <f>IF(C67="","",C67*1000+D67)</f>
        <v/>
      </c>
      <c r="F67" s="14">
        <f>IF(A67="","",INDEX(新年度名簿!$K$2:$K$451,A67))</f>
        <v/>
      </c>
      <c r="G67" s="14">
        <f>IF(A67="","",INDEX(新年度名簿!$C$2:$C$451,A67))</f>
        <v/>
      </c>
      <c r="H67" s="14">
        <f>IF(A67="","",INDEX(新年度名簿!$D$2:$D$451,A67))</f>
        <v/>
      </c>
    </row>
    <row r="68">
      <c r="A68" s="14">
        <f>IFERROR(MATCH(SMALL(新年度名簿!$J$2:$J$451,66),新年度名簿!$J$2:$J$451,0),"")</f>
        <v/>
      </c>
      <c r="B68" s="14">
        <f>IF(A68="","",INDEX(新年度名簿!$G$2:$G$451,A68))</f>
        <v/>
      </c>
      <c r="C68" s="14">
        <f>IF(A68="","",IFERROR(MATCH(B68,設定!$P$8:$P$27,0),""))</f>
        <v/>
      </c>
      <c r="D68" s="14">
        <f>IF(C68="","",COUNTIF($C$3:C68,C68))</f>
        <v/>
      </c>
      <c r="E68" s="14">
        <f>IF(C68="","",C68*1000+D68)</f>
        <v/>
      </c>
      <c r="F68" s="14">
        <f>IF(A68="","",INDEX(新年度名簿!$K$2:$K$451,A68))</f>
        <v/>
      </c>
      <c r="G68" s="14">
        <f>IF(A68="","",INDEX(新年度名簿!$C$2:$C$451,A68))</f>
        <v/>
      </c>
      <c r="H68" s="14">
        <f>IF(A68="","",INDEX(新年度名簿!$D$2:$D$451,A68))</f>
        <v/>
      </c>
    </row>
    <row r="69">
      <c r="A69" s="14">
        <f>IFERROR(MATCH(SMALL(新年度名簿!$J$2:$J$451,67),新年度名簿!$J$2:$J$451,0),"")</f>
        <v/>
      </c>
      <c r="B69" s="14">
        <f>IF(A69="","",INDEX(新年度名簿!$G$2:$G$451,A69))</f>
        <v/>
      </c>
      <c r="C69" s="14">
        <f>IF(A69="","",IFERROR(MATCH(B69,設定!$P$8:$P$27,0),""))</f>
        <v/>
      </c>
      <c r="D69" s="14">
        <f>IF(C69="","",COUNTIF($C$3:C69,C69))</f>
        <v/>
      </c>
      <c r="E69" s="14">
        <f>IF(C69="","",C69*1000+D69)</f>
        <v/>
      </c>
      <c r="F69" s="14">
        <f>IF(A69="","",INDEX(新年度名簿!$K$2:$K$451,A69))</f>
        <v/>
      </c>
      <c r="G69" s="14">
        <f>IF(A69="","",INDEX(新年度名簿!$C$2:$C$451,A69))</f>
        <v/>
      </c>
      <c r="H69" s="14">
        <f>IF(A69="","",INDEX(新年度名簿!$D$2:$D$451,A69))</f>
        <v/>
      </c>
    </row>
    <row r="70">
      <c r="A70" s="14">
        <f>IFERROR(MATCH(SMALL(新年度名簿!$J$2:$J$451,68),新年度名簿!$J$2:$J$451,0),"")</f>
        <v/>
      </c>
      <c r="B70" s="14">
        <f>IF(A70="","",INDEX(新年度名簿!$G$2:$G$451,A70))</f>
        <v/>
      </c>
      <c r="C70" s="14">
        <f>IF(A70="","",IFERROR(MATCH(B70,設定!$P$8:$P$27,0),""))</f>
        <v/>
      </c>
      <c r="D70" s="14">
        <f>IF(C70="","",COUNTIF($C$3:C70,C70))</f>
        <v/>
      </c>
      <c r="E70" s="14">
        <f>IF(C70="","",C70*1000+D70)</f>
        <v/>
      </c>
      <c r="F70" s="14">
        <f>IF(A70="","",INDEX(新年度名簿!$K$2:$K$451,A70))</f>
        <v/>
      </c>
      <c r="G70" s="14">
        <f>IF(A70="","",INDEX(新年度名簿!$C$2:$C$451,A70))</f>
        <v/>
      </c>
      <c r="H70" s="14">
        <f>IF(A70="","",INDEX(新年度名簿!$D$2:$D$451,A70))</f>
        <v/>
      </c>
    </row>
    <row r="71">
      <c r="A71" s="14">
        <f>IFERROR(MATCH(SMALL(新年度名簿!$J$2:$J$451,69),新年度名簿!$J$2:$J$451,0),"")</f>
        <v/>
      </c>
      <c r="B71" s="14">
        <f>IF(A71="","",INDEX(新年度名簿!$G$2:$G$451,A71))</f>
        <v/>
      </c>
      <c r="C71" s="14">
        <f>IF(A71="","",IFERROR(MATCH(B71,設定!$P$8:$P$27,0),""))</f>
        <v/>
      </c>
      <c r="D71" s="14">
        <f>IF(C71="","",COUNTIF($C$3:C71,C71))</f>
        <v/>
      </c>
      <c r="E71" s="14">
        <f>IF(C71="","",C71*1000+D71)</f>
        <v/>
      </c>
      <c r="F71" s="14">
        <f>IF(A71="","",INDEX(新年度名簿!$K$2:$K$451,A71))</f>
        <v/>
      </c>
      <c r="G71" s="14">
        <f>IF(A71="","",INDEX(新年度名簿!$C$2:$C$451,A71))</f>
        <v/>
      </c>
      <c r="H71" s="14">
        <f>IF(A71="","",INDEX(新年度名簿!$D$2:$D$451,A71))</f>
        <v/>
      </c>
    </row>
    <row r="72">
      <c r="A72" s="14">
        <f>IFERROR(MATCH(SMALL(新年度名簿!$J$2:$J$451,70),新年度名簿!$J$2:$J$451,0),"")</f>
        <v/>
      </c>
      <c r="B72" s="14">
        <f>IF(A72="","",INDEX(新年度名簿!$G$2:$G$451,A72))</f>
        <v/>
      </c>
      <c r="C72" s="14">
        <f>IF(A72="","",IFERROR(MATCH(B72,設定!$P$8:$P$27,0),""))</f>
        <v/>
      </c>
      <c r="D72" s="14">
        <f>IF(C72="","",COUNTIF($C$3:C72,C72))</f>
        <v/>
      </c>
      <c r="E72" s="14">
        <f>IF(C72="","",C72*1000+D72)</f>
        <v/>
      </c>
      <c r="F72" s="14">
        <f>IF(A72="","",INDEX(新年度名簿!$K$2:$K$451,A72))</f>
        <v/>
      </c>
      <c r="G72" s="14">
        <f>IF(A72="","",INDEX(新年度名簿!$C$2:$C$451,A72))</f>
        <v/>
      </c>
      <c r="H72" s="14">
        <f>IF(A72="","",INDEX(新年度名簿!$D$2:$D$451,A72))</f>
        <v/>
      </c>
    </row>
    <row r="73">
      <c r="A73" s="14">
        <f>IFERROR(MATCH(SMALL(新年度名簿!$J$2:$J$451,71),新年度名簿!$J$2:$J$451,0),"")</f>
        <v/>
      </c>
      <c r="B73" s="14">
        <f>IF(A73="","",INDEX(新年度名簿!$G$2:$G$451,A73))</f>
        <v/>
      </c>
      <c r="C73" s="14">
        <f>IF(A73="","",IFERROR(MATCH(B73,設定!$P$8:$P$27,0),""))</f>
        <v/>
      </c>
      <c r="D73" s="14">
        <f>IF(C73="","",COUNTIF($C$3:C73,C73))</f>
        <v/>
      </c>
      <c r="E73" s="14">
        <f>IF(C73="","",C73*1000+D73)</f>
        <v/>
      </c>
      <c r="F73" s="14">
        <f>IF(A73="","",INDEX(新年度名簿!$K$2:$K$451,A73))</f>
        <v/>
      </c>
      <c r="G73" s="14">
        <f>IF(A73="","",INDEX(新年度名簿!$C$2:$C$451,A73))</f>
        <v/>
      </c>
      <c r="H73" s="14">
        <f>IF(A73="","",INDEX(新年度名簿!$D$2:$D$451,A73))</f>
        <v/>
      </c>
    </row>
    <row r="74">
      <c r="A74" s="14">
        <f>IFERROR(MATCH(SMALL(新年度名簿!$J$2:$J$451,72),新年度名簿!$J$2:$J$451,0),"")</f>
        <v/>
      </c>
      <c r="B74" s="14">
        <f>IF(A74="","",INDEX(新年度名簿!$G$2:$G$451,A74))</f>
        <v/>
      </c>
      <c r="C74" s="14">
        <f>IF(A74="","",IFERROR(MATCH(B74,設定!$P$8:$P$27,0),""))</f>
        <v/>
      </c>
      <c r="D74" s="14">
        <f>IF(C74="","",COUNTIF($C$3:C74,C74))</f>
        <v/>
      </c>
      <c r="E74" s="14">
        <f>IF(C74="","",C74*1000+D74)</f>
        <v/>
      </c>
      <c r="F74" s="14">
        <f>IF(A74="","",INDEX(新年度名簿!$K$2:$K$451,A74))</f>
        <v/>
      </c>
      <c r="G74" s="14">
        <f>IF(A74="","",INDEX(新年度名簿!$C$2:$C$451,A74))</f>
        <v/>
      </c>
      <c r="H74" s="14">
        <f>IF(A74="","",INDEX(新年度名簿!$D$2:$D$451,A74))</f>
        <v/>
      </c>
    </row>
    <row r="75">
      <c r="A75" s="14">
        <f>IFERROR(MATCH(SMALL(新年度名簿!$J$2:$J$451,73),新年度名簿!$J$2:$J$451,0),"")</f>
        <v/>
      </c>
      <c r="B75" s="14">
        <f>IF(A75="","",INDEX(新年度名簿!$G$2:$G$451,A75))</f>
        <v/>
      </c>
      <c r="C75" s="14">
        <f>IF(A75="","",IFERROR(MATCH(B75,設定!$P$8:$P$27,0),""))</f>
        <v/>
      </c>
      <c r="D75" s="14">
        <f>IF(C75="","",COUNTIF($C$3:C75,C75))</f>
        <v/>
      </c>
      <c r="E75" s="14">
        <f>IF(C75="","",C75*1000+D75)</f>
        <v/>
      </c>
      <c r="F75" s="14">
        <f>IF(A75="","",INDEX(新年度名簿!$K$2:$K$451,A75))</f>
        <v/>
      </c>
      <c r="G75" s="14">
        <f>IF(A75="","",INDEX(新年度名簿!$C$2:$C$451,A75))</f>
        <v/>
      </c>
      <c r="H75" s="14">
        <f>IF(A75="","",INDEX(新年度名簿!$D$2:$D$451,A75))</f>
        <v/>
      </c>
    </row>
    <row r="76">
      <c r="A76" s="14">
        <f>IFERROR(MATCH(SMALL(新年度名簿!$J$2:$J$451,74),新年度名簿!$J$2:$J$451,0),"")</f>
        <v/>
      </c>
      <c r="B76" s="14">
        <f>IF(A76="","",INDEX(新年度名簿!$G$2:$G$451,A76))</f>
        <v/>
      </c>
      <c r="C76" s="14">
        <f>IF(A76="","",IFERROR(MATCH(B76,設定!$P$8:$P$27,0),""))</f>
        <v/>
      </c>
      <c r="D76" s="14">
        <f>IF(C76="","",COUNTIF($C$3:C76,C76))</f>
        <v/>
      </c>
      <c r="E76" s="14">
        <f>IF(C76="","",C76*1000+D76)</f>
        <v/>
      </c>
      <c r="F76" s="14">
        <f>IF(A76="","",INDEX(新年度名簿!$K$2:$K$451,A76))</f>
        <v/>
      </c>
      <c r="G76" s="14">
        <f>IF(A76="","",INDEX(新年度名簿!$C$2:$C$451,A76))</f>
        <v/>
      </c>
      <c r="H76" s="14">
        <f>IF(A76="","",INDEX(新年度名簿!$D$2:$D$451,A76))</f>
        <v/>
      </c>
    </row>
    <row r="77">
      <c r="A77" s="14">
        <f>IFERROR(MATCH(SMALL(新年度名簿!$J$2:$J$451,75),新年度名簿!$J$2:$J$451,0),"")</f>
        <v/>
      </c>
      <c r="B77" s="14">
        <f>IF(A77="","",INDEX(新年度名簿!$G$2:$G$451,A77))</f>
        <v/>
      </c>
      <c r="C77" s="14">
        <f>IF(A77="","",IFERROR(MATCH(B77,設定!$P$8:$P$27,0),""))</f>
        <v/>
      </c>
      <c r="D77" s="14">
        <f>IF(C77="","",COUNTIF($C$3:C77,C77))</f>
        <v/>
      </c>
      <c r="E77" s="14">
        <f>IF(C77="","",C77*1000+D77)</f>
        <v/>
      </c>
      <c r="F77" s="14">
        <f>IF(A77="","",INDEX(新年度名簿!$K$2:$K$451,A77))</f>
        <v/>
      </c>
      <c r="G77" s="14">
        <f>IF(A77="","",INDEX(新年度名簿!$C$2:$C$451,A77))</f>
        <v/>
      </c>
      <c r="H77" s="14">
        <f>IF(A77="","",INDEX(新年度名簿!$D$2:$D$451,A77))</f>
        <v/>
      </c>
    </row>
    <row r="78">
      <c r="A78" s="14">
        <f>IFERROR(MATCH(SMALL(新年度名簿!$J$2:$J$451,76),新年度名簿!$J$2:$J$451,0),"")</f>
        <v/>
      </c>
      <c r="B78" s="14">
        <f>IF(A78="","",INDEX(新年度名簿!$G$2:$G$451,A78))</f>
        <v/>
      </c>
      <c r="C78" s="14">
        <f>IF(A78="","",IFERROR(MATCH(B78,設定!$P$8:$P$27,0),""))</f>
        <v/>
      </c>
      <c r="D78" s="14">
        <f>IF(C78="","",COUNTIF($C$3:C78,C78))</f>
        <v/>
      </c>
      <c r="E78" s="14">
        <f>IF(C78="","",C78*1000+D78)</f>
        <v/>
      </c>
      <c r="F78" s="14">
        <f>IF(A78="","",INDEX(新年度名簿!$K$2:$K$451,A78))</f>
        <v/>
      </c>
      <c r="G78" s="14">
        <f>IF(A78="","",INDEX(新年度名簿!$C$2:$C$451,A78))</f>
        <v/>
      </c>
      <c r="H78" s="14">
        <f>IF(A78="","",INDEX(新年度名簿!$D$2:$D$451,A78))</f>
        <v/>
      </c>
    </row>
    <row r="79">
      <c r="A79" s="14">
        <f>IFERROR(MATCH(SMALL(新年度名簿!$J$2:$J$451,77),新年度名簿!$J$2:$J$451,0),"")</f>
        <v/>
      </c>
      <c r="B79" s="14">
        <f>IF(A79="","",INDEX(新年度名簿!$G$2:$G$451,A79))</f>
        <v/>
      </c>
      <c r="C79" s="14">
        <f>IF(A79="","",IFERROR(MATCH(B79,設定!$P$8:$P$27,0),""))</f>
        <v/>
      </c>
      <c r="D79" s="14">
        <f>IF(C79="","",COUNTIF($C$3:C79,C79))</f>
        <v/>
      </c>
      <c r="E79" s="14">
        <f>IF(C79="","",C79*1000+D79)</f>
        <v/>
      </c>
      <c r="F79" s="14">
        <f>IF(A79="","",INDEX(新年度名簿!$K$2:$K$451,A79))</f>
        <v/>
      </c>
      <c r="G79" s="14">
        <f>IF(A79="","",INDEX(新年度名簿!$C$2:$C$451,A79))</f>
        <v/>
      </c>
      <c r="H79" s="14">
        <f>IF(A79="","",INDEX(新年度名簿!$D$2:$D$451,A79))</f>
        <v/>
      </c>
    </row>
    <row r="80">
      <c r="A80" s="14">
        <f>IFERROR(MATCH(SMALL(新年度名簿!$J$2:$J$451,78),新年度名簿!$J$2:$J$451,0),"")</f>
        <v/>
      </c>
      <c r="B80" s="14">
        <f>IF(A80="","",INDEX(新年度名簿!$G$2:$G$451,A80))</f>
        <v/>
      </c>
      <c r="C80" s="14">
        <f>IF(A80="","",IFERROR(MATCH(B80,設定!$P$8:$P$27,0),""))</f>
        <v/>
      </c>
      <c r="D80" s="14">
        <f>IF(C80="","",COUNTIF($C$3:C80,C80))</f>
        <v/>
      </c>
      <c r="E80" s="14">
        <f>IF(C80="","",C80*1000+D80)</f>
        <v/>
      </c>
      <c r="F80" s="14">
        <f>IF(A80="","",INDEX(新年度名簿!$K$2:$K$451,A80))</f>
        <v/>
      </c>
      <c r="G80" s="14">
        <f>IF(A80="","",INDEX(新年度名簿!$C$2:$C$451,A80))</f>
        <v/>
      </c>
      <c r="H80" s="14">
        <f>IF(A80="","",INDEX(新年度名簿!$D$2:$D$451,A80))</f>
        <v/>
      </c>
    </row>
    <row r="81">
      <c r="A81" s="14">
        <f>IFERROR(MATCH(SMALL(新年度名簿!$J$2:$J$451,79),新年度名簿!$J$2:$J$451,0),"")</f>
        <v/>
      </c>
      <c r="B81" s="14">
        <f>IF(A81="","",INDEX(新年度名簿!$G$2:$G$451,A81))</f>
        <v/>
      </c>
      <c r="C81" s="14">
        <f>IF(A81="","",IFERROR(MATCH(B81,設定!$P$8:$P$27,0),""))</f>
        <v/>
      </c>
      <c r="D81" s="14">
        <f>IF(C81="","",COUNTIF($C$3:C81,C81))</f>
        <v/>
      </c>
      <c r="E81" s="14">
        <f>IF(C81="","",C81*1000+D81)</f>
        <v/>
      </c>
      <c r="F81" s="14">
        <f>IF(A81="","",INDEX(新年度名簿!$K$2:$K$451,A81))</f>
        <v/>
      </c>
      <c r="G81" s="14">
        <f>IF(A81="","",INDEX(新年度名簿!$C$2:$C$451,A81))</f>
        <v/>
      </c>
      <c r="H81" s="14">
        <f>IF(A81="","",INDEX(新年度名簿!$D$2:$D$451,A81))</f>
        <v/>
      </c>
    </row>
    <row r="82">
      <c r="A82" s="14">
        <f>IFERROR(MATCH(SMALL(新年度名簿!$J$2:$J$451,80),新年度名簿!$J$2:$J$451,0),"")</f>
        <v/>
      </c>
      <c r="B82" s="14">
        <f>IF(A82="","",INDEX(新年度名簿!$G$2:$G$451,A82))</f>
        <v/>
      </c>
      <c r="C82" s="14">
        <f>IF(A82="","",IFERROR(MATCH(B82,設定!$P$8:$P$27,0),""))</f>
        <v/>
      </c>
      <c r="D82" s="14">
        <f>IF(C82="","",COUNTIF($C$3:C82,C82))</f>
        <v/>
      </c>
      <c r="E82" s="14">
        <f>IF(C82="","",C82*1000+D82)</f>
        <v/>
      </c>
      <c r="F82" s="14">
        <f>IF(A82="","",INDEX(新年度名簿!$K$2:$K$451,A82))</f>
        <v/>
      </c>
      <c r="G82" s="14">
        <f>IF(A82="","",INDEX(新年度名簿!$C$2:$C$451,A82))</f>
        <v/>
      </c>
      <c r="H82" s="14">
        <f>IF(A82="","",INDEX(新年度名簿!$D$2:$D$451,A82))</f>
        <v/>
      </c>
    </row>
    <row r="83">
      <c r="A83" s="14">
        <f>IFERROR(MATCH(SMALL(新年度名簿!$J$2:$J$451,81),新年度名簿!$J$2:$J$451,0),"")</f>
        <v/>
      </c>
      <c r="B83" s="14">
        <f>IF(A83="","",INDEX(新年度名簿!$G$2:$G$451,A83))</f>
        <v/>
      </c>
      <c r="C83" s="14">
        <f>IF(A83="","",IFERROR(MATCH(B83,設定!$P$8:$P$27,0),""))</f>
        <v/>
      </c>
      <c r="D83" s="14">
        <f>IF(C83="","",COUNTIF($C$3:C83,C83))</f>
        <v/>
      </c>
      <c r="E83" s="14">
        <f>IF(C83="","",C83*1000+D83)</f>
        <v/>
      </c>
      <c r="F83" s="14">
        <f>IF(A83="","",INDEX(新年度名簿!$K$2:$K$451,A83))</f>
        <v/>
      </c>
      <c r="G83" s="14">
        <f>IF(A83="","",INDEX(新年度名簿!$C$2:$C$451,A83))</f>
        <v/>
      </c>
      <c r="H83" s="14">
        <f>IF(A83="","",INDEX(新年度名簿!$D$2:$D$451,A83))</f>
        <v/>
      </c>
    </row>
    <row r="84">
      <c r="A84" s="14">
        <f>IFERROR(MATCH(SMALL(新年度名簿!$J$2:$J$451,82),新年度名簿!$J$2:$J$451,0),"")</f>
        <v/>
      </c>
      <c r="B84" s="14">
        <f>IF(A84="","",INDEX(新年度名簿!$G$2:$G$451,A84))</f>
        <v/>
      </c>
      <c r="C84" s="14">
        <f>IF(A84="","",IFERROR(MATCH(B84,設定!$P$8:$P$27,0),""))</f>
        <v/>
      </c>
      <c r="D84" s="14">
        <f>IF(C84="","",COUNTIF($C$3:C84,C84))</f>
        <v/>
      </c>
      <c r="E84" s="14">
        <f>IF(C84="","",C84*1000+D84)</f>
        <v/>
      </c>
      <c r="F84" s="14">
        <f>IF(A84="","",INDEX(新年度名簿!$K$2:$K$451,A84))</f>
        <v/>
      </c>
      <c r="G84" s="14">
        <f>IF(A84="","",INDEX(新年度名簿!$C$2:$C$451,A84))</f>
        <v/>
      </c>
      <c r="H84" s="14">
        <f>IF(A84="","",INDEX(新年度名簿!$D$2:$D$451,A84))</f>
        <v/>
      </c>
    </row>
    <row r="85">
      <c r="A85" s="14">
        <f>IFERROR(MATCH(SMALL(新年度名簿!$J$2:$J$451,83),新年度名簿!$J$2:$J$451,0),"")</f>
        <v/>
      </c>
      <c r="B85" s="14">
        <f>IF(A85="","",INDEX(新年度名簿!$G$2:$G$451,A85))</f>
        <v/>
      </c>
      <c r="C85" s="14">
        <f>IF(A85="","",IFERROR(MATCH(B85,設定!$P$8:$P$27,0),""))</f>
        <v/>
      </c>
      <c r="D85" s="14">
        <f>IF(C85="","",COUNTIF($C$3:C85,C85))</f>
        <v/>
      </c>
      <c r="E85" s="14">
        <f>IF(C85="","",C85*1000+D85)</f>
        <v/>
      </c>
      <c r="F85" s="14">
        <f>IF(A85="","",INDEX(新年度名簿!$K$2:$K$451,A85))</f>
        <v/>
      </c>
      <c r="G85" s="14">
        <f>IF(A85="","",INDEX(新年度名簿!$C$2:$C$451,A85))</f>
        <v/>
      </c>
      <c r="H85" s="14">
        <f>IF(A85="","",INDEX(新年度名簿!$D$2:$D$451,A85))</f>
        <v/>
      </c>
    </row>
    <row r="86">
      <c r="A86" s="14">
        <f>IFERROR(MATCH(SMALL(新年度名簿!$J$2:$J$451,84),新年度名簿!$J$2:$J$451,0),"")</f>
        <v/>
      </c>
      <c r="B86" s="14">
        <f>IF(A86="","",INDEX(新年度名簿!$G$2:$G$451,A86))</f>
        <v/>
      </c>
      <c r="C86" s="14">
        <f>IF(A86="","",IFERROR(MATCH(B86,設定!$P$8:$P$27,0),""))</f>
        <v/>
      </c>
      <c r="D86" s="14">
        <f>IF(C86="","",COUNTIF($C$3:C86,C86))</f>
        <v/>
      </c>
      <c r="E86" s="14">
        <f>IF(C86="","",C86*1000+D86)</f>
        <v/>
      </c>
      <c r="F86" s="14">
        <f>IF(A86="","",INDEX(新年度名簿!$K$2:$K$451,A86))</f>
        <v/>
      </c>
      <c r="G86" s="14">
        <f>IF(A86="","",INDEX(新年度名簿!$C$2:$C$451,A86))</f>
        <v/>
      </c>
      <c r="H86" s="14">
        <f>IF(A86="","",INDEX(新年度名簿!$D$2:$D$451,A86))</f>
        <v/>
      </c>
    </row>
    <row r="87">
      <c r="A87" s="14">
        <f>IFERROR(MATCH(SMALL(新年度名簿!$J$2:$J$451,85),新年度名簿!$J$2:$J$451,0),"")</f>
        <v/>
      </c>
      <c r="B87" s="14">
        <f>IF(A87="","",INDEX(新年度名簿!$G$2:$G$451,A87))</f>
        <v/>
      </c>
      <c r="C87" s="14">
        <f>IF(A87="","",IFERROR(MATCH(B87,設定!$P$8:$P$27,0),""))</f>
        <v/>
      </c>
      <c r="D87" s="14">
        <f>IF(C87="","",COUNTIF($C$3:C87,C87))</f>
        <v/>
      </c>
      <c r="E87" s="14">
        <f>IF(C87="","",C87*1000+D87)</f>
        <v/>
      </c>
      <c r="F87" s="14">
        <f>IF(A87="","",INDEX(新年度名簿!$K$2:$K$451,A87))</f>
        <v/>
      </c>
      <c r="G87" s="14">
        <f>IF(A87="","",INDEX(新年度名簿!$C$2:$C$451,A87))</f>
        <v/>
      </c>
      <c r="H87" s="14">
        <f>IF(A87="","",INDEX(新年度名簿!$D$2:$D$451,A87))</f>
        <v/>
      </c>
    </row>
    <row r="88">
      <c r="A88" s="14">
        <f>IFERROR(MATCH(SMALL(新年度名簿!$J$2:$J$451,86),新年度名簿!$J$2:$J$451,0),"")</f>
        <v/>
      </c>
      <c r="B88" s="14">
        <f>IF(A88="","",INDEX(新年度名簿!$G$2:$G$451,A88))</f>
        <v/>
      </c>
      <c r="C88" s="14">
        <f>IF(A88="","",IFERROR(MATCH(B88,設定!$P$8:$P$27,0),""))</f>
        <v/>
      </c>
      <c r="D88" s="14">
        <f>IF(C88="","",COUNTIF($C$3:C88,C88))</f>
        <v/>
      </c>
      <c r="E88" s="14">
        <f>IF(C88="","",C88*1000+D88)</f>
        <v/>
      </c>
      <c r="F88" s="14">
        <f>IF(A88="","",INDEX(新年度名簿!$K$2:$K$451,A88))</f>
        <v/>
      </c>
      <c r="G88" s="14">
        <f>IF(A88="","",INDEX(新年度名簿!$C$2:$C$451,A88))</f>
        <v/>
      </c>
      <c r="H88" s="14">
        <f>IF(A88="","",INDEX(新年度名簿!$D$2:$D$451,A88))</f>
        <v/>
      </c>
    </row>
    <row r="89">
      <c r="A89" s="14">
        <f>IFERROR(MATCH(SMALL(新年度名簿!$J$2:$J$451,87),新年度名簿!$J$2:$J$451,0),"")</f>
        <v/>
      </c>
      <c r="B89" s="14">
        <f>IF(A89="","",INDEX(新年度名簿!$G$2:$G$451,A89))</f>
        <v/>
      </c>
      <c r="C89" s="14">
        <f>IF(A89="","",IFERROR(MATCH(B89,設定!$P$8:$P$27,0),""))</f>
        <v/>
      </c>
      <c r="D89" s="14">
        <f>IF(C89="","",COUNTIF($C$3:C89,C89))</f>
        <v/>
      </c>
      <c r="E89" s="14">
        <f>IF(C89="","",C89*1000+D89)</f>
        <v/>
      </c>
      <c r="F89" s="14">
        <f>IF(A89="","",INDEX(新年度名簿!$K$2:$K$451,A89))</f>
        <v/>
      </c>
      <c r="G89" s="14">
        <f>IF(A89="","",INDEX(新年度名簿!$C$2:$C$451,A89))</f>
        <v/>
      </c>
      <c r="H89" s="14">
        <f>IF(A89="","",INDEX(新年度名簿!$D$2:$D$451,A89))</f>
        <v/>
      </c>
    </row>
    <row r="90">
      <c r="A90" s="14">
        <f>IFERROR(MATCH(SMALL(新年度名簿!$J$2:$J$451,88),新年度名簿!$J$2:$J$451,0),"")</f>
        <v/>
      </c>
      <c r="B90" s="14">
        <f>IF(A90="","",INDEX(新年度名簿!$G$2:$G$451,A90))</f>
        <v/>
      </c>
      <c r="C90" s="14">
        <f>IF(A90="","",IFERROR(MATCH(B90,設定!$P$8:$P$27,0),""))</f>
        <v/>
      </c>
      <c r="D90" s="14">
        <f>IF(C90="","",COUNTIF($C$3:C90,C90))</f>
        <v/>
      </c>
      <c r="E90" s="14">
        <f>IF(C90="","",C90*1000+D90)</f>
        <v/>
      </c>
      <c r="F90" s="14">
        <f>IF(A90="","",INDEX(新年度名簿!$K$2:$K$451,A90))</f>
        <v/>
      </c>
      <c r="G90" s="14">
        <f>IF(A90="","",INDEX(新年度名簿!$C$2:$C$451,A90))</f>
        <v/>
      </c>
      <c r="H90" s="14">
        <f>IF(A90="","",INDEX(新年度名簿!$D$2:$D$451,A90))</f>
        <v/>
      </c>
    </row>
    <row r="91">
      <c r="A91" s="14">
        <f>IFERROR(MATCH(SMALL(新年度名簿!$J$2:$J$451,89),新年度名簿!$J$2:$J$451,0),"")</f>
        <v/>
      </c>
      <c r="B91" s="14">
        <f>IF(A91="","",INDEX(新年度名簿!$G$2:$G$451,A91))</f>
        <v/>
      </c>
      <c r="C91" s="14">
        <f>IF(A91="","",IFERROR(MATCH(B91,設定!$P$8:$P$27,0),""))</f>
        <v/>
      </c>
      <c r="D91" s="14">
        <f>IF(C91="","",COUNTIF($C$3:C91,C91))</f>
        <v/>
      </c>
      <c r="E91" s="14">
        <f>IF(C91="","",C91*1000+D91)</f>
        <v/>
      </c>
      <c r="F91" s="14">
        <f>IF(A91="","",INDEX(新年度名簿!$K$2:$K$451,A91))</f>
        <v/>
      </c>
      <c r="G91" s="14">
        <f>IF(A91="","",INDEX(新年度名簿!$C$2:$C$451,A91))</f>
        <v/>
      </c>
      <c r="H91" s="14">
        <f>IF(A91="","",INDEX(新年度名簿!$D$2:$D$451,A91))</f>
        <v/>
      </c>
    </row>
    <row r="92">
      <c r="A92" s="14">
        <f>IFERROR(MATCH(SMALL(新年度名簿!$J$2:$J$451,90),新年度名簿!$J$2:$J$451,0),"")</f>
        <v/>
      </c>
      <c r="B92" s="14">
        <f>IF(A92="","",INDEX(新年度名簿!$G$2:$G$451,A92))</f>
        <v/>
      </c>
      <c r="C92" s="14">
        <f>IF(A92="","",IFERROR(MATCH(B92,設定!$P$8:$P$27,0),""))</f>
        <v/>
      </c>
      <c r="D92" s="14">
        <f>IF(C92="","",COUNTIF($C$3:C92,C92))</f>
        <v/>
      </c>
      <c r="E92" s="14">
        <f>IF(C92="","",C92*1000+D92)</f>
        <v/>
      </c>
      <c r="F92" s="14">
        <f>IF(A92="","",INDEX(新年度名簿!$K$2:$K$451,A92))</f>
        <v/>
      </c>
      <c r="G92" s="14">
        <f>IF(A92="","",INDEX(新年度名簿!$C$2:$C$451,A92))</f>
        <v/>
      </c>
      <c r="H92" s="14">
        <f>IF(A92="","",INDEX(新年度名簿!$D$2:$D$451,A92))</f>
        <v/>
      </c>
    </row>
    <row r="93">
      <c r="A93" s="14">
        <f>IFERROR(MATCH(SMALL(新年度名簿!$J$2:$J$451,91),新年度名簿!$J$2:$J$451,0),"")</f>
        <v/>
      </c>
      <c r="B93" s="14">
        <f>IF(A93="","",INDEX(新年度名簿!$G$2:$G$451,A93))</f>
        <v/>
      </c>
      <c r="C93" s="14">
        <f>IF(A93="","",IFERROR(MATCH(B93,設定!$P$8:$P$27,0),""))</f>
        <v/>
      </c>
      <c r="D93" s="14">
        <f>IF(C93="","",COUNTIF($C$3:C93,C93))</f>
        <v/>
      </c>
      <c r="E93" s="14">
        <f>IF(C93="","",C93*1000+D93)</f>
        <v/>
      </c>
      <c r="F93" s="14">
        <f>IF(A93="","",INDEX(新年度名簿!$K$2:$K$451,A93))</f>
        <v/>
      </c>
      <c r="G93" s="14">
        <f>IF(A93="","",INDEX(新年度名簿!$C$2:$C$451,A93))</f>
        <v/>
      </c>
      <c r="H93" s="14">
        <f>IF(A93="","",INDEX(新年度名簿!$D$2:$D$451,A93))</f>
        <v/>
      </c>
    </row>
    <row r="94">
      <c r="A94" s="14">
        <f>IFERROR(MATCH(SMALL(新年度名簿!$J$2:$J$451,92),新年度名簿!$J$2:$J$451,0),"")</f>
        <v/>
      </c>
      <c r="B94" s="14">
        <f>IF(A94="","",INDEX(新年度名簿!$G$2:$G$451,A94))</f>
        <v/>
      </c>
      <c r="C94" s="14">
        <f>IF(A94="","",IFERROR(MATCH(B94,設定!$P$8:$P$27,0),""))</f>
        <v/>
      </c>
      <c r="D94" s="14">
        <f>IF(C94="","",COUNTIF($C$3:C94,C94))</f>
        <v/>
      </c>
      <c r="E94" s="14">
        <f>IF(C94="","",C94*1000+D94)</f>
        <v/>
      </c>
      <c r="F94" s="14">
        <f>IF(A94="","",INDEX(新年度名簿!$K$2:$K$451,A94))</f>
        <v/>
      </c>
      <c r="G94" s="14">
        <f>IF(A94="","",INDEX(新年度名簿!$C$2:$C$451,A94))</f>
        <v/>
      </c>
      <c r="H94" s="14">
        <f>IF(A94="","",INDEX(新年度名簿!$D$2:$D$451,A94))</f>
        <v/>
      </c>
    </row>
    <row r="95">
      <c r="A95" s="14">
        <f>IFERROR(MATCH(SMALL(新年度名簿!$J$2:$J$451,93),新年度名簿!$J$2:$J$451,0),"")</f>
        <v/>
      </c>
      <c r="B95" s="14">
        <f>IF(A95="","",INDEX(新年度名簿!$G$2:$G$451,A95))</f>
        <v/>
      </c>
      <c r="C95" s="14">
        <f>IF(A95="","",IFERROR(MATCH(B95,設定!$P$8:$P$27,0),""))</f>
        <v/>
      </c>
      <c r="D95" s="14">
        <f>IF(C95="","",COUNTIF($C$3:C95,C95))</f>
        <v/>
      </c>
      <c r="E95" s="14">
        <f>IF(C95="","",C95*1000+D95)</f>
        <v/>
      </c>
      <c r="F95" s="14">
        <f>IF(A95="","",INDEX(新年度名簿!$K$2:$K$451,A95))</f>
        <v/>
      </c>
      <c r="G95" s="14">
        <f>IF(A95="","",INDEX(新年度名簿!$C$2:$C$451,A95))</f>
        <v/>
      </c>
      <c r="H95" s="14">
        <f>IF(A95="","",INDEX(新年度名簿!$D$2:$D$451,A95))</f>
        <v/>
      </c>
    </row>
    <row r="96">
      <c r="A96" s="14">
        <f>IFERROR(MATCH(SMALL(新年度名簿!$J$2:$J$451,94),新年度名簿!$J$2:$J$451,0),"")</f>
        <v/>
      </c>
      <c r="B96" s="14">
        <f>IF(A96="","",INDEX(新年度名簿!$G$2:$G$451,A96))</f>
        <v/>
      </c>
      <c r="C96" s="14">
        <f>IF(A96="","",IFERROR(MATCH(B96,設定!$P$8:$P$27,0),""))</f>
        <v/>
      </c>
      <c r="D96" s="14">
        <f>IF(C96="","",COUNTIF($C$3:C96,C96))</f>
        <v/>
      </c>
      <c r="E96" s="14">
        <f>IF(C96="","",C96*1000+D96)</f>
        <v/>
      </c>
      <c r="F96" s="14">
        <f>IF(A96="","",INDEX(新年度名簿!$K$2:$K$451,A96))</f>
        <v/>
      </c>
      <c r="G96" s="14">
        <f>IF(A96="","",INDEX(新年度名簿!$C$2:$C$451,A96))</f>
        <v/>
      </c>
      <c r="H96" s="14">
        <f>IF(A96="","",INDEX(新年度名簿!$D$2:$D$451,A96))</f>
        <v/>
      </c>
    </row>
    <row r="97">
      <c r="A97" s="14">
        <f>IFERROR(MATCH(SMALL(新年度名簿!$J$2:$J$451,95),新年度名簿!$J$2:$J$451,0),"")</f>
        <v/>
      </c>
      <c r="B97" s="14">
        <f>IF(A97="","",INDEX(新年度名簿!$G$2:$G$451,A97))</f>
        <v/>
      </c>
      <c r="C97" s="14">
        <f>IF(A97="","",IFERROR(MATCH(B97,設定!$P$8:$P$27,0),""))</f>
        <v/>
      </c>
      <c r="D97" s="14">
        <f>IF(C97="","",COUNTIF($C$3:C97,C97))</f>
        <v/>
      </c>
      <c r="E97" s="14">
        <f>IF(C97="","",C97*1000+D97)</f>
        <v/>
      </c>
      <c r="F97" s="14">
        <f>IF(A97="","",INDEX(新年度名簿!$K$2:$K$451,A97))</f>
        <v/>
      </c>
      <c r="G97" s="14">
        <f>IF(A97="","",INDEX(新年度名簿!$C$2:$C$451,A97))</f>
        <v/>
      </c>
      <c r="H97" s="14">
        <f>IF(A97="","",INDEX(新年度名簿!$D$2:$D$451,A97))</f>
        <v/>
      </c>
    </row>
    <row r="98">
      <c r="A98" s="14">
        <f>IFERROR(MATCH(SMALL(新年度名簿!$J$2:$J$451,96),新年度名簿!$J$2:$J$451,0),"")</f>
        <v/>
      </c>
      <c r="B98" s="14">
        <f>IF(A98="","",INDEX(新年度名簿!$G$2:$G$451,A98))</f>
        <v/>
      </c>
      <c r="C98" s="14">
        <f>IF(A98="","",IFERROR(MATCH(B98,設定!$P$8:$P$27,0),""))</f>
        <v/>
      </c>
      <c r="D98" s="14">
        <f>IF(C98="","",COUNTIF($C$3:C98,C98))</f>
        <v/>
      </c>
      <c r="E98" s="14">
        <f>IF(C98="","",C98*1000+D98)</f>
        <v/>
      </c>
      <c r="F98" s="14">
        <f>IF(A98="","",INDEX(新年度名簿!$K$2:$K$451,A98))</f>
        <v/>
      </c>
      <c r="G98" s="14">
        <f>IF(A98="","",INDEX(新年度名簿!$C$2:$C$451,A98))</f>
        <v/>
      </c>
      <c r="H98" s="14">
        <f>IF(A98="","",INDEX(新年度名簿!$D$2:$D$451,A98))</f>
        <v/>
      </c>
    </row>
    <row r="99">
      <c r="A99" s="14">
        <f>IFERROR(MATCH(SMALL(新年度名簿!$J$2:$J$451,97),新年度名簿!$J$2:$J$451,0),"")</f>
        <v/>
      </c>
      <c r="B99" s="14">
        <f>IF(A99="","",INDEX(新年度名簿!$G$2:$G$451,A99))</f>
        <v/>
      </c>
      <c r="C99" s="14">
        <f>IF(A99="","",IFERROR(MATCH(B99,設定!$P$8:$P$27,0),""))</f>
        <v/>
      </c>
      <c r="D99" s="14">
        <f>IF(C99="","",COUNTIF($C$3:C99,C99))</f>
        <v/>
      </c>
      <c r="E99" s="14">
        <f>IF(C99="","",C99*1000+D99)</f>
        <v/>
      </c>
      <c r="F99" s="14">
        <f>IF(A99="","",INDEX(新年度名簿!$K$2:$K$451,A99))</f>
        <v/>
      </c>
      <c r="G99" s="14">
        <f>IF(A99="","",INDEX(新年度名簿!$C$2:$C$451,A99))</f>
        <v/>
      </c>
      <c r="H99" s="14">
        <f>IF(A99="","",INDEX(新年度名簿!$D$2:$D$451,A99))</f>
        <v/>
      </c>
    </row>
    <row r="100">
      <c r="A100" s="14">
        <f>IFERROR(MATCH(SMALL(新年度名簿!$J$2:$J$451,98),新年度名簿!$J$2:$J$451,0),"")</f>
        <v/>
      </c>
      <c r="B100" s="14">
        <f>IF(A100="","",INDEX(新年度名簿!$G$2:$G$451,A100))</f>
        <v/>
      </c>
      <c r="C100" s="14">
        <f>IF(A100="","",IFERROR(MATCH(B100,設定!$P$8:$P$27,0),""))</f>
        <v/>
      </c>
      <c r="D100" s="14">
        <f>IF(C100="","",COUNTIF($C$3:C100,C100))</f>
        <v/>
      </c>
      <c r="E100" s="14">
        <f>IF(C100="","",C100*1000+D100)</f>
        <v/>
      </c>
      <c r="F100" s="14">
        <f>IF(A100="","",INDEX(新年度名簿!$K$2:$K$451,A100))</f>
        <v/>
      </c>
      <c r="G100" s="14">
        <f>IF(A100="","",INDEX(新年度名簿!$C$2:$C$451,A100))</f>
        <v/>
      </c>
      <c r="H100" s="14">
        <f>IF(A100="","",INDEX(新年度名簿!$D$2:$D$451,A100))</f>
        <v/>
      </c>
    </row>
    <row r="101">
      <c r="A101" s="14">
        <f>IFERROR(MATCH(SMALL(新年度名簿!$J$2:$J$451,99),新年度名簿!$J$2:$J$451,0),"")</f>
        <v/>
      </c>
      <c r="B101" s="14">
        <f>IF(A101="","",INDEX(新年度名簿!$G$2:$G$451,A101))</f>
        <v/>
      </c>
      <c r="C101" s="14">
        <f>IF(A101="","",IFERROR(MATCH(B101,設定!$P$8:$P$27,0),""))</f>
        <v/>
      </c>
      <c r="D101" s="14">
        <f>IF(C101="","",COUNTIF($C$3:C101,C101))</f>
        <v/>
      </c>
      <c r="E101" s="14">
        <f>IF(C101="","",C101*1000+D101)</f>
        <v/>
      </c>
      <c r="F101" s="14">
        <f>IF(A101="","",INDEX(新年度名簿!$K$2:$K$451,A101))</f>
        <v/>
      </c>
      <c r="G101" s="14">
        <f>IF(A101="","",INDEX(新年度名簿!$C$2:$C$451,A101))</f>
        <v/>
      </c>
      <c r="H101" s="14">
        <f>IF(A101="","",INDEX(新年度名簿!$D$2:$D$451,A101))</f>
        <v/>
      </c>
    </row>
    <row r="102">
      <c r="A102" s="14">
        <f>IFERROR(MATCH(SMALL(新年度名簿!$J$2:$J$451,100),新年度名簿!$J$2:$J$451,0),"")</f>
        <v/>
      </c>
      <c r="B102" s="14">
        <f>IF(A102="","",INDEX(新年度名簿!$G$2:$G$451,A102))</f>
        <v/>
      </c>
      <c r="C102" s="14">
        <f>IF(A102="","",IFERROR(MATCH(B102,設定!$P$8:$P$27,0),""))</f>
        <v/>
      </c>
      <c r="D102" s="14">
        <f>IF(C102="","",COUNTIF($C$3:C102,C102))</f>
        <v/>
      </c>
      <c r="E102" s="14">
        <f>IF(C102="","",C102*1000+D102)</f>
        <v/>
      </c>
      <c r="F102" s="14">
        <f>IF(A102="","",INDEX(新年度名簿!$K$2:$K$451,A102))</f>
        <v/>
      </c>
      <c r="G102" s="14">
        <f>IF(A102="","",INDEX(新年度名簿!$C$2:$C$451,A102))</f>
        <v/>
      </c>
      <c r="H102" s="14">
        <f>IF(A102="","",INDEX(新年度名簿!$D$2:$D$451,A102))</f>
        <v/>
      </c>
    </row>
    <row r="103">
      <c r="A103" s="14">
        <f>IFERROR(MATCH(SMALL(新年度名簿!$J$2:$J$451,101),新年度名簿!$J$2:$J$451,0),"")</f>
        <v/>
      </c>
      <c r="B103" s="14">
        <f>IF(A103="","",INDEX(新年度名簿!$G$2:$G$451,A103))</f>
        <v/>
      </c>
      <c r="C103" s="14">
        <f>IF(A103="","",IFERROR(MATCH(B103,設定!$P$8:$P$27,0),""))</f>
        <v/>
      </c>
      <c r="D103" s="14">
        <f>IF(C103="","",COUNTIF($C$3:C103,C103))</f>
        <v/>
      </c>
      <c r="E103" s="14">
        <f>IF(C103="","",C103*1000+D103)</f>
        <v/>
      </c>
      <c r="F103" s="14">
        <f>IF(A103="","",INDEX(新年度名簿!$K$2:$K$451,A103))</f>
        <v/>
      </c>
      <c r="G103" s="14">
        <f>IF(A103="","",INDEX(新年度名簿!$C$2:$C$451,A103))</f>
        <v/>
      </c>
      <c r="H103" s="14">
        <f>IF(A103="","",INDEX(新年度名簿!$D$2:$D$451,A103))</f>
        <v/>
      </c>
    </row>
    <row r="104">
      <c r="A104" s="14">
        <f>IFERROR(MATCH(SMALL(新年度名簿!$J$2:$J$451,102),新年度名簿!$J$2:$J$451,0),"")</f>
        <v/>
      </c>
      <c r="B104" s="14">
        <f>IF(A104="","",INDEX(新年度名簿!$G$2:$G$451,A104))</f>
        <v/>
      </c>
      <c r="C104" s="14">
        <f>IF(A104="","",IFERROR(MATCH(B104,設定!$P$8:$P$27,0),""))</f>
        <v/>
      </c>
      <c r="D104" s="14">
        <f>IF(C104="","",COUNTIF($C$3:C104,C104))</f>
        <v/>
      </c>
      <c r="E104" s="14">
        <f>IF(C104="","",C104*1000+D104)</f>
        <v/>
      </c>
      <c r="F104" s="14">
        <f>IF(A104="","",INDEX(新年度名簿!$K$2:$K$451,A104))</f>
        <v/>
      </c>
      <c r="G104" s="14">
        <f>IF(A104="","",INDEX(新年度名簿!$C$2:$C$451,A104))</f>
        <v/>
      </c>
      <c r="H104" s="14">
        <f>IF(A104="","",INDEX(新年度名簿!$D$2:$D$451,A104))</f>
        <v/>
      </c>
    </row>
    <row r="105">
      <c r="A105" s="14">
        <f>IFERROR(MATCH(SMALL(新年度名簿!$J$2:$J$451,103),新年度名簿!$J$2:$J$451,0),"")</f>
        <v/>
      </c>
      <c r="B105" s="14">
        <f>IF(A105="","",INDEX(新年度名簿!$G$2:$G$451,A105))</f>
        <v/>
      </c>
      <c r="C105" s="14">
        <f>IF(A105="","",IFERROR(MATCH(B105,設定!$P$8:$P$27,0),""))</f>
        <v/>
      </c>
      <c r="D105" s="14">
        <f>IF(C105="","",COUNTIF($C$3:C105,C105))</f>
        <v/>
      </c>
      <c r="E105" s="14">
        <f>IF(C105="","",C105*1000+D105)</f>
        <v/>
      </c>
      <c r="F105" s="14">
        <f>IF(A105="","",INDEX(新年度名簿!$K$2:$K$451,A105))</f>
        <v/>
      </c>
      <c r="G105" s="14">
        <f>IF(A105="","",INDEX(新年度名簿!$C$2:$C$451,A105))</f>
        <v/>
      </c>
      <c r="H105" s="14">
        <f>IF(A105="","",INDEX(新年度名簿!$D$2:$D$451,A105))</f>
        <v/>
      </c>
    </row>
    <row r="106">
      <c r="A106" s="14">
        <f>IFERROR(MATCH(SMALL(新年度名簿!$J$2:$J$451,104),新年度名簿!$J$2:$J$451,0),"")</f>
        <v/>
      </c>
      <c r="B106" s="14">
        <f>IF(A106="","",INDEX(新年度名簿!$G$2:$G$451,A106))</f>
        <v/>
      </c>
      <c r="C106" s="14">
        <f>IF(A106="","",IFERROR(MATCH(B106,設定!$P$8:$P$27,0),""))</f>
        <v/>
      </c>
      <c r="D106" s="14">
        <f>IF(C106="","",COUNTIF($C$3:C106,C106))</f>
        <v/>
      </c>
      <c r="E106" s="14">
        <f>IF(C106="","",C106*1000+D106)</f>
        <v/>
      </c>
      <c r="F106" s="14">
        <f>IF(A106="","",INDEX(新年度名簿!$K$2:$K$451,A106))</f>
        <v/>
      </c>
      <c r="G106" s="14">
        <f>IF(A106="","",INDEX(新年度名簿!$C$2:$C$451,A106))</f>
        <v/>
      </c>
      <c r="H106" s="14">
        <f>IF(A106="","",INDEX(新年度名簿!$D$2:$D$451,A106))</f>
        <v/>
      </c>
    </row>
    <row r="107">
      <c r="A107" s="14">
        <f>IFERROR(MATCH(SMALL(新年度名簿!$J$2:$J$451,105),新年度名簿!$J$2:$J$451,0),"")</f>
        <v/>
      </c>
      <c r="B107" s="14">
        <f>IF(A107="","",INDEX(新年度名簿!$G$2:$G$451,A107))</f>
        <v/>
      </c>
      <c r="C107" s="14">
        <f>IF(A107="","",IFERROR(MATCH(B107,設定!$P$8:$P$27,0),""))</f>
        <v/>
      </c>
      <c r="D107" s="14">
        <f>IF(C107="","",COUNTIF($C$3:C107,C107))</f>
        <v/>
      </c>
      <c r="E107" s="14">
        <f>IF(C107="","",C107*1000+D107)</f>
        <v/>
      </c>
      <c r="F107" s="14">
        <f>IF(A107="","",INDEX(新年度名簿!$K$2:$K$451,A107))</f>
        <v/>
      </c>
      <c r="G107" s="14">
        <f>IF(A107="","",INDEX(新年度名簿!$C$2:$C$451,A107))</f>
        <v/>
      </c>
      <c r="H107" s="14">
        <f>IF(A107="","",INDEX(新年度名簿!$D$2:$D$451,A107))</f>
        <v/>
      </c>
    </row>
    <row r="108">
      <c r="A108" s="14">
        <f>IFERROR(MATCH(SMALL(新年度名簿!$J$2:$J$451,106),新年度名簿!$J$2:$J$451,0),"")</f>
        <v/>
      </c>
      <c r="B108" s="14">
        <f>IF(A108="","",INDEX(新年度名簿!$G$2:$G$451,A108))</f>
        <v/>
      </c>
      <c r="C108" s="14">
        <f>IF(A108="","",IFERROR(MATCH(B108,設定!$P$8:$P$27,0),""))</f>
        <v/>
      </c>
      <c r="D108" s="14">
        <f>IF(C108="","",COUNTIF($C$3:C108,C108))</f>
        <v/>
      </c>
      <c r="E108" s="14">
        <f>IF(C108="","",C108*1000+D108)</f>
        <v/>
      </c>
      <c r="F108" s="14">
        <f>IF(A108="","",INDEX(新年度名簿!$K$2:$K$451,A108))</f>
        <v/>
      </c>
      <c r="G108" s="14">
        <f>IF(A108="","",INDEX(新年度名簿!$C$2:$C$451,A108))</f>
        <v/>
      </c>
      <c r="H108" s="14">
        <f>IF(A108="","",INDEX(新年度名簿!$D$2:$D$451,A108))</f>
        <v/>
      </c>
    </row>
    <row r="109">
      <c r="A109" s="14">
        <f>IFERROR(MATCH(SMALL(新年度名簿!$J$2:$J$451,107),新年度名簿!$J$2:$J$451,0),"")</f>
        <v/>
      </c>
      <c r="B109" s="14">
        <f>IF(A109="","",INDEX(新年度名簿!$G$2:$G$451,A109))</f>
        <v/>
      </c>
      <c r="C109" s="14">
        <f>IF(A109="","",IFERROR(MATCH(B109,設定!$P$8:$P$27,0),""))</f>
        <v/>
      </c>
      <c r="D109" s="14">
        <f>IF(C109="","",COUNTIF($C$3:C109,C109))</f>
        <v/>
      </c>
      <c r="E109" s="14">
        <f>IF(C109="","",C109*1000+D109)</f>
        <v/>
      </c>
      <c r="F109" s="14">
        <f>IF(A109="","",INDEX(新年度名簿!$K$2:$K$451,A109))</f>
        <v/>
      </c>
      <c r="G109" s="14">
        <f>IF(A109="","",INDEX(新年度名簿!$C$2:$C$451,A109))</f>
        <v/>
      </c>
      <c r="H109" s="14">
        <f>IF(A109="","",INDEX(新年度名簿!$D$2:$D$451,A109))</f>
        <v/>
      </c>
    </row>
    <row r="110">
      <c r="A110" s="14">
        <f>IFERROR(MATCH(SMALL(新年度名簿!$J$2:$J$451,108),新年度名簿!$J$2:$J$451,0),"")</f>
        <v/>
      </c>
      <c r="B110" s="14">
        <f>IF(A110="","",INDEX(新年度名簿!$G$2:$G$451,A110))</f>
        <v/>
      </c>
      <c r="C110" s="14">
        <f>IF(A110="","",IFERROR(MATCH(B110,設定!$P$8:$P$27,0),""))</f>
        <v/>
      </c>
      <c r="D110" s="14">
        <f>IF(C110="","",COUNTIF($C$3:C110,C110))</f>
        <v/>
      </c>
      <c r="E110" s="14">
        <f>IF(C110="","",C110*1000+D110)</f>
        <v/>
      </c>
      <c r="F110" s="14">
        <f>IF(A110="","",INDEX(新年度名簿!$K$2:$K$451,A110))</f>
        <v/>
      </c>
      <c r="G110" s="14">
        <f>IF(A110="","",INDEX(新年度名簿!$C$2:$C$451,A110))</f>
        <v/>
      </c>
      <c r="H110" s="14">
        <f>IF(A110="","",INDEX(新年度名簿!$D$2:$D$451,A110))</f>
        <v/>
      </c>
    </row>
    <row r="111">
      <c r="A111" s="14">
        <f>IFERROR(MATCH(SMALL(新年度名簿!$J$2:$J$451,109),新年度名簿!$J$2:$J$451,0),"")</f>
        <v/>
      </c>
      <c r="B111" s="14">
        <f>IF(A111="","",INDEX(新年度名簿!$G$2:$G$451,A111))</f>
        <v/>
      </c>
      <c r="C111" s="14">
        <f>IF(A111="","",IFERROR(MATCH(B111,設定!$P$8:$P$27,0),""))</f>
        <v/>
      </c>
      <c r="D111" s="14">
        <f>IF(C111="","",COUNTIF($C$3:C111,C111))</f>
        <v/>
      </c>
      <c r="E111" s="14">
        <f>IF(C111="","",C111*1000+D111)</f>
        <v/>
      </c>
      <c r="F111" s="14">
        <f>IF(A111="","",INDEX(新年度名簿!$K$2:$K$451,A111))</f>
        <v/>
      </c>
      <c r="G111" s="14">
        <f>IF(A111="","",INDEX(新年度名簿!$C$2:$C$451,A111))</f>
        <v/>
      </c>
      <c r="H111" s="14">
        <f>IF(A111="","",INDEX(新年度名簿!$D$2:$D$451,A111))</f>
        <v/>
      </c>
    </row>
    <row r="112">
      <c r="A112" s="14">
        <f>IFERROR(MATCH(SMALL(新年度名簿!$J$2:$J$451,110),新年度名簿!$J$2:$J$451,0),"")</f>
        <v/>
      </c>
      <c r="B112" s="14">
        <f>IF(A112="","",INDEX(新年度名簿!$G$2:$G$451,A112))</f>
        <v/>
      </c>
      <c r="C112" s="14">
        <f>IF(A112="","",IFERROR(MATCH(B112,設定!$P$8:$P$27,0),""))</f>
        <v/>
      </c>
      <c r="D112" s="14">
        <f>IF(C112="","",COUNTIF($C$3:C112,C112))</f>
        <v/>
      </c>
      <c r="E112" s="14">
        <f>IF(C112="","",C112*1000+D112)</f>
        <v/>
      </c>
      <c r="F112" s="14">
        <f>IF(A112="","",INDEX(新年度名簿!$K$2:$K$451,A112))</f>
        <v/>
      </c>
      <c r="G112" s="14">
        <f>IF(A112="","",INDEX(新年度名簿!$C$2:$C$451,A112))</f>
        <v/>
      </c>
      <c r="H112" s="14">
        <f>IF(A112="","",INDEX(新年度名簿!$D$2:$D$451,A112))</f>
        <v/>
      </c>
    </row>
    <row r="113">
      <c r="A113" s="14">
        <f>IFERROR(MATCH(SMALL(新年度名簿!$J$2:$J$451,111),新年度名簿!$J$2:$J$451,0),"")</f>
        <v/>
      </c>
      <c r="B113" s="14">
        <f>IF(A113="","",INDEX(新年度名簿!$G$2:$G$451,A113))</f>
        <v/>
      </c>
      <c r="C113" s="14">
        <f>IF(A113="","",IFERROR(MATCH(B113,設定!$P$8:$P$27,0),""))</f>
        <v/>
      </c>
      <c r="D113" s="14">
        <f>IF(C113="","",COUNTIF($C$3:C113,C113))</f>
        <v/>
      </c>
      <c r="E113" s="14">
        <f>IF(C113="","",C113*1000+D113)</f>
        <v/>
      </c>
      <c r="F113" s="14">
        <f>IF(A113="","",INDEX(新年度名簿!$K$2:$K$451,A113))</f>
        <v/>
      </c>
      <c r="G113" s="14">
        <f>IF(A113="","",INDEX(新年度名簿!$C$2:$C$451,A113))</f>
        <v/>
      </c>
      <c r="H113" s="14">
        <f>IF(A113="","",INDEX(新年度名簿!$D$2:$D$451,A113))</f>
        <v/>
      </c>
    </row>
    <row r="114">
      <c r="A114" s="14">
        <f>IFERROR(MATCH(SMALL(新年度名簿!$J$2:$J$451,112),新年度名簿!$J$2:$J$451,0),"")</f>
        <v/>
      </c>
      <c r="B114" s="14">
        <f>IF(A114="","",INDEX(新年度名簿!$G$2:$G$451,A114))</f>
        <v/>
      </c>
      <c r="C114" s="14">
        <f>IF(A114="","",IFERROR(MATCH(B114,設定!$P$8:$P$27,0),""))</f>
        <v/>
      </c>
      <c r="D114" s="14">
        <f>IF(C114="","",COUNTIF($C$3:C114,C114))</f>
        <v/>
      </c>
      <c r="E114" s="14">
        <f>IF(C114="","",C114*1000+D114)</f>
        <v/>
      </c>
      <c r="F114" s="14">
        <f>IF(A114="","",INDEX(新年度名簿!$K$2:$K$451,A114))</f>
        <v/>
      </c>
      <c r="G114" s="14">
        <f>IF(A114="","",INDEX(新年度名簿!$C$2:$C$451,A114))</f>
        <v/>
      </c>
      <c r="H114" s="14">
        <f>IF(A114="","",INDEX(新年度名簿!$D$2:$D$451,A114))</f>
        <v/>
      </c>
    </row>
    <row r="115">
      <c r="A115" s="14">
        <f>IFERROR(MATCH(SMALL(新年度名簿!$J$2:$J$451,113),新年度名簿!$J$2:$J$451,0),"")</f>
        <v/>
      </c>
      <c r="B115" s="14">
        <f>IF(A115="","",INDEX(新年度名簿!$G$2:$G$451,A115))</f>
        <v/>
      </c>
      <c r="C115" s="14">
        <f>IF(A115="","",IFERROR(MATCH(B115,設定!$P$8:$P$27,0),""))</f>
        <v/>
      </c>
      <c r="D115" s="14">
        <f>IF(C115="","",COUNTIF($C$3:C115,C115))</f>
        <v/>
      </c>
      <c r="E115" s="14">
        <f>IF(C115="","",C115*1000+D115)</f>
        <v/>
      </c>
      <c r="F115" s="14">
        <f>IF(A115="","",INDEX(新年度名簿!$K$2:$K$451,A115))</f>
        <v/>
      </c>
      <c r="G115" s="14">
        <f>IF(A115="","",INDEX(新年度名簿!$C$2:$C$451,A115))</f>
        <v/>
      </c>
      <c r="H115" s="14">
        <f>IF(A115="","",INDEX(新年度名簿!$D$2:$D$451,A115))</f>
        <v/>
      </c>
    </row>
    <row r="116">
      <c r="A116" s="14">
        <f>IFERROR(MATCH(SMALL(新年度名簿!$J$2:$J$451,114),新年度名簿!$J$2:$J$451,0),"")</f>
        <v/>
      </c>
      <c r="B116" s="14">
        <f>IF(A116="","",INDEX(新年度名簿!$G$2:$G$451,A116))</f>
        <v/>
      </c>
      <c r="C116" s="14">
        <f>IF(A116="","",IFERROR(MATCH(B116,設定!$P$8:$P$27,0),""))</f>
        <v/>
      </c>
      <c r="D116" s="14">
        <f>IF(C116="","",COUNTIF($C$3:C116,C116))</f>
        <v/>
      </c>
      <c r="E116" s="14">
        <f>IF(C116="","",C116*1000+D116)</f>
        <v/>
      </c>
      <c r="F116" s="14">
        <f>IF(A116="","",INDEX(新年度名簿!$K$2:$K$451,A116))</f>
        <v/>
      </c>
      <c r="G116" s="14">
        <f>IF(A116="","",INDEX(新年度名簿!$C$2:$C$451,A116))</f>
        <v/>
      </c>
      <c r="H116" s="14">
        <f>IF(A116="","",INDEX(新年度名簿!$D$2:$D$451,A116))</f>
        <v/>
      </c>
    </row>
    <row r="117">
      <c r="A117" s="14">
        <f>IFERROR(MATCH(SMALL(新年度名簿!$J$2:$J$451,115),新年度名簿!$J$2:$J$451,0),"")</f>
        <v/>
      </c>
      <c r="B117" s="14">
        <f>IF(A117="","",INDEX(新年度名簿!$G$2:$G$451,A117))</f>
        <v/>
      </c>
      <c r="C117" s="14">
        <f>IF(A117="","",IFERROR(MATCH(B117,設定!$P$8:$P$27,0),""))</f>
        <v/>
      </c>
      <c r="D117" s="14">
        <f>IF(C117="","",COUNTIF($C$3:C117,C117))</f>
        <v/>
      </c>
      <c r="E117" s="14">
        <f>IF(C117="","",C117*1000+D117)</f>
        <v/>
      </c>
      <c r="F117" s="14">
        <f>IF(A117="","",INDEX(新年度名簿!$K$2:$K$451,A117))</f>
        <v/>
      </c>
      <c r="G117" s="14">
        <f>IF(A117="","",INDEX(新年度名簿!$C$2:$C$451,A117))</f>
        <v/>
      </c>
      <c r="H117" s="14">
        <f>IF(A117="","",INDEX(新年度名簿!$D$2:$D$451,A117))</f>
        <v/>
      </c>
    </row>
    <row r="118">
      <c r="A118" s="14">
        <f>IFERROR(MATCH(SMALL(新年度名簿!$J$2:$J$451,116),新年度名簿!$J$2:$J$451,0),"")</f>
        <v/>
      </c>
      <c r="B118" s="14">
        <f>IF(A118="","",INDEX(新年度名簿!$G$2:$G$451,A118))</f>
        <v/>
      </c>
      <c r="C118" s="14">
        <f>IF(A118="","",IFERROR(MATCH(B118,設定!$P$8:$P$27,0),""))</f>
        <v/>
      </c>
      <c r="D118" s="14">
        <f>IF(C118="","",COUNTIF($C$3:C118,C118))</f>
        <v/>
      </c>
      <c r="E118" s="14">
        <f>IF(C118="","",C118*1000+D118)</f>
        <v/>
      </c>
      <c r="F118" s="14">
        <f>IF(A118="","",INDEX(新年度名簿!$K$2:$K$451,A118))</f>
        <v/>
      </c>
      <c r="G118" s="14">
        <f>IF(A118="","",INDEX(新年度名簿!$C$2:$C$451,A118))</f>
        <v/>
      </c>
      <c r="H118" s="14">
        <f>IF(A118="","",INDEX(新年度名簿!$D$2:$D$451,A118))</f>
        <v/>
      </c>
    </row>
    <row r="119">
      <c r="A119" s="14">
        <f>IFERROR(MATCH(SMALL(新年度名簿!$J$2:$J$451,117),新年度名簿!$J$2:$J$451,0),"")</f>
        <v/>
      </c>
      <c r="B119" s="14">
        <f>IF(A119="","",INDEX(新年度名簿!$G$2:$G$451,A119))</f>
        <v/>
      </c>
      <c r="C119" s="14">
        <f>IF(A119="","",IFERROR(MATCH(B119,設定!$P$8:$P$27,0),""))</f>
        <v/>
      </c>
      <c r="D119" s="14">
        <f>IF(C119="","",COUNTIF($C$3:C119,C119))</f>
        <v/>
      </c>
      <c r="E119" s="14">
        <f>IF(C119="","",C119*1000+D119)</f>
        <v/>
      </c>
      <c r="F119" s="14">
        <f>IF(A119="","",INDEX(新年度名簿!$K$2:$K$451,A119))</f>
        <v/>
      </c>
      <c r="G119" s="14">
        <f>IF(A119="","",INDEX(新年度名簿!$C$2:$C$451,A119))</f>
        <v/>
      </c>
      <c r="H119" s="14">
        <f>IF(A119="","",INDEX(新年度名簿!$D$2:$D$451,A119))</f>
        <v/>
      </c>
    </row>
    <row r="120">
      <c r="A120" s="14">
        <f>IFERROR(MATCH(SMALL(新年度名簿!$J$2:$J$451,118),新年度名簿!$J$2:$J$451,0),"")</f>
        <v/>
      </c>
      <c r="B120" s="14">
        <f>IF(A120="","",INDEX(新年度名簿!$G$2:$G$451,A120))</f>
        <v/>
      </c>
      <c r="C120" s="14">
        <f>IF(A120="","",IFERROR(MATCH(B120,設定!$P$8:$P$27,0),""))</f>
        <v/>
      </c>
      <c r="D120" s="14">
        <f>IF(C120="","",COUNTIF($C$3:C120,C120))</f>
        <v/>
      </c>
      <c r="E120" s="14">
        <f>IF(C120="","",C120*1000+D120)</f>
        <v/>
      </c>
      <c r="F120" s="14">
        <f>IF(A120="","",INDEX(新年度名簿!$K$2:$K$451,A120))</f>
        <v/>
      </c>
      <c r="G120" s="14">
        <f>IF(A120="","",INDEX(新年度名簿!$C$2:$C$451,A120))</f>
        <v/>
      </c>
      <c r="H120" s="14">
        <f>IF(A120="","",INDEX(新年度名簿!$D$2:$D$451,A120))</f>
        <v/>
      </c>
    </row>
    <row r="121">
      <c r="A121" s="14">
        <f>IFERROR(MATCH(SMALL(新年度名簿!$J$2:$J$451,119),新年度名簿!$J$2:$J$451,0),"")</f>
        <v/>
      </c>
      <c r="B121" s="14">
        <f>IF(A121="","",INDEX(新年度名簿!$G$2:$G$451,A121))</f>
        <v/>
      </c>
      <c r="C121" s="14">
        <f>IF(A121="","",IFERROR(MATCH(B121,設定!$P$8:$P$27,0),""))</f>
        <v/>
      </c>
      <c r="D121" s="14">
        <f>IF(C121="","",COUNTIF($C$3:C121,C121))</f>
        <v/>
      </c>
      <c r="E121" s="14">
        <f>IF(C121="","",C121*1000+D121)</f>
        <v/>
      </c>
      <c r="F121" s="14">
        <f>IF(A121="","",INDEX(新年度名簿!$K$2:$K$451,A121))</f>
        <v/>
      </c>
      <c r="G121" s="14">
        <f>IF(A121="","",INDEX(新年度名簿!$C$2:$C$451,A121))</f>
        <v/>
      </c>
      <c r="H121" s="14">
        <f>IF(A121="","",INDEX(新年度名簿!$D$2:$D$451,A121))</f>
        <v/>
      </c>
    </row>
    <row r="122">
      <c r="A122" s="14">
        <f>IFERROR(MATCH(SMALL(新年度名簿!$J$2:$J$451,120),新年度名簿!$J$2:$J$451,0),"")</f>
        <v/>
      </c>
      <c r="B122" s="14">
        <f>IF(A122="","",INDEX(新年度名簿!$G$2:$G$451,A122))</f>
        <v/>
      </c>
      <c r="C122" s="14">
        <f>IF(A122="","",IFERROR(MATCH(B122,設定!$P$8:$P$27,0),""))</f>
        <v/>
      </c>
      <c r="D122" s="14">
        <f>IF(C122="","",COUNTIF($C$3:C122,C122))</f>
        <v/>
      </c>
      <c r="E122" s="14">
        <f>IF(C122="","",C122*1000+D122)</f>
        <v/>
      </c>
      <c r="F122" s="14">
        <f>IF(A122="","",INDEX(新年度名簿!$K$2:$K$451,A122))</f>
        <v/>
      </c>
      <c r="G122" s="14">
        <f>IF(A122="","",INDEX(新年度名簿!$C$2:$C$451,A122))</f>
        <v/>
      </c>
      <c r="H122" s="14">
        <f>IF(A122="","",INDEX(新年度名簿!$D$2:$D$451,A122))</f>
        <v/>
      </c>
    </row>
    <row r="123">
      <c r="A123" s="14">
        <f>IFERROR(MATCH(SMALL(新年度名簿!$J$2:$J$451,121),新年度名簿!$J$2:$J$451,0),"")</f>
        <v/>
      </c>
      <c r="B123" s="14">
        <f>IF(A123="","",INDEX(新年度名簿!$G$2:$G$451,A123))</f>
        <v/>
      </c>
      <c r="C123" s="14">
        <f>IF(A123="","",IFERROR(MATCH(B123,設定!$P$8:$P$27,0),""))</f>
        <v/>
      </c>
      <c r="D123" s="14">
        <f>IF(C123="","",COUNTIF($C$3:C123,C123))</f>
        <v/>
      </c>
      <c r="E123" s="14">
        <f>IF(C123="","",C123*1000+D123)</f>
        <v/>
      </c>
      <c r="F123" s="14">
        <f>IF(A123="","",INDEX(新年度名簿!$K$2:$K$451,A123))</f>
        <v/>
      </c>
      <c r="G123" s="14">
        <f>IF(A123="","",INDEX(新年度名簿!$C$2:$C$451,A123))</f>
        <v/>
      </c>
      <c r="H123" s="14">
        <f>IF(A123="","",INDEX(新年度名簿!$D$2:$D$451,A123))</f>
        <v/>
      </c>
    </row>
    <row r="124">
      <c r="A124" s="14">
        <f>IFERROR(MATCH(SMALL(新年度名簿!$J$2:$J$451,122),新年度名簿!$J$2:$J$451,0),"")</f>
        <v/>
      </c>
      <c r="B124" s="14">
        <f>IF(A124="","",INDEX(新年度名簿!$G$2:$G$451,A124))</f>
        <v/>
      </c>
      <c r="C124" s="14">
        <f>IF(A124="","",IFERROR(MATCH(B124,設定!$P$8:$P$27,0),""))</f>
        <v/>
      </c>
      <c r="D124" s="14">
        <f>IF(C124="","",COUNTIF($C$3:C124,C124))</f>
        <v/>
      </c>
      <c r="E124" s="14">
        <f>IF(C124="","",C124*1000+D124)</f>
        <v/>
      </c>
      <c r="F124" s="14">
        <f>IF(A124="","",INDEX(新年度名簿!$K$2:$K$451,A124))</f>
        <v/>
      </c>
      <c r="G124" s="14">
        <f>IF(A124="","",INDEX(新年度名簿!$C$2:$C$451,A124))</f>
        <v/>
      </c>
      <c r="H124" s="14">
        <f>IF(A124="","",INDEX(新年度名簿!$D$2:$D$451,A124))</f>
        <v/>
      </c>
    </row>
    <row r="125">
      <c r="A125" s="14">
        <f>IFERROR(MATCH(SMALL(新年度名簿!$J$2:$J$451,123),新年度名簿!$J$2:$J$451,0),"")</f>
        <v/>
      </c>
      <c r="B125" s="14">
        <f>IF(A125="","",INDEX(新年度名簿!$G$2:$G$451,A125))</f>
        <v/>
      </c>
      <c r="C125" s="14">
        <f>IF(A125="","",IFERROR(MATCH(B125,設定!$P$8:$P$27,0),""))</f>
        <v/>
      </c>
      <c r="D125" s="14">
        <f>IF(C125="","",COUNTIF($C$3:C125,C125))</f>
        <v/>
      </c>
      <c r="E125" s="14">
        <f>IF(C125="","",C125*1000+D125)</f>
        <v/>
      </c>
      <c r="F125" s="14">
        <f>IF(A125="","",INDEX(新年度名簿!$K$2:$K$451,A125))</f>
        <v/>
      </c>
      <c r="G125" s="14">
        <f>IF(A125="","",INDEX(新年度名簿!$C$2:$C$451,A125))</f>
        <v/>
      </c>
      <c r="H125" s="14">
        <f>IF(A125="","",INDEX(新年度名簿!$D$2:$D$451,A125))</f>
        <v/>
      </c>
    </row>
    <row r="126">
      <c r="A126" s="14">
        <f>IFERROR(MATCH(SMALL(新年度名簿!$J$2:$J$451,124),新年度名簿!$J$2:$J$451,0),"")</f>
        <v/>
      </c>
      <c r="B126" s="14">
        <f>IF(A126="","",INDEX(新年度名簿!$G$2:$G$451,A126))</f>
        <v/>
      </c>
      <c r="C126" s="14">
        <f>IF(A126="","",IFERROR(MATCH(B126,設定!$P$8:$P$27,0),""))</f>
        <v/>
      </c>
      <c r="D126" s="14">
        <f>IF(C126="","",COUNTIF($C$3:C126,C126))</f>
        <v/>
      </c>
      <c r="E126" s="14">
        <f>IF(C126="","",C126*1000+D126)</f>
        <v/>
      </c>
      <c r="F126" s="14">
        <f>IF(A126="","",INDEX(新年度名簿!$K$2:$K$451,A126))</f>
        <v/>
      </c>
      <c r="G126" s="14">
        <f>IF(A126="","",INDEX(新年度名簿!$C$2:$C$451,A126))</f>
        <v/>
      </c>
      <c r="H126" s="14">
        <f>IF(A126="","",INDEX(新年度名簿!$D$2:$D$451,A126))</f>
        <v/>
      </c>
    </row>
    <row r="127">
      <c r="A127" s="14">
        <f>IFERROR(MATCH(SMALL(新年度名簿!$J$2:$J$451,125),新年度名簿!$J$2:$J$451,0),"")</f>
        <v/>
      </c>
      <c r="B127" s="14">
        <f>IF(A127="","",INDEX(新年度名簿!$G$2:$G$451,A127))</f>
        <v/>
      </c>
      <c r="C127" s="14">
        <f>IF(A127="","",IFERROR(MATCH(B127,設定!$P$8:$P$27,0),""))</f>
        <v/>
      </c>
      <c r="D127" s="14">
        <f>IF(C127="","",COUNTIF($C$3:C127,C127))</f>
        <v/>
      </c>
      <c r="E127" s="14">
        <f>IF(C127="","",C127*1000+D127)</f>
        <v/>
      </c>
      <c r="F127" s="14">
        <f>IF(A127="","",INDEX(新年度名簿!$K$2:$K$451,A127))</f>
        <v/>
      </c>
      <c r="G127" s="14">
        <f>IF(A127="","",INDEX(新年度名簿!$C$2:$C$451,A127))</f>
        <v/>
      </c>
      <c r="H127" s="14">
        <f>IF(A127="","",INDEX(新年度名簿!$D$2:$D$451,A127))</f>
        <v/>
      </c>
    </row>
    <row r="128">
      <c r="A128" s="14">
        <f>IFERROR(MATCH(SMALL(新年度名簿!$J$2:$J$451,126),新年度名簿!$J$2:$J$451,0),"")</f>
        <v/>
      </c>
      <c r="B128" s="14">
        <f>IF(A128="","",INDEX(新年度名簿!$G$2:$G$451,A128))</f>
        <v/>
      </c>
      <c r="C128" s="14">
        <f>IF(A128="","",IFERROR(MATCH(B128,設定!$P$8:$P$27,0),""))</f>
        <v/>
      </c>
      <c r="D128" s="14">
        <f>IF(C128="","",COUNTIF($C$3:C128,C128))</f>
        <v/>
      </c>
      <c r="E128" s="14">
        <f>IF(C128="","",C128*1000+D128)</f>
        <v/>
      </c>
      <c r="F128" s="14">
        <f>IF(A128="","",INDEX(新年度名簿!$K$2:$K$451,A128))</f>
        <v/>
      </c>
      <c r="G128" s="14">
        <f>IF(A128="","",INDEX(新年度名簿!$C$2:$C$451,A128))</f>
        <v/>
      </c>
      <c r="H128" s="14">
        <f>IF(A128="","",INDEX(新年度名簿!$D$2:$D$451,A128))</f>
        <v/>
      </c>
    </row>
    <row r="129">
      <c r="A129" s="14">
        <f>IFERROR(MATCH(SMALL(新年度名簿!$J$2:$J$451,127),新年度名簿!$J$2:$J$451,0),"")</f>
        <v/>
      </c>
      <c r="B129" s="14">
        <f>IF(A129="","",INDEX(新年度名簿!$G$2:$G$451,A129))</f>
        <v/>
      </c>
      <c r="C129" s="14">
        <f>IF(A129="","",IFERROR(MATCH(B129,設定!$P$8:$P$27,0),""))</f>
        <v/>
      </c>
      <c r="D129" s="14">
        <f>IF(C129="","",COUNTIF($C$3:C129,C129))</f>
        <v/>
      </c>
      <c r="E129" s="14">
        <f>IF(C129="","",C129*1000+D129)</f>
        <v/>
      </c>
      <c r="F129" s="14">
        <f>IF(A129="","",INDEX(新年度名簿!$K$2:$K$451,A129))</f>
        <v/>
      </c>
      <c r="G129" s="14">
        <f>IF(A129="","",INDEX(新年度名簿!$C$2:$C$451,A129))</f>
        <v/>
      </c>
      <c r="H129" s="14">
        <f>IF(A129="","",INDEX(新年度名簿!$D$2:$D$451,A129))</f>
        <v/>
      </c>
    </row>
    <row r="130">
      <c r="A130" s="14">
        <f>IFERROR(MATCH(SMALL(新年度名簿!$J$2:$J$451,128),新年度名簿!$J$2:$J$451,0),"")</f>
        <v/>
      </c>
      <c r="B130" s="14">
        <f>IF(A130="","",INDEX(新年度名簿!$G$2:$G$451,A130))</f>
        <v/>
      </c>
      <c r="C130" s="14">
        <f>IF(A130="","",IFERROR(MATCH(B130,設定!$P$8:$P$27,0),""))</f>
        <v/>
      </c>
      <c r="D130" s="14">
        <f>IF(C130="","",COUNTIF($C$3:C130,C130))</f>
        <v/>
      </c>
      <c r="E130" s="14">
        <f>IF(C130="","",C130*1000+D130)</f>
        <v/>
      </c>
      <c r="F130" s="14">
        <f>IF(A130="","",INDEX(新年度名簿!$K$2:$K$451,A130))</f>
        <v/>
      </c>
      <c r="G130" s="14">
        <f>IF(A130="","",INDEX(新年度名簿!$C$2:$C$451,A130))</f>
        <v/>
      </c>
      <c r="H130" s="14">
        <f>IF(A130="","",INDEX(新年度名簿!$D$2:$D$451,A130))</f>
        <v/>
      </c>
    </row>
    <row r="131">
      <c r="A131" s="14">
        <f>IFERROR(MATCH(SMALL(新年度名簿!$J$2:$J$451,129),新年度名簿!$J$2:$J$451,0),"")</f>
        <v/>
      </c>
      <c r="B131" s="14">
        <f>IF(A131="","",INDEX(新年度名簿!$G$2:$G$451,A131))</f>
        <v/>
      </c>
      <c r="C131" s="14">
        <f>IF(A131="","",IFERROR(MATCH(B131,設定!$P$8:$P$27,0),""))</f>
        <v/>
      </c>
      <c r="D131" s="14">
        <f>IF(C131="","",COUNTIF($C$3:C131,C131))</f>
        <v/>
      </c>
      <c r="E131" s="14">
        <f>IF(C131="","",C131*1000+D131)</f>
        <v/>
      </c>
      <c r="F131" s="14">
        <f>IF(A131="","",INDEX(新年度名簿!$K$2:$K$451,A131))</f>
        <v/>
      </c>
      <c r="G131" s="14">
        <f>IF(A131="","",INDEX(新年度名簿!$C$2:$C$451,A131))</f>
        <v/>
      </c>
      <c r="H131" s="14">
        <f>IF(A131="","",INDEX(新年度名簿!$D$2:$D$451,A131))</f>
        <v/>
      </c>
    </row>
    <row r="132">
      <c r="A132" s="14">
        <f>IFERROR(MATCH(SMALL(新年度名簿!$J$2:$J$451,130),新年度名簿!$J$2:$J$451,0),"")</f>
        <v/>
      </c>
      <c r="B132" s="14">
        <f>IF(A132="","",INDEX(新年度名簿!$G$2:$G$451,A132))</f>
        <v/>
      </c>
      <c r="C132" s="14">
        <f>IF(A132="","",IFERROR(MATCH(B132,設定!$P$8:$P$27,0),""))</f>
        <v/>
      </c>
      <c r="D132" s="14">
        <f>IF(C132="","",COUNTIF($C$3:C132,C132))</f>
        <v/>
      </c>
      <c r="E132" s="14">
        <f>IF(C132="","",C132*1000+D132)</f>
        <v/>
      </c>
      <c r="F132" s="14">
        <f>IF(A132="","",INDEX(新年度名簿!$K$2:$K$451,A132))</f>
        <v/>
      </c>
      <c r="G132" s="14">
        <f>IF(A132="","",INDEX(新年度名簿!$C$2:$C$451,A132))</f>
        <v/>
      </c>
      <c r="H132" s="14">
        <f>IF(A132="","",INDEX(新年度名簿!$D$2:$D$451,A132))</f>
        <v/>
      </c>
    </row>
    <row r="133">
      <c r="A133" s="14">
        <f>IFERROR(MATCH(SMALL(新年度名簿!$J$2:$J$451,131),新年度名簿!$J$2:$J$451,0),"")</f>
        <v/>
      </c>
      <c r="B133" s="14">
        <f>IF(A133="","",INDEX(新年度名簿!$G$2:$G$451,A133))</f>
        <v/>
      </c>
      <c r="C133" s="14">
        <f>IF(A133="","",IFERROR(MATCH(B133,設定!$P$8:$P$27,0),""))</f>
        <v/>
      </c>
      <c r="D133" s="14">
        <f>IF(C133="","",COUNTIF($C$3:C133,C133))</f>
        <v/>
      </c>
      <c r="E133" s="14">
        <f>IF(C133="","",C133*1000+D133)</f>
        <v/>
      </c>
      <c r="F133" s="14">
        <f>IF(A133="","",INDEX(新年度名簿!$K$2:$K$451,A133))</f>
        <v/>
      </c>
      <c r="G133" s="14">
        <f>IF(A133="","",INDEX(新年度名簿!$C$2:$C$451,A133))</f>
        <v/>
      </c>
      <c r="H133" s="14">
        <f>IF(A133="","",INDEX(新年度名簿!$D$2:$D$451,A133))</f>
        <v/>
      </c>
    </row>
    <row r="134">
      <c r="A134" s="14">
        <f>IFERROR(MATCH(SMALL(新年度名簿!$J$2:$J$451,132),新年度名簿!$J$2:$J$451,0),"")</f>
        <v/>
      </c>
      <c r="B134" s="14">
        <f>IF(A134="","",INDEX(新年度名簿!$G$2:$G$451,A134))</f>
        <v/>
      </c>
      <c r="C134" s="14">
        <f>IF(A134="","",IFERROR(MATCH(B134,設定!$P$8:$P$27,0),""))</f>
        <v/>
      </c>
      <c r="D134" s="14">
        <f>IF(C134="","",COUNTIF($C$3:C134,C134))</f>
        <v/>
      </c>
      <c r="E134" s="14">
        <f>IF(C134="","",C134*1000+D134)</f>
        <v/>
      </c>
      <c r="F134" s="14">
        <f>IF(A134="","",INDEX(新年度名簿!$K$2:$K$451,A134))</f>
        <v/>
      </c>
      <c r="G134" s="14">
        <f>IF(A134="","",INDEX(新年度名簿!$C$2:$C$451,A134))</f>
        <v/>
      </c>
      <c r="H134" s="14">
        <f>IF(A134="","",INDEX(新年度名簿!$D$2:$D$451,A134))</f>
        <v/>
      </c>
    </row>
    <row r="135">
      <c r="A135" s="14">
        <f>IFERROR(MATCH(SMALL(新年度名簿!$J$2:$J$451,133),新年度名簿!$J$2:$J$451,0),"")</f>
        <v/>
      </c>
      <c r="B135" s="14">
        <f>IF(A135="","",INDEX(新年度名簿!$G$2:$G$451,A135))</f>
        <v/>
      </c>
      <c r="C135" s="14">
        <f>IF(A135="","",IFERROR(MATCH(B135,設定!$P$8:$P$27,0),""))</f>
        <v/>
      </c>
      <c r="D135" s="14">
        <f>IF(C135="","",COUNTIF($C$3:C135,C135))</f>
        <v/>
      </c>
      <c r="E135" s="14">
        <f>IF(C135="","",C135*1000+D135)</f>
        <v/>
      </c>
      <c r="F135" s="14">
        <f>IF(A135="","",INDEX(新年度名簿!$K$2:$K$451,A135))</f>
        <v/>
      </c>
      <c r="G135" s="14">
        <f>IF(A135="","",INDEX(新年度名簿!$C$2:$C$451,A135))</f>
        <v/>
      </c>
      <c r="H135" s="14">
        <f>IF(A135="","",INDEX(新年度名簿!$D$2:$D$451,A135))</f>
        <v/>
      </c>
    </row>
    <row r="136">
      <c r="A136" s="14">
        <f>IFERROR(MATCH(SMALL(新年度名簿!$J$2:$J$451,134),新年度名簿!$J$2:$J$451,0),"")</f>
        <v/>
      </c>
      <c r="B136" s="14">
        <f>IF(A136="","",INDEX(新年度名簿!$G$2:$G$451,A136))</f>
        <v/>
      </c>
      <c r="C136" s="14">
        <f>IF(A136="","",IFERROR(MATCH(B136,設定!$P$8:$P$27,0),""))</f>
        <v/>
      </c>
      <c r="D136" s="14">
        <f>IF(C136="","",COUNTIF($C$3:C136,C136))</f>
        <v/>
      </c>
      <c r="E136" s="14">
        <f>IF(C136="","",C136*1000+D136)</f>
        <v/>
      </c>
      <c r="F136" s="14">
        <f>IF(A136="","",INDEX(新年度名簿!$K$2:$K$451,A136))</f>
        <v/>
      </c>
      <c r="G136" s="14">
        <f>IF(A136="","",INDEX(新年度名簿!$C$2:$C$451,A136))</f>
        <v/>
      </c>
      <c r="H136" s="14">
        <f>IF(A136="","",INDEX(新年度名簿!$D$2:$D$451,A136))</f>
        <v/>
      </c>
    </row>
    <row r="137">
      <c r="A137" s="14">
        <f>IFERROR(MATCH(SMALL(新年度名簿!$J$2:$J$451,135),新年度名簿!$J$2:$J$451,0),"")</f>
        <v/>
      </c>
      <c r="B137" s="14">
        <f>IF(A137="","",INDEX(新年度名簿!$G$2:$G$451,A137))</f>
        <v/>
      </c>
      <c r="C137" s="14">
        <f>IF(A137="","",IFERROR(MATCH(B137,設定!$P$8:$P$27,0),""))</f>
        <v/>
      </c>
      <c r="D137" s="14">
        <f>IF(C137="","",COUNTIF($C$3:C137,C137))</f>
        <v/>
      </c>
      <c r="E137" s="14">
        <f>IF(C137="","",C137*1000+D137)</f>
        <v/>
      </c>
      <c r="F137" s="14">
        <f>IF(A137="","",INDEX(新年度名簿!$K$2:$K$451,A137))</f>
        <v/>
      </c>
      <c r="G137" s="14">
        <f>IF(A137="","",INDEX(新年度名簿!$C$2:$C$451,A137))</f>
        <v/>
      </c>
      <c r="H137" s="14">
        <f>IF(A137="","",INDEX(新年度名簿!$D$2:$D$451,A137))</f>
        <v/>
      </c>
    </row>
    <row r="138">
      <c r="A138" s="14">
        <f>IFERROR(MATCH(SMALL(新年度名簿!$J$2:$J$451,136),新年度名簿!$J$2:$J$451,0),"")</f>
        <v/>
      </c>
      <c r="B138" s="14">
        <f>IF(A138="","",INDEX(新年度名簿!$G$2:$G$451,A138))</f>
        <v/>
      </c>
      <c r="C138" s="14">
        <f>IF(A138="","",IFERROR(MATCH(B138,設定!$P$8:$P$27,0),""))</f>
        <v/>
      </c>
      <c r="D138" s="14">
        <f>IF(C138="","",COUNTIF($C$3:C138,C138))</f>
        <v/>
      </c>
      <c r="E138" s="14">
        <f>IF(C138="","",C138*1000+D138)</f>
        <v/>
      </c>
      <c r="F138" s="14">
        <f>IF(A138="","",INDEX(新年度名簿!$K$2:$K$451,A138))</f>
        <v/>
      </c>
      <c r="G138" s="14">
        <f>IF(A138="","",INDEX(新年度名簿!$C$2:$C$451,A138))</f>
        <v/>
      </c>
      <c r="H138" s="14">
        <f>IF(A138="","",INDEX(新年度名簿!$D$2:$D$451,A138))</f>
        <v/>
      </c>
    </row>
    <row r="139">
      <c r="A139" s="14">
        <f>IFERROR(MATCH(SMALL(新年度名簿!$J$2:$J$451,137),新年度名簿!$J$2:$J$451,0),"")</f>
        <v/>
      </c>
      <c r="B139" s="14">
        <f>IF(A139="","",INDEX(新年度名簿!$G$2:$G$451,A139))</f>
        <v/>
      </c>
      <c r="C139" s="14">
        <f>IF(A139="","",IFERROR(MATCH(B139,設定!$P$8:$P$27,0),""))</f>
        <v/>
      </c>
      <c r="D139" s="14">
        <f>IF(C139="","",COUNTIF($C$3:C139,C139))</f>
        <v/>
      </c>
      <c r="E139" s="14">
        <f>IF(C139="","",C139*1000+D139)</f>
        <v/>
      </c>
      <c r="F139" s="14">
        <f>IF(A139="","",INDEX(新年度名簿!$K$2:$K$451,A139))</f>
        <v/>
      </c>
      <c r="G139" s="14">
        <f>IF(A139="","",INDEX(新年度名簿!$C$2:$C$451,A139))</f>
        <v/>
      </c>
      <c r="H139" s="14">
        <f>IF(A139="","",INDEX(新年度名簿!$D$2:$D$451,A139))</f>
        <v/>
      </c>
    </row>
    <row r="140">
      <c r="A140" s="14">
        <f>IFERROR(MATCH(SMALL(新年度名簿!$J$2:$J$451,138),新年度名簿!$J$2:$J$451,0),"")</f>
        <v/>
      </c>
      <c r="B140" s="14">
        <f>IF(A140="","",INDEX(新年度名簿!$G$2:$G$451,A140))</f>
        <v/>
      </c>
      <c r="C140" s="14">
        <f>IF(A140="","",IFERROR(MATCH(B140,設定!$P$8:$P$27,0),""))</f>
        <v/>
      </c>
      <c r="D140" s="14">
        <f>IF(C140="","",COUNTIF($C$3:C140,C140))</f>
        <v/>
      </c>
      <c r="E140" s="14">
        <f>IF(C140="","",C140*1000+D140)</f>
        <v/>
      </c>
      <c r="F140" s="14">
        <f>IF(A140="","",INDEX(新年度名簿!$K$2:$K$451,A140))</f>
        <v/>
      </c>
      <c r="G140" s="14">
        <f>IF(A140="","",INDEX(新年度名簿!$C$2:$C$451,A140))</f>
        <v/>
      </c>
      <c r="H140" s="14">
        <f>IF(A140="","",INDEX(新年度名簿!$D$2:$D$451,A140))</f>
        <v/>
      </c>
    </row>
    <row r="141">
      <c r="A141" s="14">
        <f>IFERROR(MATCH(SMALL(新年度名簿!$J$2:$J$451,139),新年度名簿!$J$2:$J$451,0),"")</f>
        <v/>
      </c>
      <c r="B141" s="14">
        <f>IF(A141="","",INDEX(新年度名簿!$G$2:$G$451,A141))</f>
        <v/>
      </c>
      <c r="C141" s="14">
        <f>IF(A141="","",IFERROR(MATCH(B141,設定!$P$8:$P$27,0),""))</f>
        <v/>
      </c>
      <c r="D141" s="14">
        <f>IF(C141="","",COUNTIF($C$3:C141,C141))</f>
        <v/>
      </c>
      <c r="E141" s="14">
        <f>IF(C141="","",C141*1000+D141)</f>
        <v/>
      </c>
      <c r="F141" s="14">
        <f>IF(A141="","",INDEX(新年度名簿!$K$2:$K$451,A141))</f>
        <v/>
      </c>
      <c r="G141" s="14">
        <f>IF(A141="","",INDEX(新年度名簿!$C$2:$C$451,A141))</f>
        <v/>
      </c>
      <c r="H141" s="14">
        <f>IF(A141="","",INDEX(新年度名簿!$D$2:$D$451,A141))</f>
        <v/>
      </c>
    </row>
    <row r="142">
      <c r="A142" s="14">
        <f>IFERROR(MATCH(SMALL(新年度名簿!$J$2:$J$451,140),新年度名簿!$J$2:$J$451,0),"")</f>
        <v/>
      </c>
      <c r="B142" s="14">
        <f>IF(A142="","",INDEX(新年度名簿!$G$2:$G$451,A142))</f>
        <v/>
      </c>
      <c r="C142" s="14">
        <f>IF(A142="","",IFERROR(MATCH(B142,設定!$P$8:$P$27,0),""))</f>
        <v/>
      </c>
      <c r="D142" s="14">
        <f>IF(C142="","",COUNTIF($C$3:C142,C142))</f>
        <v/>
      </c>
      <c r="E142" s="14">
        <f>IF(C142="","",C142*1000+D142)</f>
        <v/>
      </c>
      <c r="F142" s="14">
        <f>IF(A142="","",INDEX(新年度名簿!$K$2:$K$451,A142))</f>
        <v/>
      </c>
      <c r="G142" s="14">
        <f>IF(A142="","",INDEX(新年度名簿!$C$2:$C$451,A142))</f>
        <v/>
      </c>
      <c r="H142" s="14">
        <f>IF(A142="","",INDEX(新年度名簿!$D$2:$D$451,A142))</f>
        <v/>
      </c>
    </row>
    <row r="143">
      <c r="A143" s="14">
        <f>IFERROR(MATCH(SMALL(新年度名簿!$J$2:$J$451,141),新年度名簿!$J$2:$J$451,0),"")</f>
        <v/>
      </c>
      <c r="B143" s="14">
        <f>IF(A143="","",INDEX(新年度名簿!$G$2:$G$451,A143))</f>
        <v/>
      </c>
      <c r="C143" s="14">
        <f>IF(A143="","",IFERROR(MATCH(B143,設定!$P$8:$P$27,0),""))</f>
        <v/>
      </c>
      <c r="D143" s="14">
        <f>IF(C143="","",COUNTIF($C$3:C143,C143))</f>
        <v/>
      </c>
      <c r="E143" s="14">
        <f>IF(C143="","",C143*1000+D143)</f>
        <v/>
      </c>
      <c r="F143" s="14">
        <f>IF(A143="","",INDEX(新年度名簿!$K$2:$K$451,A143))</f>
        <v/>
      </c>
      <c r="G143" s="14">
        <f>IF(A143="","",INDEX(新年度名簿!$C$2:$C$451,A143))</f>
        <v/>
      </c>
      <c r="H143" s="14">
        <f>IF(A143="","",INDEX(新年度名簿!$D$2:$D$451,A143))</f>
        <v/>
      </c>
    </row>
    <row r="144">
      <c r="A144" s="14">
        <f>IFERROR(MATCH(SMALL(新年度名簿!$J$2:$J$451,142),新年度名簿!$J$2:$J$451,0),"")</f>
        <v/>
      </c>
      <c r="B144" s="14">
        <f>IF(A144="","",INDEX(新年度名簿!$G$2:$G$451,A144))</f>
        <v/>
      </c>
      <c r="C144" s="14">
        <f>IF(A144="","",IFERROR(MATCH(B144,設定!$P$8:$P$27,0),""))</f>
        <v/>
      </c>
      <c r="D144" s="14">
        <f>IF(C144="","",COUNTIF($C$3:C144,C144))</f>
        <v/>
      </c>
      <c r="E144" s="14">
        <f>IF(C144="","",C144*1000+D144)</f>
        <v/>
      </c>
      <c r="F144" s="14">
        <f>IF(A144="","",INDEX(新年度名簿!$K$2:$K$451,A144))</f>
        <v/>
      </c>
      <c r="G144" s="14">
        <f>IF(A144="","",INDEX(新年度名簿!$C$2:$C$451,A144))</f>
        <v/>
      </c>
      <c r="H144" s="14">
        <f>IF(A144="","",INDEX(新年度名簿!$D$2:$D$451,A144))</f>
        <v/>
      </c>
    </row>
    <row r="145">
      <c r="A145" s="14">
        <f>IFERROR(MATCH(SMALL(新年度名簿!$J$2:$J$451,143),新年度名簿!$J$2:$J$451,0),"")</f>
        <v/>
      </c>
      <c r="B145" s="14">
        <f>IF(A145="","",INDEX(新年度名簿!$G$2:$G$451,A145))</f>
        <v/>
      </c>
      <c r="C145" s="14">
        <f>IF(A145="","",IFERROR(MATCH(B145,設定!$P$8:$P$27,0),""))</f>
        <v/>
      </c>
      <c r="D145" s="14">
        <f>IF(C145="","",COUNTIF($C$3:C145,C145))</f>
        <v/>
      </c>
      <c r="E145" s="14">
        <f>IF(C145="","",C145*1000+D145)</f>
        <v/>
      </c>
      <c r="F145" s="14">
        <f>IF(A145="","",INDEX(新年度名簿!$K$2:$K$451,A145))</f>
        <v/>
      </c>
      <c r="G145" s="14">
        <f>IF(A145="","",INDEX(新年度名簿!$C$2:$C$451,A145))</f>
        <v/>
      </c>
      <c r="H145" s="14">
        <f>IF(A145="","",INDEX(新年度名簿!$D$2:$D$451,A145))</f>
        <v/>
      </c>
    </row>
    <row r="146">
      <c r="A146" s="14">
        <f>IFERROR(MATCH(SMALL(新年度名簿!$J$2:$J$451,144),新年度名簿!$J$2:$J$451,0),"")</f>
        <v/>
      </c>
      <c r="B146" s="14">
        <f>IF(A146="","",INDEX(新年度名簿!$G$2:$G$451,A146))</f>
        <v/>
      </c>
      <c r="C146" s="14">
        <f>IF(A146="","",IFERROR(MATCH(B146,設定!$P$8:$P$27,0),""))</f>
        <v/>
      </c>
      <c r="D146" s="14">
        <f>IF(C146="","",COUNTIF($C$3:C146,C146))</f>
        <v/>
      </c>
      <c r="E146" s="14">
        <f>IF(C146="","",C146*1000+D146)</f>
        <v/>
      </c>
      <c r="F146" s="14">
        <f>IF(A146="","",INDEX(新年度名簿!$K$2:$K$451,A146))</f>
        <v/>
      </c>
      <c r="G146" s="14">
        <f>IF(A146="","",INDEX(新年度名簿!$C$2:$C$451,A146))</f>
        <v/>
      </c>
      <c r="H146" s="14">
        <f>IF(A146="","",INDEX(新年度名簿!$D$2:$D$451,A146))</f>
        <v/>
      </c>
    </row>
    <row r="147">
      <c r="A147" s="14">
        <f>IFERROR(MATCH(SMALL(新年度名簿!$J$2:$J$451,145),新年度名簿!$J$2:$J$451,0),"")</f>
        <v/>
      </c>
      <c r="B147" s="14">
        <f>IF(A147="","",INDEX(新年度名簿!$G$2:$G$451,A147))</f>
        <v/>
      </c>
      <c r="C147" s="14">
        <f>IF(A147="","",IFERROR(MATCH(B147,設定!$P$8:$P$27,0),""))</f>
        <v/>
      </c>
      <c r="D147" s="14">
        <f>IF(C147="","",COUNTIF($C$3:C147,C147))</f>
        <v/>
      </c>
      <c r="E147" s="14">
        <f>IF(C147="","",C147*1000+D147)</f>
        <v/>
      </c>
      <c r="F147" s="14">
        <f>IF(A147="","",INDEX(新年度名簿!$K$2:$K$451,A147))</f>
        <v/>
      </c>
      <c r="G147" s="14">
        <f>IF(A147="","",INDEX(新年度名簿!$C$2:$C$451,A147))</f>
        <v/>
      </c>
      <c r="H147" s="14">
        <f>IF(A147="","",INDEX(新年度名簿!$D$2:$D$451,A147))</f>
        <v/>
      </c>
    </row>
    <row r="148">
      <c r="A148" s="14">
        <f>IFERROR(MATCH(SMALL(新年度名簿!$J$2:$J$451,146),新年度名簿!$J$2:$J$451,0),"")</f>
        <v/>
      </c>
      <c r="B148" s="14">
        <f>IF(A148="","",INDEX(新年度名簿!$G$2:$G$451,A148))</f>
        <v/>
      </c>
      <c r="C148" s="14">
        <f>IF(A148="","",IFERROR(MATCH(B148,設定!$P$8:$P$27,0),""))</f>
        <v/>
      </c>
      <c r="D148" s="14">
        <f>IF(C148="","",COUNTIF($C$3:C148,C148))</f>
        <v/>
      </c>
      <c r="E148" s="14">
        <f>IF(C148="","",C148*1000+D148)</f>
        <v/>
      </c>
      <c r="F148" s="14">
        <f>IF(A148="","",INDEX(新年度名簿!$K$2:$K$451,A148))</f>
        <v/>
      </c>
      <c r="G148" s="14">
        <f>IF(A148="","",INDEX(新年度名簿!$C$2:$C$451,A148))</f>
        <v/>
      </c>
      <c r="H148" s="14">
        <f>IF(A148="","",INDEX(新年度名簿!$D$2:$D$451,A148))</f>
        <v/>
      </c>
    </row>
    <row r="149">
      <c r="A149" s="14">
        <f>IFERROR(MATCH(SMALL(新年度名簿!$J$2:$J$451,147),新年度名簿!$J$2:$J$451,0),"")</f>
        <v/>
      </c>
      <c r="B149" s="14">
        <f>IF(A149="","",INDEX(新年度名簿!$G$2:$G$451,A149))</f>
        <v/>
      </c>
      <c r="C149" s="14">
        <f>IF(A149="","",IFERROR(MATCH(B149,設定!$P$8:$P$27,0),""))</f>
        <v/>
      </c>
      <c r="D149" s="14">
        <f>IF(C149="","",COUNTIF($C$3:C149,C149))</f>
        <v/>
      </c>
      <c r="E149" s="14">
        <f>IF(C149="","",C149*1000+D149)</f>
        <v/>
      </c>
      <c r="F149" s="14">
        <f>IF(A149="","",INDEX(新年度名簿!$K$2:$K$451,A149))</f>
        <v/>
      </c>
      <c r="G149" s="14">
        <f>IF(A149="","",INDEX(新年度名簿!$C$2:$C$451,A149))</f>
        <v/>
      </c>
      <c r="H149" s="14">
        <f>IF(A149="","",INDEX(新年度名簿!$D$2:$D$451,A149))</f>
        <v/>
      </c>
    </row>
    <row r="150">
      <c r="A150" s="14">
        <f>IFERROR(MATCH(SMALL(新年度名簿!$J$2:$J$451,148),新年度名簿!$J$2:$J$451,0),"")</f>
        <v/>
      </c>
      <c r="B150" s="14">
        <f>IF(A150="","",INDEX(新年度名簿!$G$2:$G$451,A150))</f>
        <v/>
      </c>
      <c r="C150" s="14">
        <f>IF(A150="","",IFERROR(MATCH(B150,設定!$P$8:$P$27,0),""))</f>
        <v/>
      </c>
      <c r="D150" s="14">
        <f>IF(C150="","",COUNTIF($C$3:C150,C150))</f>
        <v/>
      </c>
      <c r="E150" s="14">
        <f>IF(C150="","",C150*1000+D150)</f>
        <v/>
      </c>
      <c r="F150" s="14">
        <f>IF(A150="","",INDEX(新年度名簿!$K$2:$K$451,A150))</f>
        <v/>
      </c>
      <c r="G150" s="14">
        <f>IF(A150="","",INDEX(新年度名簿!$C$2:$C$451,A150))</f>
        <v/>
      </c>
      <c r="H150" s="14">
        <f>IF(A150="","",INDEX(新年度名簿!$D$2:$D$451,A150))</f>
        <v/>
      </c>
    </row>
    <row r="151">
      <c r="A151" s="14">
        <f>IFERROR(MATCH(SMALL(新年度名簿!$J$2:$J$451,149),新年度名簿!$J$2:$J$451,0),"")</f>
        <v/>
      </c>
      <c r="B151" s="14">
        <f>IF(A151="","",INDEX(新年度名簿!$G$2:$G$451,A151))</f>
        <v/>
      </c>
      <c r="C151" s="14">
        <f>IF(A151="","",IFERROR(MATCH(B151,設定!$P$8:$P$27,0),""))</f>
        <v/>
      </c>
      <c r="D151" s="14">
        <f>IF(C151="","",COUNTIF($C$3:C151,C151))</f>
        <v/>
      </c>
      <c r="E151" s="14">
        <f>IF(C151="","",C151*1000+D151)</f>
        <v/>
      </c>
      <c r="F151" s="14">
        <f>IF(A151="","",INDEX(新年度名簿!$K$2:$K$451,A151))</f>
        <v/>
      </c>
      <c r="G151" s="14">
        <f>IF(A151="","",INDEX(新年度名簿!$C$2:$C$451,A151))</f>
        <v/>
      </c>
      <c r="H151" s="14">
        <f>IF(A151="","",INDEX(新年度名簿!$D$2:$D$451,A151))</f>
        <v/>
      </c>
    </row>
    <row r="152">
      <c r="A152" s="14">
        <f>IFERROR(MATCH(SMALL(新年度名簿!$J$2:$J$451,150),新年度名簿!$J$2:$J$451,0),"")</f>
        <v/>
      </c>
      <c r="B152" s="14">
        <f>IF(A152="","",INDEX(新年度名簿!$G$2:$G$451,A152))</f>
        <v/>
      </c>
      <c r="C152" s="14">
        <f>IF(A152="","",IFERROR(MATCH(B152,設定!$P$8:$P$27,0),""))</f>
        <v/>
      </c>
      <c r="D152" s="14">
        <f>IF(C152="","",COUNTIF($C$3:C152,C152))</f>
        <v/>
      </c>
      <c r="E152" s="14">
        <f>IF(C152="","",C152*1000+D152)</f>
        <v/>
      </c>
      <c r="F152" s="14">
        <f>IF(A152="","",INDEX(新年度名簿!$K$2:$K$451,A152))</f>
        <v/>
      </c>
      <c r="G152" s="14">
        <f>IF(A152="","",INDEX(新年度名簿!$C$2:$C$451,A152))</f>
        <v/>
      </c>
      <c r="H152" s="14">
        <f>IF(A152="","",INDEX(新年度名簿!$D$2:$D$451,A152))</f>
        <v/>
      </c>
    </row>
    <row r="153">
      <c r="A153" s="14">
        <f>IFERROR(MATCH(SMALL(新年度名簿!$J$2:$J$451,151),新年度名簿!$J$2:$J$451,0),"")</f>
        <v/>
      </c>
      <c r="B153" s="14">
        <f>IF(A153="","",INDEX(新年度名簿!$G$2:$G$451,A153))</f>
        <v/>
      </c>
      <c r="C153" s="14">
        <f>IF(A153="","",IFERROR(MATCH(B153,設定!$P$8:$P$27,0),""))</f>
        <v/>
      </c>
      <c r="D153" s="14">
        <f>IF(C153="","",COUNTIF($C$3:C153,C153))</f>
        <v/>
      </c>
      <c r="E153" s="14">
        <f>IF(C153="","",C153*1000+D153)</f>
        <v/>
      </c>
      <c r="F153" s="14">
        <f>IF(A153="","",INDEX(新年度名簿!$K$2:$K$451,A153))</f>
        <v/>
      </c>
      <c r="G153" s="14">
        <f>IF(A153="","",INDEX(新年度名簿!$C$2:$C$451,A153))</f>
        <v/>
      </c>
      <c r="H153" s="14">
        <f>IF(A153="","",INDEX(新年度名簿!$D$2:$D$451,A153))</f>
        <v/>
      </c>
    </row>
    <row r="154">
      <c r="A154" s="14">
        <f>IFERROR(MATCH(SMALL(新年度名簿!$J$2:$J$451,152),新年度名簿!$J$2:$J$451,0),"")</f>
        <v/>
      </c>
      <c r="B154" s="14">
        <f>IF(A154="","",INDEX(新年度名簿!$G$2:$G$451,A154))</f>
        <v/>
      </c>
      <c r="C154" s="14">
        <f>IF(A154="","",IFERROR(MATCH(B154,設定!$P$8:$P$27,0),""))</f>
        <v/>
      </c>
      <c r="D154" s="14">
        <f>IF(C154="","",COUNTIF($C$3:C154,C154))</f>
        <v/>
      </c>
      <c r="E154" s="14">
        <f>IF(C154="","",C154*1000+D154)</f>
        <v/>
      </c>
      <c r="F154" s="14">
        <f>IF(A154="","",INDEX(新年度名簿!$K$2:$K$451,A154))</f>
        <v/>
      </c>
      <c r="G154" s="14">
        <f>IF(A154="","",INDEX(新年度名簿!$C$2:$C$451,A154))</f>
        <v/>
      </c>
      <c r="H154" s="14">
        <f>IF(A154="","",INDEX(新年度名簿!$D$2:$D$451,A154))</f>
        <v/>
      </c>
    </row>
    <row r="155">
      <c r="A155" s="14">
        <f>IFERROR(MATCH(SMALL(新年度名簿!$J$2:$J$451,153),新年度名簿!$J$2:$J$451,0),"")</f>
        <v/>
      </c>
      <c r="B155" s="14">
        <f>IF(A155="","",INDEX(新年度名簿!$G$2:$G$451,A155))</f>
        <v/>
      </c>
      <c r="C155" s="14">
        <f>IF(A155="","",IFERROR(MATCH(B155,設定!$P$8:$P$27,0),""))</f>
        <v/>
      </c>
      <c r="D155" s="14">
        <f>IF(C155="","",COUNTIF($C$3:C155,C155))</f>
        <v/>
      </c>
      <c r="E155" s="14">
        <f>IF(C155="","",C155*1000+D155)</f>
        <v/>
      </c>
      <c r="F155" s="14">
        <f>IF(A155="","",INDEX(新年度名簿!$K$2:$K$451,A155))</f>
        <v/>
      </c>
      <c r="G155" s="14">
        <f>IF(A155="","",INDEX(新年度名簿!$C$2:$C$451,A155))</f>
        <v/>
      </c>
      <c r="H155" s="14">
        <f>IF(A155="","",INDEX(新年度名簿!$D$2:$D$451,A155))</f>
        <v/>
      </c>
    </row>
    <row r="156">
      <c r="A156" s="14">
        <f>IFERROR(MATCH(SMALL(新年度名簿!$J$2:$J$451,154),新年度名簿!$J$2:$J$451,0),"")</f>
        <v/>
      </c>
      <c r="B156" s="14">
        <f>IF(A156="","",INDEX(新年度名簿!$G$2:$G$451,A156))</f>
        <v/>
      </c>
      <c r="C156" s="14">
        <f>IF(A156="","",IFERROR(MATCH(B156,設定!$P$8:$P$27,0),""))</f>
        <v/>
      </c>
      <c r="D156" s="14">
        <f>IF(C156="","",COUNTIF($C$3:C156,C156))</f>
        <v/>
      </c>
      <c r="E156" s="14">
        <f>IF(C156="","",C156*1000+D156)</f>
        <v/>
      </c>
      <c r="F156" s="14">
        <f>IF(A156="","",INDEX(新年度名簿!$K$2:$K$451,A156))</f>
        <v/>
      </c>
      <c r="G156" s="14">
        <f>IF(A156="","",INDEX(新年度名簿!$C$2:$C$451,A156))</f>
        <v/>
      </c>
      <c r="H156" s="14">
        <f>IF(A156="","",INDEX(新年度名簿!$D$2:$D$451,A156))</f>
        <v/>
      </c>
    </row>
    <row r="157">
      <c r="A157" s="14">
        <f>IFERROR(MATCH(SMALL(新年度名簿!$J$2:$J$451,155),新年度名簿!$J$2:$J$451,0),"")</f>
        <v/>
      </c>
      <c r="B157" s="14">
        <f>IF(A157="","",INDEX(新年度名簿!$G$2:$G$451,A157))</f>
        <v/>
      </c>
      <c r="C157" s="14">
        <f>IF(A157="","",IFERROR(MATCH(B157,設定!$P$8:$P$27,0),""))</f>
        <v/>
      </c>
      <c r="D157" s="14">
        <f>IF(C157="","",COUNTIF($C$3:C157,C157))</f>
        <v/>
      </c>
      <c r="E157" s="14">
        <f>IF(C157="","",C157*1000+D157)</f>
        <v/>
      </c>
      <c r="F157" s="14">
        <f>IF(A157="","",INDEX(新年度名簿!$K$2:$K$451,A157))</f>
        <v/>
      </c>
      <c r="G157" s="14">
        <f>IF(A157="","",INDEX(新年度名簿!$C$2:$C$451,A157))</f>
        <v/>
      </c>
      <c r="H157" s="14">
        <f>IF(A157="","",INDEX(新年度名簿!$D$2:$D$451,A157))</f>
        <v/>
      </c>
    </row>
    <row r="158">
      <c r="A158" s="14">
        <f>IFERROR(MATCH(SMALL(新年度名簿!$J$2:$J$451,156),新年度名簿!$J$2:$J$451,0),"")</f>
        <v/>
      </c>
      <c r="B158" s="14">
        <f>IF(A158="","",INDEX(新年度名簿!$G$2:$G$451,A158))</f>
        <v/>
      </c>
      <c r="C158" s="14">
        <f>IF(A158="","",IFERROR(MATCH(B158,設定!$P$8:$P$27,0),""))</f>
        <v/>
      </c>
      <c r="D158" s="14">
        <f>IF(C158="","",COUNTIF($C$3:C158,C158))</f>
        <v/>
      </c>
      <c r="E158" s="14">
        <f>IF(C158="","",C158*1000+D158)</f>
        <v/>
      </c>
      <c r="F158" s="14">
        <f>IF(A158="","",INDEX(新年度名簿!$K$2:$K$451,A158))</f>
        <v/>
      </c>
      <c r="G158" s="14">
        <f>IF(A158="","",INDEX(新年度名簿!$C$2:$C$451,A158))</f>
        <v/>
      </c>
      <c r="H158" s="14">
        <f>IF(A158="","",INDEX(新年度名簿!$D$2:$D$451,A158))</f>
        <v/>
      </c>
    </row>
    <row r="159">
      <c r="A159" s="14">
        <f>IFERROR(MATCH(SMALL(新年度名簿!$J$2:$J$451,157),新年度名簿!$J$2:$J$451,0),"")</f>
        <v/>
      </c>
      <c r="B159" s="14">
        <f>IF(A159="","",INDEX(新年度名簿!$G$2:$G$451,A159))</f>
        <v/>
      </c>
      <c r="C159" s="14">
        <f>IF(A159="","",IFERROR(MATCH(B159,設定!$P$8:$P$27,0),""))</f>
        <v/>
      </c>
      <c r="D159" s="14">
        <f>IF(C159="","",COUNTIF($C$3:C159,C159))</f>
        <v/>
      </c>
      <c r="E159" s="14">
        <f>IF(C159="","",C159*1000+D159)</f>
        <v/>
      </c>
      <c r="F159" s="14">
        <f>IF(A159="","",INDEX(新年度名簿!$K$2:$K$451,A159))</f>
        <v/>
      </c>
      <c r="G159" s="14">
        <f>IF(A159="","",INDEX(新年度名簿!$C$2:$C$451,A159))</f>
        <v/>
      </c>
      <c r="H159" s="14">
        <f>IF(A159="","",INDEX(新年度名簿!$D$2:$D$451,A159))</f>
        <v/>
      </c>
    </row>
    <row r="160">
      <c r="A160" s="14">
        <f>IFERROR(MATCH(SMALL(新年度名簿!$J$2:$J$451,158),新年度名簿!$J$2:$J$451,0),"")</f>
        <v/>
      </c>
      <c r="B160" s="14">
        <f>IF(A160="","",INDEX(新年度名簿!$G$2:$G$451,A160))</f>
        <v/>
      </c>
      <c r="C160" s="14">
        <f>IF(A160="","",IFERROR(MATCH(B160,設定!$P$8:$P$27,0),""))</f>
        <v/>
      </c>
      <c r="D160" s="14">
        <f>IF(C160="","",COUNTIF($C$3:C160,C160))</f>
        <v/>
      </c>
      <c r="E160" s="14">
        <f>IF(C160="","",C160*1000+D160)</f>
        <v/>
      </c>
      <c r="F160" s="14">
        <f>IF(A160="","",INDEX(新年度名簿!$K$2:$K$451,A160))</f>
        <v/>
      </c>
      <c r="G160" s="14">
        <f>IF(A160="","",INDEX(新年度名簿!$C$2:$C$451,A160))</f>
        <v/>
      </c>
      <c r="H160" s="14">
        <f>IF(A160="","",INDEX(新年度名簿!$D$2:$D$451,A160))</f>
        <v/>
      </c>
    </row>
    <row r="161">
      <c r="A161" s="14">
        <f>IFERROR(MATCH(SMALL(新年度名簿!$J$2:$J$451,159),新年度名簿!$J$2:$J$451,0),"")</f>
        <v/>
      </c>
      <c r="B161" s="14">
        <f>IF(A161="","",INDEX(新年度名簿!$G$2:$G$451,A161))</f>
        <v/>
      </c>
      <c r="C161" s="14">
        <f>IF(A161="","",IFERROR(MATCH(B161,設定!$P$8:$P$27,0),""))</f>
        <v/>
      </c>
      <c r="D161" s="14">
        <f>IF(C161="","",COUNTIF($C$3:C161,C161))</f>
        <v/>
      </c>
      <c r="E161" s="14">
        <f>IF(C161="","",C161*1000+D161)</f>
        <v/>
      </c>
      <c r="F161" s="14">
        <f>IF(A161="","",INDEX(新年度名簿!$K$2:$K$451,A161))</f>
        <v/>
      </c>
      <c r="G161" s="14">
        <f>IF(A161="","",INDEX(新年度名簿!$C$2:$C$451,A161))</f>
        <v/>
      </c>
      <c r="H161" s="14">
        <f>IF(A161="","",INDEX(新年度名簿!$D$2:$D$451,A161))</f>
        <v/>
      </c>
    </row>
    <row r="162">
      <c r="A162" s="14">
        <f>IFERROR(MATCH(SMALL(新年度名簿!$J$2:$J$451,160),新年度名簿!$J$2:$J$451,0),"")</f>
        <v/>
      </c>
      <c r="B162" s="14">
        <f>IF(A162="","",INDEX(新年度名簿!$G$2:$G$451,A162))</f>
        <v/>
      </c>
      <c r="C162" s="14">
        <f>IF(A162="","",IFERROR(MATCH(B162,設定!$P$8:$P$27,0),""))</f>
        <v/>
      </c>
      <c r="D162" s="14">
        <f>IF(C162="","",COUNTIF($C$3:C162,C162))</f>
        <v/>
      </c>
      <c r="E162" s="14">
        <f>IF(C162="","",C162*1000+D162)</f>
        <v/>
      </c>
      <c r="F162" s="14">
        <f>IF(A162="","",INDEX(新年度名簿!$K$2:$K$451,A162))</f>
        <v/>
      </c>
      <c r="G162" s="14">
        <f>IF(A162="","",INDEX(新年度名簿!$C$2:$C$451,A162))</f>
        <v/>
      </c>
      <c r="H162" s="14">
        <f>IF(A162="","",INDEX(新年度名簿!$D$2:$D$451,A162))</f>
        <v/>
      </c>
    </row>
    <row r="163">
      <c r="A163" s="14">
        <f>IFERROR(MATCH(SMALL(新年度名簿!$J$2:$J$451,161),新年度名簿!$J$2:$J$451,0),"")</f>
        <v/>
      </c>
      <c r="B163" s="14">
        <f>IF(A163="","",INDEX(新年度名簿!$G$2:$G$451,A163))</f>
        <v/>
      </c>
      <c r="C163" s="14">
        <f>IF(A163="","",IFERROR(MATCH(B163,設定!$P$8:$P$27,0),""))</f>
        <v/>
      </c>
      <c r="D163" s="14">
        <f>IF(C163="","",COUNTIF($C$3:C163,C163))</f>
        <v/>
      </c>
      <c r="E163" s="14">
        <f>IF(C163="","",C163*1000+D163)</f>
        <v/>
      </c>
      <c r="F163" s="14">
        <f>IF(A163="","",INDEX(新年度名簿!$K$2:$K$451,A163))</f>
        <v/>
      </c>
      <c r="G163" s="14">
        <f>IF(A163="","",INDEX(新年度名簿!$C$2:$C$451,A163))</f>
        <v/>
      </c>
      <c r="H163" s="14">
        <f>IF(A163="","",INDEX(新年度名簿!$D$2:$D$451,A163))</f>
        <v/>
      </c>
    </row>
    <row r="164">
      <c r="A164" s="14">
        <f>IFERROR(MATCH(SMALL(新年度名簿!$J$2:$J$451,162),新年度名簿!$J$2:$J$451,0),"")</f>
        <v/>
      </c>
      <c r="B164" s="14">
        <f>IF(A164="","",INDEX(新年度名簿!$G$2:$G$451,A164))</f>
        <v/>
      </c>
      <c r="C164" s="14">
        <f>IF(A164="","",IFERROR(MATCH(B164,設定!$P$8:$P$27,0),""))</f>
        <v/>
      </c>
      <c r="D164" s="14">
        <f>IF(C164="","",COUNTIF($C$3:C164,C164))</f>
        <v/>
      </c>
      <c r="E164" s="14">
        <f>IF(C164="","",C164*1000+D164)</f>
        <v/>
      </c>
      <c r="F164" s="14">
        <f>IF(A164="","",INDEX(新年度名簿!$K$2:$K$451,A164))</f>
        <v/>
      </c>
      <c r="G164" s="14">
        <f>IF(A164="","",INDEX(新年度名簿!$C$2:$C$451,A164))</f>
        <v/>
      </c>
      <c r="H164" s="14">
        <f>IF(A164="","",INDEX(新年度名簿!$D$2:$D$451,A164))</f>
        <v/>
      </c>
    </row>
    <row r="165">
      <c r="A165" s="14">
        <f>IFERROR(MATCH(SMALL(新年度名簿!$J$2:$J$451,163),新年度名簿!$J$2:$J$451,0),"")</f>
        <v/>
      </c>
      <c r="B165" s="14">
        <f>IF(A165="","",INDEX(新年度名簿!$G$2:$G$451,A165))</f>
        <v/>
      </c>
      <c r="C165" s="14">
        <f>IF(A165="","",IFERROR(MATCH(B165,設定!$P$8:$P$27,0),""))</f>
        <v/>
      </c>
      <c r="D165" s="14">
        <f>IF(C165="","",COUNTIF($C$3:C165,C165))</f>
        <v/>
      </c>
      <c r="E165" s="14">
        <f>IF(C165="","",C165*1000+D165)</f>
        <v/>
      </c>
      <c r="F165" s="14">
        <f>IF(A165="","",INDEX(新年度名簿!$K$2:$K$451,A165))</f>
        <v/>
      </c>
      <c r="G165" s="14">
        <f>IF(A165="","",INDEX(新年度名簿!$C$2:$C$451,A165))</f>
        <v/>
      </c>
      <c r="H165" s="14">
        <f>IF(A165="","",INDEX(新年度名簿!$D$2:$D$451,A165))</f>
        <v/>
      </c>
    </row>
    <row r="166">
      <c r="A166" s="14">
        <f>IFERROR(MATCH(SMALL(新年度名簿!$J$2:$J$451,164),新年度名簿!$J$2:$J$451,0),"")</f>
        <v/>
      </c>
      <c r="B166" s="14">
        <f>IF(A166="","",INDEX(新年度名簿!$G$2:$G$451,A166))</f>
        <v/>
      </c>
      <c r="C166" s="14">
        <f>IF(A166="","",IFERROR(MATCH(B166,設定!$P$8:$P$27,0),""))</f>
        <v/>
      </c>
      <c r="D166" s="14">
        <f>IF(C166="","",COUNTIF($C$3:C166,C166))</f>
        <v/>
      </c>
      <c r="E166" s="14">
        <f>IF(C166="","",C166*1000+D166)</f>
        <v/>
      </c>
      <c r="F166" s="14">
        <f>IF(A166="","",INDEX(新年度名簿!$K$2:$K$451,A166))</f>
        <v/>
      </c>
      <c r="G166" s="14">
        <f>IF(A166="","",INDEX(新年度名簿!$C$2:$C$451,A166))</f>
        <v/>
      </c>
      <c r="H166" s="14">
        <f>IF(A166="","",INDEX(新年度名簿!$D$2:$D$451,A166))</f>
        <v/>
      </c>
    </row>
    <row r="167">
      <c r="A167" s="14">
        <f>IFERROR(MATCH(SMALL(新年度名簿!$J$2:$J$451,165),新年度名簿!$J$2:$J$451,0),"")</f>
        <v/>
      </c>
      <c r="B167" s="14">
        <f>IF(A167="","",INDEX(新年度名簿!$G$2:$G$451,A167))</f>
        <v/>
      </c>
      <c r="C167" s="14">
        <f>IF(A167="","",IFERROR(MATCH(B167,設定!$P$8:$P$27,0),""))</f>
        <v/>
      </c>
      <c r="D167" s="14">
        <f>IF(C167="","",COUNTIF($C$3:C167,C167))</f>
        <v/>
      </c>
      <c r="E167" s="14">
        <f>IF(C167="","",C167*1000+D167)</f>
        <v/>
      </c>
      <c r="F167" s="14">
        <f>IF(A167="","",INDEX(新年度名簿!$K$2:$K$451,A167))</f>
        <v/>
      </c>
      <c r="G167" s="14">
        <f>IF(A167="","",INDEX(新年度名簿!$C$2:$C$451,A167))</f>
        <v/>
      </c>
      <c r="H167" s="14">
        <f>IF(A167="","",INDEX(新年度名簿!$D$2:$D$451,A167))</f>
        <v/>
      </c>
    </row>
    <row r="168">
      <c r="A168" s="14">
        <f>IFERROR(MATCH(SMALL(新年度名簿!$J$2:$J$451,166),新年度名簿!$J$2:$J$451,0),"")</f>
        <v/>
      </c>
      <c r="B168" s="14">
        <f>IF(A168="","",INDEX(新年度名簿!$G$2:$G$451,A168))</f>
        <v/>
      </c>
      <c r="C168" s="14">
        <f>IF(A168="","",IFERROR(MATCH(B168,設定!$P$8:$P$27,0),""))</f>
        <v/>
      </c>
      <c r="D168" s="14">
        <f>IF(C168="","",COUNTIF($C$3:C168,C168))</f>
        <v/>
      </c>
      <c r="E168" s="14">
        <f>IF(C168="","",C168*1000+D168)</f>
        <v/>
      </c>
      <c r="F168" s="14">
        <f>IF(A168="","",INDEX(新年度名簿!$K$2:$K$451,A168))</f>
        <v/>
      </c>
      <c r="G168" s="14">
        <f>IF(A168="","",INDEX(新年度名簿!$C$2:$C$451,A168))</f>
        <v/>
      </c>
      <c r="H168" s="14">
        <f>IF(A168="","",INDEX(新年度名簿!$D$2:$D$451,A168))</f>
        <v/>
      </c>
    </row>
    <row r="169">
      <c r="A169" s="14">
        <f>IFERROR(MATCH(SMALL(新年度名簿!$J$2:$J$451,167),新年度名簿!$J$2:$J$451,0),"")</f>
        <v/>
      </c>
      <c r="B169" s="14">
        <f>IF(A169="","",INDEX(新年度名簿!$G$2:$G$451,A169))</f>
        <v/>
      </c>
      <c r="C169" s="14">
        <f>IF(A169="","",IFERROR(MATCH(B169,設定!$P$8:$P$27,0),""))</f>
        <v/>
      </c>
      <c r="D169" s="14">
        <f>IF(C169="","",COUNTIF($C$3:C169,C169))</f>
        <v/>
      </c>
      <c r="E169" s="14">
        <f>IF(C169="","",C169*1000+D169)</f>
        <v/>
      </c>
      <c r="F169" s="14">
        <f>IF(A169="","",INDEX(新年度名簿!$K$2:$K$451,A169))</f>
        <v/>
      </c>
      <c r="G169" s="14">
        <f>IF(A169="","",INDEX(新年度名簿!$C$2:$C$451,A169))</f>
        <v/>
      </c>
      <c r="H169" s="14">
        <f>IF(A169="","",INDEX(新年度名簿!$D$2:$D$451,A169))</f>
        <v/>
      </c>
    </row>
    <row r="170">
      <c r="A170" s="14">
        <f>IFERROR(MATCH(SMALL(新年度名簿!$J$2:$J$451,168),新年度名簿!$J$2:$J$451,0),"")</f>
        <v/>
      </c>
      <c r="B170" s="14">
        <f>IF(A170="","",INDEX(新年度名簿!$G$2:$G$451,A170))</f>
        <v/>
      </c>
      <c r="C170" s="14">
        <f>IF(A170="","",IFERROR(MATCH(B170,設定!$P$8:$P$27,0),""))</f>
        <v/>
      </c>
      <c r="D170" s="14">
        <f>IF(C170="","",COUNTIF($C$3:C170,C170))</f>
        <v/>
      </c>
      <c r="E170" s="14">
        <f>IF(C170="","",C170*1000+D170)</f>
        <v/>
      </c>
      <c r="F170" s="14">
        <f>IF(A170="","",INDEX(新年度名簿!$K$2:$K$451,A170))</f>
        <v/>
      </c>
      <c r="G170" s="14">
        <f>IF(A170="","",INDEX(新年度名簿!$C$2:$C$451,A170))</f>
        <v/>
      </c>
      <c r="H170" s="14">
        <f>IF(A170="","",INDEX(新年度名簿!$D$2:$D$451,A170))</f>
        <v/>
      </c>
    </row>
    <row r="171">
      <c r="A171" s="14">
        <f>IFERROR(MATCH(SMALL(新年度名簿!$J$2:$J$451,169),新年度名簿!$J$2:$J$451,0),"")</f>
        <v/>
      </c>
      <c r="B171" s="14">
        <f>IF(A171="","",INDEX(新年度名簿!$G$2:$G$451,A171))</f>
        <v/>
      </c>
      <c r="C171" s="14">
        <f>IF(A171="","",IFERROR(MATCH(B171,設定!$P$8:$P$27,0),""))</f>
        <v/>
      </c>
      <c r="D171" s="14">
        <f>IF(C171="","",COUNTIF($C$3:C171,C171))</f>
        <v/>
      </c>
      <c r="E171" s="14">
        <f>IF(C171="","",C171*1000+D171)</f>
        <v/>
      </c>
      <c r="F171" s="14">
        <f>IF(A171="","",INDEX(新年度名簿!$K$2:$K$451,A171))</f>
        <v/>
      </c>
      <c r="G171" s="14">
        <f>IF(A171="","",INDEX(新年度名簿!$C$2:$C$451,A171))</f>
        <v/>
      </c>
      <c r="H171" s="14">
        <f>IF(A171="","",INDEX(新年度名簿!$D$2:$D$451,A171))</f>
        <v/>
      </c>
    </row>
    <row r="172">
      <c r="A172" s="14">
        <f>IFERROR(MATCH(SMALL(新年度名簿!$J$2:$J$451,170),新年度名簿!$J$2:$J$451,0),"")</f>
        <v/>
      </c>
      <c r="B172" s="14">
        <f>IF(A172="","",INDEX(新年度名簿!$G$2:$G$451,A172))</f>
        <v/>
      </c>
      <c r="C172" s="14">
        <f>IF(A172="","",IFERROR(MATCH(B172,設定!$P$8:$P$27,0),""))</f>
        <v/>
      </c>
      <c r="D172" s="14">
        <f>IF(C172="","",COUNTIF($C$3:C172,C172))</f>
        <v/>
      </c>
      <c r="E172" s="14">
        <f>IF(C172="","",C172*1000+D172)</f>
        <v/>
      </c>
      <c r="F172" s="14">
        <f>IF(A172="","",INDEX(新年度名簿!$K$2:$K$451,A172))</f>
        <v/>
      </c>
      <c r="G172" s="14">
        <f>IF(A172="","",INDEX(新年度名簿!$C$2:$C$451,A172))</f>
        <v/>
      </c>
      <c r="H172" s="14">
        <f>IF(A172="","",INDEX(新年度名簿!$D$2:$D$451,A172))</f>
        <v/>
      </c>
    </row>
    <row r="173">
      <c r="A173" s="14">
        <f>IFERROR(MATCH(SMALL(新年度名簿!$J$2:$J$451,171),新年度名簿!$J$2:$J$451,0),"")</f>
        <v/>
      </c>
      <c r="B173" s="14">
        <f>IF(A173="","",INDEX(新年度名簿!$G$2:$G$451,A173))</f>
        <v/>
      </c>
      <c r="C173" s="14">
        <f>IF(A173="","",IFERROR(MATCH(B173,設定!$P$8:$P$27,0),""))</f>
        <v/>
      </c>
      <c r="D173" s="14">
        <f>IF(C173="","",COUNTIF($C$3:C173,C173))</f>
        <v/>
      </c>
      <c r="E173" s="14">
        <f>IF(C173="","",C173*1000+D173)</f>
        <v/>
      </c>
      <c r="F173" s="14">
        <f>IF(A173="","",INDEX(新年度名簿!$K$2:$K$451,A173))</f>
        <v/>
      </c>
      <c r="G173" s="14">
        <f>IF(A173="","",INDEX(新年度名簿!$C$2:$C$451,A173))</f>
        <v/>
      </c>
      <c r="H173" s="14">
        <f>IF(A173="","",INDEX(新年度名簿!$D$2:$D$451,A173))</f>
        <v/>
      </c>
    </row>
    <row r="174">
      <c r="A174" s="14">
        <f>IFERROR(MATCH(SMALL(新年度名簿!$J$2:$J$451,172),新年度名簿!$J$2:$J$451,0),"")</f>
        <v/>
      </c>
      <c r="B174" s="14">
        <f>IF(A174="","",INDEX(新年度名簿!$G$2:$G$451,A174))</f>
        <v/>
      </c>
      <c r="C174" s="14">
        <f>IF(A174="","",IFERROR(MATCH(B174,設定!$P$8:$P$27,0),""))</f>
        <v/>
      </c>
      <c r="D174" s="14">
        <f>IF(C174="","",COUNTIF($C$3:C174,C174))</f>
        <v/>
      </c>
      <c r="E174" s="14">
        <f>IF(C174="","",C174*1000+D174)</f>
        <v/>
      </c>
      <c r="F174" s="14">
        <f>IF(A174="","",INDEX(新年度名簿!$K$2:$K$451,A174))</f>
        <v/>
      </c>
      <c r="G174" s="14">
        <f>IF(A174="","",INDEX(新年度名簿!$C$2:$C$451,A174))</f>
        <v/>
      </c>
      <c r="H174" s="14">
        <f>IF(A174="","",INDEX(新年度名簿!$D$2:$D$451,A174))</f>
        <v/>
      </c>
    </row>
    <row r="175">
      <c r="A175" s="14">
        <f>IFERROR(MATCH(SMALL(新年度名簿!$J$2:$J$451,173),新年度名簿!$J$2:$J$451,0),"")</f>
        <v/>
      </c>
      <c r="B175" s="14">
        <f>IF(A175="","",INDEX(新年度名簿!$G$2:$G$451,A175))</f>
        <v/>
      </c>
      <c r="C175" s="14">
        <f>IF(A175="","",IFERROR(MATCH(B175,設定!$P$8:$P$27,0),""))</f>
        <v/>
      </c>
      <c r="D175" s="14">
        <f>IF(C175="","",COUNTIF($C$3:C175,C175))</f>
        <v/>
      </c>
      <c r="E175" s="14">
        <f>IF(C175="","",C175*1000+D175)</f>
        <v/>
      </c>
      <c r="F175" s="14">
        <f>IF(A175="","",INDEX(新年度名簿!$K$2:$K$451,A175))</f>
        <v/>
      </c>
      <c r="G175" s="14">
        <f>IF(A175="","",INDEX(新年度名簿!$C$2:$C$451,A175))</f>
        <v/>
      </c>
      <c r="H175" s="14">
        <f>IF(A175="","",INDEX(新年度名簿!$D$2:$D$451,A175))</f>
        <v/>
      </c>
    </row>
    <row r="176">
      <c r="A176" s="14">
        <f>IFERROR(MATCH(SMALL(新年度名簿!$J$2:$J$451,174),新年度名簿!$J$2:$J$451,0),"")</f>
        <v/>
      </c>
      <c r="B176" s="14">
        <f>IF(A176="","",INDEX(新年度名簿!$G$2:$G$451,A176))</f>
        <v/>
      </c>
      <c r="C176" s="14">
        <f>IF(A176="","",IFERROR(MATCH(B176,設定!$P$8:$P$27,0),""))</f>
        <v/>
      </c>
      <c r="D176" s="14">
        <f>IF(C176="","",COUNTIF($C$3:C176,C176))</f>
        <v/>
      </c>
      <c r="E176" s="14">
        <f>IF(C176="","",C176*1000+D176)</f>
        <v/>
      </c>
      <c r="F176" s="14">
        <f>IF(A176="","",INDEX(新年度名簿!$K$2:$K$451,A176))</f>
        <v/>
      </c>
      <c r="G176" s="14">
        <f>IF(A176="","",INDEX(新年度名簿!$C$2:$C$451,A176))</f>
        <v/>
      </c>
      <c r="H176" s="14">
        <f>IF(A176="","",INDEX(新年度名簿!$D$2:$D$451,A176))</f>
        <v/>
      </c>
    </row>
    <row r="177">
      <c r="A177" s="14">
        <f>IFERROR(MATCH(SMALL(新年度名簿!$J$2:$J$451,175),新年度名簿!$J$2:$J$451,0),"")</f>
        <v/>
      </c>
      <c r="B177" s="14">
        <f>IF(A177="","",INDEX(新年度名簿!$G$2:$G$451,A177))</f>
        <v/>
      </c>
      <c r="C177" s="14">
        <f>IF(A177="","",IFERROR(MATCH(B177,設定!$P$8:$P$27,0),""))</f>
        <v/>
      </c>
      <c r="D177" s="14">
        <f>IF(C177="","",COUNTIF($C$3:C177,C177))</f>
        <v/>
      </c>
      <c r="E177" s="14">
        <f>IF(C177="","",C177*1000+D177)</f>
        <v/>
      </c>
      <c r="F177" s="14">
        <f>IF(A177="","",INDEX(新年度名簿!$K$2:$K$451,A177))</f>
        <v/>
      </c>
      <c r="G177" s="14">
        <f>IF(A177="","",INDEX(新年度名簿!$C$2:$C$451,A177))</f>
        <v/>
      </c>
      <c r="H177" s="14">
        <f>IF(A177="","",INDEX(新年度名簿!$D$2:$D$451,A177))</f>
        <v/>
      </c>
    </row>
    <row r="178">
      <c r="A178" s="14">
        <f>IFERROR(MATCH(SMALL(新年度名簿!$J$2:$J$451,176),新年度名簿!$J$2:$J$451,0),"")</f>
        <v/>
      </c>
      <c r="B178" s="14">
        <f>IF(A178="","",INDEX(新年度名簿!$G$2:$G$451,A178))</f>
        <v/>
      </c>
      <c r="C178" s="14">
        <f>IF(A178="","",IFERROR(MATCH(B178,設定!$P$8:$P$27,0),""))</f>
        <v/>
      </c>
      <c r="D178" s="14">
        <f>IF(C178="","",COUNTIF($C$3:C178,C178))</f>
        <v/>
      </c>
      <c r="E178" s="14">
        <f>IF(C178="","",C178*1000+D178)</f>
        <v/>
      </c>
      <c r="F178" s="14">
        <f>IF(A178="","",INDEX(新年度名簿!$K$2:$K$451,A178))</f>
        <v/>
      </c>
      <c r="G178" s="14">
        <f>IF(A178="","",INDEX(新年度名簿!$C$2:$C$451,A178))</f>
        <v/>
      </c>
      <c r="H178" s="14">
        <f>IF(A178="","",INDEX(新年度名簿!$D$2:$D$451,A178))</f>
        <v/>
      </c>
    </row>
    <row r="179">
      <c r="A179" s="14">
        <f>IFERROR(MATCH(SMALL(新年度名簿!$J$2:$J$451,177),新年度名簿!$J$2:$J$451,0),"")</f>
        <v/>
      </c>
      <c r="B179" s="14">
        <f>IF(A179="","",INDEX(新年度名簿!$G$2:$G$451,A179))</f>
        <v/>
      </c>
      <c r="C179" s="14">
        <f>IF(A179="","",IFERROR(MATCH(B179,設定!$P$8:$P$27,0),""))</f>
        <v/>
      </c>
      <c r="D179" s="14">
        <f>IF(C179="","",COUNTIF($C$3:C179,C179))</f>
        <v/>
      </c>
      <c r="E179" s="14">
        <f>IF(C179="","",C179*1000+D179)</f>
        <v/>
      </c>
      <c r="F179" s="14">
        <f>IF(A179="","",INDEX(新年度名簿!$K$2:$K$451,A179))</f>
        <v/>
      </c>
      <c r="G179" s="14">
        <f>IF(A179="","",INDEX(新年度名簿!$C$2:$C$451,A179))</f>
        <v/>
      </c>
      <c r="H179" s="14">
        <f>IF(A179="","",INDEX(新年度名簿!$D$2:$D$451,A179))</f>
        <v/>
      </c>
    </row>
    <row r="180">
      <c r="A180" s="14">
        <f>IFERROR(MATCH(SMALL(新年度名簿!$J$2:$J$451,178),新年度名簿!$J$2:$J$451,0),"")</f>
        <v/>
      </c>
      <c r="B180" s="14">
        <f>IF(A180="","",INDEX(新年度名簿!$G$2:$G$451,A180))</f>
        <v/>
      </c>
      <c r="C180" s="14">
        <f>IF(A180="","",IFERROR(MATCH(B180,設定!$P$8:$P$27,0),""))</f>
        <v/>
      </c>
      <c r="D180" s="14">
        <f>IF(C180="","",COUNTIF($C$3:C180,C180))</f>
        <v/>
      </c>
      <c r="E180" s="14">
        <f>IF(C180="","",C180*1000+D180)</f>
        <v/>
      </c>
      <c r="F180" s="14">
        <f>IF(A180="","",INDEX(新年度名簿!$K$2:$K$451,A180))</f>
        <v/>
      </c>
      <c r="G180" s="14">
        <f>IF(A180="","",INDEX(新年度名簿!$C$2:$C$451,A180))</f>
        <v/>
      </c>
      <c r="H180" s="14">
        <f>IF(A180="","",INDEX(新年度名簿!$D$2:$D$451,A180))</f>
        <v/>
      </c>
    </row>
    <row r="181">
      <c r="A181" s="14">
        <f>IFERROR(MATCH(SMALL(新年度名簿!$J$2:$J$451,179),新年度名簿!$J$2:$J$451,0),"")</f>
        <v/>
      </c>
      <c r="B181" s="14">
        <f>IF(A181="","",INDEX(新年度名簿!$G$2:$G$451,A181))</f>
        <v/>
      </c>
      <c r="C181" s="14">
        <f>IF(A181="","",IFERROR(MATCH(B181,設定!$P$8:$P$27,0),""))</f>
        <v/>
      </c>
      <c r="D181" s="14">
        <f>IF(C181="","",COUNTIF($C$3:C181,C181))</f>
        <v/>
      </c>
      <c r="E181" s="14">
        <f>IF(C181="","",C181*1000+D181)</f>
        <v/>
      </c>
      <c r="F181" s="14">
        <f>IF(A181="","",INDEX(新年度名簿!$K$2:$K$451,A181))</f>
        <v/>
      </c>
      <c r="G181" s="14">
        <f>IF(A181="","",INDEX(新年度名簿!$C$2:$C$451,A181))</f>
        <v/>
      </c>
      <c r="H181" s="14">
        <f>IF(A181="","",INDEX(新年度名簿!$D$2:$D$451,A181))</f>
        <v/>
      </c>
    </row>
    <row r="182">
      <c r="A182" s="14">
        <f>IFERROR(MATCH(SMALL(新年度名簿!$J$2:$J$451,180),新年度名簿!$J$2:$J$451,0),"")</f>
        <v/>
      </c>
      <c r="B182" s="14">
        <f>IF(A182="","",INDEX(新年度名簿!$G$2:$G$451,A182))</f>
        <v/>
      </c>
      <c r="C182" s="14">
        <f>IF(A182="","",IFERROR(MATCH(B182,設定!$P$8:$P$27,0),""))</f>
        <v/>
      </c>
      <c r="D182" s="14">
        <f>IF(C182="","",COUNTIF($C$3:C182,C182))</f>
        <v/>
      </c>
      <c r="E182" s="14">
        <f>IF(C182="","",C182*1000+D182)</f>
        <v/>
      </c>
      <c r="F182" s="14">
        <f>IF(A182="","",INDEX(新年度名簿!$K$2:$K$451,A182))</f>
        <v/>
      </c>
      <c r="G182" s="14">
        <f>IF(A182="","",INDEX(新年度名簿!$C$2:$C$451,A182))</f>
        <v/>
      </c>
      <c r="H182" s="14">
        <f>IF(A182="","",INDEX(新年度名簿!$D$2:$D$451,A182))</f>
        <v/>
      </c>
    </row>
    <row r="183">
      <c r="A183" s="14">
        <f>IFERROR(MATCH(SMALL(新年度名簿!$J$2:$J$451,181),新年度名簿!$J$2:$J$451,0),"")</f>
        <v/>
      </c>
      <c r="B183" s="14">
        <f>IF(A183="","",INDEX(新年度名簿!$G$2:$G$451,A183))</f>
        <v/>
      </c>
      <c r="C183" s="14">
        <f>IF(A183="","",IFERROR(MATCH(B183,設定!$P$8:$P$27,0),""))</f>
        <v/>
      </c>
      <c r="D183" s="14">
        <f>IF(C183="","",COUNTIF($C$3:C183,C183))</f>
        <v/>
      </c>
      <c r="E183" s="14">
        <f>IF(C183="","",C183*1000+D183)</f>
        <v/>
      </c>
      <c r="F183" s="14">
        <f>IF(A183="","",INDEX(新年度名簿!$K$2:$K$451,A183))</f>
        <v/>
      </c>
      <c r="G183" s="14">
        <f>IF(A183="","",INDEX(新年度名簿!$C$2:$C$451,A183))</f>
        <v/>
      </c>
      <c r="H183" s="14">
        <f>IF(A183="","",INDEX(新年度名簿!$D$2:$D$451,A183))</f>
        <v/>
      </c>
    </row>
    <row r="184">
      <c r="A184" s="14">
        <f>IFERROR(MATCH(SMALL(新年度名簿!$J$2:$J$451,182),新年度名簿!$J$2:$J$451,0),"")</f>
        <v/>
      </c>
      <c r="B184" s="14">
        <f>IF(A184="","",INDEX(新年度名簿!$G$2:$G$451,A184))</f>
        <v/>
      </c>
      <c r="C184" s="14">
        <f>IF(A184="","",IFERROR(MATCH(B184,設定!$P$8:$P$27,0),""))</f>
        <v/>
      </c>
      <c r="D184" s="14">
        <f>IF(C184="","",COUNTIF($C$3:C184,C184))</f>
        <v/>
      </c>
      <c r="E184" s="14">
        <f>IF(C184="","",C184*1000+D184)</f>
        <v/>
      </c>
      <c r="F184" s="14">
        <f>IF(A184="","",INDEX(新年度名簿!$K$2:$K$451,A184))</f>
        <v/>
      </c>
      <c r="G184" s="14">
        <f>IF(A184="","",INDEX(新年度名簿!$C$2:$C$451,A184))</f>
        <v/>
      </c>
      <c r="H184" s="14">
        <f>IF(A184="","",INDEX(新年度名簿!$D$2:$D$451,A184))</f>
        <v/>
      </c>
    </row>
    <row r="185">
      <c r="A185" s="14">
        <f>IFERROR(MATCH(SMALL(新年度名簿!$J$2:$J$451,183),新年度名簿!$J$2:$J$451,0),"")</f>
        <v/>
      </c>
      <c r="B185" s="14">
        <f>IF(A185="","",INDEX(新年度名簿!$G$2:$G$451,A185))</f>
        <v/>
      </c>
      <c r="C185" s="14">
        <f>IF(A185="","",IFERROR(MATCH(B185,設定!$P$8:$P$27,0),""))</f>
        <v/>
      </c>
      <c r="D185" s="14">
        <f>IF(C185="","",COUNTIF($C$3:C185,C185))</f>
        <v/>
      </c>
      <c r="E185" s="14">
        <f>IF(C185="","",C185*1000+D185)</f>
        <v/>
      </c>
      <c r="F185" s="14">
        <f>IF(A185="","",INDEX(新年度名簿!$K$2:$K$451,A185))</f>
        <v/>
      </c>
      <c r="G185" s="14">
        <f>IF(A185="","",INDEX(新年度名簿!$C$2:$C$451,A185))</f>
        <v/>
      </c>
      <c r="H185" s="14">
        <f>IF(A185="","",INDEX(新年度名簿!$D$2:$D$451,A185))</f>
        <v/>
      </c>
    </row>
    <row r="186">
      <c r="A186" s="14">
        <f>IFERROR(MATCH(SMALL(新年度名簿!$J$2:$J$451,184),新年度名簿!$J$2:$J$451,0),"")</f>
        <v/>
      </c>
      <c r="B186" s="14">
        <f>IF(A186="","",INDEX(新年度名簿!$G$2:$G$451,A186))</f>
        <v/>
      </c>
      <c r="C186" s="14">
        <f>IF(A186="","",IFERROR(MATCH(B186,設定!$P$8:$P$27,0),""))</f>
        <v/>
      </c>
      <c r="D186" s="14">
        <f>IF(C186="","",COUNTIF($C$3:C186,C186))</f>
        <v/>
      </c>
      <c r="E186" s="14">
        <f>IF(C186="","",C186*1000+D186)</f>
        <v/>
      </c>
      <c r="F186" s="14">
        <f>IF(A186="","",INDEX(新年度名簿!$K$2:$K$451,A186))</f>
        <v/>
      </c>
      <c r="G186" s="14">
        <f>IF(A186="","",INDEX(新年度名簿!$C$2:$C$451,A186))</f>
        <v/>
      </c>
      <c r="H186" s="14">
        <f>IF(A186="","",INDEX(新年度名簿!$D$2:$D$451,A186))</f>
        <v/>
      </c>
    </row>
    <row r="187">
      <c r="A187" s="14">
        <f>IFERROR(MATCH(SMALL(新年度名簿!$J$2:$J$451,185),新年度名簿!$J$2:$J$451,0),"")</f>
        <v/>
      </c>
      <c r="B187" s="14">
        <f>IF(A187="","",INDEX(新年度名簿!$G$2:$G$451,A187))</f>
        <v/>
      </c>
      <c r="C187" s="14">
        <f>IF(A187="","",IFERROR(MATCH(B187,設定!$P$8:$P$27,0),""))</f>
        <v/>
      </c>
      <c r="D187" s="14">
        <f>IF(C187="","",COUNTIF($C$3:C187,C187))</f>
        <v/>
      </c>
      <c r="E187" s="14">
        <f>IF(C187="","",C187*1000+D187)</f>
        <v/>
      </c>
      <c r="F187" s="14">
        <f>IF(A187="","",INDEX(新年度名簿!$K$2:$K$451,A187))</f>
        <v/>
      </c>
      <c r="G187" s="14">
        <f>IF(A187="","",INDEX(新年度名簿!$C$2:$C$451,A187))</f>
        <v/>
      </c>
      <c r="H187" s="14">
        <f>IF(A187="","",INDEX(新年度名簿!$D$2:$D$451,A187))</f>
        <v/>
      </c>
    </row>
    <row r="188">
      <c r="A188" s="14">
        <f>IFERROR(MATCH(SMALL(新年度名簿!$J$2:$J$451,186),新年度名簿!$J$2:$J$451,0),"")</f>
        <v/>
      </c>
      <c r="B188" s="14">
        <f>IF(A188="","",INDEX(新年度名簿!$G$2:$G$451,A188))</f>
        <v/>
      </c>
      <c r="C188" s="14">
        <f>IF(A188="","",IFERROR(MATCH(B188,設定!$P$8:$P$27,0),""))</f>
        <v/>
      </c>
      <c r="D188" s="14">
        <f>IF(C188="","",COUNTIF($C$3:C188,C188))</f>
        <v/>
      </c>
      <c r="E188" s="14">
        <f>IF(C188="","",C188*1000+D188)</f>
        <v/>
      </c>
      <c r="F188" s="14">
        <f>IF(A188="","",INDEX(新年度名簿!$K$2:$K$451,A188))</f>
        <v/>
      </c>
      <c r="G188" s="14">
        <f>IF(A188="","",INDEX(新年度名簿!$C$2:$C$451,A188))</f>
        <v/>
      </c>
      <c r="H188" s="14">
        <f>IF(A188="","",INDEX(新年度名簿!$D$2:$D$451,A188))</f>
        <v/>
      </c>
    </row>
    <row r="189">
      <c r="A189" s="14">
        <f>IFERROR(MATCH(SMALL(新年度名簿!$J$2:$J$451,187),新年度名簿!$J$2:$J$451,0),"")</f>
        <v/>
      </c>
      <c r="B189" s="14">
        <f>IF(A189="","",INDEX(新年度名簿!$G$2:$G$451,A189))</f>
        <v/>
      </c>
      <c r="C189" s="14">
        <f>IF(A189="","",IFERROR(MATCH(B189,設定!$P$8:$P$27,0),""))</f>
        <v/>
      </c>
      <c r="D189" s="14">
        <f>IF(C189="","",COUNTIF($C$3:C189,C189))</f>
        <v/>
      </c>
      <c r="E189" s="14">
        <f>IF(C189="","",C189*1000+D189)</f>
        <v/>
      </c>
      <c r="F189" s="14">
        <f>IF(A189="","",INDEX(新年度名簿!$K$2:$K$451,A189))</f>
        <v/>
      </c>
      <c r="G189" s="14">
        <f>IF(A189="","",INDEX(新年度名簿!$C$2:$C$451,A189))</f>
        <v/>
      </c>
      <c r="H189" s="14">
        <f>IF(A189="","",INDEX(新年度名簿!$D$2:$D$451,A189))</f>
        <v/>
      </c>
    </row>
    <row r="190">
      <c r="A190" s="14">
        <f>IFERROR(MATCH(SMALL(新年度名簿!$J$2:$J$451,188),新年度名簿!$J$2:$J$451,0),"")</f>
        <v/>
      </c>
      <c r="B190" s="14">
        <f>IF(A190="","",INDEX(新年度名簿!$G$2:$G$451,A190))</f>
        <v/>
      </c>
      <c r="C190" s="14">
        <f>IF(A190="","",IFERROR(MATCH(B190,設定!$P$8:$P$27,0),""))</f>
        <v/>
      </c>
      <c r="D190" s="14">
        <f>IF(C190="","",COUNTIF($C$3:C190,C190))</f>
        <v/>
      </c>
      <c r="E190" s="14">
        <f>IF(C190="","",C190*1000+D190)</f>
        <v/>
      </c>
      <c r="F190" s="14">
        <f>IF(A190="","",INDEX(新年度名簿!$K$2:$K$451,A190))</f>
        <v/>
      </c>
      <c r="G190" s="14">
        <f>IF(A190="","",INDEX(新年度名簿!$C$2:$C$451,A190))</f>
        <v/>
      </c>
      <c r="H190" s="14">
        <f>IF(A190="","",INDEX(新年度名簿!$D$2:$D$451,A190))</f>
        <v/>
      </c>
    </row>
    <row r="191">
      <c r="A191" s="14">
        <f>IFERROR(MATCH(SMALL(新年度名簿!$J$2:$J$451,189),新年度名簿!$J$2:$J$451,0),"")</f>
        <v/>
      </c>
      <c r="B191" s="14">
        <f>IF(A191="","",INDEX(新年度名簿!$G$2:$G$451,A191))</f>
        <v/>
      </c>
      <c r="C191" s="14">
        <f>IF(A191="","",IFERROR(MATCH(B191,設定!$P$8:$P$27,0),""))</f>
        <v/>
      </c>
      <c r="D191" s="14">
        <f>IF(C191="","",COUNTIF($C$3:C191,C191))</f>
        <v/>
      </c>
      <c r="E191" s="14">
        <f>IF(C191="","",C191*1000+D191)</f>
        <v/>
      </c>
      <c r="F191" s="14">
        <f>IF(A191="","",INDEX(新年度名簿!$K$2:$K$451,A191))</f>
        <v/>
      </c>
      <c r="G191" s="14">
        <f>IF(A191="","",INDEX(新年度名簿!$C$2:$C$451,A191))</f>
        <v/>
      </c>
      <c r="H191" s="14">
        <f>IF(A191="","",INDEX(新年度名簿!$D$2:$D$451,A191))</f>
        <v/>
      </c>
    </row>
    <row r="192">
      <c r="A192" s="14">
        <f>IFERROR(MATCH(SMALL(新年度名簿!$J$2:$J$451,190),新年度名簿!$J$2:$J$451,0),"")</f>
        <v/>
      </c>
      <c r="B192" s="14">
        <f>IF(A192="","",INDEX(新年度名簿!$G$2:$G$451,A192))</f>
        <v/>
      </c>
      <c r="C192" s="14">
        <f>IF(A192="","",IFERROR(MATCH(B192,設定!$P$8:$P$27,0),""))</f>
        <v/>
      </c>
      <c r="D192" s="14">
        <f>IF(C192="","",COUNTIF($C$3:C192,C192))</f>
        <v/>
      </c>
      <c r="E192" s="14">
        <f>IF(C192="","",C192*1000+D192)</f>
        <v/>
      </c>
      <c r="F192" s="14">
        <f>IF(A192="","",INDEX(新年度名簿!$K$2:$K$451,A192))</f>
        <v/>
      </c>
      <c r="G192" s="14">
        <f>IF(A192="","",INDEX(新年度名簿!$C$2:$C$451,A192))</f>
        <v/>
      </c>
      <c r="H192" s="14">
        <f>IF(A192="","",INDEX(新年度名簿!$D$2:$D$451,A192))</f>
        <v/>
      </c>
    </row>
    <row r="193">
      <c r="A193" s="14">
        <f>IFERROR(MATCH(SMALL(新年度名簿!$J$2:$J$451,191),新年度名簿!$J$2:$J$451,0),"")</f>
        <v/>
      </c>
      <c r="B193" s="14">
        <f>IF(A193="","",INDEX(新年度名簿!$G$2:$G$451,A193))</f>
        <v/>
      </c>
      <c r="C193" s="14">
        <f>IF(A193="","",IFERROR(MATCH(B193,設定!$P$8:$P$27,0),""))</f>
        <v/>
      </c>
      <c r="D193" s="14">
        <f>IF(C193="","",COUNTIF($C$3:C193,C193))</f>
        <v/>
      </c>
      <c r="E193" s="14">
        <f>IF(C193="","",C193*1000+D193)</f>
        <v/>
      </c>
      <c r="F193" s="14">
        <f>IF(A193="","",INDEX(新年度名簿!$K$2:$K$451,A193))</f>
        <v/>
      </c>
      <c r="G193" s="14">
        <f>IF(A193="","",INDEX(新年度名簿!$C$2:$C$451,A193))</f>
        <v/>
      </c>
      <c r="H193" s="14">
        <f>IF(A193="","",INDEX(新年度名簿!$D$2:$D$451,A193))</f>
        <v/>
      </c>
    </row>
    <row r="194">
      <c r="A194" s="14">
        <f>IFERROR(MATCH(SMALL(新年度名簿!$J$2:$J$451,192),新年度名簿!$J$2:$J$451,0),"")</f>
        <v/>
      </c>
      <c r="B194" s="14">
        <f>IF(A194="","",INDEX(新年度名簿!$G$2:$G$451,A194))</f>
        <v/>
      </c>
      <c r="C194" s="14">
        <f>IF(A194="","",IFERROR(MATCH(B194,設定!$P$8:$P$27,0),""))</f>
        <v/>
      </c>
      <c r="D194" s="14">
        <f>IF(C194="","",COUNTIF($C$3:C194,C194))</f>
        <v/>
      </c>
      <c r="E194" s="14">
        <f>IF(C194="","",C194*1000+D194)</f>
        <v/>
      </c>
      <c r="F194" s="14">
        <f>IF(A194="","",INDEX(新年度名簿!$K$2:$K$451,A194))</f>
        <v/>
      </c>
      <c r="G194" s="14">
        <f>IF(A194="","",INDEX(新年度名簿!$C$2:$C$451,A194))</f>
        <v/>
      </c>
      <c r="H194" s="14">
        <f>IF(A194="","",INDEX(新年度名簿!$D$2:$D$451,A194))</f>
        <v/>
      </c>
    </row>
    <row r="195">
      <c r="A195" s="14">
        <f>IFERROR(MATCH(SMALL(新年度名簿!$J$2:$J$451,193),新年度名簿!$J$2:$J$451,0),"")</f>
        <v/>
      </c>
      <c r="B195" s="14">
        <f>IF(A195="","",INDEX(新年度名簿!$G$2:$G$451,A195))</f>
        <v/>
      </c>
      <c r="C195" s="14">
        <f>IF(A195="","",IFERROR(MATCH(B195,設定!$P$8:$P$27,0),""))</f>
        <v/>
      </c>
      <c r="D195" s="14">
        <f>IF(C195="","",COUNTIF($C$3:C195,C195))</f>
        <v/>
      </c>
      <c r="E195" s="14">
        <f>IF(C195="","",C195*1000+D195)</f>
        <v/>
      </c>
      <c r="F195" s="14">
        <f>IF(A195="","",INDEX(新年度名簿!$K$2:$K$451,A195))</f>
        <v/>
      </c>
      <c r="G195" s="14">
        <f>IF(A195="","",INDEX(新年度名簿!$C$2:$C$451,A195))</f>
        <v/>
      </c>
      <c r="H195" s="14">
        <f>IF(A195="","",INDEX(新年度名簿!$D$2:$D$451,A195))</f>
        <v/>
      </c>
    </row>
    <row r="196">
      <c r="A196" s="14">
        <f>IFERROR(MATCH(SMALL(新年度名簿!$J$2:$J$451,194),新年度名簿!$J$2:$J$451,0),"")</f>
        <v/>
      </c>
      <c r="B196" s="14">
        <f>IF(A196="","",INDEX(新年度名簿!$G$2:$G$451,A196))</f>
        <v/>
      </c>
      <c r="C196" s="14">
        <f>IF(A196="","",IFERROR(MATCH(B196,設定!$P$8:$P$27,0),""))</f>
        <v/>
      </c>
      <c r="D196" s="14">
        <f>IF(C196="","",COUNTIF($C$3:C196,C196))</f>
        <v/>
      </c>
      <c r="E196" s="14">
        <f>IF(C196="","",C196*1000+D196)</f>
        <v/>
      </c>
      <c r="F196" s="14">
        <f>IF(A196="","",INDEX(新年度名簿!$K$2:$K$451,A196))</f>
        <v/>
      </c>
      <c r="G196" s="14">
        <f>IF(A196="","",INDEX(新年度名簿!$C$2:$C$451,A196))</f>
        <v/>
      </c>
      <c r="H196" s="14">
        <f>IF(A196="","",INDEX(新年度名簿!$D$2:$D$451,A196))</f>
        <v/>
      </c>
    </row>
    <row r="197">
      <c r="A197" s="14">
        <f>IFERROR(MATCH(SMALL(新年度名簿!$J$2:$J$451,195),新年度名簿!$J$2:$J$451,0),"")</f>
        <v/>
      </c>
      <c r="B197" s="14">
        <f>IF(A197="","",INDEX(新年度名簿!$G$2:$G$451,A197))</f>
        <v/>
      </c>
      <c r="C197" s="14">
        <f>IF(A197="","",IFERROR(MATCH(B197,設定!$P$8:$P$27,0),""))</f>
        <v/>
      </c>
      <c r="D197" s="14">
        <f>IF(C197="","",COUNTIF($C$3:C197,C197))</f>
        <v/>
      </c>
      <c r="E197" s="14">
        <f>IF(C197="","",C197*1000+D197)</f>
        <v/>
      </c>
      <c r="F197" s="14">
        <f>IF(A197="","",INDEX(新年度名簿!$K$2:$K$451,A197))</f>
        <v/>
      </c>
      <c r="G197" s="14">
        <f>IF(A197="","",INDEX(新年度名簿!$C$2:$C$451,A197))</f>
        <v/>
      </c>
      <c r="H197" s="14">
        <f>IF(A197="","",INDEX(新年度名簿!$D$2:$D$451,A197))</f>
        <v/>
      </c>
    </row>
    <row r="198">
      <c r="A198" s="14">
        <f>IFERROR(MATCH(SMALL(新年度名簿!$J$2:$J$451,196),新年度名簿!$J$2:$J$451,0),"")</f>
        <v/>
      </c>
      <c r="B198" s="14">
        <f>IF(A198="","",INDEX(新年度名簿!$G$2:$G$451,A198))</f>
        <v/>
      </c>
      <c r="C198" s="14">
        <f>IF(A198="","",IFERROR(MATCH(B198,設定!$P$8:$P$27,0),""))</f>
        <v/>
      </c>
      <c r="D198" s="14">
        <f>IF(C198="","",COUNTIF($C$3:C198,C198))</f>
        <v/>
      </c>
      <c r="E198" s="14">
        <f>IF(C198="","",C198*1000+D198)</f>
        <v/>
      </c>
      <c r="F198" s="14">
        <f>IF(A198="","",INDEX(新年度名簿!$K$2:$K$451,A198))</f>
        <v/>
      </c>
      <c r="G198" s="14">
        <f>IF(A198="","",INDEX(新年度名簿!$C$2:$C$451,A198))</f>
        <v/>
      </c>
      <c r="H198" s="14">
        <f>IF(A198="","",INDEX(新年度名簿!$D$2:$D$451,A198))</f>
        <v/>
      </c>
    </row>
    <row r="199">
      <c r="A199" s="14">
        <f>IFERROR(MATCH(SMALL(新年度名簿!$J$2:$J$451,197),新年度名簿!$J$2:$J$451,0),"")</f>
        <v/>
      </c>
      <c r="B199" s="14">
        <f>IF(A199="","",INDEX(新年度名簿!$G$2:$G$451,A199))</f>
        <v/>
      </c>
      <c r="C199" s="14">
        <f>IF(A199="","",IFERROR(MATCH(B199,設定!$P$8:$P$27,0),""))</f>
        <v/>
      </c>
      <c r="D199" s="14">
        <f>IF(C199="","",COUNTIF($C$3:C199,C199))</f>
        <v/>
      </c>
      <c r="E199" s="14">
        <f>IF(C199="","",C199*1000+D199)</f>
        <v/>
      </c>
      <c r="F199" s="14">
        <f>IF(A199="","",INDEX(新年度名簿!$K$2:$K$451,A199))</f>
        <v/>
      </c>
      <c r="G199" s="14">
        <f>IF(A199="","",INDEX(新年度名簿!$C$2:$C$451,A199))</f>
        <v/>
      </c>
      <c r="H199" s="14">
        <f>IF(A199="","",INDEX(新年度名簿!$D$2:$D$451,A199))</f>
        <v/>
      </c>
    </row>
    <row r="200">
      <c r="A200" s="14">
        <f>IFERROR(MATCH(SMALL(新年度名簿!$J$2:$J$451,198),新年度名簿!$J$2:$J$451,0),"")</f>
        <v/>
      </c>
      <c r="B200" s="14">
        <f>IF(A200="","",INDEX(新年度名簿!$G$2:$G$451,A200))</f>
        <v/>
      </c>
      <c r="C200" s="14">
        <f>IF(A200="","",IFERROR(MATCH(B200,設定!$P$8:$P$27,0),""))</f>
        <v/>
      </c>
      <c r="D200" s="14">
        <f>IF(C200="","",COUNTIF($C$3:C200,C200))</f>
        <v/>
      </c>
      <c r="E200" s="14">
        <f>IF(C200="","",C200*1000+D200)</f>
        <v/>
      </c>
      <c r="F200" s="14">
        <f>IF(A200="","",INDEX(新年度名簿!$K$2:$K$451,A200))</f>
        <v/>
      </c>
      <c r="G200" s="14">
        <f>IF(A200="","",INDEX(新年度名簿!$C$2:$C$451,A200))</f>
        <v/>
      </c>
      <c r="H200" s="14">
        <f>IF(A200="","",INDEX(新年度名簿!$D$2:$D$451,A200))</f>
        <v/>
      </c>
    </row>
    <row r="201">
      <c r="A201" s="14">
        <f>IFERROR(MATCH(SMALL(新年度名簿!$J$2:$J$451,199),新年度名簿!$J$2:$J$451,0),"")</f>
        <v/>
      </c>
      <c r="B201" s="14">
        <f>IF(A201="","",INDEX(新年度名簿!$G$2:$G$451,A201))</f>
        <v/>
      </c>
      <c r="C201" s="14">
        <f>IF(A201="","",IFERROR(MATCH(B201,設定!$P$8:$P$27,0),""))</f>
        <v/>
      </c>
      <c r="D201" s="14">
        <f>IF(C201="","",COUNTIF($C$3:C201,C201))</f>
        <v/>
      </c>
      <c r="E201" s="14">
        <f>IF(C201="","",C201*1000+D201)</f>
        <v/>
      </c>
      <c r="F201" s="14">
        <f>IF(A201="","",INDEX(新年度名簿!$K$2:$K$451,A201))</f>
        <v/>
      </c>
      <c r="G201" s="14">
        <f>IF(A201="","",INDEX(新年度名簿!$C$2:$C$451,A201))</f>
        <v/>
      </c>
      <c r="H201" s="14">
        <f>IF(A201="","",INDEX(新年度名簿!$D$2:$D$451,A201))</f>
        <v/>
      </c>
    </row>
    <row r="202">
      <c r="A202" s="14">
        <f>IFERROR(MATCH(SMALL(新年度名簿!$J$2:$J$451,200),新年度名簿!$J$2:$J$451,0),"")</f>
        <v/>
      </c>
      <c r="B202" s="14">
        <f>IF(A202="","",INDEX(新年度名簿!$G$2:$G$451,A202))</f>
        <v/>
      </c>
      <c r="C202" s="14">
        <f>IF(A202="","",IFERROR(MATCH(B202,設定!$P$8:$P$27,0),""))</f>
        <v/>
      </c>
      <c r="D202" s="14">
        <f>IF(C202="","",COUNTIF($C$3:C202,C202))</f>
        <v/>
      </c>
      <c r="E202" s="14">
        <f>IF(C202="","",C202*1000+D202)</f>
        <v/>
      </c>
      <c r="F202" s="14">
        <f>IF(A202="","",INDEX(新年度名簿!$K$2:$K$451,A202))</f>
        <v/>
      </c>
      <c r="G202" s="14">
        <f>IF(A202="","",INDEX(新年度名簿!$C$2:$C$451,A202))</f>
        <v/>
      </c>
      <c r="H202" s="14">
        <f>IF(A202="","",INDEX(新年度名簿!$D$2:$D$451,A202))</f>
        <v/>
      </c>
    </row>
    <row r="203">
      <c r="A203" s="14">
        <f>IFERROR(MATCH(SMALL(新年度名簿!$J$2:$J$451,201),新年度名簿!$J$2:$J$451,0),"")</f>
        <v/>
      </c>
      <c r="B203" s="14">
        <f>IF(A203="","",INDEX(新年度名簿!$G$2:$G$451,A203))</f>
        <v/>
      </c>
      <c r="C203" s="14">
        <f>IF(A203="","",IFERROR(MATCH(B203,設定!$P$8:$P$27,0),""))</f>
        <v/>
      </c>
      <c r="D203" s="14">
        <f>IF(C203="","",COUNTIF($C$3:C203,C203))</f>
        <v/>
      </c>
      <c r="E203" s="14">
        <f>IF(C203="","",C203*1000+D203)</f>
        <v/>
      </c>
      <c r="F203" s="14">
        <f>IF(A203="","",INDEX(新年度名簿!$K$2:$K$451,A203))</f>
        <v/>
      </c>
      <c r="G203" s="14">
        <f>IF(A203="","",INDEX(新年度名簿!$C$2:$C$451,A203))</f>
        <v/>
      </c>
      <c r="H203" s="14">
        <f>IF(A203="","",INDEX(新年度名簿!$D$2:$D$451,A203))</f>
        <v/>
      </c>
    </row>
    <row r="204">
      <c r="A204" s="14">
        <f>IFERROR(MATCH(SMALL(新年度名簿!$J$2:$J$451,202),新年度名簿!$J$2:$J$451,0),"")</f>
        <v/>
      </c>
      <c r="B204" s="14">
        <f>IF(A204="","",INDEX(新年度名簿!$G$2:$G$451,A204))</f>
        <v/>
      </c>
      <c r="C204" s="14">
        <f>IF(A204="","",IFERROR(MATCH(B204,設定!$P$8:$P$27,0),""))</f>
        <v/>
      </c>
      <c r="D204" s="14">
        <f>IF(C204="","",COUNTIF($C$3:C204,C204))</f>
        <v/>
      </c>
      <c r="E204" s="14">
        <f>IF(C204="","",C204*1000+D204)</f>
        <v/>
      </c>
      <c r="F204" s="14">
        <f>IF(A204="","",INDEX(新年度名簿!$K$2:$K$451,A204))</f>
        <v/>
      </c>
      <c r="G204" s="14">
        <f>IF(A204="","",INDEX(新年度名簿!$C$2:$C$451,A204))</f>
        <v/>
      </c>
      <c r="H204" s="14">
        <f>IF(A204="","",INDEX(新年度名簿!$D$2:$D$451,A204))</f>
        <v/>
      </c>
    </row>
    <row r="205">
      <c r="A205" s="14">
        <f>IFERROR(MATCH(SMALL(新年度名簿!$J$2:$J$451,203),新年度名簿!$J$2:$J$451,0),"")</f>
        <v/>
      </c>
      <c r="B205" s="14">
        <f>IF(A205="","",INDEX(新年度名簿!$G$2:$G$451,A205))</f>
        <v/>
      </c>
      <c r="C205" s="14">
        <f>IF(A205="","",IFERROR(MATCH(B205,設定!$P$8:$P$27,0),""))</f>
        <v/>
      </c>
      <c r="D205" s="14">
        <f>IF(C205="","",COUNTIF($C$3:C205,C205))</f>
        <v/>
      </c>
      <c r="E205" s="14">
        <f>IF(C205="","",C205*1000+D205)</f>
        <v/>
      </c>
      <c r="F205" s="14">
        <f>IF(A205="","",INDEX(新年度名簿!$K$2:$K$451,A205))</f>
        <v/>
      </c>
      <c r="G205" s="14">
        <f>IF(A205="","",INDEX(新年度名簿!$C$2:$C$451,A205))</f>
        <v/>
      </c>
      <c r="H205" s="14">
        <f>IF(A205="","",INDEX(新年度名簿!$D$2:$D$451,A205))</f>
        <v/>
      </c>
    </row>
    <row r="206">
      <c r="A206" s="14">
        <f>IFERROR(MATCH(SMALL(新年度名簿!$J$2:$J$451,204),新年度名簿!$J$2:$J$451,0),"")</f>
        <v/>
      </c>
      <c r="B206" s="14">
        <f>IF(A206="","",INDEX(新年度名簿!$G$2:$G$451,A206))</f>
        <v/>
      </c>
      <c r="C206" s="14">
        <f>IF(A206="","",IFERROR(MATCH(B206,設定!$P$8:$P$27,0),""))</f>
        <v/>
      </c>
      <c r="D206" s="14">
        <f>IF(C206="","",COUNTIF($C$3:C206,C206))</f>
        <v/>
      </c>
      <c r="E206" s="14">
        <f>IF(C206="","",C206*1000+D206)</f>
        <v/>
      </c>
      <c r="F206" s="14">
        <f>IF(A206="","",INDEX(新年度名簿!$K$2:$K$451,A206))</f>
        <v/>
      </c>
      <c r="G206" s="14">
        <f>IF(A206="","",INDEX(新年度名簿!$C$2:$C$451,A206))</f>
        <v/>
      </c>
      <c r="H206" s="14">
        <f>IF(A206="","",INDEX(新年度名簿!$D$2:$D$451,A206))</f>
        <v/>
      </c>
    </row>
    <row r="207">
      <c r="A207" s="14">
        <f>IFERROR(MATCH(SMALL(新年度名簿!$J$2:$J$451,205),新年度名簿!$J$2:$J$451,0),"")</f>
        <v/>
      </c>
      <c r="B207" s="14">
        <f>IF(A207="","",INDEX(新年度名簿!$G$2:$G$451,A207))</f>
        <v/>
      </c>
      <c r="C207" s="14">
        <f>IF(A207="","",IFERROR(MATCH(B207,設定!$P$8:$P$27,0),""))</f>
        <v/>
      </c>
      <c r="D207" s="14">
        <f>IF(C207="","",COUNTIF($C$3:C207,C207))</f>
        <v/>
      </c>
      <c r="E207" s="14">
        <f>IF(C207="","",C207*1000+D207)</f>
        <v/>
      </c>
      <c r="F207" s="14">
        <f>IF(A207="","",INDEX(新年度名簿!$K$2:$K$451,A207))</f>
        <v/>
      </c>
      <c r="G207" s="14">
        <f>IF(A207="","",INDEX(新年度名簿!$C$2:$C$451,A207))</f>
        <v/>
      </c>
      <c r="H207" s="14">
        <f>IF(A207="","",INDEX(新年度名簿!$D$2:$D$451,A207))</f>
        <v/>
      </c>
    </row>
    <row r="208">
      <c r="A208" s="14">
        <f>IFERROR(MATCH(SMALL(新年度名簿!$J$2:$J$451,206),新年度名簿!$J$2:$J$451,0),"")</f>
        <v/>
      </c>
      <c r="B208" s="14">
        <f>IF(A208="","",INDEX(新年度名簿!$G$2:$G$451,A208))</f>
        <v/>
      </c>
      <c r="C208" s="14">
        <f>IF(A208="","",IFERROR(MATCH(B208,設定!$P$8:$P$27,0),""))</f>
        <v/>
      </c>
      <c r="D208" s="14">
        <f>IF(C208="","",COUNTIF($C$3:C208,C208))</f>
        <v/>
      </c>
      <c r="E208" s="14">
        <f>IF(C208="","",C208*1000+D208)</f>
        <v/>
      </c>
      <c r="F208" s="14">
        <f>IF(A208="","",INDEX(新年度名簿!$K$2:$K$451,A208))</f>
        <v/>
      </c>
      <c r="G208" s="14">
        <f>IF(A208="","",INDEX(新年度名簿!$C$2:$C$451,A208))</f>
        <v/>
      </c>
      <c r="H208" s="14">
        <f>IF(A208="","",INDEX(新年度名簿!$D$2:$D$451,A208))</f>
        <v/>
      </c>
    </row>
    <row r="209">
      <c r="A209" s="14">
        <f>IFERROR(MATCH(SMALL(新年度名簿!$J$2:$J$451,207),新年度名簿!$J$2:$J$451,0),"")</f>
        <v/>
      </c>
      <c r="B209" s="14">
        <f>IF(A209="","",INDEX(新年度名簿!$G$2:$G$451,A209))</f>
        <v/>
      </c>
      <c r="C209" s="14">
        <f>IF(A209="","",IFERROR(MATCH(B209,設定!$P$8:$P$27,0),""))</f>
        <v/>
      </c>
      <c r="D209" s="14">
        <f>IF(C209="","",COUNTIF($C$3:C209,C209))</f>
        <v/>
      </c>
      <c r="E209" s="14">
        <f>IF(C209="","",C209*1000+D209)</f>
        <v/>
      </c>
      <c r="F209" s="14">
        <f>IF(A209="","",INDEX(新年度名簿!$K$2:$K$451,A209))</f>
        <v/>
      </c>
      <c r="G209" s="14">
        <f>IF(A209="","",INDEX(新年度名簿!$C$2:$C$451,A209))</f>
        <v/>
      </c>
      <c r="H209" s="14">
        <f>IF(A209="","",INDEX(新年度名簿!$D$2:$D$451,A209))</f>
        <v/>
      </c>
    </row>
    <row r="210">
      <c r="A210" s="14">
        <f>IFERROR(MATCH(SMALL(新年度名簿!$J$2:$J$451,208),新年度名簿!$J$2:$J$451,0),"")</f>
        <v/>
      </c>
      <c r="B210" s="14">
        <f>IF(A210="","",INDEX(新年度名簿!$G$2:$G$451,A210))</f>
        <v/>
      </c>
      <c r="C210" s="14">
        <f>IF(A210="","",IFERROR(MATCH(B210,設定!$P$8:$P$27,0),""))</f>
        <v/>
      </c>
      <c r="D210" s="14">
        <f>IF(C210="","",COUNTIF($C$3:C210,C210))</f>
        <v/>
      </c>
      <c r="E210" s="14">
        <f>IF(C210="","",C210*1000+D210)</f>
        <v/>
      </c>
      <c r="F210" s="14">
        <f>IF(A210="","",INDEX(新年度名簿!$K$2:$K$451,A210))</f>
        <v/>
      </c>
      <c r="G210" s="14">
        <f>IF(A210="","",INDEX(新年度名簿!$C$2:$C$451,A210))</f>
        <v/>
      </c>
      <c r="H210" s="14">
        <f>IF(A210="","",INDEX(新年度名簿!$D$2:$D$451,A210))</f>
        <v/>
      </c>
    </row>
    <row r="211">
      <c r="A211" s="14">
        <f>IFERROR(MATCH(SMALL(新年度名簿!$J$2:$J$451,209),新年度名簿!$J$2:$J$451,0),"")</f>
        <v/>
      </c>
      <c r="B211" s="14">
        <f>IF(A211="","",INDEX(新年度名簿!$G$2:$G$451,A211))</f>
        <v/>
      </c>
      <c r="C211" s="14">
        <f>IF(A211="","",IFERROR(MATCH(B211,設定!$P$8:$P$27,0),""))</f>
        <v/>
      </c>
      <c r="D211" s="14">
        <f>IF(C211="","",COUNTIF($C$3:C211,C211))</f>
        <v/>
      </c>
      <c r="E211" s="14">
        <f>IF(C211="","",C211*1000+D211)</f>
        <v/>
      </c>
      <c r="F211" s="14">
        <f>IF(A211="","",INDEX(新年度名簿!$K$2:$K$451,A211))</f>
        <v/>
      </c>
      <c r="G211" s="14">
        <f>IF(A211="","",INDEX(新年度名簿!$C$2:$C$451,A211))</f>
        <v/>
      </c>
      <c r="H211" s="14">
        <f>IF(A211="","",INDEX(新年度名簿!$D$2:$D$451,A211))</f>
        <v/>
      </c>
    </row>
    <row r="212">
      <c r="A212" s="14">
        <f>IFERROR(MATCH(SMALL(新年度名簿!$J$2:$J$451,210),新年度名簿!$J$2:$J$451,0),"")</f>
        <v/>
      </c>
      <c r="B212" s="14">
        <f>IF(A212="","",INDEX(新年度名簿!$G$2:$G$451,A212))</f>
        <v/>
      </c>
      <c r="C212" s="14">
        <f>IF(A212="","",IFERROR(MATCH(B212,設定!$P$8:$P$27,0),""))</f>
        <v/>
      </c>
      <c r="D212" s="14">
        <f>IF(C212="","",COUNTIF($C$3:C212,C212))</f>
        <v/>
      </c>
      <c r="E212" s="14">
        <f>IF(C212="","",C212*1000+D212)</f>
        <v/>
      </c>
      <c r="F212" s="14">
        <f>IF(A212="","",INDEX(新年度名簿!$K$2:$K$451,A212))</f>
        <v/>
      </c>
      <c r="G212" s="14">
        <f>IF(A212="","",INDEX(新年度名簿!$C$2:$C$451,A212))</f>
        <v/>
      </c>
      <c r="H212" s="14">
        <f>IF(A212="","",INDEX(新年度名簿!$D$2:$D$451,A212))</f>
        <v/>
      </c>
    </row>
    <row r="213">
      <c r="A213" s="14">
        <f>IFERROR(MATCH(SMALL(新年度名簿!$J$2:$J$451,211),新年度名簿!$J$2:$J$451,0),"")</f>
        <v/>
      </c>
      <c r="B213" s="14">
        <f>IF(A213="","",INDEX(新年度名簿!$G$2:$G$451,A213))</f>
        <v/>
      </c>
      <c r="C213" s="14">
        <f>IF(A213="","",IFERROR(MATCH(B213,設定!$P$8:$P$27,0),""))</f>
        <v/>
      </c>
      <c r="D213" s="14">
        <f>IF(C213="","",COUNTIF($C$3:C213,C213))</f>
        <v/>
      </c>
      <c r="E213" s="14">
        <f>IF(C213="","",C213*1000+D213)</f>
        <v/>
      </c>
      <c r="F213" s="14">
        <f>IF(A213="","",INDEX(新年度名簿!$K$2:$K$451,A213))</f>
        <v/>
      </c>
      <c r="G213" s="14">
        <f>IF(A213="","",INDEX(新年度名簿!$C$2:$C$451,A213))</f>
        <v/>
      </c>
      <c r="H213" s="14">
        <f>IF(A213="","",INDEX(新年度名簿!$D$2:$D$451,A213))</f>
        <v/>
      </c>
    </row>
    <row r="214">
      <c r="A214" s="14">
        <f>IFERROR(MATCH(SMALL(新年度名簿!$J$2:$J$451,212),新年度名簿!$J$2:$J$451,0),"")</f>
        <v/>
      </c>
      <c r="B214" s="14">
        <f>IF(A214="","",INDEX(新年度名簿!$G$2:$G$451,A214))</f>
        <v/>
      </c>
      <c r="C214" s="14">
        <f>IF(A214="","",IFERROR(MATCH(B214,設定!$P$8:$P$27,0),""))</f>
        <v/>
      </c>
      <c r="D214" s="14">
        <f>IF(C214="","",COUNTIF($C$3:C214,C214))</f>
        <v/>
      </c>
      <c r="E214" s="14">
        <f>IF(C214="","",C214*1000+D214)</f>
        <v/>
      </c>
      <c r="F214" s="14">
        <f>IF(A214="","",INDEX(新年度名簿!$K$2:$K$451,A214))</f>
        <v/>
      </c>
      <c r="G214" s="14">
        <f>IF(A214="","",INDEX(新年度名簿!$C$2:$C$451,A214))</f>
        <v/>
      </c>
      <c r="H214" s="14">
        <f>IF(A214="","",INDEX(新年度名簿!$D$2:$D$451,A214))</f>
        <v/>
      </c>
    </row>
    <row r="215">
      <c r="A215" s="14">
        <f>IFERROR(MATCH(SMALL(新年度名簿!$J$2:$J$451,213),新年度名簿!$J$2:$J$451,0),"")</f>
        <v/>
      </c>
      <c r="B215" s="14">
        <f>IF(A215="","",INDEX(新年度名簿!$G$2:$G$451,A215))</f>
        <v/>
      </c>
      <c r="C215" s="14">
        <f>IF(A215="","",IFERROR(MATCH(B215,設定!$P$8:$P$27,0),""))</f>
        <v/>
      </c>
      <c r="D215" s="14">
        <f>IF(C215="","",COUNTIF($C$3:C215,C215))</f>
        <v/>
      </c>
      <c r="E215" s="14">
        <f>IF(C215="","",C215*1000+D215)</f>
        <v/>
      </c>
      <c r="F215" s="14">
        <f>IF(A215="","",INDEX(新年度名簿!$K$2:$K$451,A215))</f>
        <v/>
      </c>
      <c r="G215" s="14">
        <f>IF(A215="","",INDEX(新年度名簿!$C$2:$C$451,A215))</f>
        <v/>
      </c>
      <c r="H215" s="14">
        <f>IF(A215="","",INDEX(新年度名簿!$D$2:$D$451,A215))</f>
        <v/>
      </c>
    </row>
    <row r="216">
      <c r="A216" s="14">
        <f>IFERROR(MATCH(SMALL(新年度名簿!$J$2:$J$451,214),新年度名簿!$J$2:$J$451,0),"")</f>
        <v/>
      </c>
      <c r="B216" s="14">
        <f>IF(A216="","",INDEX(新年度名簿!$G$2:$G$451,A216))</f>
        <v/>
      </c>
      <c r="C216" s="14">
        <f>IF(A216="","",IFERROR(MATCH(B216,設定!$P$8:$P$27,0),""))</f>
        <v/>
      </c>
      <c r="D216" s="14">
        <f>IF(C216="","",COUNTIF($C$3:C216,C216))</f>
        <v/>
      </c>
      <c r="E216" s="14">
        <f>IF(C216="","",C216*1000+D216)</f>
        <v/>
      </c>
      <c r="F216" s="14">
        <f>IF(A216="","",INDEX(新年度名簿!$K$2:$K$451,A216))</f>
        <v/>
      </c>
      <c r="G216" s="14">
        <f>IF(A216="","",INDEX(新年度名簿!$C$2:$C$451,A216))</f>
        <v/>
      </c>
      <c r="H216" s="14">
        <f>IF(A216="","",INDEX(新年度名簿!$D$2:$D$451,A216))</f>
        <v/>
      </c>
    </row>
    <row r="217">
      <c r="A217" s="14">
        <f>IFERROR(MATCH(SMALL(新年度名簿!$J$2:$J$451,215),新年度名簿!$J$2:$J$451,0),"")</f>
        <v/>
      </c>
      <c r="B217" s="14">
        <f>IF(A217="","",INDEX(新年度名簿!$G$2:$G$451,A217))</f>
        <v/>
      </c>
      <c r="C217" s="14">
        <f>IF(A217="","",IFERROR(MATCH(B217,設定!$P$8:$P$27,0),""))</f>
        <v/>
      </c>
      <c r="D217" s="14">
        <f>IF(C217="","",COUNTIF($C$3:C217,C217))</f>
        <v/>
      </c>
      <c r="E217" s="14">
        <f>IF(C217="","",C217*1000+D217)</f>
        <v/>
      </c>
      <c r="F217" s="14">
        <f>IF(A217="","",INDEX(新年度名簿!$K$2:$K$451,A217))</f>
        <v/>
      </c>
      <c r="G217" s="14">
        <f>IF(A217="","",INDEX(新年度名簿!$C$2:$C$451,A217))</f>
        <v/>
      </c>
      <c r="H217" s="14">
        <f>IF(A217="","",INDEX(新年度名簿!$D$2:$D$451,A217))</f>
        <v/>
      </c>
    </row>
    <row r="218">
      <c r="A218" s="14">
        <f>IFERROR(MATCH(SMALL(新年度名簿!$J$2:$J$451,216),新年度名簿!$J$2:$J$451,0),"")</f>
        <v/>
      </c>
      <c r="B218" s="14">
        <f>IF(A218="","",INDEX(新年度名簿!$G$2:$G$451,A218))</f>
        <v/>
      </c>
      <c r="C218" s="14">
        <f>IF(A218="","",IFERROR(MATCH(B218,設定!$P$8:$P$27,0),""))</f>
        <v/>
      </c>
      <c r="D218" s="14">
        <f>IF(C218="","",COUNTIF($C$3:C218,C218))</f>
        <v/>
      </c>
      <c r="E218" s="14">
        <f>IF(C218="","",C218*1000+D218)</f>
        <v/>
      </c>
      <c r="F218" s="14">
        <f>IF(A218="","",INDEX(新年度名簿!$K$2:$K$451,A218))</f>
        <v/>
      </c>
      <c r="G218" s="14">
        <f>IF(A218="","",INDEX(新年度名簿!$C$2:$C$451,A218))</f>
        <v/>
      </c>
      <c r="H218" s="14">
        <f>IF(A218="","",INDEX(新年度名簿!$D$2:$D$451,A218))</f>
        <v/>
      </c>
    </row>
    <row r="219">
      <c r="A219" s="14">
        <f>IFERROR(MATCH(SMALL(新年度名簿!$J$2:$J$451,217),新年度名簿!$J$2:$J$451,0),"")</f>
        <v/>
      </c>
      <c r="B219" s="14">
        <f>IF(A219="","",INDEX(新年度名簿!$G$2:$G$451,A219))</f>
        <v/>
      </c>
      <c r="C219" s="14">
        <f>IF(A219="","",IFERROR(MATCH(B219,設定!$P$8:$P$27,0),""))</f>
        <v/>
      </c>
      <c r="D219" s="14">
        <f>IF(C219="","",COUNTIF($C$3:C219,C219))</f>
        <v/>
      </c>
      <c r="E219" s="14">
        <f>IF(C219="","",C219*1000+D219)</f>
        <v/>
      </c>
      <c r="F219" s="14">
        <f>IF(A219="","",INDEX(新年度名簿!$K$2:$K$451,A219))</f>
        <v/>
      </c>
      <c r="G219" s="14">
        <f>IF(A219="","",INDEX(新年度名簿!$C$2:$C$451,A219))</f>
        <v/>
      </c>
      <c r="H219" s="14">
        <f>IF(A219="","",INDEX(新年度名簿!$D$2:$D$451,A219))</f>
        <v/>
      </c>
    </row>
    <row r="220">
      <c r="A220" s="14">
        <f>IFERROR(MATCH(SMALL(新年度名簿!$J$2:$J$451,218),新年度名簿!$J$2:$J$451,0),"")</f>
        <v/>
      </c>
      <c r="B220" s="14">
        <f>IF(A220="","",INDEX(新年度名簿!$G$2:$G$451,A220))</f>
        <v/>
      </c>
      <c r="C220" s="14">
        <f>IF(A220="","",IFERROR(MATCH(B220,設定!$P$8:$P$27,0),""))</f>
        <v/>
      </c>
      <c r="D220" s="14">
        <f>IF(C220="","",COUNTIF($C$3:C220,C220))</f>
        <v/>
      </c>
      <c r="E220" s="14">
        <f>IF(C220="","",C220*1000+D220)</f>
        <v/>
      </c>
      <c r="F220" s="14">
        <f>IF(A220="","",INDEX(新年度名簿!$K$2:$K$451,A220))</f>
        <v/>
      </c>
      <c r="G220" s="14">
        <f>IF(A220="","",INDEX(新年度名簿!$C$2:$C$451,A220))</f>
        <v/>
      </c>
      <c r="H220" s="14">
        <f>IF(A220="","",INDEX(新年度名簿!$D$2:$D$451,A220))</f>
        <v/>
      </c>
    </row>
    <row r="221">
      <c r="A221" s="14">
        <f>IFERROR(MATCH(SMALL(新年度名簿!$J$2:$J$451,219),新年度名簿!$J$2:$J$451,0),"")</f>
        <v/>
      </c>
      <c r="B221" s="14">
        <f>IF(A221="","",INDEX(新年度名簿!$G$2:$G$451,A221))</f>
        <v/>
      </c>
      <c r="C221" s="14">
        <f>IF(A221="","",IFERROR(MATCH(B221,設定!$P$8:$P$27,0),""))</f>
        <v/>
      </c>
      <c r="D221" s="14">
        <f>IF(C221="","",COUNTIF($C$3:C221,C221))</f>
        <v/>
      </c>
      <c r="E221" s="14">
        <f>IF(C221="","",C221*1000+D221)</f>
        <v/>
      </c>
      <c r="F221" s="14">
        <f>IF(A221="","",INDEX(新年度名簿!$K$2:$K$451,A221))</f>
        <v/>
      </c>
      <c r="G221" s="14">
        <f>IF(A221="","",INDEX(新年度名簿!$C$2:$C$451,A221))</f>
        <v/>
      </c>
      <c r="H221" s="14">
        <f>IF(A221="","",INDEX(新年度名簿!$D$2:$D$451,A221))</f>
        <v/>
      </c>
    </row>
    <row r="222">
      <c r="A222" s="14">
        <f>IFERROR(MATCH(SMALL(新年度名簿!$J$2:$J$451,220),新年度名簿!$J$2:$J$451,0),"")</f>
        <v/>
      </c>
      <c r="B222" s="14">
        <f>IF(A222="","",INDEX(新年度名簿!$G$2:$G$451,A222))</f>
        <v/>
      </c>
      <c r="C222" s="14">
        <f>IF(A222="","",IFERROR(MATCH(B222,設定!$P$8:$P$27,0),""))</f>
        <v/>
      </c>
      <c r="D222" s="14">
        <f>IF(C222="","",COUNTIF($C$3:C222,C222))</f>
        <v/>
      </c>
      <c r="E222" s="14">
        <f>IF(C222="","",C222*1000+D222)</f>
        <v/>
      </c>
      <c r="F222" s="14">
        <f>IF(A222="","",INDEX(新年度名簿!$K$2:$K$451,A222))</f>
        <v/>
      </c>
      <c r="G222" s="14">
        <f>IF(A222="","",INDEX(新年度名簿!$C$2:$C$451,A222))</f>
        <v/>
      </c>
      <c r="H222" s="14">
        <f>IF(A222="","",INDEX(新年度名簿!$D$2:$D$451,A222))</f>
        <v/>
      </c>
    </row>
    <row r="223">
      <c r="A223" s="14">
        <f>IFERROR(MATCH(SMALL(新年度名簿!$J$2:$J$451,221),新年度名簿!$J$2:$J$451,0),"")</f>
        <v/>
      </c>
      <c r="B223" s="14">
        <f>IF(A223="","",INDEX(新年度名簿!$G$2:$G$451,A223))</f>
        <v/>
      </c>
      <c r="C223" s="14">
        <f>IF(A223="","",IFERROR(MATCH(B223,設定!$P$8:$P$27,0),""))</f>
        <v/>
      </c>
      <c r="D223" s="14">
        <f>IF(C223="","",COUNTIF($C$3:C223,C223))</f>
        <v/>
      </c>
      <c r="E223" s="14">
        <f>IF(C223="","",C223*1000+D223)</f>
        <v/>
      </c>
      <c r="F223" s="14">
        <f>IF(A223="","",INDEX(新年度名簿!$K$2:$K$451,A223))</f>
        <v/>
      </c>
      <c r="G223" s="14">
        <f>IF(A223="","",INDEX(新年度名簿!$C$2:$C$451,A223))</f>
        <v/>
      </c>
      <c r="H223" s="14">
        <f>IF(A223="","",INDEX(新年度名簿!$D$2:$D$451,A223))</f>
        <v/>
      </c>
    </row>
    <row r="224">
      <c r="A224" s="14">
        <f>IFERROR(MATCH(SMALL(新年度名簿!$J$2:$J$451,222),新年度名簿!$J$2:$J$451,0),"")</f>
        <v/>
      </c>
      <c r="B224" s="14">
        <f>IF(A224="","",INDEX(新年度名簿!$G$2:$G$451,A224))</f>
        <v/>
      </c>
      <c r="C224" s="14">
        <f>IF(A224="","",IFERROR(MATCH(B224,設定!$P$8:$P$27,0),""))</f>
        <v/>
      </c>
      <c r="D224" s="14">
        <f>IF(C224="","",COUNTIF($C$3:C224,C224))</f>
        <v/>
      </c>
      <c r="E224" s="14">
        <f>IF(C224="","",C224*1000+D224)</f>
        <v/>
      </c>
      <c r="F224" s="14">
        <f>IF(A224="","",INDEX(新年度名簿!$K$2:$K$451,A224))</f>
        <v/>
      </c>
      <c r="G224" s="14">
        <f>IF(A224="","",INDEX(新年度名簿!$C$2:$C$451,A224))</f>
        <v/>
      </c>
      <c r="H224" s="14">
        <f>IF(A224="","",INDEX(新年度名簿!$D$2:$D$451,A224))</f>
        <v/>
      </c>
    </row>
    <row r="225">
      <c r="A225" s="14">
        <f>IFERROR(MATCH(SMALL(新年度名簿!$J$2:$J$451,223),新年度名簿!$J$2:$J$451,0),"")</f>
        <v/>
      </c>
      <c r="B225" s="14">
        <f>IF(A225="","",INDEX(新年度名簿!$G$2:$G$451,A225))</f>
        <v/>
      </c>
      <c r="C225" s="14">
        <f>IF(A225="","",IFERROR(MATCH(B225,設定!$P$8:$P$27,0),""))</f>
        <v/>
      </c>
      <c r="D225" s="14">
        <f>IF(C225="","",COUNTIF($C$3:C225,C225))</f>
        <v/>
      </c>
      <c r="E225" s="14">
        <f>IF(C225="","",C225*1000+D225)</f>
        <v/>
      </c>
      <c r="F225" s="14">
        <f>IF(A225="","",INDEX(新年度名簿!$K$2:$K$451,A225))</f>
        <v/>
      </c>
      <c r="G225" s="14">
        <f>IF(A225="","",INDEX(新年度名簿!$C$2:$C$451,A225))</f>
        <v/>
      </c>
      <c r="H225" s="14">
        <f>IF(A225="","",INDEX(新年度名簿!$D$2:$D$451,A225))</f>
        <v/>
      </c>
    </row>
    <row r="226">
      <c r="A226" s="14">
        <f>IFERROR(MATCH(SMALL(新年度名簿!$J$2:$J$451,224),新年度名簿!$J$2:$J$451,0),"")</f>
        <v/>
      </c>
      <c r="B226" s="14">
        <f>IF(A226="","",INDEX(新年度名簿!$G$2:$G$451,A226))</f>
        <v/>
      </c>
      <c r="C226" s="14">
        <f>IF(A226="","",IFERROR(MATCH(B226,設定!$P$8:$P$27,0),""))</f>
        <v/>
      </c>
      <c r="D226" s="14">
        <f>IF(C226="","",COUNTIF($C$3:C226,C226))</f>
        <v/>
      </c>
      <c r="E226" s="14">
        <f>IF(C226="","",C226*1000+D226)</f>
        <v/>
      </c>
      <c r="F226" s="14">
        <f>IF(A226="","",INDEX(新年度名簿!$K$2:$K$451,A226))</f>
        <v/>
      </c>
      <c r="G226" s="14">
        <f>IF(A226="","",INDEX(新年度名簿!$C$2:$C$451,A226))</f>
        <v/>
      </c>
      <c r="H226" s="14">
        <f>IF(A226="","",INDEX(新年度名簿!$D$2:$D$451,A226))</f>
        <v/>
      </c>
    </row>
    <row r="227">
      <c r="A227" s="14">
        <f>IFERROR(MATCH(SMALL(新年度名簿!$J$2:$J$451,225),新年度名簿!$J$2:$J$451,0),"")</f>
        <v/>
      </c>
      <c r="B227" s="14">
        <f>IF(A227="","",INDEX(新年度名簿!$G$2:$G$451,A227))</f>
        <v/>
      </c>
      <c r="C227" s="14">
        <f>IF(A227="","",IFERROR(MATCH(B227,設定!$P$8:$P$27,0),""))</f>
        <v/>
      </c>
      <c r="D227" s="14">
        <f>IF(C227="","",COUNTIF($C$3:C227,C227))</f>
        <v/>
      </c>
      <c r="E227" s="14">
        <f>IF(C227="","",C227*1000+D227)</f>
        <v/>
      </c>
      <c r="F227" s="14">
        <f>IF(A227="","",INDEX(新年度名簿!$K$2:$K$451,A227))</f>
        <v/>
      </c>
      <c r="G227" s="14">
        <f>IF(A227="","",INDEX(新年度名簿!$C$2:$C$451,A227))</f>
        <v/>
      </c>
      <c r="H227" s="14">
        <f>IF(A227="","",INDEX(新年度名簿!$D$2:$D$451,A227))</f>
        <v/>
      </c>
    </row>
    <row r="228">
      <c r="A228" s="14">
        <f>IFERROR(MATCH(SMALL(新年度名簿!$J$2:$J$451,226),新年度名簿!$J$2:$J$451,0),"")</f>
        <v/>
      </c>
      <c r="B228" s="14">
        <f>IF(A228="","",INDEX(新年度名簿!$G$2:$G$451,A228))</f>
        <v/>
      </c>
      <c r="C228" s="14">
        <f>IF(A228="","",IFERROR(MATCH(B228,設定!$P$8:$P$27,0),""))</f>
        <v/>
      </c>
      <c r="D228" s="14">
        <f>IF(C228="","",COUNTIF($C$3:C228,C228))</f>
        <v/>
      </c>
      <c r="E228" s="14">
        <f>IF(C228="","",C228*1000+D228)</f>
        <v/>
      </c>
      <c r="F228" s="14">
        <f>IF(A228="","",INDEX(新年度名簿!$K$2:$K$451,A228))</f>
        <v/>
      </c>
      <c r="G228" s="14">
        <f>IF(A228="","",INDEX(新年度名簿!$C$2:$C$451,A228))</f>
        <v/>
      </c>
      <c r="H228" s="14">
        <f>IF(A228="","",INDEX(新年度名簿!$D$2:$D$451,A228))</f>
        <v/>
      </c>
    </row>
    <row r="229">
      <c r="A229" s="14">
        <f>IFERROR(MATCH(SMALL(新年度名簿!$J$2:$J$451,227),新年度名簿!$J$2:$J$451,0),"")</f>
        <v/>
      </c>
      <c r="B229" s="14">
        <f>IF(A229="","",INDEX(新年度名簿!$G$2:$G$451,A229))</f>
        <v/>
      </c>
      <c r="C229" s="14">
        <f>IF(A229="","",IFERROR(MATCH(B229,設定!$P$8:$P$27,0),""))</f>
        <v/>
      </c>
      <c r="D229" s="14">
        <f>IF(C229="","",COUNTIF($C$3:C229,C229))</f>
        <v/>
      </c>
      <c r="E229" s="14">
        <f>IF(C229="","",C229*1000+D229)</f>
        <v/>
      </c>
      <c r="F229" s="14">
        <f>IF(A229="","",INDEX(新年度名簿!$K$2:$K$451,A229))</f>
        <v/>
      </c>
      <c r="G229" s="14">
        <f>IF(A229="","",INDEX(新年度名簿!$C$2:$C$451,A229))</f>
        <v/>
      </c>
      <c r="H229" s="14">
        <f>IF(A229="","",INDEX(新年度名簿!$D$2:$D$451,A229))</f>
        <v/>
      </c>
    </row>
    <row r="230">
      <c r="A230" s="14">
        <f>IFERROR(MATCH(SMALL(新年度名簿!$J$2:$J$451,228),新年度名簿!$J$2:$J$451,0),"")</f>
        <v/>
      </c>
      <c r="B230" s="14">
        <f>IF(A230="","",INDEX(新年度名簿!$G$2:$G$451,A230))</f>
        <v/>
      </c>
      <c r="C230" s="14">
        <f>IF(A230="","",IFERROR(MATCH(B230,設定!$P$8:$P$27,0),""))</f>
        <v/>
      </c>
      <c r="D230" s="14">
        <f>IF(C230="","",COUNTIF($C$3:C230,C230))</f>
        <v/>
      </c>
      <c r="E230" s="14">
        <f>IF(C230="","",C230*1000+D230)</f>
        <v/>
      </c>
      <c r="F230" s="14">
        <f>IF(A230="","",INDEX(新年度名簿!$K$2:$K$451,A230))</f>
        <v/>
      </c>
      <c r="G230" s="14">
        <f>IF(A230="","",INDEX(新年度名簿!$C$2:$C$451,A230))</f>
        <v/>
      </c>
      <c r="H230" s="14">
        <f>IF(A230="","",INDEX(新年度名簿!$D$2:$D$451,A230))</f>
        <v/>
      </c>
    </row>
    <row r="231">
      <c r="A231" s="14">
        <f>IFERROR(MATCH(SMALL(新年度名簿!$J$2:$J$451,229),新年度名簿!$J$2:$J$451,0),"")</f>
        <v/>
      </c>
      <c r="B231" s="14">
        <f>IF(A231="","",INDEX(新年度名簿!$G$2:$G$451,A231))</f>
        <v/>
      </c>
      <c r="C231" s="14">
        <f>IF(A231="","",IFERROR(MATCH(B231,設定!$P$8:$P$27,0),""))</f>
        <v/>
      </c>
      <c r="D231" s="14">
        <f>IF(C231="","",COUNTIF($C$3:C231,C231))</f>
        <v/>
      </c>
      <c r="E231" s="14">
        <f>IF(C231="","",C231*1000+D231)</f>
        <v/>
      </c>
      <c r="F231" s="14">
        <f>IF(A231="","",INDEX(新年度名簿!$K$2:$K$451,A231))</f>
        <v/>
      </c>
      <c r="G231" s="14">
        <f>IF(A231="","",INDEX(新年度名簿!$C$2:$C$451,A231))</f>
        <v/>
      </c>
      <c r="H231" s="14">
        <f>IF(A231="","",INDEX(新年度名簿!$D$2:$D$451,A231))</f>
        <v/>
      </c>
    </row>
    <row r="232">
      <c r="A232" s="14">
        <f>IFERROR(MATCH(SMALL(新年度名簿!$J$2:$J$451,230),新年度名簿!$J$2:$J$451,0),"")</f>
        <v/>
      </c>
      <c r="B232" s="14">
        <f>IF(A232="","",INDEX(新年度名簿!$G$2:$G$451,A232))</f>
        <v/>
      </c>
      <c r="C232" s="14">
        <f>IF(A232="","",IFERROR(MATCH(B232,設定!$P$8:$P$27,0),""))</f>
        <v/>
      </c>
      <c r="D232" s="14">
        <f>IF(C232="","",COUNTIF($C$3:C232,C232))</f>
        <v/>
      </c>
      <c r="E232" s="14">
        <f>IF(C232="","",C232*1000+D232)</f>
        <v/>
      </c>
      <c r="F232" s="14">
        <f>IF(A232="","",INDEX(新年度名簿!$K$2:$K$451,A232))</f>
        <v/>
      </c>
      <c r="G232" s="14">
        <f>IF(A232="","",INDEX(新年度名簿!$C$2:$C$451,A232))</f>
        <v/>
      </c>
      <c r="H232" s="14">
        <f>IF(A232="","",INDEX(新年度名簿!$D$2:$D$451,A232))</f>
        <v/>
      </c>
    </row>
    <row r="233">
      <c r="A233" s="14">
        <f>IFERROR(MATCH(SMALL(新年度名簿!$J$2:$J$451,231),新年度名簿!$J$2:$J$451,0),"")</f>
        <v/>
      </c>
      <c r="B233" s="14">
        <f>IF(A233="","",INDEX(新年度名簿!$G$2:$G$451,A233))</f>
        <v/>
      </c>
      <c r="C233" s="14">
        <f>IF(A233="","",IFERROR(MATCH(B233,設定!$P$8:$P$27,0),""))</f>
        <v/>
      </c>
      <c r="D233" s="14">
        <f>IF(C233="","",COUNTIF($C$3:C233,C233))</f>
        <v/>
      </c>
      <c r="E233" s="14">
        <f>IF(C233="","",C233*1000+D233)</f>
        <v/>
      </c>
      <c r="F233" s="14">
        <f>IF(A233="","",INDEX(新年度名簿!$K$2:$K$451,A233))</f>
        <v/>
      </c>
      <c r="G233" s="14">
        <f>IF(A233="","",INDEX(新年度名簿!$C$2:$C$451,A233))</f>
        <v/>
      </c>
      <c r="H233" s="14">
        <f>IF(A233="","",INDEX(新年度名簿!$D$2:$D$451,A233))</f>
        <v/>
      </c>
    </row>
    <row r="234">
      <c r="A234" s="14">
        <f>IFERROR(MATCH(SMALL(新年度名簿!$J$2:$J$451,232),新年度名簿!$J$2:$J$451,0),"")</f>
        <v/>
      </c>
      <c r="B234" s="14">
        <f>IF(A234="","",INDEX(新年度名簿!$G$2:$G$451,A234))</f>
        <v/>
      </c>
      <c r="C234" s="14">
        <f>IF(A234="","",IFERROR(MATCH(B234,設定!$P$8:$P$27,0),""))</f>
        <v/>
      </c>
      <c r="D234" s="14">
        <f>IF(C234="","",COUNTIF($C$3:C234,C234))</f>
        <v/>
      </c>
      <c r="E234" s="14">
        <f>IF(C234="","",C234*1000+D234)</f>
        <v/>
      </c>
      <c r="F234" s="14">
        <f>IF(A234="","",INDEX(新年度名簿!$K$2:$K$451,A234))</f>
        <v/>
      </c>
      <c r="G234" s="14">
        <f>IF(A234="","",INDEX(新年度名簿!$C$2:$C$451,A234))</f>
        <v/>
      </c>
      <c r="H234" s="14">
        <f>IF(A234="","",INDEX(新年度名簿!$D$2:$D$451,A234))</f>
        <v/>
      </c>
    </row>
    <row r="235">
      <c r="A235" s="14">
        <f>IFERROR(MATCH(SMALL(新年度名簿!$J$2:$J$451,233),新年度名簿!$J$2:$J$451,0),"")</f>
        <v/>
      </c>
      <c r="B235" s="14">
        <f>IF(A235="","",INDEX(新年度名簿!$G$2:$G$451,A235))</f>
        <v/>
      </c>
      <c r="C235" s="14">
        <f>IF(A235="","",IFERROR(MATCH(B235,設定!$P$8:$P$27,0),""))</f>
        <v/>
      </c>
      <c r="D235" s="14">
        <f>IF(C235="","",COUNTIF($C$3:C235,C235))</f>
        <v/>
      </c>
      <c r="E235" s="14">
        <f>IF(C235="","",C235*1000+D235)</f>
        <v/>
      </c>
      <c r="F235" s="14">
        <f>IF(A235="","",INDEX(新年度名簿!$K$2:$K$451,A235))</f>
        <v/>
      </c>
      <c r="G235" s="14">
        <f>IF(A235="","",INDEX(新年度名簿!$C$2:$C$451,A235))</f>
        <v/>
      </c>
      <c r="H235" s="14">
        <f>IF(A235="","",INDEX(新年度名簿!$D$2:$D$451,A235))</f>
        <v/>
      </c>
    </row>
    <row r="236">
      <c r="A236" s="14">
        <f>IFERROR(MATCH(SMALL(新年度名簿!$J$2:$J$451,234),新年度名簿!$J$2:$J$451,0),"")</f>
        <v/>
      </c>
      <c r="B236" s="14">
        <f>IF(A236="","",INDEX(新年度名簿!$G$2:$G$451,A236))</f>
        <v/>
      </c>
      <c r="C236" s="14">
        <f>IF(A236="","",IFERROR(MATCH(B236,設定!$P$8:$P$27,0),""))</f>
        <v/>
      </c>
      <c r="D236" s="14">
        <f>IF(C236="","",COUNTIF($C$3:C236,C236))</f>
        <v/>
      </c>
      <c r="E236" s="14">
        <f>IF(C236="","",C236*1000+D236)</f>
        <v/>
      </c>
      <c r="F236" s="14">
        <f>IF(A236="","",INDEX(新年度名簿!$K$2:$K$451,A236))</f>
        <v/>
      </c>
      <c r="G236" s="14">
        <f>IF(A236="","",INDEX(新年度名簿!$C$2:$C$451,A236))</f>
        <v/>
      </c>
      <c r="H236" s="14">
        <f>IF(A236="","",INDEX(新年度名簿!$D$2:$D$451,A236))</f>
        <v/>
      </c>
    </row>
    <row r="237">
      <c r="A237" s="14">
        <f>IFERROR(MATCH(SMALL(新年度名簿!$J$2:$J$451,235),新年度名簿!$J$2:$J$451,0),"")</f>
        <v/>
      </c>
      <c r="B237" s="14">
        <f>IF(A237="","",INDEX(新年度名簿!$G$2:$G$451,A237))</f>
        <v/>
      </c>
      <c r="C237" s="14">
        <f>IF(A237="","",IFERROR(MATCH(B237,設定!$P$8:$P$27,0),""))</f>
        <v/>
      </c>
      <c r="D237" s="14">
        <f>IF(C237="","",COUNTIF($C$3:C237,C237))</f>
        <v/>
      </c>
      <c r="E237" s="14">
        <f>IF(C237="","",C237*1000+D237)</f>
        <v/>
      </c>
      <c r="F237" s="14">
        <f>IF(A237="","",INDEX(新年度名簿!$K$2:$K$451,A237))</f>
        <v/>
      </c>
      <c r="G237" s="14">
        <f>IF(A237="","",INDEX(新年度名簿!$C$2:$C$451,A237))</f>
        <v/>
      </c>
      <c r="H237" s="14">
        <f>IF(A237="","",INDEX(新年度名簿!$D$2:$D$451,A237))</f>
        <v/>
      </c>
    </row>
    <row r="238">
      <c r="A238" s="14">
        <f>IFERROR(MATCH(SMALL(新年度名簿!$J$2:$J$451,236),新年度名簿!$J$2:$J$451,0),"")</f>
        <v/>
      </c>
      <c r="B238" s="14">
        <f>IF(A238="","",INDEX(新年度名簿!$G$2:$G$451,A238))</f>
        <v/>
      </c>
      <c r="C238" s="14">
        <f>IF(A238="","",IFERROR(MATCH(B238,設定!$P$8:$P$27,0),""))</f>
        <v/>
      </c>
      <c r="D238" s="14">
        <f>IF(C238="","",COUNTIF($C$3:C238,C238))</f>
        <v/>
      </c>
      <c r="E238" s="14">
        <f>IF(C238="","",C238*1000+D238)</f>
        <v/>
      </c>
      <c r="F238" s="14">
        <f>IF(A238="","",INDEX(新年度名簿!$K$2:$K$451,A238))</f>
        <v/>
      </c>
      <c r="G238" s="14">
        <f>IF(A238="","",INDEX(新年度名簿!$C$2:$C$451,A238))</f>
        <v/>
      </c>
      <c r="H238" s="14">
        <f>IF(A238="","",INDEX(新年度名簿!$D$2:$D$451,A238))</f>
        <v/>
      </c>
    </row>
    <row r="239">
      <c r="A239" s="14">
        <f>IFERROR(MATCH(SMALL(新年度名簿!$J$2:$J$451,237),新年度名簿!$J$2:$J$451,0),"")</f>
        <v/>
      </c>
      <c r="B239" s="14">
        <f>IF(A239="","",INDEX(新年度名簿!$G$2:$G$451,A239))</f>
        <v/>
      </c>
      <c r="C239" s="14">
        <f>IF(A239="","",IFERROR(MATCH(B239,設定!$P$8:$P$27,0),""))</f>
        <v/>
      </c>
      <c r="D239" s="14">
        <f>IF(C239="","",COUNTIF($C$3:C239,C239))</f>
        <v/>
      </c>
      <c r="E239" s="14">
        <f>IF(C239="","",C239*1000+D239)</f>
        <v/>
      </c>
      <c r="F239" s="14">
        <f>IF(A239="","",INDEX(新年度名簿!$K$2:$K$451,A239))</f>
        <v/>
      </c>
      <c r="G239" s="14">
        <f>IF(A239="","",INDEX(新年度名簿!$C$2:$C$451,A239))</f>
        <v/>
      </c>
      <c r="H239" s="14">
        <f>IF(A239="","",INDEX(新年度名簿!$D$2:$D$451,A239))</f>
        <v/>
      </c>
    </row>
    <row r="240">
      <c r="A240" s="14">
        <f>IFERROR(MATCH(SMALL(新年度名簿!$J$2:$J$451,238),新年度名簿!$J$2:$J$451,0),"")</f>
        <v/>
      </c>
      <c r="B240" s="14">
        <f>IF(A240="","",INDEX(新年度名簿!$G$2:$G$451,A240))</f>
        <v/>
      </c>
      <c r="C240" s="14">
        <f>IF(A240="","",IFERROR(MATCH(B240,設定!$P$8:$P$27,0),""))</f>
        <v/>
      </c>
      <c r="D240" s="14">
        <f>IF(C240="","",COUNTIF($C$3:C240,C240))</f>
        <v/>
      </c>
      <c r="E240" s="14">
        <f>IF(C240="","",C240*1000+D240)</f>
        <v/>
      </c>
      <c r="F240" s="14">
        <f>IF(A240="","",INDEX(新年度名簿!$K$2:$K$451,A240))</f>
        <v/>
      </c>
      <c r="G240" s="14">
        <f>IF(A240="","",INDEX(新年度名簿!$C$2:$C$451,A240))</f>
        <v/>
      </c>
      <c r="H240" s="14">
        <f>IF(A240="","",INDEX(新年度名簿!$D$2:$D$451,A240))</f>
        <v/>
      </c>
    </row>
    <row r="241">
      <c r="A241" s="14">
        <f>IFERROR(MATCH(SMALL(新年度名簿!$J$2:$J$451,239),新年度名簿!$J$2:$J$451,0),"")</f>
        <v/>
      </c>
      <c r="B241" s="14">
        <f>IF(A241="","",INDEX(新年度名簿!$G$2:$G$451,A241))</f>
        <v/>
      </c>
      <c r="C241" s="14">
        <f>IF(A241="","",IFERROR(MATCH(B241,設定!$P$8:$P$27,0),""))</f>
        <v/>
      </c>
      <c r="D241" s="14">
        <f>IF(C241="","",COUNTIF($C$3:C241,C241))</f>
        <v/>
      </c>
      <c r="E241" s="14">
        <f>IF(C241="","",C241*1000+D241)</f>
        <v/>
      </c>
      <c r="F241" s="14">
        <f>IF(A241="","",INDEX(新年度名簿!$K$2:$K$451,A241))</f>
        <v/>
      </c>
      <c r="G241" s="14">
        <f>IF(A241="","",INDEX(新年度名簿!$C$2:$C$451,A241))</f>
        <v/>
      </c>
      <c r="H241" s="14">
        <f>IF(A241="","",INDEX(新年度名簿!$D$2:$D$451,A241))</f>
        <v/>
      </c>
    </row>
    <row r="242">
      <c r="A242" s="14">
        <f>IFERROR(MATCH(SMALL(新年度名簿!$J$2:$J$451,240),新年度名簿!$J$2:$J$451,0),"")</f>
        <v/>
      </c>
      <c r="B242" s="14">
        <f>IF(A242="","",INDEX(新年度名簿!$G$2:$G$451,A242))</f>
        <v/>
      </c>
      <c r="C242" s="14">
        <f>IF(A242="","",IFERROR(MATCH(B242,設定!$P$8:$P$27,0),""))</f>
        <v/>
      </c>
      <c r="D242" s="14">
        <f>IF(C242="","",COUNTIF($C$3:C242,C242))</f>
        <v/>
      </c>
      <c r="E242" s="14">
        <f>IF(C242="","",C242*1000+D242)</f>
        <v/>
      </c>
      <c r="F242" s="14">
        <f>IF(A242="","",INDEX(新年度名簿!$K$2:$K$451,A242))</f>
        <v/>
      </c>
      <c r="G242" s="14">
        <f>IF(A242="","",INDEX(新年度名簿!$C$2:$C$451,A242))</f>
        <v/>
      </c>
      <c r="H242" s="14">
        <f>IF(A242="","",INDEX(新年度名簿!$D$2:$D$451,A242))</f>
        <v/>
      </c>
    </row>
    <row r="243">
      <c r="A243" s="14">
        <f>IFERROR(MATCH(SMALL(新年度名簿!$J$2:$J$451,241),新年度名簿!$J$2:$J$451,0),"")</f>
        <v/>
      </c>
      <c r="B243" s="14">
        <f>IF(A243="","",INDEX(新年度名簿!$G$2:$G$451,A243))</f>
        <v/>
      </c>
      <c r="C243" s="14">
        <f>IF(A243="","",IFERROR(MATCH(B243,設定!$P$8:$P$27,0),""))</f>
        <v/>
      </c>
      <c r="D243" s="14">
        <f>IF(C243="","",COUNTIF($C$3:C243,C243))</f>
        <v/>
      </c>
      <c r="E243" s="14">
        <f>IF(C243="","",C243*1000+D243)</f>
        <v/>
      </c>
      <c r="F243" s="14">
        <f>IF(A243="","",INDEX(新年度名簿!$K$2:$K$451,A243))</f>
        <v/>
      </c>
      <c r="G243" s="14">
        <f>IF(A243="","",INDEX(新年度名簿!$C$2:$C$451,A243))</f>
        <v/>
      </c>
      <c r="H243" s="14">
        <f>IF(A243="","",INDEX(新年度名簿!$D$2:$D$451,A243))</f>
        <v/>
      </c>
    </row>
    <row r="244">
      <c r="A244" s="14">
        <f>IFERROR(MATCH(SMALL(新年度名簿!$J$2:$J$451,242),新年度名簿!$J$2:$J$451,0),"")</f>
        <v/>
      </c>
      <c r="B244" s="14">
        <f>IF(A244="","",INDEX(新年度名簿!$G$2:$G$451,A244))</f>
        <v/>
      </c>
      <c r="C244" s="14">
        <f>IF(A244="","",IFERROR(MATCH(B244,設定!$P$8:$P$27,0),""))</f>
        <v/>
      </c>
      <c r="D244" s="14">
        <f>IF(C244="","",COUNTIF($C$3:C244,C244))</f>
        <v/>
      </c>
      <c r="E244" s="14">
        <f>IF(C244="","",C244*1000+D244)</f>
        <v/>
      </c>
      <c r="F244" s="14">
        <f>IF(A244="","",INDEX(新年度名簿!$K$2:$K$451,A244))</f>
        <v/>
      </c>
      <c r="G244" s="14">
        <f>IF(A244="","",INDEX(新年度名簿!$C$2:$C$451,A244))</f>
        <v/>
      </c>
      <c r="H244" s="14">
        <f>IF(A244="","",INDEX(新年度名簿!$D$2:$D$451,A244))</f>
        <v/>
      </c>
    </row>
    <row r="245">
      <c r="A245" s="14">
        <f>IFERROR(MATCH(SMALL(新年度名簿!$J$2:$J$451,243),新年度名簿!$J$2:$J$451,0),"")</f>
        <v/>
      </c>
      <c r="B245" s="14">
        <f>IF(A245="","",INDEX(新年度名簿!$G$2:$G$451,A245))</f>
        <v/>
      </c>
      <c r="C245" s="14">
        <f>IF(A245="","",IFERROR(MATCH(B245,設定!$P$8:$P$27,0),""))</f>
        <v/>
      </c>
      <c r="D245" s="14">
        <f>IF(C245="","",COUNTIF($C$3:C245,C245))</f>
        <v/>
      </c>
      <c r="E245" s="14">
        <f>IF(C245="","",C245*1000+D245)</f>
        <v/>
      </c>
      <c r="F245" s="14">
        <f>IF(A245="","",INDEX(新年度名簿!$K$2:$K$451,A245))</f>
        <v/>
      </c>
      <c r="G245" s="14">
        <f>IF(A245="","",INDEX(新年度名簿!$C$2:$C$451,A245))</f>
        <v/>
      </c>
      <c r="H245" s="14">
        <f>IF(A245="","",INDEX(新年度名簿!$D$2:$D$451,A245))</f>
        <v/>
      </c>
    </row>
    <row r="246">
      <c r="A246" s="14">
        <f>IFERROR(MATCH(SMALL(新年度名簿!$J$2:$J$451,244),新年度名簿!$J$2:$J$451,0),"")</f>
        <v/>
      </c>
      <c r="B246" s="14">
        <f>IF(A246="","",INDEX(新年度名簿!$G$2:$G$451,A246))</f>
        <v/>
      </c>
      <c r="C246" s="14">
        <f>IF(A246="","",IFERROR(MATCH(B246,設定!$P$8:$P$27,0),""))</f>
        <v/>
      </c>
      <c r="D246" s="14">
        <f>IF(C246="","",COUNTIF($C$3:C246,C246))</f>
        <v/>
      </c>
      <c r="E246" s="14">
        <f>IF(C246="","",C246*1000+D246)</f>
        <v/>
      </c>
      <c r="F246" s="14">
        <f>IF(A246="","",INDEX(新年度名簿!$K$2:$K$451,A246))</f>
        <v/>
      </c>
      <c r="G246" s="14">
        <f>IF(A246="","",INDEX(新年度名簿!$C$2:$C$451,A246))</f>
        <v/>
      </c>
      <c r="H246" s="14">
        <f>IF(A246="","",INDEX(新年度名簿!$D$2:$D$451,A246))</f>
        <v/>
      </c>
    </row>
    <row r="247">
      <c r="A247" s="14">
        <f>IFERROR(MATCH(SMALL(新年度名簿!$J$2:$J$451,245),新年度名簿!$J$2:$J$451,0),"")</f>
        <v/>
      </c>
      <c r="B247" s="14">
        <f>IF(A247="","",INDEX(新年度名簿!$G$2:$G$451,A247))</f>
        <v/>
      </c>
      <c r="C247" s="14">
        <f>IF(A247="","",IFERROR(MATCH(B247,設定!$P$8:$P$27,0),""))</f>
        <v/>
      </c>
      <c r="D247" s="14">
        <f>IF(C247="","",COUNTIF($C$3:C247,C247))</f>
        <v/>
      </c>
      <c r="E247" s="14">
        <f>IF(C247="","",C247*1000+D247)</f>
        <v/>
      </c>
      <c r="F247" s="14">
        <f>IF(A247="","",INDEX(新年度名簿!$K$2:$K$451,A247))</f>
        <v/>
      </c>
      <c r="G247" s="14">
        <f>IF(A247="","",INDEX(新年度名簿!$C$2:$C$451,A247))</f>
        <v/>
      </c>
      <c r="H247" s="14">
        <f>IF(A247="","",INDEX(新年度名簿!$D$2:$D$451,A247))</f>
        <v/>
      </c>
    </row>
    <row r="248">
      <c r="A248" s="14">
        <f>IFERROR(MATCH(SMALL(新年度名簿!$J$2:$J$451,246),新年度名簿!$J$2:$J$451,0),"")</f>
        <v/>
      </c>
      <c r="B248" s="14">
        <f>IF(A248="","",INDEX(新年度名簿!$G$2:$G$451,A248))</f>
        <v/>
      </c>
      <c r="C248" s="14">
        <f>IF(A248="","",IFERROR(MATCH(B248,設定!$P$8:$P$27,0),""))</f>
        <v/>
      </c>
      <c r="D248" s="14">
        <f>IF(C248="","",COUNTIF($C$3:C248,C248))</f>
        <v/>
      </c>
      <c r="E248" s="14">
        <f>IF(C248="","",C248*1000+D248)</f>
        <v/>
      </c>
      <c r="F248" s="14">
        <f>IF(A248="","",INDEX(新年度名簿!$K$2:$K$451,A248))</f>
        <v/>
      </c>
      <c r="G248" s="14">
        <f>IF(A248="","",INDEX(新年度名簿!$C$2:$C$451,A248))</f>
        <v/>
      </c>
      <c r="H248" s="14">
        <f>IF(A248="","",INDEX(新年度名簿!$D$2:$D$451,A248))</f>
        <v/>
      </c>
    </row>
    <row r="249">
      <c r="A249" s="14">
        <f>IFERROR(MATCH(SMALL(新年度名簿!$J$2:$J$451,247),新年度名簿!$J$2:$J$451,0),"")</f>
        <v/>
      </c>
      <c r="B249" s="14">
        <f>IF(A249="","",INDEX(新年度名簿!$G$2:$G$451,A249))</f>
        <v/>
      </c>
      <c r="C249" s="14">
        <f>IF(A249="","",IFERROR(MATCH(B249,設定!$P$8:$P$27,0),""))</f>
        <v/>
      </c>
      <c r="D249" s="14">
        <f>IF(C249="","",COUNTIF($C$3:C249,C249))</f>
        <v/>
      </c>
      <c r="E249" s="14">
        <f>IF(C249="","",C249*1000+D249)</f>
        <v/>
      </c>
      <c r="F249" s="14">
        <f>IF(A249="","",INDEX(新年度名簿!$K$2:$K$451,A249))</f>
        <v/>
      </c>
      <c r="G249" s="14">
        <f>IF(A249="","",INDEX(新年度名簿!$C$2:$C$451,A249))</f>
        <v/>
      </c>
      <c r="H249" s="14">
        <f>IF(A249="","",INDEX(新年度名簿!$D$2:$D$451,A249))</f>
        <v/>
      </c>
    </row>
    <row r="250">
      <c r="A250" s="14">
        <f>IFERROR(MATCH(SMALL(新年度名簿!$J$2:$J$451,248),新年度名簿!$J$2:$J$451,0),"")</f>
        <v/>
      </c>
      <c r="B250" s="14">
        <f>IF(A250="","",INDEX(新年度名簿!$G$2:$G$451,A250))</f>
        <v/>
      </c>
      <c r="C250" s="14">
        <f>IF(A250="","",IFERROR(MATCH(B250,設定!$P$8:$P$27,0),""))</f>
        <v/>
      </c>
      <c r="D250" s="14">
        <f>IF(C250="","",COUNTIF($C$3:C250,C250))</f>
        <v/>
      </c>
      <c r="E250" s="14">
        <f>IF(C250="","",C250*1000+D250)</f>
        <v/>
      </c>
      <c r="F250" s="14">
        <f>IF(A250="","",INDEX(新年度名簿!$K$2:$K$451,A250))</f>
        <v/>
      </c>
      <c r="G250" s="14">
        <f>IF(A250="","",INDEX(新年度名簿!$C$2:$C$451,A250))</f>
        <v/>
      </c>
      <c r="H250" s="14">
        <f>IF(A250="","",INDEX(新年度名簿!$D$2:$D$451,A250))</f>
        <v/>
      </c>
    </row>
    <row r="251">
      <c r="A251" s="14">
        <f>IFERROR(MATCH(SMALL(新年度名簿!$J$2:$J$451,249),新年度名簿!$J$2:$J$451,0),"")</f>
        <v/>
      </c>
      <c r="B251" s="14">
        <f>IF(A251="","",INDEX(新年度名簿!$G$2:$G$451,A251))</f>
        <v/>
      </c>
      <c r="C251" s="14">
        <f>IF(A251="","",IFERROR(MATCH(B251,設定!$P$8:$P$27,0),""))</f>
        <v/>
      </c>
      <c r="D251" s="14">
        <f>IF(C251="","",COUNTIF($C$3:C251,C251))</f>
        <v/>
      </c>
      <c r="E251" s="14">
        <f>IF(C251="","",C251*1000+D251)</f>
        <v/>
      </c>
      <c r="F251" s="14">
        <f>IF(A251="","",INDEX(新年度名簿!$K$2:$K$451,A251))</f>
        <v/>
      </c>
      <c r="G251" s="14">
        <f>IF(A251="","",INDEX(新年度名簿!$C$2:$C$451,A251))</f>
        <v/>
      </c>
      <c r="H251" s="14">
        <f>IF(A251="","",INDEX(新年度名簿!$D$2:$D$451,A251))</f>
        <v/>
      </c>
    </row>
    <row r="252">
      <c r="A252" s="14">
        <f>IFERROR(MATCH(SMALL(新年度名簿!$J$2:$J$451,250),新年度名簿!$J$2:$J$451,0),"")</f>
        <v/>
      </c>
      <c r="B252" s="14">
        <f>IF(A252="","",INDEX(新年度名簿!$G$2:$G$451,A252))</f>
        <v/>
      </c>
      <c r="C252" s="14">
        <f>IF(A252="","",IFERROR(MATCH(B252,設定!$P$8:$P$27,0),""))</f>
        <v/>
      </c>
      <c r="D252" s="14">
        <f>IF(C252="","",COUNTIF($C$3:C252,C252))</f>
        <v/>
      </c>
      <c r="E252" s="14">
        <f>IF(C252="","",C252*1000+D252)</f>
        <v/>
      </c>
      <c r="F252" s="14">
        <f>IF(A252="","",INDEX(新年度名簿!$K$2:$K$451,A252))</f>
        <v/>
      </c>
      <c r="G252" s="14">
        <f>IF(A252="","",INDEX(新年度名簿!$C$2:$C$451,A252))</f>
        <v/>
      </c>
      <c r="H252" s="14">
        <f>IF(A252="","",INDEX(新年度名簿!$D$2:$D$451,A252))</f>
        <v/>
      </c>
    </row>
    <row r="253">
      <c r="A253" s="14">
        <f>IFERROR(MATCH(SMALL(新年度名簿!$J$2:$J$451,251),新年度名簿!$J$2:$J$451,0),"")</f>
        <v/>
      </c>
      <c r="B253" s="14">
        <f>IF(A253="","",INDEX(新年度名簿!$G$2:$G$451,A253))</f>
        <v/>
      </c>
      <c r="C253" s="14">
        <f>IF(A253="","",IFERROR(MATCH(B253,設定!$P$8:$P$27,0),""))</f>
        <v/>
      </c>
      <c r="D253" s="14">
        <f>IF(C253="","",COUNTIF($C$3:C253,C253))</f>
        <v/>
      </c>
      <c r="E253" s="14">
        <f>IF(C253="","",C253*1000+D253)</f>
        <v/>
      </c>
      <c r="F253" s="14">
        <f>IF(A253="","",INDEX(新年度名簿!$K$2:$K$451,A253))</f>
        <v/>
      </c>
      <c r="G253" s="14">
        <f>IF(A253="","",INDEX(新年度名簿!$C$2:$C$451,A253))</f>
        <v/>
      </c>
      <c r="H253" s="14">
        <f>IF(A253="","",INDEX(新年度名簿!$D$2:$D$451,A253))</f>
        <v/>
      </c>
    </row>
    <row r="254">
      <c r="A254" s="14">
        <f>IFERROR(MATCH(SMALL(新年度名簿!$J$2:$J$451,252),新年度名簿!$J$2:$J$451,0),"")</f>
        <v/>
      </c>
      <c r="B254" s="14">
        <f>IF(A254="","",INDEX(新年度名簿!$G$2:$G$451,A254))</f>
        <v/>
      </c>
      <c r="C254" s="14">
        <f>IF(A254="","",IFERROR(MATCH(B254,設定!$P$8:$P$27,0),""))</f>
        <v/>
      </c>
      <c r="D254" s="14">
        <f>IF(C254="","",COUNTIF($C$3:C254,C254))</f>
        <v/>
      </c>
      <c r="E254" s="14">
        <f>IF(C254="","",C254*1000+D254)</f>
        <v/>
      </c>
      <c r="F254" s="14">
        <f>IF(A254="","",INDEX(新年度名簿!$K$2:$K$451,A254))</f>
        <v/>
      </c>
      <c r="G254" s="14">
        <f>IF(A254="","",INDEX(新年度名簿!$C$2:$C$451,A254))</f>
        <v/>
      </c>
      <c r="H254" s="14">
        <f>IF(A254="","",INDEX(新年度名簿!$D$2:$D$451,A254))</f>
        <v/>
      </c>
    </row>
    <row r="255">
      <c r="A255" s="14">
        <f>IFERROR(MATCH(SMALL(新年度名簿!$J$2:$J$451,253),新年度名簿!$J$2:$J$451,0),"")</f>
        <v/>
      </c>
      <c r="B255" s="14">
        <f>IF(A255="","",INDEX(新年度名簿!$G$2:$G$451,A255))</f>
        <v/>
      </c>
      <c r="C255" s="14">
        <f>IF(A255="","",IFERROR(MATCH(B255,設定!$P$8:$P$27,0),""))</f>
        <v/>
      </c>
      <c r="D255" s="14">
        <f>IF(C255="","",COUNTIF($C$3:C255,C255))</f>
        <v/>
      </c>
      <c r="E255" s="14">
        <f>IF(C255="","",C255*1000+D255)</f>
        <v/>
      </c>
      <c r="F255" s="14">
        <f>IF(A255="","",INDEX(新年度名簿!$K$2:$K$451,A255))</f>
        <v/>
      </c>
      <c r="G255" s="14">
        <f>IF(A255="","",INDEX(新年度名簿!$C$2:$C$451,A255))</f>
        <v/>
      </c>
      <c r="H255" s="14">
        <f>IF(A255="","",INDEX(新年度名簿!$D$2:$D$451,A255))</f>
        <v/>
      </c>
    </row>
    <row r="256">
      <c r="A256" s="14">
        <f>IFERROR(MATCH(SMALL(新年度名簿!$J$2:$J$451,254),新年度名簿!$J$2:$J$451,0),"")</f>
        <v/>
      </c>
      <c r="B256" s="14">
        <f>IF(A256="","",INDEX(新年度名簿!$G$2:$G$451,A256))</f>
        <v/>
      </c>
      <c r="C256" s="14">
        <f>IF(A256="","",IFERROR(MATCH(B256,設定!$P$8:$P$27,0),""))</f>
        <v/>
      </c>
      <c r="D256" s="14">
        <f>IF(C256="","",COUNTIF($C$3:C256,C256))</f>
        <v/>
      </c>
      <c r="E256" s="14">
        <f>IF(C256="","",C256*1000+D256)</f>
        <v/>
      </c>
      <c r="F256" s="14">
        <f>IF(A256="","",INDEX(新年度名簿!$K$2:$K$451,A256))</f>
        <v/>
      </c>
      <c r="G256" s="14">
        <f>IF(A256="","",INDEX(新年度名簿!$C$2:$C$451,A256))</f>
        <v/>
      </c>
      <c r="H256" s="14">
        <f>IF(A256="","",INDEX(新年度名簿!$D$2:$D$451,A256))</f>
        <v/>
      </c>
    </row>
    <row r="257">
      <c r="A257" s="14">
        <f>IFERROR(MATCH(SMALL(新年度名簿!$J$2:$J$451,255),新年度名簿!$J$2:$J$451,0),"")</f>
        <v/>
      </c>
      <c r="B257" s="14">
        <f>IF(A257="","",INDEX(新年度名簿!$G$2:$G$451,A257))</f>
        <v/>
      </c>
      <c r="C257" s="14">
        <f>IF(A257="","",IFERROR(MATCH(B257,設定!$P$8:$P$27,0),""))</f>
        <v/>
      </c>
      <c r="D257" s="14">
        <f>IF(C257="","",COUNTIF($C$3:C257,C257))</f>
        <v/>
      </c>
      <c r="E257" s="14">
        <f>IF(C257="","",C257*1000+D257)</f>
        <v/>
      </c>
      <c r="F257" s="14">
        <f>IF(A257="","",INDEX(新年度名簿!$K$2:$K$451,A257))</f>
        <v/>
      </c>
      <c r="G257" s="14">
        <f>IF(A257="","",INDEX(新年度名簿!$C$2:$C$451,A257))</f>
        <v/>
      </c>
      <c r="H257" s="14">
        <f>IF(A257="","",INDEX(新年度名簿!$D$2:$D$451,A257))</f>
        <v/>
      </c>
    </row>
    <row r="258">
      <c r="A258" s="14">
        <f>IFERROR(MATCH(SMALL(新年度名簿!$J$2:$J$451,256),新年度名簿!$J$2:$J$451,0),"")</f>
        <v/>
      </c>
      <c r="B258" s="14">
        <f>IF(A258="","",INDEX(新年度名簿!$G$2:$G$451,A258))</f>
        <v/>
      </c>
      <c r="C258" s="14">
        <f>IF(A258="","",IFERROR(MATCH(B258,設定!$P$8:$P$27,0),""))</f>
        <v/>
      </c>
      <c r="D258" s="14">
        <f>IF(C258="","",COUNTIF($C$3:C258,C258))</f>
        <v/>
      </c>
      <c r="E258" s="14">
        <f>IF(C258="","",C258*1000+D258)</f>
        <v/>
      </c>
      <c r="F258" s="14">
        <f>IF(A258="","",INDEX(新年度名簿!$K$2:$K$451,A258))</f>
        <v/>
      </c>
      <c r="G258" s="14">
        <f>IF(A258="","",INDEX(新年度名簿!$C$2:$C$451,A258))</f>
        <v/>
      </c>
      <c r="H258" s="14">
        <f>IF(A258="","",INDEX(新年度名簿!$D$2:$D$451,A258))</f>
        <v/>
      </c>
    </row>
    <row r="259">
      <c r="A259" s="14">
        <f>IFERROR(MATCH(SMALL(新年度名簿!$J$2:$J$451,257),新年度名簿!$J$2:$J$451,0),"")</f>
        <v/>
      </c>
      <c r="B259" s="14">
        <f>IF(A259="","",INDEX(新年度名簿!$G$2:$G$451,A259))</f>
        <v/>
      </c>
      <c r="C259" s="14">
        <f>IF(A259="","",IFERROR(MATCH(B259,設定!$P$8:$P$27,0),""))</f>
        <v/>
      </c>
      <c r="D259" s="14">
        <f>IF(C259="","",COUNTIF($C$3:C259,C259))</f>
        <v/>
      </c>
      <c r="E259" s="14">
        <f>IF(C259="","",C259*1000+D259)</f>
        <v/>
      </c>
      <c r="F259" s="14">
        <f>IF(A259="","",INDEX(新年度名簿!$K$2:$K$451,A259))</f>
        <v/>
      </c>
      <c r="G259" s="14">
        <f>IF(A259="","",INDEX(新年度名簿!$C$2:$C$451,A259))</f>
        <v/>
      </c>
      <c r="H259" s="14">
        <f>IF(A259="","",INDEX(新年度名簿!$D$2:$D$451,A259))</f>
        <v/>
      </c>
    </row>
    <row r="260">
      <c r="A260" s="14">
        <f>IFERROR(MATCH(SMALL(新年度名簿!$J$2:$J$451,258),新年度名簿!$J$2:$J$451,0),"")</f>
        <v/>
      </c>
      <c r="B260" s="14">
        <f>IF(A260="","",INDEX(新年度名簿!$G$2:$G$451,A260))</f>
        <v/>
      </c>
      <c r="C260" s="14">
        <f>IF(A260="","",IFERROR(MATCH(B260,設定!$P$8:$P$27,0),""))</f>
        <v/>
      </c>
      <c r="D260" s="14">
        <f>IF(C260="","",COUNTIF($C$3:C260,C260))</f>
        <v/>
      </c>
      <c r="E260" s="14">
        <f>IF(C260="","",C260*1000+D260)</f>
        <v/>
      </c>
      <c r="F260" s="14">
        <f>IF(A260="","",INDEX(新年度名簿!$K$2:$K$451,A260))</f>
        <v/>
      </c>
      <c r="G260" s="14">
        <f>IF(A260="","",INDEX(新年度名簿!$C$2:$C$451,A260))</f>
        <v/>
      </c>
      <c r="H260" s="14">
        <f>IF(A260="","",INDEX(新年度名簿!$D$2:$D$451,A260))</f>
        <v/>
      </c>
    </row>
    <row r="261">
      <c r="A261" s="14">
        <f>IFERROR(MATCH(SMALL(新年度名簿!$J$2:$J$451,259),新年度名簿!$J$2:$J$451,0),"")</f>
        <v/>
      </c>
      <c r="B261" s="14">
        <f>IF(A261="","",INDEX(新年度名簿!$G$2:$G$451,A261))</f>
        <v/>
      </c>
      <c r="C261" s="14">
        <f>IF(A261="","",IFERROR(MATCH(B261,設定!$P$8:$P$27,0),""))</f>
        <v/>
      </c>
      <c r="D261" s="14">
        <f>IF(C261="","",COUNTIF($C$3:C261,C261))</f>
        <v/>
      </c>
      <c r="E261" s="14">
        <f>IF(C261="","",C261*1000+D261)</f>
        <v/>
      </c>
      <c r="F261" s="14">
        <f>IF(A261="","",INDEX(新年度名簿!$K$2:$K$451,A261))</f>
        <v/>
      </c>
      <c r="G261" s="14">
        <f>IF(A261="","",INDEX(新年度名簿!$C$2:$C$451,A261))</f>
        <v/>
      </c>
      <c r="H261" s="14">
        <f>IF(A261="","",INDEX(新年度名簿!$D$2:$D$451,A261))</f>
        <v/>
      </c>
    </row>
    <row r="262">
      <c r="A262" s="14">
        <f>IFERROR(MATCH(SMALL(新年度名簿!$J$2:$J$451,260),新年度名簿!$J$2:$J$451,0),"")</f>
        <v/>
      </c>
      <c r="B262" s="14">
        <f>IF(A262="","",INDEX(新年度名簿!$G$2:$G$451,A262))</f>
        <v/>
      </c>
      <c r="C262" s="14">
        <f>IF(A262="","",IFERROR(MATCH(B262,設定!$P$8:$P$27,0),""))</f>
        <v/>
      </c>
      <c r="D262" s="14">
        <f>IF(C262="","",COUNTIF($C$3:C262,C262))</f>
        <v/>
      </c>
      <c r="E262" s="14">
        <f>IF(C262="","",C262*1000+D262)</f>
        <v/>
      </c>
      <c r="F262" s="14">
        <f>IF(A262="","",INDEX(新年度名簿!$K$2:$K$451,A262))</f>
        <v/>
      </c>
      <c r="G262" s="14">
        <f>IF(A262="","",INDEX(新年度名簿!$C$2:$C$451,A262))</f>
        <v/>
      </c>
      <c r="H262" s="14">
        <f>IF(A262="","",INDEX(新年度名簿!$D$2:$D$451,A262))</f>
        <v/>
      </c>
    </row>
    <row r="263">
      <c r="A263" s="14">
        <f>IFERROR(MATCH(SMALL(新年度名簿!$J$2:$J$451,261),新年度名簿!$J$2:$J$451,0),"")</f>
        <v/>
      </c>
      <c r="B263" s="14">
        <f>IF(A263="","",INDEX(新年度名簿!$G$2:$G$451,A263))</f>
        <v/>
      </c>
      <c r="C263" s="14">
        <f>IF(A263="","",IFERROR(MATCH(B263,設定!$P$8:$P$27,0),""))</f>
        <v/>
      </c>
      <c r="D263" s="14">
        <f>IF(C263="","",COUNTIF($C$3:C263,C263))</f>
        <v/>
      </c>
      <c r="E263" s="14">
        <f>IF(C263="","",C263*1000+D263)</f>
        <v/>
      </c>
      <c r="F263" s="14">
        <f>IF(A263="","",INDEX(新年度名簿!$K$2:$K$451,A263))</f>
        <v/>
      </c>
      <c r="G263" s="14">
        <f>IF(A263="","",INDEX(新年度名簿!$C$2:$C$451,A263))</f>
        <v/>
      </c>
      <c r="H263" s="14">
        <f>IF(A263="","",INDEX(新年度名簿!$D$2:$D$451,A263))</f>
        <v/>
      </c>
    </row>
    <row r="264">
      <c r="A264" s="14">
        <f>IFERROR(MATCH(SMALL(新年度名簿!$J$2:$J$451,262),新年度名簿!$J$2:$J$451,0),"")</f>
        <v/>
      </c>
      <c r="B264" s="14">
        <f>IF(A264="","",INDEX(新年度名簿!$G$2:$G$451,A264))</f>
        <v/>
      </c>
      <c r="C264" s="14">
        <f>IF(A264="","",IFERROR(MATCH(B264,設定!$P$8:$P$27,0),""))</f>
        <v/>
      </c>
      <c r="D264" s="14">
        <f>IF(C264="","",COUNTIF($C$3:C264,C264))</f>
        <v/>
      </c>
      <c r="E264" s="14">
        <f>IF(C264="","",C264*1000+D264)</f>
        <v/>
      </c>
      <c r="F264" s="14">
        <f>IF(A264="","",INDEX(新年度名簿!$K$2:$K$451,A264))</f>
        <v/>
      </c>
      <c r="G264" s="14">
        <f>IF(A264="","",INDEX(新年度名簿!$C$2:$C$451,A264))</f>
        <v/>
      </c>
      <c r="H264" s="14">
        <f>IF(A264="","",INDEX(新年度名簿!$D$2:$D$451,A264))</f>
        <v/>
      </c>
    </row>
    <row r="265">
      <c r="A265" s="14">
        <f>IFERROR(MATCH(SMALL(新年度名簿!$J$2:$J$451,263),新年度名簿!$J$2:$J$451,0),"")</f>
        <v/>
      </c>
      <c r="B265" s="14">
        <f>IF(A265="","",INDEX(新年度名簿!$G$2:$G$451,A265))</f>
        <v/>
      </c>
      <c r="C265" s="14">
        <f>IF(A265="","",IFERROR(MATCH(B265,設定!$P$8:$P$27,0),""))</f>
        <v/>
      </c>
      <c r="D265" s="14">
        <f>IF(C265="","",COUNTIF($C$3:C265,C265))</f>
        <v/>
      </c>
      <c r="E265" s="14">
        <f>IF(C265="","",C265*1000+D265)</f>
        <v/>
      </c>
      <c r="F265" s="14">
        <f>IF(A265="","",INDEX(新年度名簿!$K$2:$K$451,A265))</f>
        <v/>
      </c>
      <c r="G265" s="14">
        <f>IF(A265="","",INDEX(新年度名簿!$C$2:$C$451,A265))</f>
        <v/>
      </c>
      <c r="H265" s="14">
        <f>IF(A265="","",INDEX(新年度名簿!$D$2:$D$451,A265))</f>
        <v/>
      </c>
    </row>
    <row r="266">
      <c r="A266" s="14">
        <f>IFERROR(MATCH(SMALL(新年度名簿!$J$2:$J$451,264),新年度名簿!$J$2:$J$451,0),"")</f>
        <v/>
      </c>
      <c r="B266" s="14">
        <f>IF(A266="","",INDEX(新年度名簿!$G$2:$G$451,A266))</f>
        <v/>
      </c>
      <c r="C266" s="14">
        <f>IF(A266="","",IFERROR(MATCH(B266,設定!$P$8:$P$27,0),""))</f>
        <v/>
      </c>
      <c r="D266" s="14">
        <f>IF(C266="","",COUNTIF($C$3:C266,C266))</f>
        <v/>
      </c>
      <c r="E266" s="14">
        <f>IF(C266="","",C266*1000+D266)</f>
        <v/>
      </c>
      <c r="F266" s="14">
        <f>IF(A266="","",INDEX(新年度名簿!$K$2:$K$451,A266))</f>
        <v/>
      </c>
      <c r="G266" s="14">
        <f>IF(A266="","",INDEX(新年度名簿!$C$2:$C$451,A266))</f>
        <v/>
      </c>
      <c r="H266" s="14">
        <f>IF(A266="","",INDEX(新年度名簿!$D$2:$D$451,A266))</f>
        <v/>
      </c>
    </row>
    <row r="267">
      <c r="A267" s="14">
        <f>IFERROR(MATCH(SMALL(新年度名簿!$J$2:$J$451,265),新年度名簿!$J$2:$J$451,0),"")</f>
        <v/>
      </c>
      <c r="B267" s="14">
        <f>IF(A267="","",INDEX(新年度名簿!$G$2:$G$451,A267))</f>
        <v/>
      </c>
      <c r="C267" s="14">
        <f>IF(A267="","",IFERROR(MATCH(B267,設定!$P$8:$P$27,0),""))</f>
        <v/>
      </c>
      <c r="D267" s="14">
        <f>IF(C267="","",COUNTIF($C$3:C267,C267))</f>
        <v/>
      </c>
      <c r="E267" s="14">
        <f>IF(C267="","",C267*1000+D267)</f>
        <v/>
      </c>
      <c r="F267" s="14">
        <f>IF(A267="","",INDEX(新年度名簿!$K$2:$K$451,A267))</f>
        <v/>
      </c>
      <c r="G267" s="14">
        <f>IF(A267="","",INDEX(新年度名簿!$C$2:$C$451,A267))</f>
        <v/>
      </c>
      <c r="H267" s="14">
        <f>IF(A267="","",INDEX(新年度名簿!$D$2:$D$451,A267))</f>
        <v/>
      </c>
    </row>
    <row r="268">
      <c r="A268" s="14">
        <f>IFERROR(MATCH(SMALL(新年度名簿!$J$2:$J$451,266),新年度名簿!$J$2:$J$451,0),"")</f>
        <v/>
      </c>
      <c r="B268" s="14">
        <f>IF(A268="","",INDEX(新年度名簿!$G$2:$G$451,A268))</f>
        <v/>
      </c>
      <c r="C268" s="14">
        <f>IF(A268="","",IFERROR(MATCH(B268,設定!$P$8:$P$27,0),""))</f>
        <v/>
      </c>
      <c r="D268" s="14">
        <f>IF(C268="","",COUNTIF($C$3:C268,C268))</f>
        <v/>
      </c>
      <c r="E268" s="14">
        <f>IF(C268="","",C268*1000+D268)</f>
        <v/>
      </c>
      <c r="F268" s="14">
        <f>IF(A268="","",INDEX(新年度名簿!$K$2:$K$451,A268))</f>
        <v/>
      </c>
      <c r="G268" s="14">
        <f>IF(A268="","",INDEX(新年度名簿!$C$2:$C$451,A268))</f>
        <v/>
      </c>
      <c r="H268" s="14">
        <f>IF(A268="","",INDEX(新年度名簿!$D$2:$D$451,A268))</f>
        <v/>
      </c>
    </row>
    <row r="269">
      <c r="A269" s="14">
        <f>IFERROR(MATCH(SMALL(新年度名簿!$J$2:$J$451,267),新年度名簿!$J$2:$J$451,0),"")</f>
        <v/>
      </c>
      <c r="B269" s="14">
        <f>IF(A269="","",INDEX(新年度名簿!$G$2:$G$451,A269))</f>
        <v/>
      </c>
      <c r="C269" s="14">
        <f>IF(A269="","",IFERROR(MATCH(B269,設定!$P$8:$P$27,0),""))</f>
        <v/>
      </c>
      <c r="D269" s="14">
        <f>IF(C269="","",COUNTIF($C$3:C269,C269))</f>
        <v/>
      </c>
      <c r="E269" s="14">
        <f>IF(C269="","",C269*1000+D269)</f>
        <v/>
      </c>
      <c r="F269" s="14">
        <f>IF(A269="","",INDEX(新年度名簿!$K$2:$K$451,A269))</f>
        <v/>
      </c>
      <c r="G269" s="14">
        <f>IF(A269="","",INDEX(新年度名簿!$C$2:$C$451,A269))</f>
        <v/>
      </c>
      <c r="H269" s="14">
        <f>IF(A269="","",INDEX(新年度名簿!$D$2:$D$451,A269))</f>
        <v/>
      </c>
    </row>
    <row r="270">
      <c r="A270" s="14">
        <f>IFERROR(MATCH(SMALL(新年度名簿!$J$2:$J$451,268),新年度名簿!$J$2:$J$451,0),"")</f>
        <v/>
      </c>
      <c r="B270" s="14">
        <f>IF(A270="","",INDEX(新年度名簿!$G$2:$G$451,A270))</f>
        <v/>
      </c>
      <c r="C270" s="14">
        <f>IF(A270="","",IFERROR(MATCH(B270,設定!$P$8:$P$27,0),""))</f>
        <v/>
      </c>
      <c r="D270" s="14">
        <f>IF(C270="","",COUNTIF($C$3:C270,C270))</f>
        <v/>
      </c>
      <c r="E270" s="14">
        <f>IF(C270="","",C270*1000+D270)</f>
        <v/>
      </c>
      <c r="F270" s="14">
        <f>IF(A270="","",INDEX(新年度名簿!$K$2:$K$451,A270))</f>
        <v/>
      </c>
      <c r="G270" s="14">
        <f>IF(A270="","",INDEX(新年度名簿!$C$2:$C$451,A270))</f>
        <v/>
      </c>
      <c r="H270" s="14">
        <f>IF(A270="","",INDEX(新年度名簿!$D$2:$D$451,A270))</f>
        <v/>
      </c>
    </row>
    <row r="271">
      <c r="A271" s="14">
        <f>IFERROR(MATCH(SMALL(新年度名簿!$J$2:$J$451,269),新年度名簿!$J$2:$J$451,0),"")</f>
        <v/>
      </c>
      <c r="B271" s="14">
        <f>IF(A271="","",INDEX(新年度名簿!$G$2:$G$451,A271))</f>
        <v/>
      </c>
      <c r="C271" s="14">
        <f>IF(A271="","",IFERROR(MATCH(B271,設定!$P$8:$P$27,0),""))</f>
        <v/>
      </c>
      <c r="D271" s="14">
        <f>IF(C271="","",COUNTIF($C$3:C271,C271))</f>
        <v/>
      </c>
      <c r="E271" s="14">
        <f>IF(C271="","",C271*1000+D271)</f>
        <v/>
      </c>
      <c r="F271" s="14">
        <f>IF(A271="","",INDEX(新年度名簿!$K$2:$K$451,A271))</f>
        <v/>
      </c>
      <c r="G271" s="14">
        <f>IF(A271="","",INDEX(新年度名簿!$C$2:$C$451,A271))</f>
        <v/>
      </c>
      <c r="H271" s="14">
        <f>IF(A271="","",INDEX(新年度名簿!$D$2:$D$451,A271))</f>
        <v/>
      </c>
    </row>
    <row r="272">
      <c r="A272" s="14">
        <f>IFERROR(MATCH(SMALL(新年度名簿!$J$2:$J$451,270),新年度名簿!$J$2:$J$451,0),"")</f>
        <v/>
      </c>
      <c r="B272" s="14">
        <f>IF(A272="","",INDEX(新年度名簿!$G$2:$G$451,A272))</f>
        <v/>
      </c>
      <c r="C272" s="14">
        <f>IF(A272="","",IFERROR(MATCH(B272,設定!$P$8:$P$27,0),""))</f>
        <v/>
      </c>
      <c r="D272" s="14">
        <f>IF(C272="","",COUNTIF($C$3:C272,C272))</f>
        <v/>
      </c>
      <c r="E272" s="14">
        <f>IF(C272="","",C272*1000+D272)</f>
        <v/>
      </c>
      <c r="F272" s="14">
        <f>IF(A272="","",INDEX(新年度名簿!$K$2:$K$451,A272))</f>
        <v/>
      </c>
      <c r="G272" s="14">
        <f>IF(A272="","",INDEX(新年度名簿!$C$2:$C$451,A272))</f>
        <v/>
      </c>
      <c r="H272" s="14">
        <f>IF(A272="","",INDEX(新年度名簿!$D$2:$D$451,A272))</f>
        <v/>
      </c>
    </row>
    <row r="273">
      <c r="A273" s="14">
        <f>IFERROR(MATCH(SMALL(新年度名簿!$J$2:$J$451,271),新年度名簿!$J$2:$J$451,0),"")</f>
        <v/>
      </c>
      <c r="B273" s="14">
        <f>IF(A273="","",INDEX(新年度名簿!$G$2:$G$451,A273))</f>
        <v/>
      </c>
      <c r="C273" s="14">
        <f>IF(A273="","",IFERROR(MATCH(B273,設定!$P$8:$P$27,0),""))</f>
        <v/>
      </c>
      <c r="D273" s="14">
        <f>IF(C273="","",COUNTIF($C$3:C273,C273))</f>
        <v/>
      </c>
      <c r="E273" s="14">
        <f>IF(C273="","",C273*1000+D273)</f>
        <v/>
      </c>
      <c r="F273" s="14">
        <f>IF(A273="","",INDEX(新年度名簿!$K$2:$K$451,A273))</f>
        <v/>
      </c>
      <c r="G273" s="14">
        <f>IF(A273="","",INDEX(新年度名簿!$C$2:$C$451,A273))</f>
        <v/>
      </c>
      <c r="H273" s="14">
        <f>IF(A273="","",INDEX(新年度名簿!$D$2:$D$451,A273))</f>
        <v/>
      </c>
    </row>
    <row r="274">
      <c r="A274" s="14">
        <f>IFERROR(MATCH(SMALL(新年度名簿!$J$2:$J$451,272),新年度名簿!$J$2:$J$451,0),"")</f>
        <v/>
      </c>
      <c r="B274" s="14">
        <f>IF(A274="","",INDEX(新年度名簿!$G$2:$G$451,A274))</f>
        <v/>
      </c>
      <c r="C274" s="14">
        <f>IF(A274="","",IFERROR(MATCH(B274,設定!$P$8:$P$27,0),""))</f>
        <v/>
      </c>
      <c r="D274" s="14">
        <f>IF(C274="","",COUNTIF($C$3:C274,C274))</f>
        <v/>
      </c>
      <c r="E274" s="14">
        <f>IF(C274="","",C274*1000+D274)</f>
        <v/>
      </c>
      <c r="F274" s="14">
        <f>IF(A274="","",INDEX(新年度名簿!$K$2:$K$451,A274))</f>
        <v/>
      </c>
      <c r="G274" s="14">
        <f>IF(A274="","",INDEX(新年度名簿!$C$2:$C$451,A274))</f>
        <v/>
      </c>
      <c r="H274" s="14">
        <f>IF(A274="","",INDEX(新年度名簿!$D$2:$D$451,A274))</f>
        <v/>
      </c>
    </row>
    <row r="275">
      <c r="A275" s="14">
        <f>IFERROR(MATCH(SMALL(新年度名簿!$J$2:$J$451,273),新年度名簿!$J$2:$J$451,0),"")</f>
        <v/>
      </c>
      <c r="B275" s="14">
        <f>IF(A275="","",INDEX(新年度名簿!$G$2:$G$451,A275))</f>
        <v/>
      </c>
      <c r="C275" s="14">
        <f>IF(A275="","",IFERROR(MATCH(B275,設定!$P$8:$P$27,0),""))</f>
        <v/>
      </c>
      <c r="D275" s="14">
        <f>IF(C275="","",COUNTIF($C$3:C275,C275))</f>
        <v/>
      </c>
      <c r="E275" s="14">
        <f>IF(C275="","",C275*1000+D275)</f>
        <v/>
      </c>
      <c r="F275" s="14">
        <f>IF(A275="","",INDEX(新年度名簿!$K$2:$K$451,A275))</f>
        <v/>
      </c>
      <c r="G275" s="14">
        <f>IF(A275="","",INDEX(新年度名簿!$C$2:$C$451,A275))</f>
        <v/>
      </c>
      <c r="H275" s="14">
        <f>IF(A275="","",INDEX(新年度名簿!$D$2:$D$451,A275))</f>
        <v/>
      </c>
    </row>
    <row r="276">
      <c r="A276" s="14">
        <f>IFERROR(MATCH(SMALL(新年度名簿!$J$2:$J$451,274),新年度名簿!$J$2:$J$451,0),"")</f>
        <v/>
      </c>
      <c r="B276" s="14">
        <f>IF(A276="","",INDEX(新年度名簿!$G$2:$G$451,A276))</f>
        <v/>
      </c>
      <c r="C276" s="14">
        <f>IF(A276="","",IFERROR(MATCH(B276,設定!$P$8:$P$27,0),""))</f>
        <v/>
      </c>
      <c r="D276" s="14">
        <f>IF(C276="","",COUNTIF($C$3:C276,C276))</f>
        <v/>
      </c>
      <c r="E276" s="14">
        <f>IF(C276="","",C276*1000+D276)</f>
        <v/>
      </c>
      <c r="F276" s="14">
        <f>IF(A276="","",INDEX(新年度名簿!$K$2:$K$451,A276))</f>
        <v/>
      </c>
      <c r="G276" s="14">
        <f>IF(A276="","",INDEX(新年度名簿!$C$2:$C$451,A276))</f>
        <v/>
      </c>
      <c r="H276" s="14">
        <f>IF(A276="","",INDEX(新年度名簿!$D$2:$D$451,A276))</f>
        <v/>
      </c>
    </row>
    <row r="277">
      <c r="A277" s="14">
        <f>IFERROR(MATCH(SMALL(新年度名簿!$J$2:$J$451,275),新年度名簿!$J$2:$J$451,0),"")</f>
        <v/>
      </c>
      <c r="B277" s="14">
        <f>IF(A277="","",INDEX(新年度名簿!$G$2:$G$451,A277))</f>
        <v/>
      </c>
      <c r="C277" s="14">
        <f>IF(A277="","",IFERROR(MATCH(B277,設定!$P$8:$P$27,0),""))</f>
        <v/>
      </c>
      <c r="D277" s="14">
        <f>IF(C277="","",COUNTIF($C$3:C277,C277))</f>
        <v/>
      </c>
      <c r="E277" s="14">
        <f>IF(C277="","",C277*1000+D277)</f>
        <v/>
      </c>
      <c r="F277" s="14">
        <f>IF(A277="","",INDEX(新年度名簿!$K$2:$K$451,A277))</f>
        <v/>
      </c>
      <c r="G277" s="14">
        <f>IF(A277="","",INDEX(新年度名簿!$C$2:$C$451,A277))</f>
        <v/>
      </c>
      <c r="H277" s="14">
        <f>IF(A277="","",INDEX(新年度名簿!$D$2:$D$451,A277))</f>
        <v/>
      </c>
    </row>
    <row r="278">
      <c r="A278" s="14">
        <f>IFERROR(MATCH(SMALL(新年度名簿!$J$2:$J$451,276),新年度名簿!$J$2:$J$451,0),"")</f>
        <v/>
      </c>
      <c r="B278" s="14">
        <f>IF(A278="","",INDEX(新年度名簿!$G$2:$G$451,A278))</f>
        <v/>
      </c>
      <c r="C278" s="14">
        <f>IF(A278="","",IFERROR(MATCH(B278,設定!$P$8:$P$27,0),""))</f>
        <v/>
      </c>
      <c r="D278" s="14">
        <f>IF(C278="","",COUNTIF($C$3:C278,C278))</f>
        <v/>
      </c>
      <c r="E278" s="14">
        <f>IF(C278="","",C278*1000+D278)</f>
        <v/>
      </c>
      <c r="F278" s="14">
        <f>IF(A278="","",INDEX(新年度名簿!$K$2:$K$451,A278))</f>
        <v/>
      </c>
      <c r="G278" s="14">
        <f>IF(A278="","",INDEX(新年度名簿!$C$2:$C$451,A278))</f>
        <v/>
      </c>
      <c r="H278" s="14">
        <f>IF(A278="","",INDEX(新年度名簿!$D$2:$D$451,A278))</f>
        <v/>
      </c>
    </row>
    <row r="279">
      <c r="A279" s="14">
        <f>IFERROR(MATCH(SMALL(新年度名簿!$J$2:$J$451,277),新年度名簿!$J$2:$J$451,0),"")</f>
        <v/>
      </c>
      <c r="B279" s="14">
        <f>IF(A279="","",INDEX(新年度名簿!$G$2:$G$451,A279))</f>
        <v/>
      </c>
      <c r="C279" s="14">
        <f>IF(A279="","",IFERROR(MATCH(B279,設定!$P$8:$P$27,0),""))</f>
        <v/>
      </c>
      <c r="D279" s="14">
        <f>IF(C279="","",COUNTIF($C$3:C279,C279))</f>
        <v/>
      </c>
      <c r="E279" s="14">
        <f>IF(C279="","",C279*1000+D279)</f>
        <v/>
      </c>
      <c r="F279" s="14">
        <f>IF(A279="","",INDEX(新年度名簿!$K$2:$K$451,A279))</f>
        <v/>
      </c>
      <c r="G279" s="14">
        <f>IF(A279="","",INDEX(新年度名簿!$C$2:$C$451,A279))</f>
        <v/>
      </c>
      <c r="H279" s="14">
        <f>IF(A279="","",INDEX(新年度名簿!$D$2:$D$451,A279))</f>
        <v/>
      </c>
    </row>
    <row r="280">
      <c r="A280" s="14">
        <f>IFERROR(MATCH(SMALL(新年度名簿!$J$2:$J$451,278),新年度名簿!$J$2:$J$451,0),"")</f>
        <v/>
      </c>
      <c r="B280" s="14">
        <f>IF(A280="","",INDEX(新年度名簿!$G$2:$G$451,A280))</f>
        <v/>
      </c>
      <c r="C280" s="14">
        <f>IF(A280="","",IFERROR(MATCH(B280,設定!$P$8:$P$27,0),""))</f>
        <v/>
      </c>
      <c r="D280" s="14">
        <f>IF(C280="","",COUNTIF($C$3:C280,C280))</f>
        <v/>
      </c>
      <c r="E280" s="14">
        <f>IF(C280="","",C280*1000+D280)</f>
        <v/>
      </c>
      <c r="F280" s="14">
        <f>IF(A280="","",INDEX(新年度名簿!$K$2:$K$451,A280))</f>
        <v/>
      </c>
      <c r="G280" s="14">
        <f>IF(A280="","",INDEX(新年度名簿!$C$2:$C$451,A280))</f>
        <v/>
      </c>
      <c r="H280" s="14">
        <f>IF(A280="","",INDEX(新年度名簿!$D$2:$D$451,A280))</f>
        <v/>
      </c>
    </row>
    <row r="281">
      <c r="A281" s="14">
        <f>IFERROR(MATCH(SMALL(新年度名簿!$J$2:$J$451,279),新年度名簿!$J$2:$J$451,0),"")</f>
        <v/>
      </c>
      <c r="B281" s="14">
        <f>IF(A281="","",INDEX(新年度名簿!$G$2:$G$451,A281))</f>
        <v/>
      </c>
      <c r="C281" s="14">
        <f>IF(A281="","",IFERROR(MATCH(B281,設定!$P$8:$P$27,0),""))</f>
        <v/>
      </c>
      <c r="D281" s="14">
        <f>IF(C281="","",COUNTIF($C$3:C281,C281))</f>
        <v/>
      </c>
      <c r="E281" s="14">
        <f>IF(C281="","",C281*1000+D281)</f>
        <v/>
      </c>
      <c r="F281" s="14">
        <f>IF(A281="","",INDEX(新年度名簿!$K$2:$K$451,A281))</f>
        <v/>
      </c>
      <c r="G281" s="14">
        <f>IF(A281="","",INDEX(新年度名簿!$C$2:$C$451,A281))</f>
        <v/>
      </c>
      <c r="H281" s="14">
        <f>IF(A281="","",INDEX(新年度名簿!$D$2:$D$451,A281))</f>
        <v/>
      </c>
    </row>
    <row r="282">
      <c r="A282" s="14">
        <f>IFERROR(MATCH(SMALL(新年度名簿!$J$2:$J$451,280),新年度名簿!$J$2:$J$451,0),"")</f>
        <v/>
      </c>
      <c r="B282" s="14">
        <f>IF(A282="","",INDEX(新年度名簿!$G$2:$G$451,A282))</f>
        <v/>
      </c>
      <c r="C282" s="14">
        <f>IF(A282="","",IFERROR(MATCH(B282,設定!$P$8:$P$27,0),""))</f>
        <v/>
      </c>
      <c r="D282" s="14">
        <f>IF(C282="","",COUNTIF($C$3:C282,C282))</f>
        <v/>
      </c>
      <c r="E282" s="14">
        <f>IF(C282="","",C282*1000+D282)</f>
        <v/>
      </c>
      <c r="F282" s="14">
        <f>IF(A282="","",INDEX(新年度名簿!$K$2:$K$451,A282))</f>
        <v/>
      </c>
      <c r="G282" s="14">
        <f>IF(A282="","",INDEX(新年度名簿!$C$2:$C$451,A282))</f>
        <v/>
      </c>
      <c r="H282" s="14">
        <f>IF(A282="","",INDEX(新年度名簿!$D$2:$D$451,A282))</f>
        <v/>
      </c>
    </row>
    <row r="283">
      <c r="A283" s="14">
        <f>IFERROR(MATCH(SMALL(新年度名簿!$J$2:$J$451,281),新年度名簿!$J$2:$J$451,0),"")</f>
        <v/>
      </c>
      <c r="B283" s="14">
        <f>IF(A283="","",INDEX(新年度名簿!$G$2:$G$451,A283))</f>
        <v/>
      </c>
      <c r="C283" s="14">
        <f>IF(A283="","",IFERROR(MATCH(B283,設定!$P$8:$P$27,0),""))</f>
        <v/>
      </c>
      <c r="D283" s="14">
        <f>IF(C283="","",COUNTIF($C$3:C283,C283))</f>
        <v/>
      </c>
      <c r="E283" s="14">
        <f>IF(C283="","",C283*1000+D283)</f>
        <v/>
      </c>
      <c r="F283" s="14">
        <f>IF(A283="","",INDEX(新年度名簿!$K$2:$K$451,A283))</f>
        <v/>
      </c>
      <c r="G283" s="14">
        <f>IF(A283="","",INDEX(新年度名簿!$C$2:$C$451,A283))</f>
        <v/>
      </c>
      <c r="H283" s="14">
        <f>IF(A283="","",INDEX(新年度名簿!$D$2:$D$451,A283))</f>
        <v/>
      </c>
    </row>
    <row r="284">
      <c r="A284" s="14">
        <f>IFERROR(MATCH(SMALL(新年度名簿!$J$2:$J$451,282),新年度名簿!$J$2:$J$451,0),"")</f>
        <v/>
      </c>
      <c r="B284" s="14">
        <f>IF(A284="","",INDEX(新年度名簿!$G$2:$G$451,A284))</f>
        <v/>
      </c>
      <c r="C284" s="14">
        <f>IF(A284="","",IFERROR(MATCH(B284,設定!$P$8:$P$27,0),""))</f>
        <v/>
      </c>
      <c r="D284" s="14">
        <f>IF(C284="","",COUNTIF($C$3:C284,C284))</f>
        <v/>
      </c>
      <c r="E284" s="14">
        <f>IF(C284="","",C284*1000+D284)</f>
        <v/>
      </c>
      <c r="F284" s="14">
        <f>IF(A284="","",INDEX(新年度名簿!$K$2:$K$451,A284))</f>
        <v/>
      </c>
      <c r="G284" s="14">
        <f>IF(A284="","",INDEX(新年度名簿!$C$2:$C$451,A284))</f>
        <v/>
      </c>
      <c r="H284" s="14">
        <f>IF(A284="","",INDEX(新年度名簿!$D$2:$D$451,A284))</f>
        <v/>
      </c>
    </row>
    <row r="285">
      <c r="A285" s="14">
        <f>IFERROR(MATCH(SMALL(新年度名簿!$J$2:$J$451,283),新年度名簿!$J$2:$J$451,0),"")</f>
        <v/>
      </c>
      <c r="B285" s="14">
        <f>IF(A285="","",INDEX(新年度名簿!$G$2:$G$451,A285))</f>
        <v/>
      </c>
      <c r="C285" s="14">
        <f>IF(A285="","",IFERROR(MATCH(B285,設定!$P$8:$P$27,0),""))</f>
        <v/>
      </c>
      <c r="D285" s="14">
        <f>IF(C285="","",COUNTIF($C$3:C285,C285))</f>
        <v/>
      </c>
      <c r="E285" s="14">
        <f>IF(C285="","",C285*1000+D285)</f>
        <v/>
      </c>
      <c r="F285" s="14">
        <f>IF(A285="","",INDEX(新年度名簿!$K$2:$K$451,A285))</f>
        <v/>
      </c>
      <c r="G285" s="14">
        <f>IF(A285="","",INDEX(新年度名簿!$C$2:$C$451,A285))</f>
        <v/>
      </c>
      <c r="H285" s="14">
        <f>IF(A285="","",INDEX(新年度名簿!$D$2:$D$451,A285))</f>
        <v/>
      </c>
    </row>
    <row r="286">
      <c r="A286" s="14">
        <f>IFERROR(MATCH(SMALL(新年度名簿!$J$2:$J$451,284),新年度名簿!$J$2:$J$451,0),"")</f>
        <v/>
      </c>
      <c r="B286" s="14">
        <f>IF(A286="","",INDEX(新年度名簿!$G$2:$G$451,A286))</f>
        <v/>
      </c>
      <c r="C286" s="14">
        <f>IF(A286="","",IFERROR(MATCH(B286,設定!$P$8:$P$27,0),""))</f>
        <v/>
      </c>
      <c r="D286" s="14">
        <f>IF(C286="","",COUNTIF($C$3:C286,C286))</f>
        <v/>
      </c>
      <c r="E286" s="14">
        <f>IF(C286="","",C286*1000+D286)</f>
        <v/>
      </c>
      <c r="F286" s="14">
        <f>IF(A286="","",INDEX(新年度名簿!$K$2:$K$451,A286))</f>
        <v/>
      </c>
      <c r="G286" s="14">
        <f>IF(A286="","",INDEX(新年度名簿!$C$2:$C$451,A286))</f>
        <v/>
      </c>
      <c r="H286" s="14">
        <f>IF(A286="","",INDEX(新年度名簿!$D$2:$D$451,A286))</f>
        <v/>
      </c>
    </row>
    <row r="287">
      <c r="A287" s="14">
        <f>IFERROR(MATCH(SMALL(新年度名簿!$J$2:$J$451,285),新年度名簿!$J$2:$J$451,0),"")</f>
        <v/>
      </c>
      <c r="B287" s="14">
        <f>IF(A287="","",INDEX(新年度名簿!$G$2:$G$451,A287))</f>
        <v/>
      </c>
      <c r="C287" s="14">
        <f>IF(A287="","",IFERROR(MATCH(B287,設定!$P$8:$P$27,0),""))</f>
        <v/>
      </c>
      <c r="D287" s="14">
        <f>IF(C287="","",COUNTIF($C$3:C287,C287))</f>
        <v/>
      </c>
      <c r="E287" s="14">
        <f>IF(C287="","",C287*1000+D287)</f>
        <v/>
      </c>
      <c r="F287" s="14">
        <f>IF(A287="","",INDEX(新年度名簿!$K$2:$K$451,A287))</f>
        <v/>
      </c>
      <c r="G287" s="14">
        <f>IF(A287="","",INDEX(新年度名簿!$C$2:$C$451,A287))</f>
        <v/>
      </c>
      <c r="H287" s="14">
        <f>IF(A287="","",INDEX(新年度名簿!$D$2:$D$451,A287))</f>
        <v/>
      </c>
    </row>
    <row r="288">
      <c r="A288" s="14">
        <f>IFERROR(MATCH(SMALL(新年度名簿!$J$2:$J$451,286),新年度名簿!$J$2:$J$451,0),"")</f>
        <v/>
      </c>
      <c r="B288" s="14">
        <f>IF(A288="","",INDEX(新年度名簿!$G$2:$G$451,A288))</f>
        <v/>
      </c>
      <c r="C288" s="14">
        <f>IF(A288="","",IFERROR(MATCH(B288,設定!$P$8:$P$27,0),""))</f>
        <v/>
      </c>
      <c r="D288" s="14">
        <f>IF(C288="","",COUNTIF($C$3:C288,C288))</f>
        <v/>
      </c>
      <c r="E288" s="14">
        <f>IF(C288="","",C288*1000+D288)</f>
        <v/>
      </c>
      <c r="F288" s="14">
        <f>IF(A288="","",INDEX(新年度名簿!$K$2:$K$451,A288))</f>
        <v/>
      </c>
      <c r="G288" s="14">
        <f>IF(A288="","",INDEX(新年度名簿!$C$2:$C$451,A288))</f>
        <v/>
      </c>
      <c r="H288" s="14">
        <f>IF(A288="","",INDEX(新年度名簿!$D$2:$D$451,A288))</f>
        <v/>
      </c>
    </row>
    <row r="289">
      <c r="A289" s="14">
        <f>IFERROR(MATCH(SMALL(新年度名簿!$J$2:$J$451,287),新年度名簿!$J$2:$J$451,0),"")</f>
        <v/>
      </c>
      <c r="B289" s="14">
        <f>IF(A289="","",INDEX(新年度名簿!$G$2:$G$451,A289))</f>
        <v/>
      </c>
      <c r="C289" s="14">
        <f>IF(A289="","",IFERROR(MATCH(B289,設定!$P$8:$P$27,0),""))</f>
        <v/>
      </c>
      <c r="D289" s="14">
        <f>IF(C289="","",COUNTIF($C$3:C289,C289))</f>
        <v/>
      </c>
      <c r="E289" s="14">
        <f>IF(C289="","",C289*1000+D289)</f>
        <v/>
      </c>
      <c r="F289" s="14">
        <f>IF(A289="","",INDEX(新年度名簿!$K$2:$K$451,A289))</f>
        <v/>
      </c>
      <c r="G289" s="14">
        <f>IF(A289="","",INDEX(新年度名簿!$C$2:$C$451,A289))</f>
        <v/>
      </c>
      <c r="H289" s="14">
        <f>IF(A289="","",INDEX(新年度名簿!$D$2:$D$451,A289))</f>
        <v/>
      </c>
    </row>
    <row r="290">
      <c r="A290" s="14">
        <f>IFERROR(MATCH(SMALL(新年度名簿!$J$2:$J$451,288),新年度名簿!$J$2:$J$451,0),"")</f>
        <v/>
      </c>
      <c r="B290" s="14">
        <f>IF(A290="","",INDEX(新年度名簿!$G$2:$G$451,A290))</f>
        <v/>
      </c>
      <c r="C290" s="14">
        <f>IF(A290="","",IFERROR(MATCH(B290,設定!$P$8:$P$27,0),""))</f>
        <v/>
      </c>
      <c r="D290" s="14">
        <f>IF(C290="","",COUNTIF($C$3:C290,C290))</f>
        <v/>
      </c>
      <c r="E290" s="14">
        <f>IF(C290="","",C290*1000+D290)</f>
        <v/>
      </c>
      <c r="F290" s="14">
        <f>IF(A290="","",INDEX(新年度名簿!$K$2:$K$451,A290))</f>
        <v/>
      </c>
      <c r="G290" s="14">
        <f>IF(A290="","",INDEX(新年度名簿!$C$2:$C$451,A290))</f>
        <v/>
      </c>
      <c r="H290" s="14">
        <f>IF(A290="","",INDEX(新年度名簿!$D$2:$D$451,A290))</f>
        <v/>
      </c>
    </row>
    <row r="291">
      <c r="A291" s="14">
        <f>IFERROR(MATCH(SMALL(新年度名簿!$J$2:$J$451,289),新年度名簿!$J$2:$J$451,0),"")</f>
        <v/>
      </c>
      <c r="B291" s="14">
        <f>IF(A291="","",INDEX(新年度名簿!$G$2:$G$451,A291))</f>
        <v/>
      </c>
      <c r="C291" s="14">
        <f>IF(A291="","",IFERROR(MATCH(B291,設定!$P$8:$P$27,0),""))</f>
        <v/>
      </c>
      <c r="D291" s="14">
        <f>IF(C291="","",COUNTIF($C$3:C291,C291))</f>
        <v/>
      </c>
      <c r="E291" s="14">
        <f>IF(C291="","",C291*1000+D291)</f>
        <v/>
      </c>
      <c r="F291" s="14">
        <f>IF(A291="","",INDEX(新年度名簿!$K$2:$K$451,A291))</f>
        <v/>
      </c>
      <c r="G291" s="14">
        <f>IF(A291="","",INDEX(新年度名簿!$C$2:$C$451,A291))</f>
        <v/>
      </c>
      <c r="H291" s="14">
        <f>IF(A291="","",INDEX(新年度名簿!$D$2:$D$451,A291))</f>
        <v/>
      </c>
    </row>
    <row r="292">
      <c r="A292" s="14">
        <f>IFERROR(MATCH(SMALL(新年度名簿!$J$2:$J$451,290),新年度名簿!$J$2:$J$451,0),"")</f>
        <v/>
      </c>
      <c r="B292" s="14">
        <f>IF(A292="","",INDEX(新年度名簿!$G$2:$G$451,A292))</f>
        <v/>
      </c>
      <c r="C292" s="14">
        <f>IF(A292="","",IFERROR(MATCH(B292,設定!$P$8:$P$27,0),""))</f>
        <v/>
      </c>
      <c r="D292" s="14">
        <f>IF(C292="","",COUNTIF($C$3:C292,C292))</f>
        <v/>
      </c>
      <c r="E292" s="14">
        <f>IF(C292="","",C292*1000+D292)</f>
        <v/>
      </c>
      <c r="F292" s="14">
        <f>IF(A292="","",INDEX(新年度名簿!$K$2:$K$451,A292))</f>
        <v/>
      </c>
      <c r="G292" s="14">
        <f>IF(A292="","",INDEX(新年度名簿!$C$2:$C$451,A292))</f>
        <v/>
      </c>
      <c r="H292" s="14">
        <f>IF(A292="","",INDEX(新年度名簿!$D$2:$D$451,A292))</f>
        <v/>
      </c>
    </row>
    <row r="293">
      <c r="A293" s="14">
        <f>IFERROR(MATCH(SMALL(新年度名簿!$J$2:$J$451,291),新年度名簿!$J$2:$J$451,0),"")</f>
        <v/>
      </c>
      <c r="B293" s="14">
        <f>IF(A293="","",INDEX(新年度名簿!$G$2:$G$451,A293))</f>
        <v/>
      </c>
      <c r="C293" s="14">
        <f>IF(A293="","",IFERROR(MATCH(B293,設定!$P$8:$P$27,0),""))</f>
        <v/>
      </c>
      <c r="D293" s="14">
        <f>IF(C293="","",COUNTIF($C$3:C293,C293))</f>
        <v/>
      </c>
      <c r="E293" s="14">
        <f>IF(C293="","",C293*1000+D293)</f>
        <v/>
      </c>
      <c r="F293" s="14">
        <f>IF(A293="","",INDEX(新年度名簿!$K$2:$K$451,A293))</f>
        <v/>
      </c>
      <c r="G293" s="14">
        <f>IF(A293="","",INDEX(新年度名簿!$C$2:$C$451,A293))</f>
        <v/>
      </c>
      <c r="H293" s="14">
        <f>IF(A293="","",INDEX(新年度名簿!$D$2:$D$451,A293))</f>
        <v/>
      </c>
    </row>
    <row r="294">
      <c r="A294" s="14">
        <f>IFERROR(MATCH(SMALL(新年度名簿!$J$2:$J$451,292),新年度名簿!$J$2:$J$451,0),"")</f>
        <v/>
      </c>
      <c r="B294" s="14">
        <f>IF(A294="","",INDEX(新年度名簿!$G$2:$G$451,A294))</f>
        <v/>
      </c>
      <c r="C294" s="14">
        <f>IF(A294="","",IFERROR(MATCH(B294,設定!$P$8:$P$27,0),""))</f>
        <v/>
      </c>
      <c r="D294" s="14">
        <f>IF(C294="","",COUNTIF($C$3:C294,C294))</f>
        <v/>
      </c>
      <c r="E294" s="14">
        <f>IF(C294="","",C294*1000+D294)</f>
        <v/>
      </c>
      <c r="F294" s="14">
        <f>IF(A294="","",INDEX(新年度名簿!$K$2:$K$451,A294))</f>
        <v/>
      </c>
      <c r="G294" s="14">
        <f>IF(A294="","",INDEX(新年度名簿!$C$2:$C$451,A294))</f>
        <v/>
      </c>
      <c r="H294" s="14">
        <f>IF(A294="","",INDEX(新年度名簿!$D$2:$D$451,A294))</f>
        <v/>
      </c>
    </row>
    <row r="295">
      <c r="A295" s="14">
        <f>IFERROR(MATCH(SMALL(新年度名簿!$J$2:$J$451,293),新年度名簿!$J$2:$J$451,0),"")</f>
        <v/>
      </c>
      <c r="B295" s="14">
        <f>IF(A295="","",INDEX(新年度名簿!$G$2:$G$451,A295))</f>
        <v/>
      </c>
      <c r="C295" s="14">
        <f>IF(A295="","",IFERROR(MATCH(B295,設定!$P$8:$P$27,0),""))</f>
        <v/>
      </c>
      <c r="D295" s="14">
        <f>IF(C295="","",COUNTIF($C$3:C295,C295))</f>
        <v/>
      </c>
      <c r="E295" s="14">
        <f>IF(C295="","",C295*1000+D295)</f>
        <v/>
      </c>
      <c r="F295" s="14">
        <f>IF(A295="","",INDEX(新年度名簿!$K$2:$K$451,A295))</f>
        <v/>
      </c>
      <c r="G295" s="14">
        <f>IF(A295="","",INDEX(新年度名簿!$C$2:$C$451,A295))</f>
        <v/>
      </c>
      <c r="H295" s="14">
        <f>IF(A295="","",INDEX(新年度名簿!$D$2:$D$451,A295))</f>
        <v/>
      </c>
    </row>
    <row r="296">
      <c r="A296" s="14">
        <f>IFERROR(MATCH(SMALL(新年度名簿!$J$2:$J$451,294),新年度名簿!$J$2:$J$451,0),"")</f>
        <v/>
      </c>
      <c r="B296" s="14">
        <f>IF(A296="","",INDEX(新年度名簿!$G$2:$G$451,A296))</f>
        <v/>
      </c>
      <c r="C296" s="14">
        <f>IF(A296="","",IFERROR(MATCH(B296,設定!$P$8:$P$27,0),""))</f>
        <v/>
      </c>
      <c r="D296" s="14">
        <f>IF(C296="","",COUNTIF($C$3:C296,C296))</f>
        <v/>
      </c>
      <c r="E296" s="14">
        <f>IF(C296="","",C296*1000+D296)</f>
        <v/>
      </c>
      <c r="F296" s="14">
        <f>IF(A296="","",INDEX(新年度名簿!$K$2:$K$451,A296))</f>
        <v/>
      </c>
      <c r="G296" s="14">
        <f>IF(A296="","",INDEX(新年度名簿!$C$2:$C$451,A296))</f>
        <v/>
      </c>
      <c r="H296" s="14">
        <f>IF(A296="","",INDEX(新年度名簿!$D$2:$D$451,A296))</f>
        <v/>
      </c>
    </row>
    <row r="297">
      <c r="A297" s="14">
        <f>IFERROR(MATCH(SMALL(新年度名簿!$J$2:$J$451,295),新年度名簿!$J$2:$J$451,0),"")</f>
        <v/>
      </c>
      <c r="B297" s="14">
        <f>IF(A297="","",INDEX(新年度名簿!$G$2:$G$451,A297))</f>
        <v/>
      </c>
      <c r="C297" s="14">
        <f>IF(A297="","",IFERROR(MATCH(B297,設定!$P$8:$P$27,0),""))</f>
        <v/>
      </c>
      <c r="D297" s="14">
        <f>IF(C297="","",COUNTIF($C$3:C297,C297))</f>
        <v/>
      </c>
      <c r="E297" s="14">
        <f>IF(C297="","",C297*1000+D297)</f>
        <v/>
      </c>
      <c r="F297" s="14">
        <f>IF(A297="","",INDEX(新年度名簿!$K$2:$K$451,A297))</f>
        <v/>
      </c>
      <c r="G297" s="14">
        <f>IF(A297="","",INDEX(新年度名簿!$C$2:$C$451,A297))</f>
        <v/>
      </c>
      <c r="H297" s="14">
        <f>IF(A297="","",INDEX(新年度名簿!$D$2:$D$451,A297))</f>
        <v/>
      </c>
    </row>
    <row r="298">
      <c r="A298" s="14">
        <f>IFERROR(MATCH(SMALL(新年度名簿!$J$2:$J$451,296),新年度名簿!$J$2:$J$451,0),"")</f>
        <v/>
      </c>
      <c r="B298" s="14">
        <f>IF(A298="","",INDEX(新年度名簿!$G$2:$G$451,A298))</f>
        <v/>
      </c>
      <c r="C298" s="14">
        <f>IF(A298="","",IFERROR(MATCH(B298,設定!$P$8:$P$27,0),""))</f>
        <v/>
      </c>
      <c r="D298" s="14">
        <f>IF(C298="","",COUNTIF($C$3:C298,C298))</f>
        <v/>
      </c>
      <c r="E298" s="14">
        <f>IF(C298="","",C298*1000+D298)</f>
        <v/>
      </c>
      <c r="F298" s="14">
        <f>IF(A298="","",INDEX(新年度名簿!$K$2:$K$451,A298))</f>
        <v/>
      </c>
      <c r="G298" s="14">
        <f>IF(A298="","",INDEX(新年度名簿!$C$2:$C$451,A298))</f>
        <v/>
      </c>
      <c r="H298" s="14">
        <f>IF(A298="","",INDEX(新年度名簿!$D$2:$D$451,A298))</f>
        <v/>
      </c>
    </row>
    <row r="299">
      <c r="A299" s="14">
        <f>IFERROR(MATCH(SMALL(新年度名簿!$J$2:$J$451,297),新年度名簿!$J$2:$J$451,0),"")</f>
        <v/>
      </c>
      <c r="B299" s="14">
        <f>IF(A299="","",INDEX(新年度名簿!$G$2:$G$451,A299))</f>
        <v/>
      </c>
      <c r="C299" s="14">
        <f>IF(A299="","",IFERROR(MATCH(B299,設定!$P$8:$P$27,0),""))</f>
        <v/>
      </c>
      <c r="D299" s="14">
        <f>IF(C299="","",COUNTIF($C$3:C299,C299))</f>
        <v/>
      </c>
      <c r="E299" s="14">
        <f>IF(C299="","",C299*1000+D299)</f>
        <v/>
      </c>
      <c r="F299" s="14">
        <f>IF(A299="","",INDEX(新年度名簿!$K$2:$K$451,A299))</f>
        <v/>
      </c>
      <c r="G299" s="14">
        <f>IF(A299="","",INDEX(新年度名簿!$C$2:$C$451,A299))</f>
        <v/>
      </c>
      <c r="H299" s="14">
        <f>IF(A299="","",INDEX(新年度名簿!$D$2:$D$451,A299))</f>
        <v/>
      </c>
    </row>
    <row r="300">
      <c r="A300" s="14">
        <f>IFERROR(MATCH(SMALL(新年度名簿!$J$2:$J$451,298),新年度名簿!$J$2:$J$451,0),"")</f>
        <v/>
      </c>
      <c r="B300" s="14">
        <f>IF(A300="","",INDEX(新年度名簿!$G$2:$G$451,A300))</f>
        <v/>
      </c>
      <c r="C300" s="14">
        <f>IF(A300="","",IFERROR(MATCH(B300,設定!$P$8:$P$27,0),""))</f>
        <v/>
      </c>
      <c r="D300" s="14">
        <f>IF(C300="","",COUNTIF($C$3:C300,C300))</f>
        <v/>
      </c>
      <c r="E300" s="14">
        <f>IF(C300="","",C300*1000+D300)</f>
        <v/>
      </c>
      <c r="F300" s="14">
        <f>IF(A300="","",INDEX(新年度名簿!$K$2:$K$451,A300))</f>
        <v/>
      </c>
      <c r="G300" s="14">
        <f>IF(A300="","",INDEX(新年度名簿!$C$2:$C$451,A300))</f>
        <v/>
      </c>
      <c r="H300" s="14">
        <f>IF(A300="","",INDEX(新年度名簿!$D$2:$D$451,A300))</f>
        <v/>
      </c>
    </row>
    <row r="301">
      <c r="A301" s="14">
        <f>IFERROR(MATCH(SMALL(新年度名簿!$J$2:$J$451,299),新年度名簿!$J$2:$J$451,0),"")</f>
        <v/>
      </c>
      <c r="B301" s="14">
        <f>IF(A301="","",INDEX(新年度名簿!$G$2:$G$451,A301))</f>
        <v/>
      </c>
      <c r="C301" s="14">
        <f>IF(A301="","",IFERROR(MATCH(B301,設定!$P$8:$P$27,0),""))</f>
        <v/>
      </c>
      <c r="D301" s="14">
        <f>IF(C301="","",COUNTIF($C$3:C301,C301))</f>
        <v/>
      </c>
      <c r="E301" s="14">
        <f>IF(C301="","",C301*1000+D301)</f>
        <v/>
      </c>
      <c r="F301" s="14">
        <f>IF(A301="","",INDEX(新年度名簿!$K$2:$K$451,A301))</f>
        <v/>
      </c>
      <c r="G301" s="14">
        <f>IF(A301="","",INDEX(新年度名簿!$C$2:$C$451,A301))</f>
        <v/>
      </c>
      <c r="H301" s="14">
        <f>IF(A301="","",INDEX(新年度名簿!$D$2:$D$451,A301))</f>
        <v/>
      </c>
    </row>
    <row r="302">
      <c r="A302" s="14">
        <f>IFERROR(MATCH(SMALL(新年度名簿!$J$2:$J$451,300),新年度名簿!$J$2:$J$451,0),"")</f>
        <v/>
      </c>
      <c r="B302" s="14">
        <f>IF(A302="","",INDEX(新年度名簿!$G$2:$G$451,A302))</f>
        <v/>
      </c>
      <c r="C302" s="14">
        <f>IF(A302="","",IFERROR(MATCH(B302,設定!$P$8:$P$27,0),""))</f>
        <v/>
      </c>
      <c r="D302" s="14">
        <f>IF(C302="","",COUNTIF($C$3:C302,C302))</f>
        <v/>
      </c>
      <c r="E302" s="14">
        <f>IF(C302="","",C302*1000+D302)</f>
        <v/>
      </c>
      <c r="F302" s="14">
        <f>IF(A302="","",INDEX(新年度名簿!$K$2:$K$451,A302))</f>
        <v/>
      </c>
      <c r="G302" s="14">
        <f>IF(A302="","",INDEX(新年度名簿!$C$2:$C$451,A302))</f>
        <v/>
      </c>
      <c r="H302" s="14">
        <f>IF(A302="","",INDEX(新年度名簿!$D$2:$D$451,A302))</f>
        <v/>
      </c>
    </row>
    <row r="303">
      <c r="A303" s="14">
        <f>IFERROR(MATCH(SMALL(新年度名簿!$J$2:$J$451,301),新年度名簿!$J$2:$J$451,0),"")</f>
        <v/>
      </c>
      <c r="B303" s="14">
        <f>IF(A303="","",INDEX(新年度名簿!$G$2:$G$451,A303))</f>
        <v/>
      </c>
      <c r="C303" s="14">
        <f>IF(A303="","",IFERROR(MATCH(B303,設定!$P$8:$P$27,0),""))</f>
        <v/>
      </c>
      <c r="D303" s="14">
        <f>IF(C303="","",COUNTIF($C$3:C303,C303))</f>
        <v/>
      </c>
      <c r="E303" s="14">
        <f>IF(C303="","",C303*1000+D303)</f>
        <v/>
      </c>
      <c r="F303" s="14">
        <f>IF(A303="","",INDEX(新年度名簿!$K$2:$K$451,A303))</f>
        <v/>
      </c>
      <c r="G303" s="14">
        <f>IF(A303="","",INDEX(新年度名簿!$C$2:$C$451,A303))</f>
        <v/>
      </c>
      <c r="H303" s="14">
        <f>IF(A303="","",INDEX(新年度名簿!$D$2:$D$451,A303))</f>
        <v/>
      </c>
    </row>
    <row r="304">
      <c r="A304" s="14">
        <f>IFERROR(MATCH(SMALL(新年度名簿!$J$2:$J$451,302),新年度名簿!$J$2:$J$451,0),"")</f>
        <v/>
      </c>
      <c r="B304" s="14">
        <f>IF(A304="","",INDEX(新年度名簿!$G$2:$G$451,A304))</f>
        <v/>
      </c>
      <c r="C304" s="14">
        <f>IF(A304="","",IFERROR(MATCH(B304,設定!$P$8:$P$27,0),""))</f>
        <v/>
      </c>
      <c r="D304" s="14">
        <f>IF(C304="","",COUNTIF($C$3:C304,C304))</f>
        <v/>
      </c>
      <c r="E304" s="14">
        <f>IF(C304="","",C304*1000+D304)</f>
        <v/>
      </c>
      <c r="F304" s="14">
        <f>IF(A304="","",INDEX(新年度名簿!$K$2:$K$451,A304))</f>
        <v/>
      </c>
      <c r="G304" s="14">
        <f>IF(A304="","",INDEX(新年度名簿!$C$2:$C$451,A304))</f>
        <v/>
      </c>
      <c r="H304" s="14">
        <f>IF(A304="","",INDEX(新年度名簿!$D$2:$D$451,A304))</f>
        <v/>
      </c>
    </row>
    <row r="305">
      <c r="A305" s="14">
        <f>IFERROR(MATCH(SMALL(新年度名簿!$J$2:$J$451,303),新年度名簿!$J$2:$J$451,0),"")</f>
        <v/>
      </c>
      <c r="B305" s="14">
        <f>IF(A305="","",INDEX(新年度名簿!$G$2:$G$451,A305))</f>
        <v/>
      </c>
      <c r="C305" s="14">
        <f>IF(A305="","",IFERROR(MATCH(B305,設定!$P$8:$P$27,0),""))</f>
        <v/>
      </c>
      <c r="D305" s="14">
        <f>IF(C305="","",COUNTIF($C$3:C305,C305))</f>
        <v/>
      </c>
      <c r="E305" s="14">
        <f>IF(C305="","",C305*1000+D305)</f>
        <v/>
      </c>
      <c r="F305" s="14">
        <f>IF(A305="","",INDEX(新年度名簿!$K$2:$K$451,A305))</f>
        <v/>
      </c>
      <c r="G305" s="14">
        <f>IF(A305="","",INDEX(新年度名簿!$C$2:$C$451,A305))</f>
        <v/>
      </c>
      <c r="H305" s="14">
        <f>IF(A305="","",INDEX(新年度名簿!$D$2:$D$451,A305))</f>
        <v/>
      </c>
    </row>
    <row r="306">
      <c r="A306" s="14">
        <f>IFERROR(MATCH(SMALL(新年度名簿!$J$2:$J$451,304),新年度名簿!$J$2:$J$451,0),"")</f>
        <v/>
      </c>
      <c r="B306" s="14">
        <f>IF(A306="","",INDEX(新年度名簿!$G$2:$G$451,A306))</f>
        <v/>
      </c>
      <c r="C306" s="14">
        <f>IF(A306="","",IFERROR(MATCH(B306,設定!$P$8:$P$27,0),""))</f>
        <v/>
      </c>
      <c r="D306" s="14">
        <f>IF(C306="","",COUNTIF($C$3:C306,C306))</f>
        <v/>
      </c>
      <c r="E306" s="14">
        <f>IF(C306="","",C306*1000+D306)</f>
        <v/>
      </c>
      <c r="F306" s="14">
        <f>IF(A306="","",INDEX(新年度名簿!$K$2:$K$451,A306))</f>
        <v/>
      </c>
      <c r="G306" s="14">
        <f>IF(A306="","",INDEX(新年度名簿!$C$2:$C$451,A306))</f>
        <v/>
      </c>
      <c r="H306" s="14">
        <f>IF(A306="","",INDEX(新年度名簿!$D$2:$D$451,A306))</f>
        <v/>
      </c>
    </row>
    <row r="307">
      <c r="A307" s="14">
        <f>IFERROR(MATCH(SMALL(新年度名簿!$J$2:$J$451,305),新年度名簿!$J$2:$J$451,0),"")</f>
        <v/>
      </c>
      <c r="B307" s="14">
        <f>IF(A307="","",INDEX(新年度名簿!$G$2:$G$451,A307))</f>
        <v/>
      </c>
      <c r="C307" s="14">
        <f>IF(A307="","",IFERROR(MATCH(B307,設定!$P$8:$P$27,0),""))</f>
        <v/>
      </c>
      <c r="D307" s="14">
        <f>IF(C307="","",COUNTIF($C$3:C307,C307))</f>
        <v/>
      </c>
      <c r="E307" s="14">
        <f>IF(C307="","",C307*1000+D307)</f>
        <v/>
      </c>
      <c r="F307" s="14">
        <f>IF(A307="","",INDEX(新年度名簿!$K$2:$K$451,A307))</f>
        <v/>
      </c>
      <c r="G307" s="14">
        <f>IF(A307="","",INDEX(新年度名簿!$C$2:$C$451,A307))</f>
        <v/>
      </c>
      <c r="H307" s="14">
        <f>IF(A307="","",INDEX(新年度名簿!$D$2:$D$451,A307))</f>
        <v/>
      </c>
    </row>
    <row r="308">
      <c r="A308" s="14">
        <f>IFERROR(MATCH(SMALL(新年度名簿!$J$2:$J$451,306),新年度名簿!$J$2:$J$451,0),"")</f>
        <v/>
      </c>
      <c r="B308" s="14">
        <f>IF(A308="","",INDEX(新年度名簿!$G$2:$G$451,A308))</f>
        <v/>
      </c>
      <c r="C308" s="14">
        <f>IF(A308="","",IFERROR(MATCH(B308,設定!$P$8:$P$27,0),""))</f>
        <v/>
      </c>
      <c r="D308" s="14">
        <f>IF(C308="","",COUNTIF($C$3:C308,C308))</f>
        <v/>
      </c>
      <c r="E308" s="14">
        <f>IF(C308="","",C308*1000+D308)</f>
        <v/>
      </c>
      <c r="F308" s="14">
        <f>IF(A308="","",INDEX(新年度名簿!$K$2:$K$451,A308))</f>
        <v/>
      </c>
      <c r="G308" s="14">
        <f>IF(A308="","",INDEX(新年度名簿!$C$2:$C$451,A308))</f>
        <v/>
      </c>
      <c r="H308" s="14">
        <f>IF(A308="","",INDEX(新年度名簿!$D$2:$D$451,A308))</f>
        <v/>
      </c>
    </row>
    <row r="309">
      <c r="A309" s="14">
        <f>IFERROR(MATCH(SMALL(新年度名簿!$J$2:$J$451,307),新年度名簿!$J$2:$J$451,0),"")</f>
        <v/>
      </c>
      <c r="B309" s="14">
        <f>IF(A309="","",INDEX(新年度名簿!$G$2:$G$451,A309))</f>
        <v/>
      </c>
      <c r="C309" s="14">
        <f>IF(A309="","",IFERROR(MATCH(B309,設定!$P$8:$P$27,0),""))</f>
        <v/>
      </c>
      <c r="D309" s="14">
        <f>IF(C309="","",COUNTIF($C$3:C309,C309))</f>
        <v/>
      </c>
      <c r="E309" s="14">
        <f>IF(C309="","",C309*1000+D309)</f>
        <v/>
      </c>
      <c r="F309" s="14">
        <f>IF(A309="","",INDEX(新年度名簿!$K$2:$K$451,A309))</f>
        <v/>
      </c>
      <c r="G309" s="14">
        <f>IF(A309="","",INDEX(新年度名簿!$C$2:$C$451,A309))</f>
        <v/>
      </c>
      <c r="H309" s="14">
        <f>IF(A309="","",INDEX(新年度名簿!$D$2:$D$451,A309))</f>
        <v/>
      </c>
    </row>
    <row r="310">
      <c r="A310" s="14">
        <f>IFERROR(MATCH(SMALL(新年度名簿!$J$2:$J$451,308),新年度名簿!$J$2:$J$451,0),"")</f>
        <v/>
      </c>
      <c r="B310" s="14">
        <f>IF(A310="","",INDEX(新年度名簿!$G$2:$G$451,A310))</f>
        <v/>
      </c>
      <c r="C310" s="14">
        <f>IF(A310="","",IFERROR(MATCH(B310,設定!$P$8:$P$27,0),""))</f>
        <v/>
      </c>
      <c r="D310" s="14">
        <f>IF(C310="","",COUNTIF($C$3:C310,C310))</f>
        <v/>
      </c>
      <c r="E310" s="14">
        <f>IF(C310="","",C310*1000+D310)</f>
        <v/>
      </c>
      <c r="F310" s="14">
        <f>IF(A310="","",INDEX(新年度名簿!$K$2:$K$451,A310))</f>
        <v/>
      </c>
      <c r="G310" s="14">
        <f>IF(A310="","",INDEX(新年度名簿!$C$2:$C$451,A310))</f>
        <v/>
      </c>
      <c r="H310" s="14">
        <f>IF(A310="","",INDEX(新年度名簿!$D$2:$D$451,A310))</f>
        <v/>
      </c>
    </row>
    <row r="311">
      <c r="A311" s="14">
        <f>IFERROR(MATCH(SMALL(新年度名簿!$J$2:$J$451,309),新年度名簿!$J$2:$J$451,0),"")</f>
        <v/>
      </c>
      <c r="B311" s="14">
        <f>IF(A311="","",INDEX(新年度名簿!$G$2:$G$451,A311))</f>
        <v/>
      </c>
      <c r="C311" s="14">
        <f>IF(A311="","",IFERROR(MATCH(B311,設定!$P$8:$P$27,0),""))</f>
        <v/>
      </c>
      <c r="D311" s="14">
        <f>IF(C311="","",COUNTIF($C$3:C311,C311))</f>
        <v/>
      </c>
      <c r="E311" s="14">
        <f>IF(C311="","",C311*1000+D311)</f>
        <v/>
      </c>
      <c r="F311" s="14">
        <f>IF(A311="","",INDEX(新年度名簿!$K$2:$K$451,A311))</f>
        <v/>
      </c>
      <c r="G311" s="14">
        <f>IF(A311="","",INDEX(新年度名簿!$C$2:$C$451,A311))</f>
        <v/>
      </c>
      <c r="H311" s="14">
        <f>IF(A311="","",INDEX(新年度名簿!$D$2:$D$451,A311))</f>
        <v/>
      </c>
    </row>
    <row r="312">
      <c r="A312" s="14">
        <f>IFERROR(MATCH(SMALL(新年度名簿!$J$2:$J$451,310),新年度名簿!$J$2:$J$451,0),"")</f>
        <v/>
      </c>
      <c r="B312" s="14">
        <f>IF(A312="","",INDEX(新年度名簿!$G$2:$G$451,A312))</f>
        <v/>
      </c>
      <c r="C312" s="14">
        <f>IF(A312="","",IFERROR(MATCH(B312,設定!$P$8:$P$27,0),""))</f>
        <v/>
      </c>
      <c r="D312" s="14">
        <f>IF(C312="","",COUNTIF($C$3:C312,C312))</f>
        <v/>
      </c>
      <c r="E312" s="14">
        <f>IF(C312="","",C312*1000+D312)</f>
        <v/>
      </c>
      <c r="F312" s="14">
        <f>IF(A312="","",INDEX(新年度名簿!$K$2:$K$451,A312))</f>
        <v/>
      </c>
      <c r="G312" s="14">
        <f>IF(A312="","",INDEX(新年度名簿!$C$2:$C$451,A312))</f>
        <v/>
      </c>
      <c r="H312" s="14">
        <f>IF(A312="","",INDEX(新年度名簿!$D$2:$D$451,A312))</f>
        <v/>
      </c>
    </row>
    <row r="313">
      <c r="A313" s="14">
        <f>IFERROR(MATCH(SMALL(新年度名簿!$J$2:$J$451,311),新年度名簿!$J$2:$J$451,0),"")</f>
        <v/>
      </c>
      <c r="B313" s="14">
        <f>IF(A313="","",INDEX(新年度名簿!$G$2:$G$451,A313))</f>
        <v/>
      </c>
      <c r="C313" s="14">
        <f>IF(A313="","",IFERROR(MATCH(B313,設定!$P$8:$P$27,0),""))</f>
        <v/>
      </c>
      <c r="D313" s="14">
        <f>IF(C313="","",COUNTIF($C$3:C313,C313))</f>
        <v/>
      </c>
      <c r="E313" s="14">
        <f>IF(C313="","",C313*1000+D313)</f>
        <v/>
      </c>
      <c r="F313" s="14">
        <f>IF(A313="","",INDEX(新年度名簿!$K$2:$K$451,A313))</f>
        <v/>
      </c>
      <c r="G313" s="14">
        <f>IF(A313="","",INDEX(新年度名簿!$C$2:$C$451,A313))</f>
        <v/>
      </c>
      <c r="H313" s="14">
        <f>IF(A313="","",INDEX(新年度名簿!$D$2:$D$451,A313))</f>
        <v/>
      </c>
    </row>
    <row r="314">
      <c r="A314" s="14">
        <f>IFERROR(MATCH(SMALL(新年度名簿!$J$2:$J$451,312),新年度名簿!$J$2:$J$451,0),"")</f>
        <v/>
      </c>
      <c r="B314" s="14">
        <f>IF(A314="","",INDEX(新年度名簿!$G$2:$G$451,A314))</f>
        <v/>
      </c>
      <c r="C314" s="14">
        <f>IF(A314="","",IFERROR(MATCH(B314,設定!$P$8:$P$27,0),""))</f>
        <v/>
      </c>
      <c r="D314" s="14">
        <f>IF(C314="","",COUNTIF($C$3:C314,C314))</f>
        <v/>
      </c>
      <c r="E314" s="14">
        <f>IF(C314="","",C314*1000+D314)</f>
        <v/>
      </c>
      <c r="F314" s="14">
        <f>IF(A314="","",INDEX(新年度名簿!$K$2:$K$451,A314))</f>
        <v/>
      </c>
      <c r="G314" s="14">
        <f>IF(A314="","",INDEX(新年度名簿!$C$2:$C$451,A314))</f>
        <v/>
      </c>
      <c r="H314" s="14">
        <f>IF(A314="","",INDEX(新年度名簿!$D$2:$D$451,A314))</f>
        <v/>
      </c>
    </row>
    <row r="315">
      <c r="A315" s="14">
        <f>IFERROR(MATCH(SMALL(新年度名簿!$J$2:$J$451,313),新年度名簿!$J$2:$J$451,0),"")</f>
        <v/>
      </c>
      <c r="B315" s="14">
        <f>IF(A315="","",INDEX(新年度名簿!$G$2:$G$451,A315))</f>
        <v/>
      </c>
      <c r="C315" s="14">
        <f>IF(A315="","",IFERROR(MATCH(B315,設定!$P$8:$P$27,0),""))</f>
        <v/>
      </c>
      <c r="D315" s="14">
        <f>IF(C315="","",COUNTIF($C$3:C315,C315))</f>
        <v/>
      </c>
      <c r="E315" s="14">
        <f>IF(C315="","",C315*1000+D315)</f>
        <v/>
      </c>
      <c r="F315" s="14">
        <f>IF(A315="","",INDEX(新年度名簿!$K$2:$K$451,A315))</f>
        <v/>
      </c>
      <c r="G315" s="14">
        <f>IF(A315="","",INDEX(新年度名簿!$C$2:$C$451,A315))</f>
        <v/>
      </c>
      <c r="H315" s="14">
        <f>IF(A315="","",INDEX(新年度名簿!$D$2:$D$451,A315))</f>
        <v/>
      </c>
    </row>
    <row r="316">
      <c r="A316" s="14">
        <f>IFERROR(MATCH(SMALL(新年度名簿!$J$2:$J$451,314),新年度名簿!$J$2:$J$451,0),"")</f>
        <v/>
      </c>
      <c r="B316" s="14">
        <f>IF(A316="","",INDEX(新年度名簿!$G$2:$G$451,A316))</f>
        <v/>
      </c>
      <c r="C316" s="14">
        <f>IF(A316="","",IFERROR(MATCH(B316,設定!$P$8:$P$27,0),""))</f>
        <v/>
      </c>
      <c r="D316" s="14">
        <f>IF(C316="","",COUNTIF($C$3:C316,C316))</f>
        <v/>
      </c>
      <c r="E316" s="14">
        <f>IF(C316="","",C316*1000+D316)</f>
        <v/>
      </c>
      <c r="F316" s="14">
        <f>IF(A316="","",INDEX(新年度名簿!$K$2:$K$451,A316))</f>
        <v/>
      </c>
      <c r="G316" s="14">
        <f>IF(A316="","",INDEX(新年度名簿!$C$2:$C$451,A316))</f>
        <v/>
      </c>
      <c r="H316" s="14">
        <f>IF(A316="","",INDEX(新年度名簿!$D$2:$D$451,A316))</f>
        <v/>
      </c>
    </row>
    <row r="317">
      <c r="A317" s="14">
        <f>IFERROR(MATCH(SMALL(新年度名簿!$J$2:$J$451,315),新年度名簿!$J$2:$J$451,0),"")</f>
        <v/>
      </c>
      <c r="B317" s="14">
        <f>IF(A317="","",INDEX(新年度名簿!$G$2:$G$451,A317))</f>
        <v/>
      </c>
      <c r="C317" s="14">
        <f>IF(A317="","",IFERROR(MATCH(B317,設定!$P$8:$P$27,0),""))</f>
        <v/>
      </c>
      <c r="D317" s="14">
        <f>IF(C317="","",COUNTIF($C$3:C317,C317))</f>
        <v/>
      </c>
      <c r="E317" s="14">
        <f>IF(C317="","",C317*1000+D317)</f>
        <v/>
      </c>
      <c r="F317" s="14">
        <f>IF(A317="","",INDEX(新年度名簿!$K$2:$K$451,A317))</f>
        <v/>
      </c>
      <c r="G317" s="14">
        <f>IF(A317="","",INDEX(新年度名簿!$C$2:$C$451,A317))</f>
        <v/>
      </c>
      <c r="H317" s="14">
        <f>IF(A317="","",INDEX(新年度名簿!$D$2:$D$451,A317))</f>
        <v/>
      </c>
    </row>
    <row r="318">
      <c r="A318" s="14">
        <f>IFERROR(MATCH(SMALL(新年度名簿!$J$2:$J$451,316),新年度名簿!$J$2:$J$451,0),"")</f>
        <v/>
      </c>
      <c r="B318" s="14">
        <f>IF(A318="","",INDEX(新年度名簿!$G$2:$G$451,A318))</f>
        <v/>
      </c>
      <c r="C318" s="14">
        <f>IF(A318="","",IFERROR(MATCH(B318,設定!$P$8:$P$27,0),""))</f>
        <v/>
      </c>
      <c r="D318" s="14">
        <f>IF(C318="","",COUNTIF($C$3:C318,C318))</f>
        <v/>
      </c>
      <c r="E318" s="14">
        <f>IF(C318="","",C318*1000+D318)</f>
        <v/>
      </c>
      <c r="F318" s="14">
        <f>IF(A318="","",INDEX(新年度名簿!$K$2:$K$451,A318))</f>
        <v/>
      </c>
      <c r="G318" s="14">
        <f>IF(A318="","",INDEX(新年度名簿!$C$2:$C$451,A318))</f>
        <v/>
      </c>
      <c r="H318" s="14">
        <f>IF(A318="","",INDEX(新年度名簿!$D$2:$D$451,A318))</f>
        <v/>
      </c>
    </row>
    <row r="319">
      <c r="A319" s="14">
        <f>IFERROR(MATCH(SMALL(新年度名簿!$J$2:$J$451,317),新年度名簿!$J$2:$J$451,0),"")</f>
        <v/>
      </c>
      <c r="B319" s="14">
        <f>IF(A319="","",INDEX(新年度名簿!$G$2:$G$451,A319))</f>
        <v/>
      </c>
      <c r="C319" s="14">
        <f>IF(A319="","",IFERROR(MATCH(B319,設定!$P$8:$P$27,0),""))</f>
        <v/>
      </c>
      <c r="D319" s="14">
        <f>IF(C319="","",COUNTIF($C$3:C319,C319))</f>
        <v/>
      </c>
      <c r="E319" s="14">
        <f>IF(C319="","",C319*1000+D319)</f>
        <v/>
      </c>
      <c r="F319" s="14">
        <f>IF(A319="","",INDEX(新年度名簿!$K$2:$K$451,A319))</f>
        <v/>
      </c>
      <c r="G319" s="14">
        <f>IF(A319="","",INDEX(新年度名簿!$C$2:$C$451,A319))</f>
        <v/>
      </c>
      <c r="H319" s="14">
        <f>IF(A319="","",INDEX(新年度名簿!$D$2:$D$451,A319))</f>
        <v/>
      </c>
    </row>
    <row r="320">
      <c r="A320" s="14">
        <f>IFERROR(MATCH(SMALL(新年度名簿!$J$2:$J$451,318),新年度名簿!$J$2:$J$451,0),"")</f>
        <v/>
      </c>
      <c r="B320" s="14">
        <f>IF(A320="","",INDEX(新年度名簿!$G$2:$G$451,A320))</f>
        <v/>
      </c>
      <c r="C320" s="14">
        <f>IF(A320="","",IFERROR(MATCH(B320,設定!$P$8:$P$27,0),""))</f>
        <v/>
      </c>
      <c r="D320" s="14">
        <f>IF(C320="","",COUNTIF($C$3:C320,C320))</f>
        <v/>
      </c>
      <c r="E320" s="14">
        <f>IF(C320="","",C320*1000+D320)</f>
        <v/>
      </c>
      <c r="F320" s="14">
        <f>IF(A320="","",INDEX(新年度名簿!$K$2:$K$451,A320))</f>
        <v/>
      </c>
      <c r="G320" s="14">
        <f>IF(A320="","",INDEX(新年度名簿!$C$2:$C$451,A320))</f>
        <v/>
      </c>
      <c r="H320" s="14">
        <f>IF(A320="","",INDEX(新年度名簿!$D$2:$D$451,A320))</f>
        <v/>
      </c>
    </row>
    <row r="321">
      <c r="A321" s="14">
        <f>IFERROR(MATCH(SMALL(新年度名簿!$J$2:$J$451,319),新年度名簿!$J$2:$J$451,0),"")</f>
        <v/>
      </c>
      <c r="B321" s="14">
        <f>IF(A321="","",INDEX(新年度名簿!$G$2:$G$451,A321))</f>
        <v/>
      </c>
      <c r="C321" s="14">
        <f>IF(A321="","",IFERROR(MATCH(B321,設定!$P$8:$P$27,0),""))</f>
        <v/>
      </c>
      <c r="D321" s="14">
        <f>IF(C321="","",COUNTIF($C$3:C321,C321))</f>
        <v/>
      </c>
      <c r="E321" s="14">
        <f>IF(C321="","",C321*1000+D321)</f>
        <v/>
      </c>
      <c r="F321" s="14">
        <f>IF(A321="","",INDEX(新年度名簿!$K$2:$K$451,A321))</f>
        <v/>
      </c>
      <c r="G321" s="14">
        <f>IF(A321="","",INDEX(新年度名簿!$C$2:$C$451,A321))</f>
        <v/>
      </c>
      <c r="H321" s="14">
        <f>IF(A321="","",INDEX(新年度名簿!$D$2:$D$451,A321))</f>
        <v/>
      </c>
    </row>
    <row r="322">
      <c r="A322" s="14">
        <f>IFERROR(MATCH(SMALL(新年度名簿!$J$2:$J$451,320),新年度名簿!$J$2:$J$451,0),"")</f>
        <v/>
      </c>
      <c r="B322" s="14">
        <f>IF(A322="","",INDEX(新年度名簿!$G$2:$G$451,A322))</f>
        <v/>
      </c>
      <c r="C322" s="14">
        <f>IF(A322="","",IFERROR(MATCH(B322,設定!$P$8:$P$27,0),""))</f>
        <v/>
      </c>
      <c r="D322" s="14">
        <f>IF(C322="","",COUNTIF($C$3:C322,C322))</f>
        <v/>
      </c>
      <c r="E322" s="14">
        <f>IF(C322="","",C322*1000+D322)</f>
        <v/>
      </c>
      <c r="F322" s="14">
        <f>IF(A322="","",INDEX(新年度名簿!$K$2:$K$451,A322))</f>
        <v/>
      </c>
      <c r="G322" s="14">
        <f>IF(A322="","",INDEX(新年度名簿!$C$2:$C$451,A322))</f>
        <v/>
      </c>
      <c r="H322" s="14">
        <f>IF(A322="","",INDEX(新年度名簿!$D$2:$D$451,A322))</f>
        <v/>
      </c>
    </row>
    <row r="323">
      <c r="A323" s="14">
        <f>IFERROR(MATCH(SMALL(新年度名簿!$J$2:$J$451,321),新年度名簿!$J$2:$J$451,0),"")</f>
        <v/>
      </c>
      <c r="B323" s="14">
        <f>IF(A323="","",INDEX(新年度名簿!$G$2:$G$451,A323))</f>
        <v/>
      </c>
      <c r="C323" s="14">
        <f>IF(A323="","",IFERROR(MATCH(B323,設定!$P$8:$P$27,0),""))</f>
        <v/>
      </c>
      <c r="D323" s="14">
        <f>IF(C323="","",COUNTIF($C$3:C323,C323))</f>
        <v/>
      </c>
      <c r="E323" s="14">
        <f>IF(C323="","",C323*1000+D323)</f>
        <v/>
      </c>
      <c r="F323" s="14">
        <f>IF(A323="","",INDEX(新年度名簿!$K$2:$K$451,A323))</f>
        <v/>
      </c>
      <c r="G323" s="14">
        <f>IF(A323="","",INDEX(新年度名簿!$C$2:$C$451,A323))</f>
        <v/>
      </c>
      <c r="H323" s="14">
        <f>IF(A323="","",INDEX(新年度名簿!$D$2:$D$451,A323))</f>
        <v/>
      </c>
    </row>
    <row r="324">
      <c r="A324" s="14">
        <f>IFERROR(MATCH(SMALL(新年度名簿!$J$2:$J$451,322),新年度名簿!$J$2:$J$451,0),"")</f>
        <v/>
      </c>
      <c r="B324" s="14">
        <f>IF(A324="","",INDEX(新年度名簿!$G$2:$G$451,A324))</f>
        <v/>
      </c>
      <c r="C324" s="14">
        <f>IF(A324="","",IFERROR(MATCH(B324,設定!$P$8:$P$27,0),""))</f>
        <v/>
      </c>
      <c r="D324" s="14">
        <f>IF(C324="","",COUNTIF($C$3:C324,C324))</f>
        <v/>
      </c>
      <c r="E324" s="14">
        <f>IF(C324="","",C324*1000+D324)</f>
        <v/>
      </c>
      <c r="F324" s="14">
        <f>IF(A324="","",INDEX(新年度名簿!$K$2:$K$451,A324))</f>
        <v/>
      </c>
      <c r="G324" s="14">
        <f>IF(A324="","",INDEX(新年度名簿!$C$2:$C$451,A324))</f>
        <v/>
      </c>
      <c r="H324" s="14">
        <f>IF(A324="","",INDEX(新年度名簿!$D$2:$D$451,A324))</f>
        <v/>
      </c>
    </row>
    <row r="325">
      <c r="A325" s="14">
        <f>IFERROR(MATCH(SMALL(新年度名簿!$J$2:$J$451,323),新年度名簿!$J$2:$J$451,0),"")</f>
        <v/>
      </c>
      <c r="B325" s="14">
        <f>IF(A325="","",INDEX(新年度名簿!$G$2:$G$451,A325))</f>
        <v/>
      </c>
      <c r="C325" s="14">
        <f>IF(A325="","",IFERROR(MATCH(B325,設定!$P$8:$P$27,0),""))</f>
        <v/>
      </c>
      <c r="D325" s="14">
        <f>IF(C325="","",COUNTIF($C$3:C325,C325))</f>
        <v/>
      </c>
      <c r="E325" s="14">
        <f>IF(C325="","",C325*1000+D325)</f>
        <v/>
      </c>
      <c r="F325" s="14">
        <f>IF(A325="","",INDEX(新年度名簿!$K$2:$K$451,A325))</f>
        <v/>
      </c>
      <c r="G325" s="14">
        <f>IF(A325="","",INDEX(新年度名簿!$C$2:$C$451,A325))</f>
        <v/>
      </c>
      <c r="H325" s="14">
        <f>IF(A325="","",INDEX(新年度名簿!$D$2:$D$451,A325))</f>
        <v/>
      </c>
    </row>
    <row r="326">
      <c r="A326" s="14">
        <f>IFERROR(MATCH(SMALL(新年度名簿!$J$2:$J$451,324),新年度名簿!$J$2:$J$451,0),"")</f>
        <v/>
      </c>
      <c r="B326" s="14">
        <f>IF(A326="","",INDEX(新年度名簿!$G$2:$G$451,A326))</f>
        <v/>
      </c>
      <c r="C326" s="14">
        <f>IF(A326="","",IFERROR(MATCH(B326,設定!$P$8:$P$27,0),""))</f>
        <v/>
      </c>
      <c r="D326" s="14">
        <f>IF(C326="","",COUNTIF($C$3:C326,C326))</f>
        <v/>
      </c>
      <c r="E326" s="14">
        <f>IF(C326="","",C326*1000+D326)</f>
        <v/>
      </c>
      <c r="F326" s="14">
        <f>IF(A326="","",INDEX(新年度名簿!$K$2:$K$451,A326))</f>
        <v/>
      </c>
      <c r="G326" s="14">
        <f>IF(A326="","",INDEX(新年度名簿!$C$2:$C$451,A326))</f>
        <v/>
      </c>
      <c r="H326" s="14">
        <f>IF(A326="","",INDEX(新年度名簿!$D$2:$D$451,A326))</f>
        <v/>
      </c>
    </row>
    <row r="327">
      <c r="A327" s="14">
        <f>IFERROR(MATCH(SMALL(新年度名簿!$J$2:$J$451,325),新年度名簿!$J$2:$J$451,0),"")</f>
        <v/>
      </c>
      <c r="B327" s="14">
        <f>IF(A327="","",INDEX(新年度名簿!$G$2:$G$451,A327))</f>
        <v/>
      </c>
      <c r="C327" s="14">
        <f>IF(A327="","",IFERROR(MATCH(B327,設定!$P$8:$P$27,0),""))</f>
        <v/>
      </c>
      <c r="D327" s="14">
        <f>IF(C327="","",COUNTIF($C$3:C327,C327))</f>
        <v/>
      </c>
      <c r="E327" s="14">
        <f>IF(C327="","",C327*1000+D327)</f>
        <v/>
      </c>
      <c r="F327" s="14">
        <f>IF(A327="","",INDEX(新年度名簿!$K$2:$K$451,A327))</f>
        <v/>
      </c>
      <c r="G327" s="14">
        <f>IF(A327="","",INDEX(新年度名簿!$C$2:$C$451,A327))</f>
        <v/>
      </c>
      <c r="H327" s="14">
        <f>IF(A327="","",INDEX(新年度名簿!$D$2:$D$451,A327))</f>
        <v/>
      </c>
    </row>
    <row r="328">
      <c r="A328" s="14">
        <f>IFERROR(MATCH(SMALL(新年度名簿!$J$2:$J$451,326),新年度名簿!$J$2:$J$451,0),"")</f>
        <v/>
      </c>
      <c r="B328" s="14">
        <f>IF(A328="","",INDEX(新年度名簿!$G$2:$G$451,A328))</f>
        <v/>
      </c>
      <c r="C328" s="14">
        <f>IF(A328="","",IFERROR(MATCH(B328,設定!$P$8:$P$27,0),""))</f>
        <v/>
      </c>
      <c r="D328" s="14">
        <f>IF(C328="","",COUNTIF($C$3:C328,C328))</f>
        <v/>
      </c>
      <c r="E328" s="14">
        <f>IF(C328="","",C328*1000+D328)</f>
        <v/>
      </c>
      <c r="F328" s="14">
        <f>IF(A328="","",INDEX(新年度名簿!$K$2:$K$451,A328))</f>
        <v/>
      </c>
      <c r="G328" s="14">
        <f>IF(A328="","",INDEX(新年度名簿!$C$2:$C$451,A328))</f>
        <v/>
      </c>
      <c r="H328" s="14">
        <f>IF(A328="","",INDEX(新年度名簿!$D$2:$D$451,A328))</f>
        <v/>
      </c>
    </row>
    <row r="329">
      <c r="A329" s="14">
        <f>IFERROR(MATCH(SMALL(新年度名簿!$J$2:$J$451,327),新年度名簿!$J$2:$J$451,0),"")</f>
        <v/>
      </c>
      <c r="B329" s="14">
        <f>IF(A329="","",INDEX(新年度名簿!$G$2:$G$451,A329))</f>
        <v/>
      </c>
      <c r="C329" s="14">
        <f>IF(A329="","",IFERROR(MATCH(B329,設定!$P$8:$P$27,0),""))</f>
        <v/>
      </c>
      <c r="D329" s="14">
        <f>IF(C329="","",COUNTIF($C$3:C329,C329))</f>
        <v/>
      </c>
      <c r="E329" s="14">
        <f>IF(C329="","",C329*1000+D329)</f>
        <v/>
      </c>
      <c r="F329" s="14">
        <f>IF(A329="","",INDEX(新年度名簿!$K$2:$K$451,A329))</f>
        <v/>
      </c>
      <c r="G329" s="14">
        <f>IF(A329="","",INDEX(新年度名簿!$C$2:$C$451,A329))</f>
        <v/>
      </c>
      <c r="H329" s="14">
        <f>IF(A329="","",INDEX(新年度名簿!$D$2:$D$451,A329))</f>
        <v/>
      </c>
    </row>
    <row r="330">
      <c r="A330" s="14">
        <f>IFERROR(MATCH(SMALL(新年度名簿!$J$2:$J$451,328),新年度名簿!$J$2:$J$451,0),"")</f>
        <v/>
      </c>
      <c r="B330" s="14">
        <f>IF(A330="","",INDEX(新年度名簿!$G$2:$G$451,A330))</f>
        <v/>
      </c>
      <c r="C330" s="14">
        <f>IF(A330="","",IFERROR(MATCH(B330,設定!$P$8:$P$27,0),""))</f>
        <v/>
      </c>
      <c r="D330" s="14">
        <f>IF(C330="","",COUNTIF($C$3:C330,C330))</f>
        <v/>
      </c>
      <c r="E330" s="14">
        <f>IF(C330="","",C330*1000+D330)</f>
        <v/>
      </c>
      <c r="F330" s="14">
        <f>IF(A330="","",INDEX(新年度名簿!$K$2:$K$451,A330))</f>
        <v/>
      </c>
      <c r="G330" s="14">
        <f>IF(A330="","",INDEX(新年度名簿!$C$2:$C$451,A330))</f>
        <v/>
      </c>
      <c r="H330" s="14">
        <f>IF(A330="","",INDEX(新年度名簿!$D$2:$D$451,A330))</f>
        <v/>
      </c>
    </row>
    <row r="331">
      <c r="A331" s="14">
        <f>IFERROR(MATCH(SMALL(新年度名簿!$J$2:$J$451,329),新年度名簿!$J$2:$J$451,0),"")</f>
        <v/>
      </c>
      <c r="B331" s="14">
        <f>IF(A331="","",INDEX(新年度名簿!$G$2:$G$451,A331))</f>
        <v/>
      </c>
      <c r="C331" s="14">
        <f>IF(A331="","",IFERROR(MATCH(B331,設定!$P$8:$P$27,0),""))</f>
        <v/>
      </c>
      <c r="D331" s="14">
        <f>IF(C331="","",COUNTIF($C$3:C331,C331))</f>
        <v/>
      </c>
      <c r="E331" s="14">
        <f>IF(C331="","",C331*1000+D331)</f>
        <v/>
      </c>
      <c r="F331" s="14">
        <f>IF(A331="","",INDEX(新年度名簿!$K$2:$K$451,A331))</f>
        <v/>
      </c>
      <c r="G331" s="14">
        <f>IF(A331="","",INDEX(新年度名簿!$C$2:$C$451,A331))</f>
        <v/>
      </c>
      <c r="H331" s="14">
        <f>IF(A331="","",INDEX(新年度名簿!$D$2:$D$451,A331))</f>
        <v/>
      </c>
    </row>
    <row r="332">
      <c r="A332" s="14">
        <f>IFERROR(MATCH(SMALL(新年度名簿!$J$2:$J$451,330),新年度名簿!$J$2:$J$451,0),"")</f>
        <v/>
      </c>
      <c r="B332" s="14">
        <f>IF(A332="","",INDEX(新年度名簿!$G$2:$G$451,A332))</f>
        <v/>
      </c>
      <c r="C332" s="14">
        <f>IF(A332="","",IFERROR(MATCH(B332,設定!$P$8:$P$27,0),""))</f>
        <v/>
      </c>
      <c r="D332" s="14">
        <f>IF(C332="","",COUNTIF($C$3:C332,C332))</f>
        <v/>
      </c>
      <c r="E332" s="14">
        <f>IF(C332="","",C332*1000+D332)</f>
        <v/>
      </c>
      <c r="F332" s="14">
        <f>IF(A332="","",INDEX(新年度名簿!$K$2:$K$451,A332))</f>
        <v/>
      </c>
      <c r="G332" s="14">
        <f>IF(A332="","",INDEX(新年度名簿!$C$2:$C$451,A332))</f>
        <v/>
      </c>
      <c r="H332" s="14">
        <f>IF(A332="","",INDEX(新年度名簿!$D$2:$D$451,A332))</f>
        <v/>
      </c>
    </row>
    <row r="333">
      <c r="A333" s="14">
        <f>IFERROR(MATCH(SMALL(新年度名簿!$J$2:$J$451,331),新年度名簿!$J$2:$J$451,0),"")</f>
        <v/>
      </c>
      <c r="B333" s="14">
        <f>IF(A333="","",INDEX(新年度名簿!$G$2:$G$451,A333))</f>
        <v/>
      </c>
      <c r="C333" s="14">
        <f>IF(A333="","",IFERROR(MATCH(B333,設定!$P$8:$P$27,0),""))</f>
        <v/>
      </c>
      <c r="D333" s="14">
        <f>IF(C333="","",COUNTIF($C$3:C333,C333))</f>
        <v/>
      </c>
      <c r="E333" s="14">
        <f>IF(C333="","",C333*1000+D333)</f>
        <v/>
      </c>
      <c r="F333" s="14">
        <f>IF(A333="","",INDEX(新年度名簿!$K$2:$K$451,A333))</f>
        <v/>
      </c>
      <c r="G333" s="14">
        <f>IF(A333="","",INDEX(新年度名簿!$C$2:$C$451,A333))</f>
        <v/>
      </c>
      <c r="H333" s="14">
        <f>IF(A333="","",INDEX(新年度名簿!$D$2:$D$451,A333))</f>
        <v/>
      </c>
    </row>
    <row r="334">
      <c r="A334" s="14">
        <f>IFERROR(MATCH(SMALL(新年度名簿!$J$2:$J$451,332),新年度名簿!$J$2:$J$451,0),"")</f>
        <v/>
      </c>
      <c r="B334" s="14">
        <f>IF(A334="","",INDEX(新年度名簿!$G$2:$G$451,A334))</f>
        <v/>
      </c>
      <c r="C334" s="14">
        <f>IF(A334="","",IFERROR(MATCH(B334,設定!$P$8:$P$27,0),""))</f>
        <v/>
      </c>
      <c r="D334" s="14">
        <f>IF(C334="","",COUNTIF($C$3:C334,C334))</f>
        <v/>
      </c>
      <c r="E334" s="14">
        <f>IF(C334="","",C334*1000+D334)</f>
        <v/>
      </c>
      <c r="F334" s="14">
        <f>IF(A334="","",INDEX(新年度名簿!$K$2:$K$451,A334))</f>
        <v/>
      </c>
      <c r="G334" s="14">
        <f>IF(A334="","",INDEX(新年度名簿!$C$2:$C$451,A334))</f>
        <v/>
      </c>
      <c r="H334" s="14">
        <f>IF(A334="","",INDEX(新年度名簿!$D$2:$D$451,A334))</f>
        <v/>
      </c>
    </row>
    <row r="335">
      <c r="A335" s="14">
        <f>IFERROR(MATCH(SMALL(新年度名簿!$J$2:$J$451,333),新年度名簿!$J$2:$J$451,0),"")</f>
        <v/>
      </c>
      <c r="B335" s="14">
        <f>IF(A335="","",INDEX(新年度名簿!$G$2:$G$451,A335))</f>
        <v/>
      </c>
      <c r="C335" s="14">
        <f>IF(A335="","",IFERROR(MATCH(B335,設定!$P$8:$P$27,0),""))</f>
        <v/>
      </c>
      <c r="D335" s="14">
        <f>IF(C335="","",COUNTIF($C$3:C335,C335))</f>
        <v/>
      </c>
      <c r="E335" s="14">
        <f>IF(C335="","",C335*1000+D335)</f>
        <v/>
      </c>
      <c r="F335" s="14">
        <f>IF(A335="","",INDEX(新年度名簿!$K$2:$K$451,A335))</f>
        <v/>
      </c>
      <c r="G335" s="14">
        <f>IF(A335="","",INDEX(新年度名簿!$C$2:$C$451,A335))</f>
        <v/>
      </c>
      <c r="H335" s="14">
        <f>IF(A335="","",INDEX(新年度名簿!$D$2:$D$451,A335))</f>
        <v/>
      </c>
    </row>
    <row r="336">
      <c r="A336" s="14">
        <f>IFERROR(MATCH(SMALL(新年度名簿!$J$2:$J$451,334),新年度名簿!$J$2:$J$451,0),"")</f>
        <v/>
      </c>
      <c r="B336" s="14">
        <f>IF(A336="","",INDEX(新年度名簿!$G$2:$G$451,A336))</f>
        <v/>
      </c>
      <c r="C336" s="14">
        <f>IF(A336="","",IFERROR(MATCH(B336,設定!$P$8:$P$27,0),""))</f>
        <v/>
      </c>
      <c r="D336" s="14">
        <f>IF(C336="","",COUNTIF($C$3:C336,C336))</f>
        <v/>
      </c>
      <c r="E336" s="14">
        <f>IF(C336="","",C336*1000+D336)</f>
        <v/>
      </c>
      <c r="F336" s="14">
        <f>IF(A336="","",INDEX(新年度名簿!$K$2:$K$451,A336))</f>
        <v/>
      </c>
      <c r="G336" s="14">
        <f>IF(A336="","",INDEX(新年度名簿!$C$2:$C$451,A336))</f>
        <v/>
      </c>
      <c r="H336" s="14">
        <f>IF(A336="","",INDEX(新年度名簿!$D$2:$D$451,A336))</f>
        <v/>
      </c>
    </row>
    <row r="337">
      <c r="A337" s="14">
        <f>IFERROR(MATCH(SMALL(新年度名簿!$J$2:$J$451,335),新年度名簿!$J$2:$J$451,0),"")</f>
        <v/>
      </c>
      <c r="B337" s="14">
        <f>IF(A337="","",INDEX(新年度名簿!$G$2:$G$451,A337))</f>
        <v/>
      </c>
      <c r="C337" s="14">
        <f>IF(A337="","",IFERROR(MATCH(B337,設定!$P$8:$P$27,0),""))</f>
        <v/>
      </c>
      <c r="D337" s="14">
        <f>IF(C337="","",COUNTIF($C$3:C337,C337))</f>
        <v/>
      </c>
      <c r="E337" s="14">
        <f>IF(C337="","",C337*1000+D337)</f>
        <v/>
      </c>
      <c r="F337" s="14">
        <f>IF(A337="","",INDEX(新年度名簿!$K$2:$K$451,A337))</f>
        <v/>
      </c>
      <c r="G337" s="14">
        <f>IF(A337="","",INDEX(新年度名簿!$C$2:$C$451,A337))</f>
        <v/>
      </c>
      <c r="H337" s="14">
        <f>IF(A337="","",INDEX(新年度名簿!$D$2:$D$451,A337))</f>
        <v/>
      </c>
    </row>
    <row r="338">
      <c r="A338" s="14">
        <f>IFERROR(MATCH(SMALL(新年度名簿!$J$2:$J$451,336),新年度名簿!$J$2:$J$451,0),"")</f>
        <v/>
      </c>
      <c r="B338" s="14">
        <f>IF(A338="","",INDEX(新年度名簿!$G$2:$G$451,A338))</f>
        <v/>
      </c>
      <c r="C338" s="14">
        <f>IF(A338="","",IFERROR(MATCH(B338,設定!$P$8:$P$27,0),""))</f>
        <v/>
      </c>
      <c r="D338" s="14">
        <f>IF(C338="","",COUNTIF($C$3:C338,C338))</f>
        <v/>
      </c>
      <c r="E338" s="14">
        <f>IF(C338="","",C338*1000+D338)</f>
        <v/>
      </c>
      <c r="F338" s="14">
        <f>IF(A338="","",INDEX(新年度名簿!$K$2:$K$451,A338))</f>
        <v/>
      </c>
      <c r="G338" s="14">
        <f>IF(A338="","",INDEX(新年度名簿!$C$2:$C$451,A338))</f>
        <v/>
      </c>
      <c r="H338" s="14">
        <f>IF(A338="","",INDEX(新年度名簿!$D$2:$D$451,A338))</f>
        <v/>
      </c>
    </row>
    <row r="339">
      <c r="A339" s="14">
        <f>IFERROR(MATCH(SMALL(新年度名簿!$J$2:$J$451,337),新年度名簿!$J$2:$J$451,0),"")</f>
        <v/>
      </c>
      <c r="B339" s="14">
        <f>IF(A339="","",INDEX(新年度名簿!$G$2:$G$451,A339))</f>
        <v/>
      </c>
      <c r="C339" s="14">
        <f>IF(A339="","",IFERROR(MATCH(B339,設定!$P$8:$P$27,0),""))</f>
        <v/>
      </c>
      <c r="D339" s="14">
        <f>IF(C339="","",COUNTIF($C$3:C339,C339))</f>
        <v/>
      </c>
      <c r="E339" s="14">
        <f>IF(C339="","",C339*1000+D339)</f>
        <v/>
      </c>
      <c r="F339" s="14">
        <f>IF(A339="","",INDEX(新年度名簿!$K$2:$K$451,A339))</f>
        <v/>
      </c>
      <c r="G339" s="14">
        <f>IF(A339="","",INDEX(新年度名簿!$C$2:$C$451,A339))</f>
        <v/>
      </c>
      <c r="H339" s="14">
        <f>IF(A339="","",INDEX(新年度名簿!$D$2:$D$451,A339))</f>
        <v/>
      </c>
    </row>
    <row r="340">
      <c r="A340" s="14">
        <f>IFERROR(MATCH(SMALL(新年度名簿!$J$2:$J$451,338),新年度名簿!$J$2:$J$451,0),"")</f>
        <v/>
      </c>
      <c r="B340" s="14">
        <f>IF(A340="","",INDEX(新年度名簿!$G$2:$G$451,A340))</f>
        <v/>
      </c>
      <c r="C340" s="14">
        <f>IF(A340="","",IFERROR(MATCH(B340,設定!$P$8:$P$27,0),""))</f>
        <v/>
      </c>
      <c r="D340" s="14">
        <f>IF(C340="","",COUNTIF($C$3:C340,C340))</f>
        <v/>
      </c>
      <c r="E340" s="14">
        <f>IF(C340="","",C340*1000+D340)</f>
        <v/>
      </c>
      <c r="F340" s="14">
        <f>IF(A340="","",INDEX(新年度名簿!$K$2:$K$451,A340))</f>
        <v/>
      </c>
      <c r="G340" s="14">
        <f>IF(A340="","",INDEX(新年度名簿!$C$2:$C$451,A340))</f>
        <v/>
      </c>
      <c r="H340" s="14">
        <f>IF(A340="","",INDEX(新年度名簿!$D$2:$D$451,A340))</f>
        <v/>
      </c>
    </row>
    <row r="341">
      <c r="A341" s="14">
        <f>IFERROR(MATCH(SMALL(新年度名簿!$J$2:$J$451,339),新年度名簿!$J$2:$J$451,0),"")</f>
        <v/>
      </c>
      <c r="B341" s="14">
        <f>IF(A341="","",INDEX(新年度名簿!$G$2:$G$451,A341))</f>
        <v/>
      </c>
      <c r="C341" s="14">
        <f>IF(A341="","",IFERROR(MATCH(B341,設定!$P$8:$P$27,0),""))</f>
        <v/>
      </c>
      <c r="D341" s="14">
        <f>IF(C341="","",COUNTIF($C$3:C341,C341))</f>
        <v/>
      </c>
      <c r="E341" s="14">
        <f>IF(C341="","",C341*1000+D341)</f>
        <v/>
      </c>
      <c r="F341" s="14">
        <f>IF(A341="","",INDEX(新年度名簿!$K$2:$K$451,A341))</f>
        <v/>
      </c>
      <c r="G341" s="14">
        <f>IF(A341="","",INDEX(新年度名簿!$C$2:$C$451,A341))</f>
        <v/>
      </c>
      <c r="H341" s="14">
        <f>IF(A341="","",INDEX(新年度名簿!$D$2:$D$451,A341))</f>
        <v/>
      </c>
    </row>
    <row r="342">
      <c r="A342" s="14">
        <f>IFERROR(MATCH(SMALL(新年度名簿!$J$2:$J$451,340),新年度名簿!$J$2:$J$451,0),"")</f>
        <v/>
      </c>
      <c r="B342" s="14">
        <f>IF(A342="","",INDEX(新年度名簿!$G$2:$G$451,A342))</f>
        <v/>
      </c>
      <c r="C342" s="14">
        <f>IF(A342="","",IFERROR(MATCH(B342,設定!$P$8:$P$27,0),""))</f>
        <v/>
      </c>
      <c r="D342" s="14">
        <f>IF(C342="","",COUNTIF($C$3:C342,C342))</f>
        <v/>
      </c>
      <c r="E342" s="14">
        <f>IF(C342="","",C342*1000+D342)</f>
        <v/>
      </c>
      <c r="F342" s="14">
        <f>IF(A342="","",INDEX(新年度名簿!$K$2:$K$451,A342))</f>
        <v/>
      </c>
      <c r="G342" s="14">
        <f>IF(A342="","",INDEX(新年度名簿!$C$2:$C$451,A342))</f>
        <v/>
      </c>
      <c r="H342" s="14">
        <f>IF(A342="","",INDEX(新年度名簿!$D$2:$D$451,A342))</f>
        <v/>
      </c>
    </row>
    <row r="343">
      <c r="A343" s="14">
        <f>IFERROR(MATCH(SMALL(新年度名簿!$J$2:$J$451,341),新年度名簿!$J$2:$J$451,0),"")</f>
        <v/>
      </c>
      <c r="B343" s="14">
        <f>IF(A343="","",INDEX(新年度名簿!$G$2:$G$451,A343))</f>
        <v/>
      </c>
      <c r="C343" s="14">
        <f>IF(A343="","",IFERROR(MATCH(B343,設定!$P$8:$P$27,0),""))</f>
        <v/>
      </c>
      <c r="D343" s="14">
        <f>IF(C343="","",COUNTIF($C$3:C343,C343))</f>
        <v/>
      </c>
      <c r="E343" s="14">
        <f>IF(C343="","",C343*1000+D343)</f>
        <v/>
      </c>
      <c r="F343" s="14">
        <f>IF(A343="","",INDEX(新年度名簿!$K$2:$K$451,A343))</f>
        <v/>
      </c>
      <c r="G343" s="14">
        <f>IF(A343="","",INDEX(新年度名簿!$C$2:$C$451,A343))</f>
        <v/>
      </c>
      <c r="H343" s="14">
        <f>IF(A343="","",INDEX(新年度名簿!$D$2:$D$451,A343))</f>
        <v/>
      </c>
    </row>
    <row r="344">
      <c r="A344" s="14">
        <f>IFERROR(MATCH(SMALL(新年度名簿!$J$2:$J$451,342),新年度名簿!$J$2:$J$451,0),"")</f>
        <v/>
      </c>
      <c r="B344" s="14">
        <f>IF(A344="","",INDEX(新年度名簿!$G$2:$G$451,A344))</f>
        <v/>
      </c>
      <c r="C344" s="14">
        <f>IF(A344="","",IFERROR(MATCH(B344,設定!$P$8:$P$27,0),""))</f>
        <v/>
      </c>
      <c r="D344" s="14">
        <f>IF(C344="","",COUNTIF($C$3:C344,C344))</f>
        <v/>
      </c>
      <c r="E344" s="14">
        <f>IF(C344="","",C344*1000+D344)</f>
        <v/>
      </c>
      <c r="F344" s="14">
        <f>IF(A344="","",INDEX(新年度名簿!$K$2:$K$451,A344))</f>
        <v/>
      </c>
      <c r="G344" s="14">
        <f>IF(A344="","",INDEX(新年度名簿!$C$2:$C$451,A344))</f>
        <v/>
      </c>
      <c r="H344" s="14">
        <f>IF(A344="","",INDEX(新年度名簿!$D$2:$D$451,A344))</f>
        <v/>
      </c>
    </row>
    <row r="345">
      <c r="A345" s="14">
        <f>IFERROR(MATCH(SMALL(新年度名簿!$J$2:$J$451,343),新年度名簿!$J$2:$J$451,0),"")</f>
        <v/>
      </c>
      <c r="B345" s="14">
        <f>IF(A345="","",INDEX(新年度名簿!$G$2:$G$451,A345))</f>
        <v/>
      </c>
      <c r="C345" s="14">
        <f>IF(A345="","",IFERROR(MATCH(B345,設定!$P$8:$P$27,0),""))</f>
        <v/>
      </c>
      <c r="D345" s="14">
        <f>IF(C345="","",COUNTIF($C$3:C345,C345))</f>
        <v/>
      </c>
      <c r="E345" s="14">
        <f>IF(C345="","",C345*1000+D345)</f>
        <v/>
      </c>
      <c r="F345" s="14">
        <f>IF(A345="","",INDEX(新年度名簿!$K$2:$K$451,A345))</f>
        <v/>
      </c>
      <c r="G345" s="14">
        <f>IF(A345="","",INDEX(新年度名簿!$C$2:$C$451,A345))</f>
        <v/>
      </c>
      <c r="H345" s="14">
        <f>IF(A345="","",INDEX(新年度名簿!$D$2:$D$451,A345))</f>
        <v/>
      </c>
    </row>
    <row r="346">
      <c r="A346" s="14">
        <f>IFERROR(MATCH(SMALL(新年度名簿!$J$2:$J$451,344),新年度名簿!$J$2:$J$451,0),"")</f>
        <v/>
      </c>
      <c r="B346" s="14">
        <f>IF(A346="","",INDEX(新年度名簿!$G$2:$G$451,A346))</f>
        <v/>
      </c>
      <c r="C346" s="14">
        <f>IF(A346="","",IFERROR(MATCH(B346,設定!$P$8:$P$27,0),""))</f>
        <v/>
      </c>
      <c r="D346" s="14">
        <f>IF(C346="","",COUNTIF($C$3:C346,C346))</f>
        <v/>
      </c>
      <c r="E346" s="14">
        <f>IF(C346="","",C346*1000+D346)</f>
        <v/>
      </c>
      <c r="F346" s="14">
        <f>IF(A346="","",INDEX(新年度名簿!$K$2:$K$451,A346))</f>
        <v/>
      </c>
      <c r="G346" s="14">
        <f>IF(A346="","",INDEX(新年度名簿!$C$2:$C$451,A346))</f>
        <v/>
      </c>
      <c r="H346" s="14">
        <f>IF(A346="","",INDEX(新年度名簿!$D$2:$D$451,A346))</f>
        <v/>
      </c>
    </row>
    <row r="347">
      <c r="A347" s="14">
        <f>IFERROR(MATCH(SMALL(新年度名簿!$J$2:$J$451,345),新年度名簿!$J$2:$J$451,0),"")</f>
        <v/>
      </c>
      <c r="B347" s="14">
        <f>IF(A347="","",INDEX(新年度名簿!$G$2:$G$451,A347))</f>
        <v/>
      </c>
      <c r="C347" s="14">
        <f>IF(A347="","",IFERROR(MATCH(B347,設定!$P$8:$P$27,0),""))</f>
        <v/>
      </c>
      <c r="D347" s="14">
        <f>IF(C347="","",COUNTIF($C$3:C347,C347))</f>
        <v/>
      </c>
      <c r="E347" s="14">
        <f>IF(C347="","",C347*1000+D347)</f>
        <v/>
      </c>
      <c r="F347" s="14">
        <f>IF(A347="","",INDEX(新年度名簿!$K$2:$K$451,A347))</f>
        <v/>
      </c>
      <c r="G347" s="14">
        <f>IF(A347="","",INDEX(新年度名簿!$C$2:$C$451,A347))</f>
        <v/>
      </c>
      <c r="H347" s="14">
        <f>IF(A347="","",INDEX(新年度名簿!$D$2:$D$451,A347))</f>
        <v/>
      </c>
    </row>
    <row r="348">
      <c r="A348" s="14">
        <f>IFERROR(MATCH(SMALL(新年度名簿!$J$2:$J$451,346),新年度名簿!$J$2:$J$451,0),"")</f>
        <v/>
      </c>
      <c r="B348" s="14">
        <f>IF(A348="","",INDEX(新年度名簿!$G$2:$G$451,A348))</f>
        <v/>
      </c>
      <c r="C348" s="14">
        <f>IF(A348="","",IFERROR(MATCH(B348,設定!$P$8:$P$27,0),""))</f>
        <v/>
      </c>
      <c r="D348" s="14">
        <f>IF(C348="","",COUNTIF($C$3:C348,C348))</f>
        <v/>
      </c>
      <c r="E348" s="14">
        <f>IF(C348="","",C348*1000+D348)</f>
        <v/>
      </c>
      <c r="F348" s="14">
        <f>IF(A348="","",INDEX(新年度名簿!$K$2:$K$451,A348))</f>
        <v/>
      </c>
      <c r="G348" s="14">
        <f>IF(A348="","",INDEX(新年度名簿!$C$2:$C$451,A348))</f>
        <v/>
      </c>
      <c r="H348" s="14">
        <f>IF(A348="","",INDEX(新年度名簿!$D$2:$D$451,A348))</f>
        <v/>
      </c>
    </row>
    <row r="349">
      <c r="A349" s="14">
        <f>IFERROR(MATCH(SMALL(新年度名簿!$J$2:$J$451,347),新年度名簿!$J$2:$J$451,0),"")</f>
        <v/>
      </c>
      <c r="B349" s="14">
        <f>IF(A349="","",INDEX(新年度名簿!$G$2:$G$451,A349))</f>
        <v/>
      </c>
      <c r="C349" s="14">
        <f>IF(A349="","",IFERROR(MATCH(B349,設定!$P$8:$P$27,0),""))</f>
        <v/>
      </c>
      <c r="D349" s="14">
        <f>IF(C349="","",COUNTIF($C$3:C349,C349))</f>
        <v/>
      </c>
      <c r="E349" s="14">
        <f>IF(C349="","",C349*1000+D349)</f>
        <v/>
      </c>
      <c r="F349" s="14">
        <f>IF(A349="","",INDEX(新年度名簿!$K$2:$K$451,A349))</f>
        <v/>
      </c>
      <c r="G349" s="14">
        <f>IF(A349="","",INDEX(新年度名簿!$C$2:$C$451,A349))</f>
        <v/>
      </c>
      <c r="H349" s="14">
        <f>IF(A349="","",INDEX(新年度名簿!$D$2:$D$451,A349))</f>
        <v/>
      </c>
    </row>
    <row r="350">
      <c r="A350" s="14">
        <f>IFERROR(MATCH(SMALL(新年度名簿!$J$2:$J$451,348),新年度名簿!$J$2:$J$451,0),"")</f>
        <v/>
      </c>
      <c r="B350" s="14">
        <f>IF(A350="","",INDEX(新年度名簿!$G$2:$G$451,A350))</f>
        <v/>
      </c>
      <c r="C350" s="14">
        <f>IF(A350="","",IFERROR(MATCH(B350,設定!$P$8:$P$27,0),""))</f>
        <v/>
      </c>
      <c r="D350" s="14">
        <f>IF(C350="","",COUNTIF($C$3:C350,C350))</f>
        <v/>
      </c>
      <c r="E350" s="14">
        <f>IF(C350="","",C350*1000+D350)</f>
        <v/>
      </c>
      <c r="F350" s="14">
        <f>IF(A350="","",INDEX(新年度名簿!$K$2:$K$451,A350))</f>
        <v/>
      </c>
      <c r="G350" s="14">
        <f>IF(A350="","",INDEX(新年度名簿!$C$2:$C$451,A350))</f>
        <v/>
      </c>
      <c r="H350" s="14">
        <f>IF(A350="","",INDEX(新年度名簿!$D$2:$D$451,A350))</f>
        <v/>
      </c>
    </row>
    <row r="351">
      <c r="A351" s="14">
        <f>IFERROR(MATCH(SMALL(新年度名簿!$J$2:$J$451,349),新年度名簿!$J$2:$J$451,0),"")</f>
        <v/>
      </c>
      <c r="B351" s="14">
        <f>IF(A351="","",INDEX(新年度名簿!$G$2:$G$451,A351))</f>
        <v/>
      </c>
      <c r="C351" s="14">
        <f>IF(A351="","",IFERROR(MATCH(B351,設定!$P$8:$P$27,0),""))</f>
        <v/>
      </c>
      <c r="D351" s="14">
        <f>IF(C351="","",COUNTIF($C$3:C351,C351))</f>
        <v/>
      </c>
      <c r="E351" s="14">
        <f>IF(C351="","",C351*1000+D351)</f>
        <v/>
      </c>
      <c r="F351" s="14">
        <f>IF(A351="","",INDEX(新年度名簿!$K$2:$K$451,A351))</f>
        <v/>
      </c>
      <c r="G351" s="14">
        <f>IF(A351="","",INDEX(新年度名簿!$C$2:$C$451,A351))</f>
        <v/>
      </c>
      <c r="H351" s="14">
        <f>IF(A351="","",INDEX(新年度名簿!$D$2:$D$451,A351))</f>
        <v/>
      </c>
    </row>
    <row r="352">
      <c r="A352" s="14">
        <f>IFERROR(MATCH(SMALL(新年度名簿!$J$2:$J$451,350),新年度名簿!$J$2:$J$451,0),"")</f>
        <v/>
      </c>
      <c r="B352" s="14">
        <f>IF(A352="","",INDEX(新年度名簿!$G$2:$G$451,A352))</f>
        <v/>
      </c>
      <c r="C352" s="14">
        <f>IF(A352="","",IFERROR(MATCH(B352,設定!$P$8:$P$27,0),""))</f>
        <v/>
      </c>
      <c r="D352" s="14">
        <f>IF(C352="","",COUNTIF($C$3:C352,C352))</f>
        <v/>
      </c>
      <c r="E352" s="14">
        <f>IF(C352="","",C352*1000+D352)</f>
        <v/>
      </c>
      <c r="F352" s="14">
        <f>IF(A352="","",INDEX(新年度名簿!$K$2:$K$451,A352))</f>
        <v/>
      </c>
      <c r="G352" s="14">
        <f>IF(A352="","",INDEX(新年度名簿!$C$2:$C$451,A352))</f>
        <v/>
      </c>
      <c r="H352" s="14">
        <f>IF(A352="","",INDEX(新年度名簿!$D$2:$D$451,A352))</f>
        <v/>
      </c>
    </row>
    <row r="353">
      <c r="A353" s="14">
        <f>IFERROR(MATCH(SMALL(新年度名簿!$J$2:$J$451,351),新年度名簿!$J$2:$J$451,0),"")</f>
        <v/>
      </c>
      <c r="B353" s="14">
        <f>IF(A353="","",INDEX(新年度名簿!$G$2:$G$451,A353))</f>
        <v/>
      </c>
      <c r="C353" s="14">
        <f>IF(A353="","",IFERROR(MATCH(B353,設定!$P$8:$P$27,0),""))</f>
        <v/>
      </c>
      <c r="D353" s="14">
        <f>IF(C353="","",COUNTIF($C$3:C353,C353))</f>
        <v/>
      </c>
      <c r="E353" s="14">
        <f>IF(C353="","",C353*1000+D353)</f>
        <v/>
      </c>
      <c r="F353" s="14">
        <f>IF(A353="","",INDEX(新年度名簿!$K$2:$K$451,A353))</f>
        <v/>
      </c>
      <c r="G353" s="14">
        <f>IF(A353="","",INDEX(新年度名簿!$C$2:$C$451,A353))</f>
        <v/>
      </c>
      <c r="H353" s="14">
        <f>IF(A353="","",INDEX(新年度名簿!$D$2:$D$451,A353))</f>
        <v/>
      </c>
    </row>
    <row r="354">
      <c r="A354" s="14">
        <f>IFERROR(MATCH(SMALL(新年度名簿!$J$2:$J$451,352),新年度名簿!$J$2:$J$451,0),"")</f>
        <v/>
      </c>
      <c r="B354" s="14">
        <f>IF(A354="","",INDEX(新年度名簿!$G$2:$G$451,A354))</f>
        <v/>
      </c>
      <c r="C354" s="14">
        <f>IF(A354="","",IFERROR(MATCH(B354,設定!$P$8:$P$27,0),""))</f>
        <v/>
      </c>
      <c r="D354" s="14">
        <f>IF(C354="","",COUNTIF($C$3:C354,C354))</f>
        <v/>
      </c>
      <c r="E354" s="14">
        <f>IF(C354="","",C354*1000+D354)</f>
        <v/>
      </c>
      <c r="F354" s="14">
        <f>IF(A354="","",INDEX(新年度名簿!$K$2:$K$451,A354))</f>
        <v/>
      </c>
      <c r="G354" s="14">
        <f>IF(A354="","",INDEX(新年度名簿!$C$2:$C$451,A354))</f>
        <v/>
      </c>
      <c r="H354" s="14">
        <f>IF(A354="","",INDEX(新年度名簿!$D$2:$D$451,A354))</f>
        <v/>
      </c>
    </row>
    <row r="355">
      <c r="A355" s="14">
        <f>IFERROR(MATCH(SMALL(新年度名簿!$J$2:$J$451,353),新年度名簿!$J$2:$J$451,0),"")</f>
        <v/>
      </c>
      <c r="B355" s="14">
        <f>IF(A355="","",INDEX(新年度名簿!$G$2:$G$451,A355))</f>
        <v/>
      </c>
      <c r="C355" s="14">
        <f>IF(A355="","",IFERROR(MATCH(B355,設定!$P$8:$P$27,0),""))</f>
        <v/>
      </c>
      <c r="D355" s="14">
        <f>IF(C355="","",COUNTIF($C$3:C355,C355))</f>
        <v/>
      </c>
      <c r="E355" s="14">
        <f>IF(C355="","",C355*1000+D355)</f>
        <v/>
      </c>
      <c r="F355" s="14">
        <f>IF(A355="","",INDEX(新年度名簿!$K$2:$K$451,A355))</f>
        <v/>
      </c>
      <c r="G355" s="14">
        <f>IF(A355="","",INDEX(新年度名簿!$C$2:$C$451,A355))</f>
        <v/>
      </c>
      <c r="H355" s="14">
        <f>IF(A355="","",INDEX(新年度名簿!$D$2:$D$451,A355))</f>
        <v/>
      </c>
    </row>
    <row r="356">
      <c r="A356" s="14">
        <f>IFERROR(MATCH(SMALL(新年度名簿!$J$2:$J$451,354),新年度名簿!$J$2:$J$451,0),"")</f>
        <v/>
      </c>
      <c r="B356" s="14">
        <f>IF(A356="","",INDEX(新年度名簿!$G$2:$G$451,A356))</f>
        <v/>
      </c>
      <c r="C356" s="14">
        <f>IF(A356="","",IFERROR(MATCH(B356,設定!$P$8:$P$27,0),""))</f>
        <v/>
      </c>
      <c r="D356" s="14">
        <f>IF(C356="","",COUNTIF($C$3:C356,C356))</f>
        <v/>
      </c>
      <c r="E356" s="14">
        <f>IF(C356="","",C356*1000+D356)</f>
        <v/>
      </c>
      <c r="F356" s="14">
        <f>IF(A356="","",INDEX(新年度名簿!$K$2:$K$451,A356))</f>
        <v/>
      </c>
      <c r="G356" s="14">
        <f>IF(A356="","",INDEX(新年度名簿!$C$2:$C$451,A356))</f>
        <v/>
      </c>
      <c r="H356" s="14">
        <f>IF(A356="","",INDEX(新年度名簿!$D$2:$D$451,A356))</f>
        <v/>
      </c>
    </row>
    <row r="357">
      <c r="A357" s="14">
        <f>IFERROR(MATCH(SMALL(新年度名簿!$J$2:$J$451,355),新年度名簿!$J$2:$J$451,0),"")</f>
        <v/>
      </c>
      <c r="B357" s="14">
        <f>IF(A357="","",INDEX(新年度名簿!$G$2:$G$451,A357))</f>
        <v/>
      </c>
      <c r="C357" s="14">
        <f>IF(A357="","",IFERROR(MATCH(B357,設定!$P$8:$P$27,0),""))</f>
        <v/>
      </c>
      <c r="D357" s="14">
        <f>IF(C357="","",COUNTIF($C$3:C357,C357))</f>
        <v/>
      </c>
      <c r="E357" s="14">
        <f>IF(C357="","",C357*1000+D357)</f>
        <v/>
      </c>
      <c r="F357" s="14">
        <f>IF(A357="","",INDEX(新年度名簿!$K$2:$K$451,A357))</f>
        <v/>
      </c>
      <c r="G357" s="14">
        <f>IF(A357="","",INDEX(新年度名簿!$C$2:$C$451,A357))</f>
        <v/>
      </c>
      <c r="H357" s="14">
        <f>IF(A357="","",INDEX(新年度名簿!$D$2:$D$451,A357))</f>
        <v/>
      </c>
    </row>
    <row r="358">
      <c r="A358" s="14">
        <f>IFERROR(MATCH(SMALL(新年度名簿!$J$2:$J$451,356),新年度名簿!$J$2:$J$451,0),"")</f>
        <v/>
      </c>
      <c r="B358" s="14">
        <f>IF(A358="","",INDEX(新年度名簿!$G$2:$G$451,A358))</f>
        <v/>
      </c>
      <c r="C358" s="14">
        <f>IF(A358="","",IFERROR(MATCH(B358,設定!$P$8:$P$27,0),""))</f>
        <v/>
      </c>
      <c r="D358" s="14">
        <f>IF(C358="","",COUNTIF($C$3:C358,C358))</f>
        <v/>
      </c>
      <c r="E358" s="14">
        <f>IF(C358="","",C358*1000+D358)</f>
        <v/>
      </c>
      <c r="F358" s="14">
        <f>IF(A358="","",INDEX(新年度名簿!$K$2:$K$451,A358))</f>
        <v/>
      </c>
      <c r="G358" s="14">
        <f>IF(A358="","",INDEX(新年度名簿!$C$2:$C$451,A358))</f>
        <v/>
      </c>
      <c r="H358" s="14">
        <f>IF(A358="","",INDEX(新年度名簿!$D$2:$D$451,A358))</f>
        <v/>
      </c>
    </row>
    <row r="359">
      <c r="A359" s="14">
        <f>IFERROR(MATCH(SMALL(新年度名簿!$J$2:$J$451,357),新年度名簿!$J$2:$J$451,0),"")</f>
        <v/>
      </c>
      <c r="B359" s="14">
        <f>IF(A359="","",INDEX(新年度名簿!$G$2:$G$451,A359))</f>
        <v/>
      </c>
      <c r="C359" s="14">
        <f>IF(A359="","",IFERROR(MATCH(B359,設定!$P$8:$P$27,0),""))</f>
        <v/>
      </c>
      <c r="D359" s="14">
        <f>IF(C359="","",COUNTIF($C$3:C359,C359))</f>
        <v/>
      </c>
      <c r="E359" s="14">
        <f>IF(C359="","",C359*1000+D359)</f>
        <v/>
      </c>
      <c r="F359" s="14">
        <f>IF(A359="","",INDEX(新年度名簿!$K$2:$K$451,A359))</f>
        <v/>
      </c>
      <c r="G359" s="14">
        <f>IF(A359="","",INDEX(新年度名簿!$C$2:$C$451,A359))</f>
        <v/>
      </c>
      <c r="H359" s="14">
        <f>IF(A359="","",INDEX(新年度名簿!$D$2:$D$451,A359))</f>
        <v/>
      </c>
    </row>
    <row r="360">
      <c r="A360" s="14">
        <f>IFERROR(MATCH(SMALL(新年度名簿!$J$2:$J$451,358),新年度名簿!$J$2:$J$451,0),"")</f>
        <v/>
      </c>
      <c r="B360" s="14">
        <f>IF(A360="","",INDEX(新年度名簿!$G$2:$G$451,A360))</f>
        <v/>
      </c>
      <c r="C360" s="14">
        <f>IF(A360="","",IFERROR(MATCH(B360,設定!$P$8:$P$27,0),""))</f>
        <v/>
      </c>
      <c r="D360" s="14">
        <f>IF(C360="","",COUNTIF($C$3:C360,C360))</f>
        <v/>
      </c>
      <c r="E360" s="14">
        <f>IF(C360="","",C360*1000+D360)</f>
        <v/>
      </c>
      <c r="F360" s="14">
        <f>IF(A360="","",INDEX(新年度名簿!$K$2:$K$451,A360))</f>
        <v/>
      </c>
      <c r="G360" s="14">
        <f>IF(A360="","",INDEX(新年度名簿!$C$2:$C$451,A360))</f>
        <v/>
      </c>
      <c r="H360" s="14">
        <f>IF(A360="","",INDEX(新年度名簿!$D$2:$D$451,A360))</f>
        <v/>
      </c>
    </row>
    <row r="361">
      <c r="A361" s="14">
        <f>IFERROR(MATCH(SMALL(新年度名簿!$J$2:$J$451,359),新年度名簿!$J$2:$J$451,0),"")</f>
        <v/>
      </c>
      <c r="B361" s="14">
        <f>IF(A361="","",INDEX(新年度名簿!$G$2:$G$451,A361))</f>
        <v/>
      </c>
      <c r="C361" s="14">
        <f>IF(A361="","",IFERROR(MATCH(B361,設定!$P$8:$P$27,0),""))</f>
        <v/>
      </c>
      <c r="D361" s="14">
        <f>IF(C361="","",COUNTIF($C$3:C361,C361))</f>
        <v/>
      </c>
      <c r="E361" s="14">
        <f>IF(C361="","",C361*1000+D361)</f>
        <v/>
      </c>
      <c r="F361" s="14">
        <f>IF(A361="","",INDEX(新年度名簿!$K$2:$K$451,A361))</f>
        <v/>
      </c>
      <c r="G361" s="14">
        <f>IF(A361="","",INDEX(新年度名簿!$C$2:$C$451,A361))</f>
        <v/>
      </c>
      <c r="H361" s="14">
        <f>IF(A361="","",INDEX(新年度名簿!$D$2:$D$451,A361))</f>
        <v/>
      </c>
    </row>
    <row r="362">
      <c r="A362" s="14">
        <f>IFERROR(MATCH(SMALL(新年度名簿!$J$2:$J$451,360),新年度名簿!$J$2:$J$451,0),"")</f>
        <v/>
      </c>
      <c r="B362" s="14">
        <f>IF(A362="","",INDEX(新年度名簿!$G$2:$G$451,A362))</f>
        <v/>
      </c>
      <c r="C362" s="14">
        <f>IF(A362="","",IFERROR(MATCH(B362,設定!$P$8:$P$27,0),""))</f>
        <v/>
      </c>
      <c r="D362" s="14">
        <f>IF(C362="","",COUNTIF($C$3:C362,C362))</f>
        <v/>
      </c>
      <c r="E362" s="14">
        <f>IF(C362="","",C362*1000+D362)</f>
        <v/>
      </c>
      <c r="F362" s="14">
        <f>IF(A362="","",INDEX(新年度名簿!$K$2:$K$451,A362))</f>
        <v/>
      </c>
      <c r="G362" s="14">
        <f>IF(A362="","",INDEX(新年度名簿!$C$2:$C$451,A362))</f>
        <v/>
      </c>
      <c r="H362" s="14">
        <f>IF(A362="","",INDEX(新年度名簿!$D$2:$D$451,A362))</f>
        <v/>
      </c>
    </row>
    <row r="363">
      <c r="A363" s="14">
        <f>IFERROR(MATCH(SMALL(新年度名簿!$J$2:$J$451,361),新年度名簿!$J$2:$J$451,0),"")</f>
        <v/>
      </c>
      <c r="B363" s="14">
        <f>IF(A363="","",INDEX(新年度名簿!$G$2:$G$451,A363))</f>
        <v/>
      </c>
      <c r="C363" s="14">
        <f>IF(A363="","",IFERROR(MATCH(B363,設定!$P$8:$P$27,0),""))</f>
        <v/>
      </c>
      <c r="D363" s="14">
        <f>IF(C363="","",COUNTIF($C$3:C363,C363))</f>
        <v/>
      </c>
      <c r="E363" s="14">
        <f>IF(C363="","",C363*1000+D363)</f>
        <v/>
      </c>
      <c r="F363" s="14">
        <f>IF(A363="","",INDEX(新年度名簿!$K$2:$K$451,A363))</f>
        <v/>
      </c>
      <c r="G363" s="14">
        <f>IF(A363="","",INDEX(新年度名簿!$C$2:$C$451,A363))</f>
        <v/>
      </c>
      <c r="H363" s="14">
        <f>IF(A363="","",INDEX(新年度名簿!$D$2:$D$451,A363))</f>
        <v/>
      </c>
    </row>
    <row r="364">
      <c r="A364" s="14">
        <f>IFERROR(MATCH(SMALL(新年度名簿!$J$2:$J$451,362),新年度名簿!$J$2:$J$451,0),"")</f>
        <v/>
      </c>
      <c r="B364" s="14">
        <f>IF(A364="","",INDEX(新年度名簿!$G$2:$G$451,A364))</f>
        <v/>
      </c>
      <c r="C364" s="14">
        <f>IF(A364="","",IFERROR(MATCH(B364,設定!$P$8:$P$27,0),""))</f>
        <v/>
      </c>
      <c r="D364" s="14">
        <f>IF(C364="","",COUNTIF($C$3:C364,C364))</f>
        <v/>
      </c>
      <c r="E364" s="14">
        <f>IF(C364="","",C364*1000+D364)</f>
        <v/>
      </c>
      <c r="F364" s="14">
        <f>IF(A364="","",INDEX(新年度名簿!$K$2:$K$451,A364))</f>
        <v/>
      </c>
      <c r="G364" s="14">
        <f>IF(A364="","",INDEX(新年度名簿!$C$2:$C$451,A364))</f>
        <v/>
      </c>
      <c r="H364" s="14">
        <f>IF(A364="","",INDEX(新年度名簿!$D$2:$D$451,A364))</f>
        <v/>
      </c>
    </row>
    <row r="365">
      <c r="A365" s="14">
        <f>IFERROR(MATCH(SMALL(新年度名簿!$J$2:$J$451,363),新年度名簿!$J$2:$J$451,0),"")</f>
        <v/>
      </c>
      <c r="B365" s="14">
        <f>IF(A365="","",INDEX(新年度名簿!$G$2:$G$451,A365))</f>
        <v/>
      </c>
      <c r="C365" s="14">
        <f>IF(A365="","",IFERROR(MATCH(B365,設定!$P$8:$P$27,0),""))</f>
        <v/>
      </c>
      <c r="D365" s="14">
        <f>IF(C365="","",COUNTIF($C$3:C365,C365))</f>
        <v/>
      </c>
      <c r="E365" s="14">
        <f>IF(C365="","",C365*1000+D365)</f>
        <v/>
      </c>
      <c r="F365" s="14">
        <f>IF(A365="","",INDEX(新年度名簿!$K$2:$K$451,A365))</f>
        <v/>
      </c>
      <c r="G365" s="14">
        <f>IF(A365="","",INDEX(新年度名簿!$C$2:$C$451,A365))</f>
        <v/>
      </c>
      <c r="H365" s="14">
        <f>IF(A365="","",INDEX(新年度名簿!$D$2:$D$451,A365))</f>
        <v/>
      </c>
    </row>
    <row r="366">
      <c r="A366" s="14">
        <f>IFERROR(MATCH(SMALL(新年度名簿!$J$2:$J$451,364),新年度名簿!$J$2:$J$451,0),"")</f>
        <v/>
      </c>
      <c r="B366" s="14">
        <f>IF(A366="","",INDEX(新年度名簿!$G$2:$G$451,A366))</f>
        <v/>
      </c>
      <c r="C366" s="14">
        <f>IF(A366="","",IFERROR(MATCH(B366,設定!$P$8:$P$27,0),""))</f>
        <v/>
      </c>
      <c r="D366" s="14">
        <f>IF(C366="","",COUNTIF($C$3:C366,C366))</f>
        <v/>
      </c>
      <c r="E366" s="14">
        <f>IF(C366="","",C366*1000+D366)</f>
        <v/>
      </c>
      <c r="F366" s="14">
        <f>IF(A366="","",INDEX(新年度名簿!$K$2:$K$451,A366))</f>
        <v/>
      </c>
      <c r="G366" s="14">
        <f>IF(A366="","",INDEX(新年度名簿!$C$2:$C$451,A366))</f>
        <v/>
      </c>
      <c r="H366" s="14">
        <f>IF(A366="","",INDEX(新年度名簿!$D$2:$D$451,A366))</f>
        <v/>
      </c>
    </row>
    <row r="367">
      <c r="A367" s="14">
        <f>IFERROR(MATCH(SMALL(新年度名簿!$J$2:$J$451,365),新年度名簿!$J$2:$J$451,0),"")</f>
        <v/>
      </c>
      <c r="B367" s="14">
        <f>IF(A367="","",INDEX(新年度名簿!$G$2:$G$451,A367))</f>
        <v/>
      </c>
      <c r="C367" s="14">
        <f>IF(A367="","",IFERROR(MATCH(B367,設定!$P$8:$P$27,0),""))</f>
        <v/>
      </c>
      <c r="D367" s="14">
        <f>IF(C367="","",COUNTIF($C$3:C367,C367))</f>
        <v/>
      </c>
      <c r="E367" s="14">
        <f>IF(C367="","",C367*1000+D367)</f>
        <v/>
      </c>
      <c r="F367" s="14">
        <f>IF(A367="","",INDEX(新年度名簿!$K$2:$K$451,A367))</f>
        <v/>
      </c>
      <c r="G367" s="14">
        <f>IF(A367="","",INDEX(新年度名簿!$C$2:$C$451,A367))</f>
        <v/>
      </c>
      <c r="H367" s="14">
        <f>IF(A367="","",INDEX(新年度名簿!$D$2:$D$451,A367))</f>
        <v/>
      </c>
    </row>
    <row r="368">
      <c r="A368" s="14">
        <f>IFERROR(MATCH(SMALL(新年度名簿!$J$2:$J$451,366),新年度名簿!$J$2:$J$451,0),"")</f>
        <v/>
      </c>
      <c r="B368" s="14">
        <f>IF(A368="","",INDEX(新年度名簿!$G$2:$G$451,A368))</f>
        <v/>
      </c>
      <c r="C368" s="14">
        <f>IF(A368="","",IFERROR(MATCH(B368,設定!$P$8:$P$27,0),""))</f>
        <v/>
      </c>
      <c r="D368" s="14">
        <f>IF(C368="","",COUNTIF($C$3:C368,C368))</f>
        <v/>
      </c>
      <c r="E368" s="14">
        <f>IF(C368="","",C368*1000+D368)</f>
        <v/>
      </c>
      <c r="F368" s="14">
        <f>IF(A368="","",INDEX(新年度名簿!$K$2:$K$451,A368))</f>
        <v/>
      </c>
      <c r="G368" s="14">
        <f>IF(A368="","",INDEX(新年度名簿!$C$2:$C$451,A368))</f>
        <v/>
      </c>
      <c r="H368" s="14">
        <f>IF(A368="","",INDEX(新年度名簿!$D$2:$D$451,A368))</f>
        <v/>
      </c>
    </row>
    <row r="369">
      <c r="A369" s="14">
        <f>IFERROR(MATCH(SMALL(新年度名簿!$J$2:$J$451,367),新年度名簿!$J$2:$J$451,0),"")</f>
        <v/>
      </c>
      <c r="B369" s="14">
        <f>IF(A369="","",INDEX(新年度名簿!$G$2:$G$451,A369))</f>
        <v/>
      </c>
      <c r="C369" s="14">
        <f>IF(A369="","",IFERROR(MATCH(B369,設定!$P$8:$P$27,0),""))</f>
        <v/>
      </c>
      <c r="D369" s="14">
        <f>IF(C369="","",COUNTIF($C$3:C369,C369))</f>
        <v/>
      </c>
      <c r="E369" s="14">
        <f>IF(C369="","",C369*1000+D369)</f>
        <v/>
      </c>
      <c r="F369" s="14">
        <f>IF(A369="","",INDEX(新年度名簿!$K$2:$K$451,A369))</f>
        <v/>
      </c>
      <c r="G369" s="14">
        <f>IF(A369="","",INDEX(新年度名簿!$C$2:$C$451,A369))</f>
        <v/>
      </c>
      <c r="H369" s="14">
        <f>IF(A369="","",INDEX(新年度名簿!$D$2:$D$451,A369))</f>
        <v/>
      </c>
    </row>
    <row r="370">
      <c r="A370" s="14">
        <f>IFERROR(MATCH(SMALL(新年度名簿!$J$2:$J$451,368),新年度名簿!$J$2:$J$451,0),"")</f>
        <v/>
      </c>
      <c r="B370" s="14">
        <f>IF(A370="","",INDEX(新年度名簿!$G$2:$G$451,A370))</f>
        <v/>
      </c>
      <c r="C370" s="14">
        <f>IF(A370="","",IFERROR(MATCH(B370,設定!$P$8:$P$27,0),""))</f>
        <v/>
      </c>
      <c r="D370" s="14">
        <f>IF(C370="","",COUNTIF($C$3:C370,C370))</f>
        <v/>
      </c>
      <c r="E370" s="14">
        <f>IF(C370="","",C370*1000+D370)</f>
        <v/>
      </c>
      <c r="F370" s="14">
        <f>IF(A370="","",INDEX(新年度名簿!$K$2:$K$451,A370))</f>
        <v/>
      </c>
      <c r="G370" s="14">
        <f>IF(A370="","",INDEX(新年度名簿!$C$2:$C$451,A370))</f>
        <v/>
      </c>
      <c r="H370" s="14">
        <f>IF(A370="","",INDEX(新年度名簿!$D$2:$D$451,A370))</f>
        <v/>
      </c>
    </row>
    <row r="371">
      <c r="A371" s="14">
        <f>IFERROR(MATCH(SMALL(新年度名簿!$J$2:$J$451,369),新年度名簿!$J$2:$J$451,0),"")</f>
        <v/>
      </c>
      <c r="B371" s="14">
        <f>IF(A371="","",INDEX(新年度名簿!$G$2:$G$451,A371))</f>
        <v/>
      </c>
      <c r="C371" s="14">
        <f>IF(A371="","",IFERROR(MATCH(B371,設定!$P$8:$P$27,0),""))</f>
        <v/>
      </c>
      <c r="D371" s="14">
        <f>IF(C371="","",COUNTIF($C$3:C371,C371))</f>
        <v/>
      </c>
      <c r="E371" s="14">
        <f>IF(C371="","",C371*1000+D371)</f>
        <v/>
      </c>
      <c r="F371" s="14">
        <f>IF(A371="","",INDEX(新年度名簿!$K$2:$K$451,A371))</f>
        <v/>
      </c>
      <c r="G371" s="14">
        <f>IF(A371="","",INDEX(新年度名簿!$C$2:$C$451,A371))</f>
        <v/>
      </c>
      <c r="H371" s="14">
        <f>IF(A371="","",INDEX(新年度名簿!$D$2:$D$451,A371))</f>
        <v/>
      </c>
    </row>
    <row r="372">
      <c r="A372" s="14">
        <f>IFERROR(MATCH(SMALL(新年度名簿!$J$2:$J$451,370),新年度名簿!$J$2:$J$451,0),"")</f>
        <v/>
      </c>
      <c r="B372" s="14">
        <f>IF(A372="","",INDEX(新年度名簿!$G$2:$G$451,A372))</f>
        <v/>
      </c>
      <c r="C372" s="14">
        <f>IF(A372="","",IFERROR(MATCH(B372,設定!$P$8:$P$27,0),""))</f>
        <v/>
      </c>
      <c r="D372" s="14">
        <f>IF(C372="","",COUNTIF($C$3:C372,C372))</f>
        <v/>
      </c>
      <c r="E372" s="14">
        <f>IF(C372="","",C372*1000+D372)</f>
        <v/>
      </c>
      <c r="F372" s="14">
        <f>IF(A372="","",INDEX(新年度名簿!$K$2:$K$451,A372))</f>
        <v/>
      </c>
      <c r="G372" s="14">
        <f>IF(A372="","",INDEX(新年度名簿!$C$2:$C$451,A372))</f>
        <v/>
      </c>
      <c r="H372" s="14">
        <f>IF(A372="","",INDEX(新年度名簿!$D$2:$D$451,A372))</f>
        <v/>
      </c>
    </row>
    <row r="373">
      <c r="A373" s="14">
        <f>IFERROR(MATCH(SMALL(新年度名簿!$J$2:$J$451,371),新年度名簿!$J$2:$J$451,0),"")</f>
        <v/>
      </c>
      <c r="B373" s="14">
        <f>IF(A373="","",INDEX(新年度名簿!$G$2:$G$451,A373))</f>
        <v/>
      </c>
      <c r="C373" s="14">
        <f>IF(A373="","",IFERROR(MATCH(B373,設定!$P$8:$P$27,0),""))</f>
        <v/>
      </c>
      <c r="D373" s="14">
        <f>IF(C373="","",COUNTIF($C$3:C373,C373))</f>
        <v/>
      </c>
      <c r="E373" s="14">
        <f>IF(C373="","",C373*1000+D373)</f>
        <v/>
      </c>
      <c r="F373" s="14">
        <f>IF(A373="","",INDEX(新年度名簿!$K$2:$K$451,A373))</f>
        <v/>
      </c>
      <c r="G373" s="14">
        <f>IF(A373="","",INDEX(新年度名簿!$C$2:$C$451,A373))</f>
        <v/>
      </c>
      <c r="H373" s="14">
        <f>IF(A373="","",INDEX(新年度名簿!$D$2:$D$451,A373))</f>
        <v/>
      </c>
    </row>
    <row r="374">
      <c r="A374" s="14">
        <f>IFERROR(MATCH(SMALL(新年度名簿!$J$2:$J$451,372),新年度名簿!$J$2:$J$451,0),"")</f>
        <v/>
      </c>
      <c r="B374" s="14">
        <f>IF(A374="","",INDEX(新年度名簿!$G$2:$G$451,A374))</f>
        <v/>
      </c>
      <c r="C374" s="14">
        <f>IF(A374="","",IFERROR(MATCH(B374,設定!$P$8:$P$27,0),""))</f>
        <v/>
      </c>
      <c r="D374" s="14">
        <f>IF(C374="","",COUNTIF($C$3:C374,C374))</f>
        <v/>
      </c>
      <c r="E374" s="14">
        <f>IF(C374="","",C374*1000+D374)</f>
        <v/>
      </c>
      <c r="F374" s="14">
        <f>IF(A374="","",INDEX(新年度名簿!$K$2:$K$451,A374))</f>
        <v/>
      </c>
      <c r="G374" s="14">
        <f>IF(A374="","",INDEX(新年度名簿!$C$2:$C$451,A374))</f>
        <v/>
      </c>
      <c r="H374" s="14">
        <f>IF(A374="","",INDEX(新年度名簿!$D$2:$D$451,A374))</f>
        <v/>
      </c>
    </row>
    <row r="375">
      <c r="A375" s="14">
        <f>IFERROR(MATCH(SMALL(新年度名簿!$J$2:$J$451,373),新年度名簿!$J$2:$J$451,0),"")</f>
        <v/>
      </c>
      <c r="B375" s="14">
        <f>IF(A375="","",INDEX(新年度名簿!$G$2:$G$451,A375))</f>
        <v/>
      </c>
      <c r="C375" s="14">
        <f>IF(A375="","",IFERROR(MATCH(B375,設定!$P$8:$P$27,0),""))</f>
        <v/>
      </c>
      <c r="D375" s="14">
        <f>IF(C375="","",COUNTIF($C$3:C375,C375))</f>
        <v/>
      </c>
      <c r="E375" s="14">
        <f>IF(C375="","",C375*1000+D375)</f>
        <v/>
      </c>
      <c r="F375" s="14">
        <f>IF(A375="","",INDEX(新年度名簿!$K$2:$K$451,A375))</f>
        <v/>
      </c>
      <c r="G375" s="14">
        <f>IF(A375="","",INDEX(新年度名簿!$C$2:$C$451,A375))</f>
        <v/>
      </c>
      <c r="H375" s="14">
        <f>IF(A375="","",INDEX(新年度名簿!$D$2:$D$451,A375))</f>
        <v/>
      </c>
    </row>
    <row r="376">
      <c r="A376" s="14">
        <f>IFERROR(MATCH(SMALL(新年度名簿!$J$2:$J$451,374),新年度名簿!$J$2:$J$451,0),"")</f>
        <v/>
      </c>
      <c r="B376" s="14">
        <f>IF(A376="","",INDEX(新年度名簿!$G$2:$G$451,A376))</f>
        <v/>
      </c>
      <c r="C376" s="14">
        <f>IF(A376="","",IFERROR(MATCH(B376,設定!$P$8:$P$27,0),""))</f>
        <v/>
      </c>
      <c r="D376" s="14">
        <f>IF(C376="","",COUNTIF($C$3:C376,C376))</f>
        <v/>
      </c>
      <c r="E376" s="14">
        <f>IF(C376="","",C376*1000+D376)</f>
        <v/>
      </c>
      <c r="F376" s="14">
        <f>IF(A376="","",INDEX(新年度名簿!$K$2:$K$451,A376))</f>
        <v/>
      </c>
      <c r="G376" s="14">
        <f>IF(A376="","",INDEX(新年度名簿!$C$2:$C$451,A376))</f>
        <v/>
      </c>
      <c r="H376" s="14">
        <f>IF(A376="","",INDEX(新年度名簿!$D$2:$D$451,A376))</f>
        <v/>
      </c>
    </row>
    <row r="377">
      <c r="A377" s="14">
        <f>IFERROR(MATCH(SMALL(新年度名簿!$J$2:$J$451,375),新年度名簿!$J$2:$J$451,0),"")</f>
        <v/>
      </c>
      <c r="B377" s="14">
        <f>IF(A377="","",INDEX(新年度名簿!$G$2:$G$451,A377))</f>
        <v/>
      </c>
      <c r="C377" s="14">
        <f>IF(A377="","",IFERROR(MATCH(B377,設定!$P$8:$P$27,0),""))</f>
        <v/>
      </c>
      <c r="D377" s="14">
        <f>IF(C377="","",COUNTIF($C$3:C377,C377))</f>
        <v/>
      </c>
      <c r="E377" s="14">
        <f>IF(C377="","",C377*1000+D377)</f>
        <v/>
      </c>
      <c r="F377" s="14">
        <f>IF(A377="","",INDEX(新年度名簿!$K$2:$K$451,A377))</f>
        <v/>
      </c>
      <c r="G377" s="14">
        <f>IF(A377="","",INDEX(新年度名簿!$C$2:$C$451,A377))</f>
        <v/>
      </c>
      <c r="H377" s="14">
        <f>IF(A377="","",INDEX(新年度名簿!$D$2:$D$451,A377))</f>
        <v/>
      </c>
    </row>
    <row r="378">
      <c r="A378" s="14">
        <f>IFERROR(MATCH(SMALL(新年度名簿!$J$2:$J$451,376),新年度名簿!$J$2:$J$451,0),"")</f>
        <v/>
      </c>
      <c r="B378" s="14">
        <f>IF(A378="","",INDEX(新年度名簿!$G$2:$G$451,A378))</f>
        <v/>
      </c>
      <c r="C378" s="14">
        <f>IF(A378="","",IFERROR(MATCH(B378,設定!$P$8:$P$27,0),""))</f>
        <v/>
      </c>
      <c r="D378" s="14">
        <f>IF(C378="","",COUNTIF($C$3:C378,C378))</f>
        <v/>
      </c>
      <c r="E378" s="14">
        <f>IF(C378="","",C378*1000+D378)</f>
        <v/>
      </c>
      <c r="F378" s="14">
        <f>IF(A378="","",INDEX(新年度名簿!$K$2:$K$451,A378))</f>
        <v/>
      </c>
      <c r="G378" s="14">
        <f>IF(A378="","",INDEX(新年度名簿!$C$2:$C$451,A378))</f>
        <v/>
      </c>
      <c r="H378" s="14">
        <f>IF(A378="","",INDEX(新年度名簿!$D$2:$D$451,A378))</f>
        <v/>
      </c>
    </row>
    <row r="379">
      <c r="A379" s="14">
        <f>IFERROR(MATCH(SMALL(新年度名簿!$J$2:$J$451,377),新年度名簿!$J$2:$J$451,0),"")</f>
        <v/>
      </c>
      <c r="B379" s="14">
        <f>IF(A379="","",INDEX(新年度名簿!$G$2:$G$451,A379))</f>
        <v/>
      </c>
      <c r="C379" s="14">
        <f>IF(A379="","",IFERROR(MATCH(B379,設定!$P$8:$P$27,0),""))</f>
        <v/>
      </c>
      <c r="D379" s="14">
        <f>IF(C379="","",COUNTIF($C$3:C379,C379))</f>
        <v/>
      </c>
      <c r="E379" s="14">
        <f>IF(C379="","",C379*1000+D379)</f>
        <v/>
      </c>
      <c r="F379" s="14">
        <f>IF(A379="","",INDEX(新年度名簿!$K$2:$K$451,A379))</f>
        <v/>
      </c>
      <c r="G379" s="14">
        <f>IF(A379="","",INDEX(新年度名簿!$C$2:$C$451,A379))</f>
        <v/>
      </c>
      <c r="H379" s="14">
        <f>IF(A379="","",INDEX(新年度名簿!$D$2:$D$451,A379))</f>
        <v/>
      </c>
    </row>
    <row r="380">
      <c r="A380" s="14">
        <f>IFERROR(MATCH(SMALL(新年度名簿!$J$2:$J$451,378),新年度名簿!$J$2:$J$451,0),"")</f>
        <v/>
      </c>
      <c r="B380" s="14">
        <f>IF(A380="","",INDEX(新年度名簿!$G$2:$G$451,A380))</f>
        <v/>
      </c>
      <c r="C380" s="14">
        <f>IF(A380="","",IFERROR(MATCH(B380,設定!$P$8:$P$27,0),""))</f>
        <v/>
      </c>
      <c r="D380" s="14">
        <f>IF(C380="","",COUNTIF($C$3:C380,C380))</f>
        <v/>
      </c>
      <c r="E380" s="14">
        <f>IF(C380="","",C380*1000+D380)</f>
        <v/>
      </c>
      <c r="F380" s="14">
        <f>IF(A380="","",INDEX(新年度名簿!$K$2:$K$451,A380))</f>
        <v/>
      </c>
      <c r="G380" s="14">
        <f>IF(A380="","",INDEX(新年度名簿!$C$2:$C$451,A380))</f>
        <v/>
      </c>
      <c r="H380" s="14">
        <f>IF(A380="","",INDEX(新年度名簿!$D$2:$D$451,A380))</f>
        <v/>
      </c>
    </row>
    <row r="381">
      <c r="A381" s="14">
        <f>IFERROR(MATCH(SMALL(新年度名簿!$J$2:$J$451,379),新年度名簿!$J$2:$J$451,0),"")</f>
        <v/>
      </c>
      <c r="B381" s="14">
        <f>IF(A381="","",INDEX(新年度名簿!$G$2:$G$451,A381))</f>
        <v/>
      </c>
      <c r="C381" s="14">
        <f>IF(A381="","",IFERROR(MATCH(B381,設定!$P$8:$P$27,0),""))</f>
        <v/>
      </c>
      <c r="D381" s="14">
        <f>IF(C381="","",COUNTIF($C$3:C381,C381))</f>
        <v/>
      </c>
      <c r="E381" s="14">
        <f>IF(C381="","",C381*1000+D381)</f>
        <v/>
      </c>
      <c r="F381" s="14">
        <f>IF(A381="","",INDEX(新年度名簿!$K$2:$K$451,A381))</f>
        <v/>
      </c>
      <c r="G381" s="14">
        <f>IF(A381="","",INDEX(新年度名簿!$C$2:$C$451,A381))</f>
        <v/>
      </c>
      <c r="H381" s="14">
        <f>IF(A381="","",INDEX(新年度名簿!$D$2:$D$451,A381))</f>
        <v/>
      </c>
    </row>
    <row r="382">
      <c r="A382" s="14">
        <f>IFERROR(MATCH(SMALL(新年度名簿!$J$2:$J$451,380),新年度名簿!$J$2:$J$451,0),"")</f>
        <v/>
      </c>
      <c r="B382" s="14">
        <f>IF(A382="","",INDEX(新年度名簿!$G$2:$G$451,A382))</f>
        <v/>
      </c>
      <c r="C382" s="14">
        <f>IF(A382="","",IFERROR(MATCH(B382,設定!$P$8:$P$27,0),""))</f>
        <v/>
      </c>
      <c r="D382" s="14">
        <f>IF(C382="","",COUNTIF($C$3:C382,C382))</f>
        <v/>
      </c>
      <c r="E382" s="14">
        <f>IF(C382="","",C382*1000+D382)</f>
        <v/>
      </c>
      <c r="F382" s="14">
        <f>IF(A382="","",INDEX(新年度名簿!$K$2:$K$451,A382))</f>
        <v/>
      </c>
      <c r="G382" s="14">
        <f>IF(A382="","",INDEX(新年度名簿!$C$2:$C$451,A382))</f>
        <v/>
      </c>
      <c r="H382" s="14">
        <f>IF(A382="","",INDEX(新年度名簿!$D$2:$D$451,A382))</f>
        <v/>
      </c>
    </row>
    <row r="383">
      <c r="A383" s="14">
        <f>IFERROR(MATCH(SMALL(新年度名簿!$J$2:$J$451,381),新年度名簿!$J$2:$J$451,0),"")</f>
        <v/>
      </c>
      <c r="B383" s="14">
        <f>IF(A383="","",INDEX(新年度名簿!$G$2:$G$451,A383))</f>
        <v/>
      </c>
      <c r="C383" s="14">
        <f>IF(A383="","",IFERROR(MATCH(B383,設定!$P$8:$P$27,0),""))</f>
        <v/>
      </c>
      <c r="D383" s="14">
        <f>IF(C383="","",COUNTIF($C$3:C383,C383))</f>
        <v/>
      </c>
      <c r="E383" s="14">
        <f>IF(C383="","",C383*1000+D383)</f>
        <v/>
      </c>
      <c r="F383" s="14">
        <f>IF(A383="","",INDEX(新年度名簿!$K$2:$K$451,A383))</f>
        <v/>
      </c>
      <c r="G383" s="14">
        <f>IF(A383="","",INDEX(新年度名簿!$C$2:$C$451,A383))</f>
        <v/>
      </c>
      <c r="H383" s="14">
        <f>IF(A383="","",INDEX(新年度名簿!$D$2:$D$451,A383))</f>
        <v/>
      </c>
    </row>
    <row r="384">
      <c r="A384" s="14">
        <f>IFERROR(MATCH(SMALL(新年度名簿!$J$2:$J$451,382),新年度名簿!$J$2:$J$451,0),"")</f>
        <v/>
      </c>
      <c r="B384" s="14">
        <f>IF(A384="","",INDEX(新年度名簿!$G$2:$G$451,A384))</f>
        <v/>
      </c>
      <c r="C384" s="14">
        <f>IF(A384="","",IFERROR(MATCH(B384,設定!$P$8:$P$27,0),""))</f>
        <v/>
      </c>
      <c r="D384" s="14">
        <f>IF(C384="","",COUNTIF($C$3:C384,C384))</f>
        <v/>
      </c>
      <c r="E384" s="14">
        <f>IF(C384="","",C384*1000+D384)</f>
        <v/>
      </c>
      <c r="F384" s="14">
        <f>IF(A384="","",INDEX(新年度名簿!$K$2:$K$451,A384))</f>
        <v/>
      </c>
      <c r="G384" s="14">
        <f>IF(A384="","",INDEX(新年度名簿!$C$2:$C$451,A384))</f>
        <v/>
      </c>
      <c r="H384" s="14">
        <f>IF(A384="","",INDEX(新年度名簿!$D$2:$D$451,A384))</f>
        <v/>
      </c>
    </row>
    <row r="385">
      <c r="A385" s="14">
        <f>IFERROR(MATCH(SMALL(新年度名簿!$J$2:$J$451,383),新年度名簿!$J$2:$J$451,0),"")</f>
        <v/>
      </c>
      <c r="B385" s="14">
        <f>IF(A385="","",INDEX(新年度名簿!$G$2:$G$451,A385))</f>
        <v/>
      </c>
      <c r="C385" s="14">
        <f>IF(A385="","",IFERROR(MATCH(B385,設定!$P$8:$P$27,0),""))</f>
        <v/>
      </c>
      <c r="D385" s="14">
        <f>IF(C385="","",COUNTIF($C$3:C385,C385))</f>
        <v/>
      </c>
      <c r="E385" s="14">
        <f>IF(C385="","",C385*1000+D385)</f>
        <v/>
      </c>
      <c r="F385" s="14">
        <f>IF(A385="","",INDEX(新年度名簿!$K$2:$K$451,A385))</f>
        <v/>
      </c>
      <c r="G385" s="14">
        <f>IF(A385="","",INDEX(新年度名簿!$C$2:$C$451,A385))</f>
        <v/>
      </c>
      <c r="H385" s="14">
        <f>IF(A385="","",INDEX(新年度名簿!$D$2:$D$451,A385))</f>
        <v/>
      </c>
    </row>
    <row r="386">
      <c r="A386" s="14">
        <f>IFERROR(MATCH(SMALL(新年度名簿!$J$2:$J$451,384),新年度名簿!$J$2:$J$451,0),"")</f>
        <v/>
      </c>
      <c r="B386" s="14">
        <f>IF(A386="","",INDEX(新年度名簿!$G$2:$G$451,A386))</f>
        <v/>
      </c>
      <c r="C386" s="14">
        <f>IF(A386="","",IFERROR(MATCH(B386,設定!$P$8:$P$27,0),""))</f>
        <v/>
      </c>
      <c r="D386" s="14">
        <f>IF(C386="","",COUNTIF($C$3:C386,C386))</f>
        <v/>
      </c>
      <c r="E386" s="14">
        <f>IF(C386="","",C386*1000+D386)</f>
        <v/>
      </c>
      <c r="F386" s="14">
        <f>IF(A386="","",INDEX(新年度名簿!$K$2:$K$451,A386))</f>
        <v/>
      </c>
      <c r="G386" s="14">
        <f>IF(A386="","",INDEX(新年度名簿!$C$2:$C$451,A386))</f>
        <v/>
      </c>
      <c r="H386" s="14">
        <f>IF(A386="","",INDEX(新年度名簿!$D$2:$D$451,A386))</f>
        <v/>
      </c>
    </row>
    <row r="387">
      <c r="A387" s="14">
        <f>IFERROR(MATCH(SMALL(新年度名簿!$J$2:$J$451,385),新年度名簿!$J$2:$J$451,0),"")</f>
        <v/>
      </c>
      <c r="B387" s="14">
        <f>IF(A387="","",INDEX(新年度名簿!$G$2:$G$451,A387))</f>
        <v/>
      </c>
      <c r="C387" s="14">
        <f>IF(A387="","",IFERROR(MATCH(B387,設定!$P$8:$P$27,0),""))</f>
        <v/>
      </c>
      <c r="D387" s="14">
        <f>IF(C387="","",COUNTIF($C$3:C387,C387))</f>
        <v/>
      </c>
      <c r="E387" s="14">
        <f>IF(C387="","",C387*1000+D387)</f>
        <v/>
      </c>
      <c r="F387" s="14">
        <f>IF(A387="","",INDEX(新年度名簿!$K$2:$K$451,A387))</f>
        <v/>
      </c>
      <c r="G387" s="14">
        <f>IF(A387="","",INDEX(新年度名簿!$C$2:$C$451,A387))</f>
        <v/>
      </c>
      <c r="H387" s="14">
        <f>IF(A387="","",INDEX(新年度名簿!$D$2:$D$451,A387))</f>
        <v/>
      </c>
    </row>
    <row r="388">
      <c r="A388" s="14">
        <f>IFERROR(MATCH(SMALL(新年度名簿!$J$2:$J$451,386),新年度名簿!$J$2:$J$451,0),"")</f>
        <v/>
      </c>
      <c r="B388" s="14">
        <f>IF(A388="","",INDEX(新年度名簿!$G$2:$G$451,A388))</f>
        <v/>
      </c>
      <c r="C388" s="14">
        <f>IF(A388="","",IFERROR(MATCH(B388,設定!$P$8:$P$27,0),""))</f>
        <v/>
      </c>
      <c r="D388" s="14">
        <f>IF(C388="","",COUNTIF($C$3:C388,C388))</f>
        <v/>
      </c>
      <c r="E388" s="14">
        <f>IF(C388="","",C388*1000+D388)</f>
        <v/>
      </c>
      <c r="F388" s="14">
        <f>IF(A388="","",INDEX(新年度名簿!$K$2:$K$451,A388))</f>
        <v/>
      </c>
      <c r="G388" s="14">
        <f>IF(A388="","",INDEX(新年度名簿!$C$2:$C$451,A388))</f>
        <v/>
      </c>
      <c r="H388" s="14">
        <f>IF(A388="","",INDEX(新年度名簿!$D$2:$D$451,A388))</f>
        <v/>
      </c>
    </row>
    <row r="389">
      <c r="A389" s="14">
        <f>IFERROR(MATCH(SMALL(新年度名簿!$J$2:$J$451,387),新年度名簿!$J$2:$J$451,0),"")</f>
        <v/>
      </c>
      <c r="B389" s="14">
        <f>IF(A389="","",INDEX(新年度名簿!$G$2:$G$451,A389))</f>
        <v/>
      </c>
      <c r="C389" s="14">
        <f>IF(A389="","",IFERROR(MATCH(B389,設定!$P$8:$P$27,0),""))</f>
        <v/>
      </c>
      <c r="D389" s="14">
        <f>IF(C389="","",COUNTIF($C$3:C389,C389))</f>
        <v/>
      </c>
      <c r="E389" s="14">
        <f>IF(C389="","",C389*1000+D389)</f>
        <v/>
      </c>
      <c r="F389" s="14">
        <f>IF(A389="","",INDEX(新年度名簿!$K$2:$K$451,A389))</f>
        <v/>
      </c>
      <c r="G389" s="14">
        <f>IF(A389="","",INDEX(新年度名簿!$C$2:$C$451,A389))</f>
        <v/>
      </c>
      <c r="H389" s="14">
        <f>IF(A389="","",INDEX(新年度名簿!$D$2:$D$451,A389))</f>
        <v/>
      </c>
    </row>
    <row r="390">
      <c r="A390" s="14">
        <f>IFERROR(MATCH(SMALL(新年度名簿!$J$2:$J$451,388),新年度名簿!$J$2:$J$451,0),"")</f>
        <v/>
      </c>
      <c r="B390" s="14">
        <f>IF(A390="","",INDEX(新年度名簿!$G$2:$G$451,A390))</f>
        <v/>
      </c>
      <c r="C390" s="14">
        <f>IF(A390="","",IFERROR(MATCH(B390,設定!$P$8:$P$27,0),""))</f>
        <v/>
      </c>
      <c r="D390" s="14">
        <f>IF(C390="","",COUNTIF($C$3:C390,C390))</f>
        <v/>
      </c>
      <c r="E390" s="14">
        <f>IF(C390="","",C390*1000+D390)</f>
        <v/>
      </c>
      <c r="F390" s="14">
        <f>IF(A390="","",INDEX(新年度名簿!$K$2:$K$451,A390))</f>
        <v/>
      </c>
      <c r="G390" s="14">
        <f>IF(A390="","",INDEX(新年度名簿!$C$2:$C$451,A390))</f>
        <v/>
      </c>
      <c r="H390" s="14">
        <f>IF(A390="","",INDEX(新年度名簿!$D$2:$D$451,A390))</f>
        <v/>
      </c>
    </row>
    <row r="391">
      <c r="A391" s="14">
        <f>IFERROR(MATCH(SMALL(新年度名簿!$J$2:$J$451,389),新年度名簿!$J$2:$J$451,0),"")</f>
        <v/>
      </c>
      <c r="B391" s="14">
        <f>IF(A391="","",INDEX(新年度名簿!$G$2:$G$451,A391))</f>
        <v/>
      </c>
      <c r="C391" s="14">
        <f>IF(A391="","",IFERROR(MATCH(B391,設定!$P$8:$P$27,0),""))</f>
        <v/>
      </c>
      <c r="D391" s="14">
        <f>IF(C391="","",COUNTIF($C$3:C391,C391))</f>
        <v/>
      </c>
      <c r="E391" s="14">
        <f>IF(C391="","",C391*1000+D391)</f>
        <v/>
      </c>
      <c r="F391" s="14">
        <f>IF(A391="","",INDEX(新年度名簿!$K$2:$K$451,A391))</f>
        <v/>
      </c>
      <c r="G391" s="14">
        <f>IF(A391="","",INDEX(新年度名簿!$C$2:$C$451,A391))</f>
        <v/>
      </c>
      <c r="H391" s="14">
        <f>IF(A391="","",INDEX(新年度名簿!$D$2:$D$451,A391))</f>
        <v/>
      </c>
    </row>
    <row r="392">
      <c r="A392" s="14">
        <f>IFERROR(MATCH(SMALL(新年度名簿!$J$2:$J$451,390),新年度名簿!$J$2:$J$451,0),"")</f>
        <v/>
      </c>
      <c r="B392" s="14">
        <f>IF(A392="","",INDEX(新年度名簿!$G$2:$G$451,A392))</f>
        <v/>
      </c>
      <c r="C392" s="14">
        <f>IF(A392="","",IFERROR(MATCH(B392,設定!$P$8:$P$27,0),""))</f>
        <v/>
      </c>
      <c r="D392" s="14">
        <f>IF(C392="","",COUNTIF($C$3:C392,C392))</f>
        <v/>
      </c>
      <c r="E392" s="14">
        <f>IF(C392="","",C392*1000+D392)</f>
        <v/>
      </c>
      <c r="F392" s="14">
        <f>IF(A392="","",INDEX(新年度名簿!$K$2:$K$451,A392))</f>
        <v/>
      </c>
      <c r="G392" s="14">
        <f>IF(A392="","",INDEX(新年度名簿!$C$2:$C$451,A392))</f>
        <v/>
      </c>
      <c r="H392" s="14">
        <f>IF(A392="","",INDEX(新年度名簿!$D$2:$D$451,A392))</f>
        <v/>
      </c>
    </row>
    <row r="393">
      <c r="A393" s="14">
        <f>IFERROR(MATCH(SMALL(新年度名簿!$J$2:$J$451,391),新年度名簿!$J$2:$J$451,0),"")</f>
        <v/>
      </c>
      <c r="B393" s="14">
        <f>IF(A393="","",INDEX(新年度名簿!$G$2:$G$451,A393))</f>
        <v/>
      </c>
      <c r="C393" s="14">
        <f>IF(A393="","",IFERROR(MATCH(B393,設定!$P$8:$P$27,0),""))</f>
        <v/>
      </c>
      <c r="D393" s="14">
        <f>IF(C393="","",COUNTIF($C$3:C393,C393))</f>
        <v/>
      </c>
      <c r="E393" s="14">
        <f>IF(C393="","",C393*1000+D393)</f>
        <v/>
      </c>
      <c r="F393" s="14">
        <f>IF(A393="","",INDEX(新年度名簿!$K$2:$K$451,A393))</f>
        <v/>
      </c>
      <c r="G393" s="14">
        <f>IF(A393="","",INDEX(新年度名簿!$C$2:$C$451,A393))</f>
        <v/>
      </c>
      <c r="H393" s="14">
        <f>IF(A393="","",INDEX(新年度名簿!$D$2:$D$451,A393))</f>
        <v/>
      </c>
    </row>
    <row r="394">
      <c r="A394" s="14">
        <f>IFERROR(MATCH(SMALL(新年度名簿!$J$2:$J$451,392),新年度名簿!$J$2:$J$451,0),"")</f>
        <v/>
      </c>
      <c r="B394" s="14">
        <f>IF(A394="","",INDEX(新年度名簿!$G$2:$G$451,A394))</f>
        <v/>
      </c>
      <c r="C394" s="14">
        <f>IF(A394="","",IFERROR(MATCH(B394,設定!$P$8:$P$27,0),""))</f>
        <v/>
      </c>
      <c r="D394" s="14">
        <f>IF(C394="","",COUNTIF($C$3:C394,C394))</f>
        <v/>
      </c>
      <c r="E394" s="14">
        <f>IF(C394="","",C394*1000+D394)</f>
        <v/>
      </c>
      <c r="F394" s="14">
        <f>IF(A394="","",INDEX(新年度名簿!$K$2:$K$451,A394))</f>
        <v/>
      </c>
      <c r="G394" s="14">
        <f>IF(A394="","",INDEX(新年度名簿!$C$2:$C$451,A394))</f>
        <v/>
      </c>
      <c r="H394" s="14">
        <f>IF(A394="","",INDEX(新年度名簿!$D$2:$D$451,A394))</f>
        <v/>
      </c>
    </row>
    <row r="395">
      <c r="A395" s="14">
        <f>IFERROR(MATCH(SMALL(新年度名簿!$J$2:$J$451,393),新年度名簿!$J$2:$J$451,0),"")</f>
        <v/>
      </c>
      <c r="B395" s="14">
        <f>IF(A395="","",INDEX(新年度名簿!$G$2:$G$451,A395))</f>
        <v/>
      </c>
      <c r="C395" s="14">
        <f>IF(A395="","",IFERROR(MATCH(B395,設定!$P$8:$P$27,0),""))</f>
        <v/>
      </c>
      <c r="D395" s="14">
        <f>IF(C395="","",COUNTIF($C$3:C395,C395))</f>
        <v/>
      </c>
      <c r="E395" s="14">
        <f>IF(C395="","",C395*1000+D395)</f>
        <v/>
      </c>
      <c r="F395" s="14">
        <f>IF(A395="","",INDEX(新年度名簿!$K$2:$K$451,A395))</f>
        <v/>
      </c>
      <c r="G395" s="14">
        <f>IF(A395="","",INDEX(新年度名簿!$C$2:$C$451,A395))</f>
        <v/>
      </c>
      <c r="H395" s="14">
        <f>IF(A395="","",INDEX(新年度名簿!$D$2:$D$451,A395))</f>
        <v/>
      </c>
    </row>
    <row r="396">
      <c r="A396" s="14">
        <f>IFERROR(MATCH(SMALL(新年度名簿!$J$2:$J$451,394),新年度名簿!$J$2:$J$451,0),"")</f>
        <v/>
      </c>
      <c r="B396" s="14">
        <f>IF(A396="","",INDEX(新年度名簿!$G$2:$G$451,A396))</f>
        <v/>
      </c>
      <c r="C396" s="14">
        <f>IF(A396="","",IFERROR(MATCH(B396,設定!$P$8:$P$27,0),""))</f>
        <v/>
      </c>
      <c r="D396" s="14">
        <f>IF(C396="","",COUNTIF($C$3:C396,C396))</f>
        <v/>
      </c>
      <c r="E396" s="14">
        <f>IF(C396="","",C396*1000+D396)</f>
        <v/>
      </c>
      <c r="F396" s="14">
        <f>IF(A396="","",INDEX(新年度名簿!$K$2:$K$451,A396))</f>
        <v/>
      </c>
      <c r="G396" s="14">
        <f>IF(A396="","",INDEX(新年度名簿!$C$2:$C$451,A396))</f>
        <v/>
      </c>
      <c r="H396" s="14">
        <f>IF(A396="","",INDEX(新年度名簿!$D$2:$D$451,A396))</f>
        <v/>
      </c>
    </row>
    <row r="397">
      <c r="A397" s="14">
        <f>IFERROR(MATCH(SMALL(新年度名簿!$J$2:$J$451,395),新年度名簿!$J$2:$J$451,0),"")</f>
        <v/>
      </c>
      <c r="B397" s="14">
        <f>IF(A397="","",INDEX(新年度名簿!$G$2:$G$451,A397))</f>
        <v/>
      </c>
      <c r="C397" s="14">
        <f>IF(A397="","",IFERROR(MATCH(B397,設定!$P$8:$P$27,0),""))</f>
        <v/>
      </c>
      <c r="D397" s="14">
        <f>IF(C397="","",COUNTIF($C$3:C397,C397))</f>
        <v/>
      </c>
      <c r="E397" s="14">
        <f>IF(C397="","",C397*1000+D397)</f>
        <v/>
      </c>
      <c r="F397" s="14">
        <f>IF(A397="","",INDEX(新年度名簿!$K$2:$K$451,A397))</f>
        <v/>
      </c>
      <c r="G397" s="14">
        <f>IF(A397="","",INDEX(新年度名簿!$C$2:$C$451,A397))</f>
        <v/>
      </c>
      <c r="H397" s="14">
        <f>IF(A397="","",INDEX(新年度名簿!$D$2:$D$451,A397))</f>
        <v/>
      </c>
    </row>
    <row r="398">
      <c r="A398" s="14">
        <f>IFERROR(MATCH(SMALL(新年度名簿!$J$2:$J$451,396),新年度名簿!$J$2:$J$451,0),"")</f>
        <v/>
      </c>
      <c r="B398" s="14">
        <f>IF(A398="","",INDEX(新年度名簿!$G$2:$G$451,A398))</f>
        <v/>
      </c>
      <c r="C398" s="14">
        <f>IF(A398="","",IFERROR(MATCH(B398,設定!$P$8:$P$27,0),""))</f>
        <v/>
      </c>
      <c r="D398" s="14">
        <f>IF(C398="","",COUNTIF($C$3:C398,C398))</f>
        <v/>
      </c>
      <c r="E398" s="14">
        <f>IF(C398="","",C398*1000+D398)</f>
        <v/>
      </c>
      <c r="F398" s="14">
        <f>IF(A398="","",INDEX(新年度名簿!$K$2:$K$451,A398))</f>
        <v/>
      </c>
      <c r="G398" s="14">
        <f>IF(A398="","",INDEX(新年度名簿!$C$2:$C$451,A398))</f>
        <v/>
      </c>
      <c r="H398" s="14">
        <f>IF(A398="","",INDEX(新年度名簿!$D$2:$D$451,A398))</f>
        <v/>
      </c>
    </row>
    <row r="399">
      <c r="A399" s="14">
        <f>IFERROR(MATCH(SMALL(新年度名簿!$J$2:$J$451,397),新年度名簿!$J$2:$J$451,0),"")</f>
        <v/>
      </c>
      <c r="B399" s="14">
        <f>IF(A399="","",INDEX(新年度名簿!$G$2:$G$451,A399))</f>
        <v/>
      </c>
      <c r="C399" s="14">
        <f>IF(A399="","",IFERROR(MATCH(B399,設定!$P$8:$P$27,0),""))</f>
        <v/>
      </c>
      <c r="D399" s="14">
        <f>IF(C399="","",COUNTIF($C$3:C399,C399))</f>
        <v/>
      </c>
      <c r="E399" s="14">
        <f>IF(C399="","",C399*1000+D399)</f>
        <v/>
      </c>
      <c r="F399" s="14">
        <f>IF(A399="","",INDEX(新年度名簿!$K$2:$K$451,A399))</f>
        <v/>
      </c>
      <c r="G399" s="14">
        <f>IF(A399="","",INDEX(新年度名簿!$C$2:$C$451,A399))</f>
        <v/>
      </c>
      <c r="H399" s="14">
        <f>IF(A399="","",INDEX(新年度名簿!$D$2:$D$451,A399))</f>
        <v/>
      </c>
    </row>
    <row r="400">
      <c r="A400" s="14">
        <f>IFERROR(MATCH(SMALL(新年度名簿!$J$2:$J$451,398),新年度名簿!$J$2:$J$451,0),"")</f>
        <v/>
      </c>
      <c r="B400" s="14">
        <f>IF(A400="","",INDEX(新年度名簿!$G$2:$G$451,A400))</f>
        <v/>
      </c>
      <c r="C400" s="14">
        <f>IF(A400="","",IFERROR(MATCH(B400,設定!$P$8:$P$27,0),""))</f>
        <v/>
      </c>
      <c r="D400" s="14">
        <f>IF(C400="","",COUNTIF($C$3:C400,C400))</f>
        <v/>
      </c>
      <c r="E400" s="14">
        <f>IF(C400="","",C400*1000+D400)</f>
        <v/>
      </c>
      <c r="F400" s="14">
        <f>IF(A400="","",INDEX(新年度名簿!$K$2:$K$451,A400))</f>
        <v/>
      </c>
      <c r="G400" s="14">
        <f>IF(A400="","",INDEX(新年度名簿!$C$2:$C$451,A400))</f>
        <v/>
      </c>
      <c r="H400" s="14">
        <f>IF(A400="","",INDEX(新年度名簿!$D$2:$D$451,A400))</f>
        <v/>
      </c>
    </row>
    <row r="401">
      <c r="A401" s="14">
        <f>IFERROR(MATCH(SMALL(新年度名簿!$J$2:$J$451,399),新年度名簿!$J$2:$J$451,0),"")</f>
        <v/>
      </c>
      <c r="B401" s="14">
        <f>IF(A401="","",INDEX(新年度名簿!$G$2:$G$451,A401))</f>
        <v/>
      </c>
      <c r="C401" s="14">
        <f>IF(A401="","",IFERROR(MATCH(B401,設定!$P$8:$P$27,0),""))</f>
        <v/>
      </c>
      <c r="D401" s="14">
        <f>IF(C401="","",COUNTIF($C$3:C401,C401))</f>
        <v/>
      </c>
      <c r="E401" s="14">
        <f>IF(C401="","",C401*1000+D401)</f>
        <v/>
      </c>
      <c r="F401" s="14">
        <f>IF(A401="","",INDEX(新年度名簿!$K$2:$K$451,A401))</f>
        <v/>
      </c>
      <c r="G401" s="14">
        <f>IF(A401="","",INDEX(新年度名簿!$C$2:$C$451,A401))</f>
        <v/>
      </c>
      <c r="H401" s="14">
        <f>IF(A401="","",INDEX(新年度名簿!$D$2:$D$451,A401))</f>
        <v/>
      </c>
    </row>
    <row r="402">
      <c r="A402" s="14">
        <f>IFERROR(MATCH(SMALL(新年度名簿!$J$2:$J$451,400),新年度名簿!$J$2:$J$451,0),"")</f>
        <v/>
      </c>
      <c r="B402" s="14">
        <f>IF(A402="","",INDEX(新年度名簿!$G$2:$G$451,A402))</f>
        <v/>
      </c>
      <c r="C402" s="14">
        <f>IF(A402="","",IFERROR(MATCH(B402,設定!$P$8:$P$27,0),""))</f>
        <v/>
      </c>
      <c r="D402" s="14">
        <f>IF(C402="","",COUNTIF($C$3:C402,C402))</f>
        <v/>
      </c>
      <c r="E402" s="14">
        <f>IF(C402="","",C402*1000+D402)</f>
        <v/>
      </c>
      <c r="F402" s="14">
        <f>IF(A402="","",INDEX(新年度名簿!$K$2:$K$451,A402))</f>
        <v/>
      </c>
      <c r="G402" s="14">
        <f>IF(A402="","",INDEX(新年度名簿!$C$2:$C$451,A402))</f>
        <v/>
      </c>
      <c r="H402" s="14">
        <f>IF(A402="","",INDEX(新年度名簿!$D$2:$D$451,A402))</f>
        <v/>
      </c>
    </row>
    <row r="403">
      <c r="A403" s="14">
        <f>IFERROR(MATCH(SMALL(新年度名簿!$J$2:$J$451,401),新年度名簿!$J$2:$J$451,0),"")</f>
        <v/>
      </c>
      <c r="B403" s="14">
        <f>IF(A403="","",INDEX(新年度名簿!$G$2:$G$451,A403))</f>
        <v/>
      </c>
      <c r="C403" s="14">
        <f>IF(A403="","",IFERROR(MATCH(B403,設定!$P$8:$P$27,0),""))</f>
        <v/>
      </c>
      <c r="D403" s="14">
        <f>IF(C403="","",COUNTIF($C$3:C403,C403))</f>
        <v/>
      </c>
      <c r="E403" s="14">
        <f>IF(C403="","",C403*1000+D403)</f>
        <v/>
      </c>
      <c r="F403" s="14">
        <f>IF(A403="","",INDEX(新年度名簿!$K$2:$K$451,A403))</f>
        <v/>
      </c>
      <c r="G403" s="14">
        <f>IF(A403="","",INDEX(新年度名簿!$C$2:$C$451,A403))</f>
        <v/>
      </c>
      <c r="H403" s="14">
        <f>IF(A403="","",INDEX(新年度名簿!$D$2:$D$451,A403))</f>
        <v/>
      </c>
    </row>
    <row r="404">
      <c r="A404" s="14">
        <f>IFERROR(MATCH(SMALL(新年度名簿!$J$2:$J$451,402),新年度名簿!$J$2:$J$451,0),"")</f>
        <v/>
      </c>
      <c r="B404" s="14">
        <f>IF(A404="","",INDEX(新年度名簿!$G$2:$G$451,A404))</f>
        <v/>
      </c>
      <c r="C404" s="14">
        <f>IF(A404="","",IFERROR(MATCH(B404,設定!$P$8:$P$27,0),""))</f>
        <v/>
      </c>
      <c r="D404" s="14">
        <f>IF(C404="","",COUNTIF($C$3:C404,C404))</f>
        <v/>
      </c>
      <c r="E404" s="14">
        <f>IF(C404="","",C404*1000+D404)</f>
        <v/>
      </c>
      <c r="F404" s="14">
        <f>IF(A404="","",INDEX(新年度名簿!$K$2:$K$451,A404))</f>
        <v/>
      </c>
      <c r="G404" s="14">
        <f>IF(A404="","",INDEX(新年度名簿!$C$2:$C$451,A404))</f>
        <v/>
      </c>
      <c r="H404" s="14">
        <f>IF(A404="","",INDEX(新年度名簿!$D$2:$D$451,A404))</f>
        <v/>
      </c>
    </row>
    <row r="405">
      <c r="A405" s="14">
        <f>IFERROR(MATCH(SMALL(新年度名簿!$J$2:$J$451,403),新年度名簿!$J$2:$J$451,0),"")</f>
        <v/>
      </c>
      <c r="B405" s="14">
        <f>IF(A405="","",INDEX(新年度名簿!$G$2:$G$451,A405))</f>
        <v/>
      </c>
      <c r="C405" s="14">
        <f>IF(A405="","",IFERROR(MATCH(B405,設定!$P$8:$P$27,0),""))</f>
        <v/>
      </c>
      <c r="D405" s="14">
        <f>IF(C405="","",COUNTIF($C$3:C405,C405))</f>
        <v/>
      </c>
      <c r="E405" s="14">
        <f>IF(C405="","",C405*1000+D405)</f>
        <v/>
      </c>
      <c r="F405" s="14">
        <f>IF(A405="","",INDEX(新年度名簿!$K$2:$K$451,A405))</f>
        <v/>
      </c>
      <c r="G405" s="14">
        <f>IF(A405="","",INDEX(新年度名簿!$C$2:$C$451,A405))</f>
        <v/>
      </c>
      <c r="H405" s="14">
        <f>IF(A405="","",INDEX(新年度名簿!$D$2:$D$451,A405))</f>
        <v/>
      </c>
    </row>
    <row r="406">
      <c r="A406" s="14">
        <f>IFERROR(MATCH(SMALL(新年度名簿!$J$2:$J$451,404),新年度名簿!$J$2:$J$451,0),"")</f>
        <v/>
      </c>
      <c r="B406" s="14">
        <f>IF(A406="","",INDEX(新年度名簿!$G$2:$G$451,A406))</f>
        <v/>
      </c>
      <c r="C406" s="14">
        <f>IF(A406="","",IFERROR(MATCH(B406,設定!$P$8:$P$27,0),""))</f>
        <v/>
      </c>
      <c r="D406" s="14">
        <f>IF(C406="","",COUNTIF($C$3:C406,C406))</f>
        <v/>
      </c>
      <c r="E406" s="14">
        <f>IF(C406="","",C406*1000+D406)</f>
        <v/>
      </c>
      <c r="F406" s="14">
        <f>IF(A406="","",INDEX(新年度名簿!$K$2:$K$451,A406))</f>
        <v/>
      </c>
      <c r="G406" s="14">
        <f>IF(A406="","",INDEX(新年度名簿!$C$2:$C$451,A406))</f>
        <v/>
      </c>
      <c r="H406" s="14">
        <f>IF(A406="","",INDEX(新年度名簿!$D$2:$D$451,A406))</f>
        <v/>
      </c>
    </row>
    <row r="407">
      <c r="A407" s="14">
        <f>IFERROR(MATCH(SMALL(新年度名簿!$J$2:$J$451,405),新年度名簿!$J$2:$J$451,0),"")</f>
        <v/>
      </c>
      <c r="B407" s="14">
        <f>IF(A407="","",INDEX(新年度名簿!$G$2:$G$451,A407))</f>
        <v/>
      </c>
      <c r="C407" s="14">
        <f>IF(A407="","",IFERROR(MATCH(B407,設定!$P$8:$P$27,0),""))</f>
        <v/>
      </c>
      <c r="D407" s="14">
        <f>IF(C407="","",COUNTIF($C$3:C407,C407))</f>
        <v/>
      </c>
      <c r="E407" s="14">
        <f>IF(C407="","",C407*1000+D407)</f>
        <v/>
      </c>
      <c r="F407" s="14">
        <f>IF(A407="","",INDEX(新年度名簿!$K$2:$K$451,A407))</f>
        <v/>
      </c>
      <c r="G407" s="14">
        <f>IF(A407="","",INDEX(新年度名簿!$C$2:$C$451,A407))</f>
        <v/>
      </c>
      <c r="H407" s="14">
        <f>IF(A407="","",INDEX(新年度名簿!$D$2:$D$451,A407))</f>
        <v/>
      </c>
    </row>
    <row r="408">
      <c r="A408" s="14">
        <f>IFERROR(MATCH(SMALL(新年度名簿!$J$2:$J$451,406),新年度名簿!$J$2:$J$451,0),"")</f>
        <v/>
      </c>
      <c r="B408" s="14">
        <f>IF(A408="","",INDEX(新年度名簿!$G$2:$G$451,A408))</f>
        <v/>
      </c>
      <c r="C408" s="14">
        <f>IF(A408="","",IFERROR(MATCH(B408,設定!$P$8:$P$27,0),""))</f>
        <v/>
      </c>
      <c r="D408" s="14">
        <f>IF(C408="","",COUNTIF($C$3:C408,C408))</f>
        <v/>
      </c>
      <c r="E408" s="14">
        <f>IF(C408="","",C408*1000+D408)</f>
        <v/>
      </c>
      <c r="F408" s="14">
        <f>IF(A408="","",INDEX(新年度名簿!$K$2:$K$451,A408))</f>
        <v/>
      </c>
      <c r="G408" s="14">
        <f>IF(A408="","",INDEX(新年度名簿!$C$2:$C$451,A408))</f>
        <v/>
      </c>
      <c r="H408" s="14">
        <f>IF(A408="","",INDEX(新年度名簿!$D$2:$D$451,A408))</f>
        <v/>
      </c>
    </row>
    <row r="409">
      <c r="A409" s="14">
        <f>IFERROR(MATCH(SMALL(新年度名簿!$J$2:$J$451,407),新年度名簿!$J$2:$J$451,0),"")</f>
        <v/>
      </c>
      <c r="B409" s="14">
        <f>IF(A409="","",INDEX(新年度名簿!$G$2:$G$451,A409))</f>
        <v/>
      </c>
      <c r="C409" s="14">
        <f>IF(A409="","",IFERROR(MATCH(B409,設定!$P$8:$P$27,0),""))</f>
        <v/>
      </c>
      <c r="D409" s="14">
        <f>IF(C409="","",COUNTIF($C$3:C409,C409))</f>
        <v/>
      </c>
      <c r="E409" s="14">
        <f>IF(C409="","",C409*1000+D409)</f>
        <v/>
      </c>
      <c r="F409" s="14">
        <f>IF(A409="","",INDEX(新年度名簿!$K$2:$K$451,A409))</f>
        <v/>
      </c>
      <c r="G409" s="14">
        <f>IF(A409="","",INDEX(新年度名簿!$C$2:$C$451,A409))</f>
        <v/>
      </c>
      <c r="H409" s="14">
        <f>IF(A409="","",INDEX(新年度名簿!$D$2:$D$451,A409))</f>
        <v/>
      </c>
    </row>
    <row r="410">
      <c r="A410" s="14">
        <f>IFERROR(MATCH(SMALL(新年度名簿!$J$2:$J$451,408),新年度名簿!$J$2:$J$451,0),"")</f>
        <v/>
      </c>
      <c r="B410" s="14">
        <f>IF(A410="","",INDEX(新年度名簿!$G$2:$G$451,A410))</f>
        <v/>
      </c>
      <c r="C410" s="14">
        <f>IF(A410="","",IFERROR(MATCH(B410,設定!$P$8:$P$27,0),""))</f>
        <v/>
      </c>
      <c r="D410" s="14">
        <f>IF(C410="","",COUNTIF($C$3:C410,C410))</f>
        <v/>
      </c>
      <c r="E410" s="14">
        <f>IF(C410="","",C410*1000+D410)</f>
        <v/>
      </c>
      <c r="F410" s="14">
        <f>IF(A410="","",INDEX(新年度名簿!$K$2:$K$451,A410))</f>
        <v/>
      </c>
      <c r="G410" s="14">
        <f>IF(A410="","",INDEX(新年度名簿!$C$2:$C$451,A410))</f>
        <v/>
      </c>
      <c r="H410" s="14">
        <f>IF(A410="","",INDEX(新年度名簿!$D$2:$D$451,A410))</f>
        <v/>
      </c>
    </row>
    <row r="411">
      <c r="A411" s="14">
        <f>IFERROR(MATCH(SMALL(新年度名簿!$J$2:$J$451,409),新年度名簿!$J$2:$J$451,0),"")</f>
        <v/>
      </c>
      <c r="B411" s="14">
        <f>IF(A411="","",INDEX(新年度名簿!$G$2:$G$451,A411))</f>
        <v/>
      </c>
      <c r="C411" s="14">
        <f>IF(A411="","",IFERROR(MATCH(B411,設定!$P$8:$P$27,0),""))</f>
        <v/>
      </c>
      <c r="D411" s="14">
        <f>IF(C411="","",COUNTIF($C$3:C411,C411))</f>
        <v/>
      </c>
      <c r="E411" s="14">
        <f>IF(C411="","",C411*1000+D411)</f>
        <v/>
      </c>
      <c r="F411" s="14">
        <f>IF(A411="","",INDEX(新年度名簿!$K$2:$K$451,A411))</f>
        <v/>
      </c>
      <c r="G411" s="14">
        <f>IF(A411="","",INDEX(新年度名簿!$C$2:$C$451,A411))</f>
        <v/>
      </c>
      <c r="H411" s="14">
        <f>IF(A411="","",INDEX(新年度名簿!$D$2:$D$451,A411))</f>
        <v/>
      </c>
    </row>
    <row r="412">
      <c r="A412" s="14">
        <f>IFERROR(MATCH(SMALL(新年度名簿!$J$2:$J$451,410),新年度名簿!$J$2:$J$451,0),"")</f>
        <v/>
      </c>
      <c r="B412" s="14">
        <f>IF(A412="","",INDEX(新年度名簿!$G$2:$G$451,A412))</f>
        <v/>
      </c>
      <c r="C412" s="14">
        <f>IF(A412="","",IFERROR(MATCH(B412,設定!$P$8:$P$27,0),""))</f>
        <v/>
      </c>
      <c r="D412" s="14">
        <f>IF(C412="","",COUNTIF($C$3:C412,C412))</f>
        <v/>
      </c>
      <c r="E412" s="14">
        <f>IF(C412="","",C412*1000+D412)</f>
        <v/>
      </c>
      <c r="F412" s="14">
        <f>IF(A412="","",INDEX(新年度名簿!$K$2:$K$451,A412))</f>
        <v/>
      </c>
      <c r="G412" s="14">
        <f>IF(A412="","",INDEX(新年度名簿!$C$2:$C$451,A412))</f>
        <v/>
      </c>
      <c r="H412" s="14">
        <f>IF(A412="","",INDEX(新年度名簿!$D$2:$D$451,A412))</f>
        <v/>
      </c>
    </row>
    <row r="413">
      <c r="A413" s="14">
        <f>IFERROR(MATCH(SMALL(新年度名簿!$J$2:$J$451,411),新年度名簿!$J$2:$J$451,0),"")</f>
        <v/>
      </c>
      <c r="B413" s="14">
        <f>IF(A413="","",INDEX(新年度名簿!$G$2:$G$451,A413))</f>
        <v/>
      </c>
      <c r="C413" s="14">
        <f>IF(A413="","",IFERROR(MATCH(B413,設定!$P$8:$P$27,0),""))</f>
        <v/>
      </c>
      <c r="D413" s="14">
        <f>IF(C413="","",COUNTIF($C$3:C413,C413))</f>
        <v/>
      </c>
      <c r="E413" s="14">
        <f>IF(C413="","",C413*1000+D413)</f>
        <v/>
      </c>
      <c r="F413" s="14">
        <f>IF(A413="","",INDEX(新年度名簿!$K$2:$K$451,A413))</f>
        <v/>
      </c>
      <c r="G413" s="14">
        <f>IF(A413="","",INDEX(新年度名簿!$C$2:$C$451,A413))</f>
        <v/>
      </c>
      <c r="H413" s="14">
        <f>IF(A413="","",INDEX(新年度名簿!$D$2:$D$451,A413))</f>
        <v/>
      </c>
    </row>
    <row r="414">
      <c r="A414" s="14">
        <f>IFERROR(MATCH(SMALL(新年度名簿!$J$2:$J$451,412),新年度名簿!$J$2:$J$451,0),"")</f>
        <v/>
      </c>
      <c r="B414" s="14">
        <f>IF(A414="","",INDEX(新年度名簿!$G$2:$G$451,A414))</f>
        <v/>
      </c>
      <c r="C414" s="14">
        <f>IF(A414="","",IFERROR(MATCH(B414,設定!$P$8:$P$27,0),""))</f>
        <v/>
      </c>
      <c r="D414" s="14">
        <f>IF(C414="","",COUNTIF($C$3:C414,C414))</f>
        <v/>
      </c>
      <c r="E414" s="14">
        <f>IF(C414="","",C414*1000+D414)</f>
        <v/>
      </c>
      <c r="F414" s="14">
        <f>IF(A414="","",INDEX(新年度名簿!$K$2:$K$451,A414))</f>
        <v/>
      </c>
      <c r="G414" s="14">
        <f>IF(A414="","",INDEX(新年度名簿!$C$2:$C$451,A414))</f>
        <v/>
      </c>
      <c r="H414" s="14">
        <f>IF(A414="","",INDEX(新年度名簿!$D$2:$D$451,A414))</f>
        <v/>
      </c>
    </row>
    <row r="415">
      <c r="A415" s="14">
        <f>IFERROR(MATCH(SMALL(新年度名簿!$J$2:$J$451,413),新年度名簿!$J$2:$J$451,0),"")</f>
        <v/>
      </c>
      <c r="B415" s="14">
        <f>IF(A415="","",INDEX(新年度名簿!$G$2:$G$451,A415))</f>
        <v/>
      </c>
      <c r="C415" s="14">
        <f>IF(A415="","",IFERROR(MATCH(B415,設定!$P$8:$P$27,0),""))</f>
        <v/>
      </c>
      <c r="D415" s="14">
        <f>IF(C415="","",COUNTIF($C$3:C415,C415))</f>
        <v/>
      </c>
      <c r="E415" s="14">
        <f>IF(C415="","",C415*1000+D415)</f>
        <v/>
      </c>
      <c r="F415" s="14">
        <f>IF(A415="","",INDEX(新年度名簿!$K$2:$K$451,A415))</f>
        <v/>
      </c>
      <c r="G415" s="14">
        <f>IF(A415="","",INDEX(新年度名簿!$C$2:$C$451,A415))</f>
        <v/>
      </c>
      <c r="H415" s="14">
        <f>IF(A415="","",INDEX(新年度名簿!$D$2:$D$451,A415))</f>
        <v/>
      </c>
    </row>
    <row r="416">
      <c r="A416" s="14">
        <f>IFERROR(MATCH(SMALL(新年度名簿!$J$2:$J$451,414),新年度名簿!$J$2:$J$451,0),"")</f>
        <v/>
      </c>
      <c r="B416" s="14">
        <f>IF(A416="","",INDEX(新年度名簿!$G$2:$G$451,A416))</f>
        <v/>
      </c>
      <c r="C416" s="14">
        <f>IF(A416="","",IFERROR(MATCH(B416,設定!$P$8:$P$27,0),""))</f>
        <v/>
      </c>
      <c r="D416" s="14">
        <f>IF(C416="","",COUNTIF($C$3:C416,C416))</f>
        <v/>
      </c>
      <c r="E416" s="14">
        <f>IF(C416="","",C416*1000+D416)</f>
        <v/>
      </c>
      <c r="F416" s="14">
        <f>IF(A416="","",INDEX(新年度名簿!$K$2:$K$451,A416))</f>
        <v/>
      </c>
      <c r="G416" s="14">
        <f>IF(A416="","",INDEX(新年度名簿!$C$2:$C$451,A416))</f>
        <v/>
      </c>
      <c r="H416" s="14">
        <f>IF(A416="","",INDEX(新年度名簿!$D$2:$D$451,A416))</f>
        <v/>
      </c>
    </row>
    <row r="417">
      <c r="A417" s="14">
        <f>IFERROR(MATCH(SMALL(新年度名簿!$J$2:$J$451,415),新年度名簿!$J$2:$J$451,0),"")</f>
        <v/>
      </c>
      <c r="B417" s="14">
        <f>IF(A417="","",INDEX(新年度名簿!$G$2:$G$451,A417))</f>
        <v/>
      </c>
      <c r="C417" s="14">
        <f>IF(A417="","",IFERROR(MATCH(B417,設定!$P$8:$P$27,0),""))</f>
        <v/>
      </c>
      <c r="D417" s="14">
        <f>IF(C417="","",COUNTIF($C$3:C417,C417))</f>
        <v/>
      </c>
      <c r="E417" s="14">
        <f>IF(C417="","",C417*1000+D417)</f>
        <v/>
      </c>
      <c r="F417" s="14">
        <f>IF(A417="","",INDEX(新年度名簿!$K$2:$K$451,A417))</f>
        <v/>
      </c>
      <c r="G417" s="14">
        <f>IF(A417="","",INDEX(新年度名簿!$C$2:$C$451,A417))</f>
        <v/>
      </c>
      <c r="H417" s="14">
        <f>IF(A417="","",INDEX(新年度名簿!$D$2:$D$451,A417))</f>
        <v/>
      </c>
    </row>
    <row r="418">
      <c r="A418" s="14">
        <f>IFERROR(MATCH(SMALL(新年度名簿!$J$2:$J$451,416),新年度名簿!$J$2:$J$451,0),"")</f>
        <v/>
      </c>
      <c r="B418" s="14">
        <f>IF(A418="","",INDEX(新年度名簿!$G$2:$G$451,A418))</f>
        <v/>
      </c>
      <c r="C418" s="14">
        <f>IF(A418="","",IFERROR(MATCH(B418,設定!$P$8:$P$27,0),""))</f>
        <v/>
      </c>
      <c r="D418" s="14">
        <f>IF(C418="","",COUNTIF($C$3:C418,C418))</f>
        <v/>
      </c>
      <c r="E418" s="14">
        <f>IF(C418="","",C418*1000+D418)</f>
        <v/>
      </c>
      <c r="F418" s="14">
        <f>IF(A418="","",INDEX(新年度名簿!$K$2:$K$451,A418))</f>
        <v/>
      </c>
      <c r="G418" s="14">
        <f>IF(A418="","",INDEX(新年度名簿!$C$2:$C$451,A418))</f>
        <v/>
      </c>
      <c r="H418" s="14">
        <f>IF(A418="","",INDEX(新年度名簿!$D$2:$D$451,A418))</f>
        <v/>
      </c>
    </row>
    <row r="419">
      <c r="A419" s="14">
        <f>IFERROR(MATCH(SMALL(新年度名簿!$J$2:$J$451,417),新年度名簿!$J$2:$J$451,0),"")</f>
        <v/>
      </c>
      <c r="B419" s="14">
        <f>IF(A419="","",INDEX(新年度名簿!$G$2:$G$451,A419))</f>
        <v/>
      </c>
      <c r="C419" s="14">
        <f>IF(A419="","",IFERROR(MATCH(B419,設定!$P$8:$P$27,0),""))</f>
        <v/>
      </c>
      <c r="D419" s="14">
        <f>IF(C419="","",COUNTIF($C$3:C419,C419))</f>
        <v/>
      </c>
      <c r="E419" s="14">
        <f>IF(C419="","",C419*1000+D419)</f>
        <v/>
      </c>
      <c r="F419" s="14">
        <f>IF(A419="","",INDEX(新年度名簿!$K$2:$K$451,A419))</f>
        <v/>
      </c>
      <c r="G419" s="14">
        <f>IF(A419="","",INDEX(新年度名簿!$C$2:$C$451,A419))</f>
        <v/>
      </c>
      <c r="H419" s="14">
        <f>IF(A419="","",INDEX(新年度名簿!$D$2:$D$451,A419))</f>
        <v/>
      </c>
    </row>
    <row r="420">
      <c r="A420" s="14">
        <f>IFERROR(MATCH(SMALL(新年度名簿!$J$2:$J$451,418),新年度名簿!$J$2:$J$451,0),"")</f>
        <v/>
      </c>
      <c r="B420" s="14">
        <f>IF(A420="","",INDEX(新年度名簿!$G$2:$G$451,A420))</f>
        <v/>
      </c>
      <c r="C420" s="14">
        <f>IF(A420="","",IFERROR(MATCH(B420,設定!$P$8:$P$27,0),""))</f>
        <v/>
      </c>
      <c r="D420" s="14">
        <f>IF(C420="","",COUNTIF($C$3:C420,C420))</f>
        <v/>
      </c>
      <c r="E420" s="14">
        <f>IF(C420="","",C420*1000+D420)</f>
        <v/>
      </c>
      <c r="F420" s="14">
        <f>IF(A420="","",INDEX(新年度名簿!$K$2:$K$451,A420))</f>
        <v/>
      </c>
      <c r="G420" s="14">
        <f>IF(A420="","",INDEX(新年度名簿!$C$2:$C$451,A420))</f>
        <v/>
      </c>
      <c r="H420" s="14">
        <f>IF(A420="","",INDEX(新年度名簿!$D$2:$D$451,A420))</f>
        <v/>
      </c>
    </row>
    <row r="421">
      <c r="A421" s="14">
        <f>IFERROR(MATCH(SMALL(新年度名簿!$J$2:$J$451,419),新年度名簿!$J$2:$J$451,0),"")</f>
        <v/>
      </c>
      <c r="B421" s="14">
        <f>IF(A421="","",INDEX(新年度名簿!$G$2:$G$451,A421))</f>
        <v/>
      </c>
      <c r="C421" s="14">
        <f>IF(A421="","",IFERROR(MATCH(B421,設定!$P$8:$P$27,0),""))</f>
        <v/>
      </c>
      <c r="D421" s="14">
        <f>IF(C421="","",COUNTIF($C$3:C421,C421))</f>
        <v/>
      </c>
      <c r="E421" s="14">
        <f>IF(C421="","",C421*1000+D421)</f>
        <v/>
      </c>
      <c r="F421" s="14">
        <f>IF(A421="","",INDEX(新年度名簿!$K$2:$K$451,A421))</f>
        <v/>
      </c>
      <c r="G421" s="14">
        <f>IF(A421="","",INDEX(新年度名簿!$C$2:$C$451,A421))</f>
        <v/>
      </c>
      <c r="H421" s="14">
        <f>IF(A421="","",INDEX(新年度名簿!$D$2:$D$451,A421))</f>
        <v/>
      </c>
    </row>
    <row r="422">
      <c r="A422" s="14">
        <f>IFERROR(MATCH(SMALL(新年度名簿!$J$2:$J$451,420),新年度名簿!$J$2:$J$451,0),"")</f>
        <v/>
      </c>
      <c r="B422" s="14">
        <f>IF(A422="","",INDEX(新年度名簿!$G$2:$G$451,A422))</f>
        <v/>
      </c>
      <c r="C422" s="14">
        <f>IF(A422="","",IFERROR(MATCH(B422,設定!$P$8:$P$27,0),""))</f>
        <v/>
      </c>
      <c r="D422" s="14">
        <f>IF(C422="","",COUNTIF($C$3:C422,C422))</f>
        <v/>
      </c>
      <c r="E422" s="14">
        <f>IF(C422="","",C422*1000+D422)</f>
        <v/>
      </c>
      <c r="F422" s="14">
        <f>IF(A422="","",INDEX(新年度名簿!$K$2:$K$451,A422))</f>
        <v/>
      </c>
      <c r="G422" s="14">
        <f>IF(A422="","",INDEX(新年度名簿!$C$2:$C$451,A422))</f>
        <v/>
      </c>
      <c r="H422" s="14">
        <f>IF(A422="","",INDEX(新年度名簿!$D$2:$D$451,A422))</f>
        <v/>
      </c>
    </row>
    <row r="423">
      <c r="A423" s="14">
        <f>IFERROR(MATCH(SMALL(新年度名簿!$J$2:$J$451,421),新年度名簿!$J$2:$J$451,0),"")</f>
        <v/>
      </c>
      <c r="B423" s="14">
        <f>IF(A423="","",INDEX(新年度名簿!$G$2:$G$451,A423))</f>
        <v/>
      </c>
      <c r="C423" s="14">
        <f>IF(A423="","",IFERROR(MATCH(B423,設定!$P$8:$P$27,0),""))</f>
        <v/>
      </c>
      <c r="D423" s="14">
        <f>IF(C423="","",COUNTIF($C$3:C423,C423))</f>
        <v/>
      </c>
      <c r="E423" s="14">
        <f>IF(C423="","",C423*1000+D423)</f>
        <v/>
      </c>
      <c r="F423" s="14">
        <f>IF(A423="","",INDEX(新年度名簿!$K$2:$K$451,A423))</f>
        <v/>
      </c>
      <c r="G423" s="14">
        <f>IF(A423="","",INDEX(新年度名簿!$C$2:$C$451,A423))</f>
        <v/>
      </c>
      <c r="H423" s="14">
        <f>IF(A423="","",INDEX(新年度名簿!$D$2:$D$451,A423))</f>
        <v/>
      </c>
    </row>
    <row r="424">
      <c r="A424" s="14">
        <f>IFERROR(MATCH(SMALL(新年度名簿!$J$2:$J$451,422),新年度名簿!$J$2:$J$451,0),"")</f>
        <v/>
      </c>
      <c r="B424" s="14">
        <f>IF(A424="","",INDEX(新年度名簿!$G$2:$G$451,A424))</f>
        <v/>
      </c>
      <c r="C424" s="14">
        <f>IF(A424="","",IFERROR(MATCH(B424,設定!$P$8:$P$27,0),""))</f>
        <v/>
      </c>
      <c r="D424" s="14">
        <f>IF(C424="","",COUNTIF($C$3:C424,C424))</f>
        <v/>
      </c>
      <c r="E424" s="14">
        <f>IF(C424="","",C424*1000+D424)</f>
        <v/>
      </c>
      <c r="F424" s="14">
        <f>IF(A424="","",INDEX(新年度名簿!$K$2:$K$451,A424))</f>
        <v/>
      </c>
      <c r="G424" s="14">
        <f>IF(A424="","",INDEX(新年度名簿!$C$2:$C$451,A424))</f>
        <v/>
      </c>
      <c r="H424" s="14">
        <f>IF(A424="","",INDEX(新年度名簿!$D$2:$D$451,A424))</f>
        <v/>
      </c>
    </row>
    <row r="425">
      <c r="A425" s="14">
        <f>IFERROR(MATCH(SMALL(新年度名簿!$J$2:$J$451,423),新年度名簿!$J$2:$J$451,0),"")</f>
        <v/>
      </c>
      <c r="B425" s="14">
        <f>IF(A425="","",INDEX(新年度名簿!$G$2:$G$451,A425))</f>
        <v/>
      </c>
      <c r="C425" s="14">
        <f>IF(A425="","",IFERROR(MATCH(B425,設定!$P$8:$P$27,0),""))</f>
        <v/>
      </c>
      <c r="D425" s="14">
        <f>IF(C425="","",COUNTIF($C$3:C425,C425))</f>
        <v/>
      </c>
      <c r="E425" s="14">
        <f>IF(C425="","",C425*1000+D425)</f>
        <v/>
      </c>
      <c r="F425" s="14">
        <f>IF(A425="","",INDEX(新年度名簿!$K$2:$K$451,A425))</f>
        <v/>
      </c>
      <c r="G425" s="14">
        <f>IF(A425="","",INDEX(新年度名簿!$C$2:$C$451,A425))</f>
        <v/>
      </c>
      <c r="H425" s="14">
        <f>IF(A425="","",INDEX(新年度名簿!$D$2:$D$451,A425))</f>
        <v/>
      </c>
    </row>
    <row r="426">
      <c r="A426" s="14">
        <f>IFERROR(MATCH(SMALL(新年度名簿!$J$2:$J$451,424),新年度名簿!$J$2:$J$451,0),"")</f>
        <v/>
      </c>
      <c r="B426" s="14">
        <f>IF(A426="","",INDEX(新年度名簿!$G$2:$G$451,A426))</f>
        <v/>
      </c>
      <c r="C426" s="14">
        <f>IF(A426="","",IFERROR(MATCH(B426,設定!$P$8:$P$27,0),""))</f>
        <v/>
      </c>
      <c r="D426" s="14">
        <f>IF(C426="","",COUNTIF($C$3:C426,C426))</f>
        <v/>
      </c>
      <c r="E426" s="14">
        <f>IF(C426="","",C426*1000+D426)</f>
        <v/>
      </c>
      <c r="F426" s="14">
        <f>IF(A426="","",INDEX(新年度名簿!$K$2:$K$451,A426))</f>
        <v/>
      </c>
      <c r="G426" s="14">
        <f>IF(A426="","",INDEX(新年度名簿!$C$2:$C$451,A426))</f>
        <v/>
      </c>
      <c r="H426" s="14">
        <f>IF(A426="","",INDEX(新年度名簿!$D$2:$D$451,A426))</f>
        <v/>
      </c>
    </row>
    <row r="427">
      <c r="A427" s="14">
        <f>IFERROR(MATCH(SMALL(新年度名簿!$J$2:$J$451,425),新年度名簿!$J$2:$J$451,0),"")</f>
        <v/>
      </c>
      <c r="B427" s="14">
        <f>IF(A427="","",INDEX(新年度名簿!$G$2:$G$451,A427))</f>
        <v/>
      </c>
      <c r="C427" s="14">
        <f>IF(A427="","",IFERROR(MATCH(B427,設定!$P$8:$P$27,0),""))</f>
        <v/>
      </c>
      <c r="D427" s="14">
        <f>IF(C427="","",COUNTIF($C$3:C427,C427))</f>
        <v/>
      </c>
      <c r="E427" s="14">
        <f>IF(C427="","",C427*1000+D427)</f>
        <v/>
      </c>
      <c r="F427" s="14">
        <f>IF(A427="","",INDEX(新年度名簿!$K$2:$K$451,A427))</f>
        <v/>
      </c>
      <c r="G427" s="14">
        <f>IF(A427="","",INDEX(新年度名簿!$C$2:$C$451,A427))</f>
        <v/>
      </c>
      <c r="H427" s="14">
        <f>IF(A427="","",INDEX(新年度名簿!$D$2:$D$451,A427))</f>
        <v/>
      </c>
    </row>
    <row r="428">
      <c r="A428" s="14">
        <f>IFERROR(MATCH(SMALL(新年度名簿!$J$2:$J$451,426),新年度名簿!$J$2:$J$451,0),"")</f>
        <v/>
      </c>
      <c r="B428" s="14">
        <f>IF(A428="","",INDEX(新年度名簿!$G$2:$G$451,A428))</f>
        <v/>
      </c>
      <c r="C428" s="14">
        <f>IF(A428="","",IFERROR(MATCH(B428,設定!$P$8:$P$27,0),""))</f>
        <v/>
      </c>
      <c r="D428" s="14">
        <f>IF(C428="","",COUNTIF($C$3:C428,C428))</f>
        <v/>
      </c>
      <c r="E428" s="14">
        <f>IF(C428="","",C428*1000+D428)</f>
        <v/>
      </c>
      <c r="F428" s="14">
        <f>IF(A428="","",INDEX(新年度名簿!$K$2:$K$451,A428))</f>
        <v/>
      </c>
      <c r="G428" s="14">
        <f>IF(A428="","",INDEX(新年度名簿!$C$2:$C$451,A428))</f>
        <v/>
      </c>
      <c r="H428" s="14">
        <f>IF(A428="","",INDEX(新年度名簿!$D$2:$D$451,A428))</f>
        <v/>
      </c>
    </row>
    <row r="429">
      <c r="A429" s="14">
        <f>IFERROR(MATCH(SMALL(新年度名簿!$J$2:$J$451,427),新年度名簿!$J$2:$J$451,0),"")</f>
        <v/>
      </c>
      <c r="B429" s="14">
        <f>IF(A429="","",INDEX(新年度名簿!$G$2:$G$451,A429))</f>
        <v/>
      </c>
      <c r="C429" s="14">
        <f>IF(A429="","",IFERROR(MATCH(B429,設定!$P$8:$P$27,0),""))</f>
        <v/>
      </c>
      <c r="D429" s="14">
        <f>IF(C429="","",COUNTIF($C$3:C429,C429))</f>
        <v/>
      </c>
      <c r="E429" s="14">
        <f>IF(C429="","",C429*1000+D429)</f>
        <v/>
      </c>
      <c r="F429" s="14">
        <f>IF(A429="","",INDEX(新年度名簿!$K$2:$K$451,A429))</f>
        <v/>
      </c>
      <c r="G429" s="14">
        <f>IF(A429="","",INDEX(新年度名簿!$C$2:$C$451,A429))</f>
        <v/>
      </c>
      <c r="H429" s="14">
        <f>IF(A429="","",INDEX(新年度名簿!$D$2:$D$451,A429))</f>
        <v/>
      </c>
    </row>
    <row r="430">
      <c r="A430" s="14">
        <f>IFERROR(MATCH(SMALL(新年度名簿!$J$2:$J$451,428),新年度名簿!$J$2:$J$451,0),"")</f>
        <v/>
      </c>
      <c r="B430" s="14">
        <f>IF(A430="","",INDEX(新年度名簿!$G$2:$G$451,A430))</f>
        <v/>
      </c>
      <c r="C430" s="14">
        <f>IF(A430="","",IFERROR(MATCH(B430,設定!$P$8:$P$27,0),""))</f>
        <v/>
      </c>
      <c r="D430" s="14">
        <f>IF(C430="","",COUNTIF($C$3:C430,C430))</f>
        <v/>
      </c>
      <c r="E430" s="14">
        <f>IF(C430="","",C430*1000+D430)</f>
        <v/>
      </c>
      <c r="F430" s="14">
        <f>IF(A430="","",INDEX(新年度名簿!$K$2:$K$451,A430))</f>
        <v/>
      </c>
      <c r="G430" s="14">
        <f>IF(A430="","",INDEX(新年度名簿!$C$2:$C$451,A430))</f>
        <v/>
      </c>
      <c r="H430" s="14">
        <f>IF(A430="","",INDEX(新年度名簿!$D$2:$D$451,A430))</f>
        <v/>
      </c>
    </row>
    <row r="431">
      <c r="A431" s="14">
        <f>IFERROR(MATCH(SMALL(新年度名簿!$J$2:$J$451,429),新年度名簿!$J$2:$J$451,0),"")</f>
        <v/>
      </c>
      <c r="B431" s="14">
        <f>IF(A431="","",INDEX(新年度名簿!$G$2:$G$451,A431))</f>
        <v/>
      </c>
      <c r="C431" s="14">
        <f>IF(A431="","",IFERROR(MATCH(B431,設定!$P$8:$P$27,0),""))</f>
        <v/>
      </c>
      <c r="D431" s="14">
        <f>IF(C431="","",COUNTIF($C$3:C431,C431))</f>
        <v/>
      </c>
      <c r="E431" s="14">
        <f>IF(C431="","",C431*1000+D431)</f>
        <v/>
      </c>
      <c r="F431" s="14">
        <f>IF(A431="","",INDEX(新年度名簿!$K$2:$K$451,A431))</f>
        <v/>
      </c>
      <c r="G431" s="14">
        <f>IF(A431="","",INDEX(新年度名簿!$C$2:$C$451,A431))</f>
        <v/>
      </c>
      <c r="H431" s="14">
        <f>IF(A431="","",INDEX(新年度名簿!$D$2:$D$451,A431))</f>
        <v/>
      </c>
    </row>
    <row r="432">
      <c r="A432" s="14">
        <f>IFERROR(MATCH(SMALL(新年度名簿!$J$2:$J$451,430),新年度名簿!$J$2:$J$451,0),"")</f>
        <v/>
      </c>
      <c r="B432" s="14">
        <f>IF(A432="","",INDEX(新年度名簿!$G$2:$G$451,A432))</f>
        <v/>
      </c>
      <c r="C432" s="14">
        <f>IF(A432="","",IFERROR(MATCH(B432,設定!$P$8:$P$27,0),""))</f>
        <v/>
      </c>
      <c r="D432" s="14">
        <f>IF(C432="","",COUNTIF($C$3:C432,C432))</f>
        <v/>
      </c>
      <c r="E432" s="14">
        <f>IF(C432="","",C432*1000+D432)</f>
        <v/>
      </c>
      <c r="F432" s="14">
        <f>IF(A432="","",INDEX(新年度名簿!$K$2:$K$451,A432))</f>
        <v/>
      </c>
      <c r="G432" s="14">
        <f>IF(A432="","",INDEX(新年度名簿!$C$2:$C$451,A432))</f>
        <v/>
      </c>
      <c r="H432" s="14">
        <f>IF(A432="","",INDEX(新年度名簿!$D$2:$D$451,A432))</f>
        <v/>
      </c>
    </row>
    <row r="433">
      <c r="A433" s="14">
        <f>IFERROR(MATCH(SMALL(新年度名簿!$J$2:$J$451,431),新年度名簿!$J$2:$J$451,0),"")</f>
        <v/>
      </c>
      <c r="B433" s="14">
        <f>IF(A433="","",INDEX(新年度名簿!$G$2:$G$451,A433))</f>
        <v/>
      </c>
      <c r="C433" s="14">
        <f>IF(A433="","",IFERROR(MATCH(B433,設定!$P$8:$P$27,0),""))</f>
        <v/>
      </c>
      <c r="D433" s="14">
        <f>IF(C433="","",COUNTIF($C$3:C433,C433))</f>
        <v/>
      </c>
      <c r="E433" s="14">
        <f>IF(C433="","",C433*1000+D433)</f>
        <v/>
      </c>
      <c r="F433" s="14">
        <f>IF(A433="","",INDEX(新年度名簿!$K$2:$K$451,A433))</f>
        <v/>
      </c>
      <c r="G433" s="14">
        <f>IF(A433="","",INDEX(新年度名簿!$C$2:$C$451,A433))</f>
        <v/>
      </c>
      <c r="H433" s="14">
        <f>IF(A433="","",INDEX(新年度名簿!$D$2:$D$451,A433))</f>
        <v/>
      </c>
    </row>
    <row r="434">
      <c r="A434" s="14">
        <f>IFERROR(MATCH(SMALL(新年度名簿!$J$2:$J$451,432),新年度名簿!$J$2:$J$451,0),"")</f>
        <v/>
      </c>
      <c r="B434" s="14">
        <f>IF(A434="","",INDEX(新年度名簿!$G$2:$G$451,A434))</f>
        <v/>
      </c>
      <c r="C434" s="14">
        <f>IF(A434="","",IFERROR(MATCH(B434,設定!$P$8:$P$27,0),""))</f>
        <v/>
      </c>
      <c r="D434" s="14">
        <f>IF(C434="","",COUNTIF($C$3:C434,C434))</f>
        <v/>
      </c>
      <c r="E434" s="14">
        <f>IF(C434="","",C434*1000+D434)</f>
        <v/>
      </c>
      <c r="F434" s="14">
        <f>IF(A434="","",INDEX(新年度名簿!$K$2:$K$451,A434))</f>
        <v/>
      </c>
      <c r="G434" s="14">
        <f>IF(A434="","",INDEX(新年度名簿!$C$2:$C$451,A434))</f>
        <v/>
      </c>
      <c r="H434" s="14">
        <f>IF(A434="","",INDEX(新年度名簿!$D$2:$D$451,A434))</f>
        <v/>
      </c>
    </row>
    <row r="435">
      <c r="A435" s="14">
        <f>IFERROR(MATCH(SMALL(新年度名簿!$J$2:$J$451,433),新年度名簿!$J$2:$J$451,0),"")</f>
        <v/>
      </c>
      <c r="B435" s="14">
        <f>IF(A435="","",INDEX(新年度名簿!$G$2:$G$451,A435))</f>
        <v/>
      </c>
      <c r="C435" s="14">
        <f>IF(A435="","",IFERROR(MATCH(B435,設定!$P$8:$P$27,0),""))</f>
        <v/>
      </c>
      <c r="D435" s="14">
        <f>IF(C435="","",COUNTIF($C$3:C435,C435))</f>
        <v/>
      </c>
      <c r="E435" s="14">
        <f>IF(C435="","",C435*1000+D435)</f>
        <v/>
      </c>
      <c r="F435" s="14">
        <f>IF(A435="","",INDEX(新年度名簿!$K$2:$K$451,A435))</f>
        <v/>
      </c>
      <c r="G435" s="14">
        <f>IF(A435="","",INDEX(新年度名簿!$C$2:$C$451,A435))</f>
        <v/>
      </c>
      <c r="H435" s="14">
        <f>IF(A435="","",INDEX(新年度名簿!$D$2:$D$451,A435))</f>
        <v/>
      </c>
    </row>
    <row r="436">
      <c r="A436" s="14">
        <f>IFERROR(MATCH(SMALL(新年度名簿!$J$2:$J$451,434),新年度名簿!$J$2:$J$451,0),"")</f>
        <v/>
      </c>
      <c r="B436" s="14">
        <f>IF(A436="","",INDEX(新年度名簿!$G$2:$G$451,A436))</f>
        <v/>
      </c>
      <c r="C436" s="14">
        <f>IF(A436="","",IFERROR(MATCH(B436,設定!$P$8:$P$27,0),""))</f>
        <v/>
      </c>
      <c r="D436" s="14">
        <f>IF(C436="","",COUNTIF($C$3:C436,C436))</f>
        <v/>
      </c>
      <c r="E436" s="14">
        <f>IF(C436="","",C436*1000+D436)</f>
        <v/>
      </c>
      <c r="F436" s="14">
        <f>IF(A436="","",INDEX(新年度名簿!$K$2:$K$451,A436))</f>
        <v/>
      </c>
      <c r="G436" s="14">
        <f>IF(A436="","",INDEX(新年度名簿!$C$2:$C$451,A436))</f>
        <v/>
      </c>
      <c r="H436" s="14">
        <f>IF(A436="","",INDEX(新年度名簿!$D$2:$D$451,A436))</f>
        <v/>
      </c>
    </row>
    <row r="437">
      <c r="A437" s="14">
        <f>IFERROR(MATCH(SMALL(新年度名簿!$J$2:$J$451,435),新年度名簿!$J$2:$J$451,0),"")</f>
        <v/>
      </c>
      <c r="B437" s="14">
        <f>IF(A437="","",INDEX(新年度名簿!$G$2:$G$451,A437))</f>
        <v/>
      </c>
      <c r="C437" s="14">
        <f>IF(A437="","",IFERROR(MATCH(B437,設定!$P$8:$P$27,0),""))</f>
        <v/>
      </c>
      <c r="D437" s="14">
        <f>IF(C437="","",COUNTIF($C$3:C437,C437))</f>
        <v/>
      </c>
      <c r="E437" s="14">
        <f>IF(C437="","",C437*1000+D437)</f>
        <v/>
      </c>
      <c r="F437" s="14">
        <f>IF(A437="","",INDEX(新年度名簿!$K$2:$K$451,A437))</f>
        <v/>
      </c>
      <c r="G437" s="14">
        <f>IF(A437="","",INDEX(新年度名簿!$C$2:$C$451,A437))</f>
        <v/>
      </c>
      <c r="H437" s="14">
        <f>IF(A437="","",INDEX(新年度名簿!$D$2:$D$451,A437))</f>
        <v/>
      </c>
    </row>
    <row r="438">
      <c r="A438" s="14">
        <f>IFERROR(MATCH(SMALL(新年度名簿!$J$2:$J$451,436),新年度名簿!$J$2:$J$451,0),"")</f>
        <v/>
      </c>
      <c r="B438" s="14">
        <f>IF(A438="","",INDEX(新年度名簿!$G$2:$G$451,A438))</f>
        <v/>
      </c>
      <c r="C438" s="14">
        <f>IF(A438="","",IFERROR(MATCH(B438,設定!$P$8:$P$27,0),""))</f>
        <v/>
      </c>
      <c r="D438" s="14">
        <f>IF(C438="","",COUNTIF($C$3:C438,C438))</f>
        <v/>
      </c>
      <c r="E438" s="14">
        <f>IF(C438="","",C438*1000+D438)</f>
        <v/>
      </c>
      <c r="F438" s="14">
        <f>IF(A438="","",INDEX(新年度名簿!$K$2:$K$451,A438))</f>
        <v/>
      </c>
      <c r="G438" s="14">
        <f>IF(A438="","",INDEX(新年度名簿!$C$2:$C$451,A438))</f>
        <v/>
      </c>
      <c r="H438" s="14">
        <f>IF(A438="","",INDEX(新年度名簿!$D$2:$D$451,A438))</f>
        <v/>
      </c>
    </row>
    <row r="439">
      <c r="A439" s="14">
        <f>IFERROR(MATCH(SMALL(新年度名簿!$J$2:$J$451,437),新年度名簿!$J$2:$J$451,0),"")</f>
        <v/>
      </c>
      <c r="B439" s="14">
        <f>IF(A439="","",INDEX(新年度名簿!$G$2:$G$451,A439))</f>
        <v/>
      </c>
      <c r="C439" s="14">
        <f>IF(A439="","",IFERROR(MATCH(B439,設定!$P$8:$P$27,0),""))</f>
        <v/>
      </c>
      <c r="D439" s="14">
        <f>IF(C439="","",COUNTIF($C$3:C439,C439))</f>
        <v/>
      </c>
      <c r="E439" s="14">
        <f>IF(C439="","",C439*1000+D439)</f>
        <v/>
      </c>
      <c r="F439" s="14">
        <f>IF(A439="","",INDEX(新年度名簿!$K$2:$K$451,A439))</f>
        <v/>
      </c>
      <c r="G439" s="14">
        <f>IF(A439="","",INDEX(新年度名簿!$C$2:$C$451,A439))</f>
        <v/>
      </c>
      <c r="H439" s="14">
        <f>IF(A439="","",INDEX(新年度名簿!$D$2:$D$451,A439))</f>
        <v/>
      </c>
    </row>
    <row r="440">
      <c r="A440" s="14">
        <f>IFERROR(MATCH(SMALL(新年度名簿!$J$2:$J$451,438),新年度名簿!$J$2:$J$451,0),"")</f>
        <v/>
      </c>
      <c r="B440" s="14">
        <f>IF(A440="","",INDEX(新年度名簿!$G$2:$G$451,A440))</f>
        <v/>
      </c>
      <c r="C440" s="14">
        <f>IF(A440="","",IFERROR(MATCH(B440,設定!$P$8:$P$27,0),""))</f>
        <v/>
      </c>
      <c r="D440" s="14">
        <f>IF(C440="","",COUNTIF($C$3:C440,C440))</f>
        <v/>
      </c>
      <c r="E440" s="14">
        <f>IF(C440="","",C440*1000+D440)</f>
        <v/>
      </c>
      <c r="F440" s="14">
        <f>IF(A440="","",INDEX(新年度名簿!$K$2:$K$451,A440))</f>
        <v/>
      </c>
      <c r="G440" s="14">
        <f>IF(A440="","",INDEX(新年度名簿!$C$2:$C$451,A440))</f>
        <v/>
      </c>
      <c r="H440" s="14">
        <f>IF(A440="","",INDEX(新年度名簿!$D$2:$D$451,A440))</f>
        <v/>
      </c>
    </row>
    <row r="441">
      <c r="A441" s="14">
        <f>IFERROR(MATCH(SMALL(新年度名簿!$J$2:$J$451,439),新年度名簿!$J$2:$J$451,0),"")</f>
        <v/>
      </c>
      <c r="B441" s="14">
        <f>IF(A441="","",INDEX(新年度名簿!$G$2:$G$451,A441))</f>
        <v/>
      </c>
      <c r="C441" s="14">
        <f>IF(A441="","",IFERROR(MATCH(B441,設定!$P$8:$P$27,0),""))</f>
        <v/>
      </c>
      <c r="D441" s="14">
        <f>IF(C441="","",COUNTIF($C$3:C441,C441))</f>
        <v/>
      </c>
      <c r="E441" s="14">
        <f>IF(C441="","",C441*1000+D441)</f>
        <v/>
      </c>
      <c r="F441" s="14">
        <f>IF(A441="","",INDEX(新年度名簿!$K$2:$K$451,A441))</f>
        <v/>
      </c>
      <c r="G441" s="14">
        <f>IF(A441="","",INDEX(新年度名簿!$C$2:$C$451,A441))</f>
        <v/>
      </c>
      <c r="H441" s="14">
        <f>IF(A441="","",INDEX(新年度名簿!$D$2:$D$451,A441))</f>
        <v/>
      </c>
    </row>
    <row r="442">
      <c r="A442" s="14">
        <f>IFERROR(MATCH(SMALL(新年度名簿!$J$2:$J$451,440),新年度名簿!$J$2:$J$451,0),"")</f>
        <v/>
      </c>
      <c r="B442" s="14">
        <f>IF(A442="","",INDEX(新年度名簿!$G$2:$G$451,A442))</f>
        <v/>
      </c>
      <c r="C442" s="14">
        <f>IF(A442="","",IFERROR(MATCH(B442,設定!$P$8:$P$27,0),""))</f>
        <v/>
      </c>
      <c r="D442" s="14">
        <f>IF(C442="","",COUNTIF($C$3:C442,C442))</f>
        <v/>
      </c>
      <c r="E442" s="14">
        <f>IF(C442="","",C442*1000+D442)</f>
        <v/>
      </c>
      <c r="F442" s="14">
        <f>IF(A442="","",INDEX(新年度名簿!$K$2:$K$451,A442))</f>
        <v/>
      </c>
      <c r="G442" s="14">
        <f>IF(A442="","",INDEX(新年度名簿!$C$2:$C$451,A442))</f>
        <v/>
      </c>
      <c r="H442" s="14">
        <f>IF(A442="","",INDEX(新年度名簿!$D$2:$D$451,A442))</f>
        <v/>
      </c>
    </row>
    <row r="443">
      <c r="A443" s="14">
        <f>IFERROR(MATCH(SMALL(新年度名簿!$J$2:$J$451,441),新年度名簿!$J$2:$J$451,0),"")</f>
        <v/>
      </c>
      <c r="B443" s="14">
        <f>IF(A443="","",INDEX(新年度名簿!$G$2:$G$451,A443))</f>
        <v/>
      </c>
      <c r="C443" s="14">
        <f>IF(A443="","",IFERROR(MATCH(B443,設定!$P$8:$P$27,0),""))</f>
        <v/>
      </c>
      <c r="D443" s="14">
        <f>IF(C443="","",COUNTIF($C$3:C443,C443))</f>
        <v/>
      </c>
      <c r="E443" s="14">
        <f>IF(C443="","",C443*1000+D443)</f>
        <v/>
      </c>
      <c r="F443" s="14">
        <f>IF(A443="","",INDEX(新年度名簿!$K$2:$K$451,A443))</f>
        <v/>
      </c>
      <c r="G443" s="14">
        <f>IF(A443="","",INDEX(新年度名簿!$C$2:$C$451,A443))</f>
        <v/>
      </c>
      <c r="H443" s="14">
        <f>IF(A443="","",INDEX(新年度名簿!$D$2:$D$451,A443))</f>
        <v/>
      </c>
    </row>
    <row r="444">
      <c r="A444" s="14">
        <f>IFERROR(MATCH(SMALL(新年度名簿!$J$2:$J$451,442),新年度名簿!$J$2:$J$451,0),"")</f>
        <v/>
      </c>
      <c r="B444" s="14">
        <f>IF(A444="","",INDEX(新年度名簿!$G$2:$G$451,A444))</f>
        <v/>
      </c>
      <c r="C444" s="14">
        <f>IF(A444="","",IFERROR(MATCH(B444,設定!$P$8:$P$27,0),""))</f>
        <v/>
      </c>
      <c r="D444" s="14">
        <f>IF(C444="","",COUNTIF($C$3:C444,C444))</f>
        <v/>
      </c>
      <c r="E444" s="14">
        <f>IF(C444="","",C444*1000+D444)</f>
        <v/>
      </c>
      <c r="F444" s="14">
        <f>IF(A444="","",INDEX(新年度名簿!$K$2:$K$451,A444))</f>
        <v/>
      </c>
      <c r="G444" s="14">
        <f>IF(A444="","",INDEX(新年度名簿!$C$2:$C$451,A444))</f>
        <v/>
      </c>
      <c r="H444" s="14">
        <f>IF(A444="","",INDEX(新年度名簿!$D$2:$D$451,A444))</f>
        <v/>
      </c>
    </row>
    <row r="445">
      <c r="A445" s="14">
        <f>IFERROR(MATCH(SMALL(新年度名簿!$J$2:$J$451,443),新年度名簿!$J$2:$J$451,0),"")</f>
        <v/>
      </c>
      <c r="B445" s="14">
        <f>IF(A445="","",INDEX(新年度名簿!$G$2:$G$451,A445))</f>
        <v/>
      </c>
      <c r="C445" s="14">
        <f>IF(A445="","",IFERROR(MATCH(B445,設定!$P$8:$P$27,0),""))</f>
        <v/>
      </c>
      <c r="D445" s="14">
        <f>IF(C445="","",COUNTIF($C$3:C445,C445))</f>
        <v/>
      </c>
      <c r="E445" s="14">
        <f>IF(C445="","",C445*1000+D445)</f>
        <v/>
      </c>
      <c r="F445" s="14">
        <f>IF(A445="","",INDEX(新年度名簿!$K$2:$K$451,A445))</f>
        <v/>
      </c>
      <c r="G445" s="14">
        <f>IF(A445="","",INDEX(新年度名簿!$C$2:$C$451,A445))</f>
        <v/>
      </c>
      <c r="H445" s="14">
        <f>IF(A445="","",INDEX(新年度名簿!$D$2:$D$451,A445))</f>
        <v/>
      </c>
    </row>
    <row r="446">
      <c r="A446" s="14">
        <f>IFERROR(MATCH(SMALL(新年度名簿!$J$2:$J$451,444),新年度名簿!$J$2:$J$451,0),"")</f>
        <v/>
      </c>
      <c r="B446" s="14">
        <f>IF(A446="","",INDEX(新年度名簿!$G$2:$G$451,A446))</f>
        <v/>
      </c>
      <c r="C446" s="14">
        <f>IF(A446="","",IFERROR(MATCH(B446,設定!$P$8:$P$27,0),""))</f>
        <v/>
      </c>
      <c r="D446" s="14">
        <f>IF(C446="","",COUNTIF($C$3:C446,C446))</f>
        <v/>
      </c>
      <c r="E446" s="14">
        <f>IF(C446="","",C446*1000+D446)</f>
        <v/>
      </c>
      <c r="F446" s="14">
        <f>IF(A446="","",INDEX(新年度名簿!$K$2:$K$451,A446))</f>
        <v/>
      </c>
      <c r="G446" s="14">
        <f>IF(A446="","",INDEX(新年度名簿!$C$2:$C$451,A446))</f>
        <v/>
      </c>
      <c r="H446" s="14">
        <f>IF(A446="","",INDEX(新年度名簿!$D$2:$D$451,A446))</f>
        <v/>
      </c>
    </row>
    <row r="447">
      <c r="A447" s="14">
        <f>IFERROR(MATCH(SMALL(新年度名簿!$J$2:$J$451,445),新年度名簿!$J$2:$J$451,0),"")</f>
        <v/>
      </c>
      <c r="B447" s="14">
        <f>IF(A447="","",INDEX(新年度名簿!$G$2:$G$451,A447))</f>
        <v/>
      </c>
      <c r="C447" s="14">
        <f>IF(A447="","",IFERROR(MATCH(B447,設定!$P$8:$P$27,0),""))</f>
        <v/>
      </c>
      <c r="D447" s="14">
        <f>IF(C447="","",COUNTIF($C$3:C447,C447))</f>
        <v/>
      </c>
      <c r="E447" s="14">
        <f>IF(C447="","",C447*1000+D447)</f>
        <v/>
      </c>
      <c r="F447" s="14">
        <f>IF(A447="","",INDEX(新年度名簿!$K$2:$K$451,A447))</f>
        <v/>
      </c>
      <c r="G447" s="14">
        <f>IF(A447="","",INDEX(新年度名簿!$C$2:$C$451,A447))</f>
        <v/>
      </c>
      <c r="H447" s="14">
        <f>IF(A447="","",INDEX(新年度名簿!$D$2:$D$451,A447))</f>
        <v/>
      </c>
    </row>
    <row r="448">
      <c r="A448" s="14">
        <f>IFERROR(MATCH(SMALL(新年度名簿!$J$2:$J$451,446),新年度名簿!$J$2:$J$451,0),"")</f>
        <v/>
      </c>
      <c r="B448" s="14">
        <f>IF(A448="","",INDEX(新年度名簿!$G$2:$G$451,A448))</f>
        <v/>
      </c>
      <c r="C448" s="14">
        <f>IF(A448="","",IFERROR(MATCH(B448,設定!$P$8:$P$27,0),""))</f>
        <v/>
      </c>
      <c r="D448" s="14">
        <f>IF(C448="","",COUNTIF($C$3:C448,C448))</f>
        <v/>
      </c>
      <c r="E448" s="14">
        <f>IF(C448="","",C448*1000+D448)</f>
        <v/>
      </c>
      <c r="F448" s="14">
        <f>IF(A448="","",INDEX(新年度名簿!$K$2:$K$451,A448))</f>
        <v/>
      </c>
      <c r="G448" s="14">
        <f>IF(A448="","",INDEX(新年度名簿!$C$2:$C$451,A448))</f>
        <v/>
      </c>
      <c r="H448" s="14">
        <f>IF(A448="","",INDEX(新年度名簿!$D$2:$D$451,A448))</f>
        <v/>
      </c>
    </row>
    <row r="449">
      <c r="A449" s="14">
        <f>IFERROR(MATCH(SMALL(新年度名簿!$J$2:$J$451,447),新年度名簿!$J$2:$J$451,0),"")</f>
        <v/>
      </c>
      <c r="B449" s="14">
        <f>IF(A449="","",INDEX(新年度名簿!$G$2:$G$451,A449))</f>
        <v/>
      </c>
      <c r="C449" s="14">
        <f>IF(A449="","",IFERROR(MATCH(B449,設定!$P$8:$P$27,0),""))</f>
        <v/>
      </c>
      <c r="D449" s="14">
        <f>IF(C449="","",COUNTIF($C$3:C449,C449))</f>
        <v/>
      </c>
      <c r="E449" s="14">
        <f>IF(C449="","",C449*1000+D449)</f>
        <v/>
      </c>
      <c r="F449" s="14">
        <f>IF(A449="","",INDEX(新年度名簿!$K$2:$K$451,A449))</f>
        <v/>
      </c>
      <c r="G449" s="14">
        <f>IF(A449="","",INDEX(新年度名簿!$C$2:$C$451,A449))</f>
        <v/>
      </c>
      <c r="H449" s="14">
        <f>IF(A449="","",INDEX(新年度名簿!$D$2:$D$451,A449))</f>
        <v/>
      </c>
    </row>
    <row r="450">
      <c r="A450" s="14">
        <f>IFERROR(MATCH(SMALL(新年度名簿!$J$2:$J$451,448),新年度名簿!$J$2:$J$451,0),"")</f>
        <v/>
      </c>
      <c r="B450" s="14">
        <f>IF(A450="","",INDEX(新年度名簿!$G$2:$G$451,A450))</f>
        <v/>
      </c>
      <c r="C450" s="14">
        <f>IF(A450="","",IFERROR(MATCH(B450,設定!$P$8:$P$27,0),""))</f>
        <v/>
      </c>
      <c r="D450" s="14">
        <f>IF(C450="","",COUNTIF($C$3:C450,C450))</f>
        <v/>
      </c>
      <c r="E450" s="14">
        <f>IF(C450="","",C450*1000+D450)</f>
        <v/>
      </c>
      <c r="F450" s="14">
        <f>IF(A450="","",INDEX(新年度名簿!$K$2:$K$451,A450))</f>
        <v/>
      </c>
      <c r="G450" s="14">
        <f>IF(A450="","",INDEX(新年度名簿!$C$2:$C$451,A450))</f>
        <v/>
      </c>
      <c r="H450" s="14">
        <f>IF(A450="","",INDEX(新年度名簿!$D$2:$D$451,A450))</f>
        <v/>
      </c>
    </row>
    <row r="451">
      <c r="A451" s="14">
        <f>IFERROR(MATCH(SMALL(新年度名簿!$J$2:$J$451,449),新年度名簿!$J$2:$J$451,0),"")</f>
        <v/>
      </c>
      <c r="B451" s="14">
        <f>IF(A451="","",INDEX(新年度名簿!$G$2:$G$451,A451))</f>
        <v/>
      </c>
      <c r="C451" s="14">
        <f>IF(A451="","",IFERROR(MATCH(B451,設定!$P$8:$P$27,0),""))</f>
        <v/>
      </c>
      <c r="D451" s="14">
        <f>IF(C451="","",COUNTIF($C$3:C451,C451))</f>
        <v/>
      </c>
      <c r="E451" s="14">
        <f>IF(C451="","",C451*1000+D451)</f>
        <v/>
      </c>
      <c r="F451" s="14">
        <f>IF(A451="","",INDEX(新年度名簿!$K$2:$K$451,A451))</f>
        <v/>
      </c>
      <c r="G451" s="14">
        <f>IF(A451="","",INDEX(新年度名簿!$C$2:$C$451,A451))</f>
        <v/>
      </c>
      <c r="H451" s="14">
        <f>IF(A451="","",INDEX(新年度名簿!$D$2:$D$451,A451))</f>
        <v/>
      </c>
    </row>
    <row r="452">
      <c r="A452" s="14">
        <f>IFERROR(MATCH(SMALL(新年度名簿!$J$2:$J$451,450),新年度名簿!$J$2:$J$451,0),"")</f>
        <v/>
      </c>
      <c r="B452" s="14">
        <f>IF(A452="","",INDEX(新年度名簿!$G$2:$G$451,A452))</f>
        <v/>
      </c>
      <c r="C452" s="14">
        <f>IF(A452="","",IFERROR(MATCH(B452,設定!$P$8:$P$27,0),""))</f>
        <v/>
      </c>
      <c r="D452" s="14">
        <f>IF(C452="","",COUNTIF($C$3:C452,C452))</f>
        <v/>
      </c>
      <c r="E452" s="14">
        <f>IF(C452="","",C452*1000+D452)</f>
        <v/>
      </c>
      <c r="F452" s="14">
        <f>IF(A452="","",INDEX(新年度名簿!$K$2:$K$451,A452))</f>
        <v/>
      </c>
      <c r="G452" s="14">
        <f>IF(A452="","",INDEX(新年度名簿!$C$2:$C$451,A452))</f>
        <v/>
      </c>
      <c r="H452" s="14">
        <f>IF(A452="","",INDEX(新年度名簿!$D$2:$D$451,A452))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2026-10-01T10:26:32Z</dcterms:created>
  <dcterms:modified xsi:type="dcterms:W3CDTF">2026-10-01T10:26:34Z</dcterms:modified>
</cp:coreProperties>
</file>